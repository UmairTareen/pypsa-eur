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E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G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W9" i="29" l="1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5" i="24" l="1"/>
  <c r="W3" i="31"/>
  <c r="W3" i="29"/>
  <c r="W3" i="8"/>
  <c r="U19" i="25"/>
  <c r="U19" i="23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3" l="1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90" i="6" l="1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F16" i="8"/>
  <c r="B16" i="8"/>
  <c r="N4" i="8"/>
  <c r="J4" i="8"/>
  <c r="F4" i="8"/>
  <c r="F4" i="12" s="1"/>
  <c r="B4" i="8"/>
  <c r="O29" i="9"/>
  <c r="K29" i="9"/>
  <c r="G29" i="9"/>
  <c r="C29" i="9"/>
  <c r="O19" i="9"/>
  <c r="K19" i="9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4" i="13" l="1"/>
  <c r="J16" i="12"/>
  <c r="O4" i="24"/>
  <c r="P29" i="24"/>
  <c r="J16" i="13"/>
  <c r="K19" i="13"/>
  <c r="J4" i="12"/>
  <c r="O4" i="23"/>
  <c r="P29" i="25"/>
  <c r="P29" i="28" s="1"/>
  <c r="O16" i="24"/>
  <c r="F4" i="24"/>
  <c r="G29" i="12"/>
  <c r="O4" i="12"/>
  <c r="K16" i="24"/>
  <c r="N19" i="23"/>
  <c r="F29" i="24"/>
  <c r="F29" i="27" s="1"/>
  <c r="G29" i="13"/>
  <c r="G29" i="16" s="1"/>
  <c r="G19" i="23"/>
  <c r="P4" i="12"/>
  <c r="N4" i="12"/>
  <c r="G19" i="24"/>
  <c r="N19" i="24"/>
  <c r="K29" i="12"/>
  <c r="K29" i="13"/>
  <c r="K29" i="16" s="1"/>
  <c r="K4" i="24"/>
  <c r="O4" i="13"/>
  <c r="P19" i="13"/>
  <c r="I19" i="12"/>
  <c r="K19" i="12"/>
  <c r="G16" i="12"/>
  <c r="F16" i="12"/>
  <c r="E4" i="13"/>
  <c r="E4" i="16" s="1"/>
  <c r="E19" i="24"/>
  <c r="E19" i="27" s="1"/>
  <c r="I4" i="23"/>
  <c r="O29" i="13"/>
  <c r="D16" i="14"/>
  <c r="D16" i="17" s="1"/>
  <c r="O29" i="12"/>
  <c r="O29" i="15" s="1"/>
  <c r="G16" i="13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M4" i="14"/>
  <c r="O16" i="13"/>
  <c r="O16" i="16" s="1"/>
  <c r="O16" i="23"/>
  <c r="O16" i="26" s="1"/>
  <c r="F19" i="12"/>
  <c r="M16" i="24"/>
  <c r="J4" i="23"/>
  <c r="J4" i="26" s="1"/>
  <c r="P19" i="12"/>
  <c r="P19" i="15" s="1"/>
  <c r="H4" i="24"/>
  <c r="M4" i="12"/>
  <c r="O19" i="24"/>
  <c r="O19" i="27" s="1"/>
  <c r="P16" i="24"/>
  <c r="P16" i="27" s="1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D4" i="13"/>
  <c r="N16" i="12"/>
  <c r="N16" i="15" s="1"/>
  <c r="E16" i="12"/>
  <c r="E16" i="15" s="1"/>
  <c r="I16" i="14"/>
  <c r="Q4" i="23"/>
  <c r="J29" i="24"/>
  <c r="J29" i="27" s="1"/>
  <c r="P16" i="13"/>
  <c r="P16" i="16" s="1"/>
  <c r="C29" i="12"/>
  <c r="G16" i="24"/>
  <c r="I4" i="12"/>
  <c r="L16" i="13"/>
  <c r="L16" i="16" s="1"/>
  <c r="B29" i="13"/>
  <c r="L4" i="24"/>
  <c r="Q29" i="23"/>
  <c r="Q29" i="26" s="1"/>
  <c r="G16" i="25"/>
  <c r="G16" i="28" s="1"/>
  <c r="Q4" i="24"/>
  <c r="D4" i="23"/>
  <c r="C29" i="13"/>
  <c r="B29" i="12"/>
  <c r="B29" i="15" s="1"/>
  <c r="H19" i="24"/>
  <c r="H19" i="27" s="1"/>
  <c r="Q4" i="12"/>
  <c r="B4" i="14"/>
  <c r="B4" i="17" s="1"/>
  <c r="N19" i="12"/>
  <c r="N19" i="15" s="1"/>
  <c r="D29" i="25"/>
  <c r="D29" i="28" s="1"/>
  <c r="F16" i="24"/>
  <c r="D29" i="24"/>
  <c r="D29" i="27" s="1"/>
  <c r="G19" i="14"/>
  <c r="G19" i="17" s="1"/>
  <c r="D29" i="23"/>
  <c r="D29" i="26" s="1"/>
  <c r="I16" i="13"/>
  <c r="B4" i="13"/>
  <c r="B4" i="16" s="1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I19" i="27" s="1"/>
  <c r="K16" i="23"/>
  <c r="E29" i="13"/>
  <c r="L16" i="24"/>
  <c r="L16" i="27" s="1"/>
  <c r="M4" i="13"/>
  <c r="M4" i="16" s="1"/>
  <c r="D27" i="13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3"/>
  <c r="E15" i="26" s="1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3"/>
  <c r="E27" i="16" s="1"/>
  <c r="E19" i="23"/>
  <c r="D15" i="23"/>
  <c r="D15" i="26" s="1"/>
  <c r="D15" i="24"/>
  <c r="D15" i="27" s="1"/>
  <c r="E19" i="13"/>
  <c r="E19" i="16" s="1"/>
  <c r="C16" i="23"/>
  <c r="C16" i="26" s="1"/>
  <c r="F16" i="23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I19" i="26" s="1"/>
  <c r="Q19" i="23"/>
  <c r="G15" i="23"/>
  <c r="G15" i="24"/>
  <c r="G15" i="27" s="1"/>
  <c r="H27" i="23"/>
  <c r="H27" i="26" s="1"/>
  <c r="H27" i="24"/>
  <c r="H27" i="27" s="1"/>
  <c r="Q29" i="13"/>
  <c r="I16" i="12"/>
  <c r="I16" i="15" s="1"/>
  <c r="F29" i="13"/>
  <c r="D29" i="13"/>
  <c r="C4" i="23"/>
  <c r="C4" i="26" s="1"/>
  <c r="K4" i="23"/>
  <c r="K4" i="26" s="1"/>
  <c r="M19" i="13"/>
  <c r="M19" i="16" s="1"/>
  <c r="N4" i="21"/>
  <c r="N4" i="24"/>
  <c r="N4" i="27" s="1"/>
  <c r="P4" i="13"/>
  <c r="P4" i="16" s="1"/>
  <c r="G29" i="23"/>
  <c r="B19" i="13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M29" i="12"/>
  <c r="M29" i="15" s="1"/>
  <c r="H16" i="12"/>
  <c r="H16" i="15" s="1"/>
  <c r="J15" i="24"/>
  <c r="J15" i="27" s="1"/>
  <c r="J15" i="23"/>
  <c r="J15" i="26" s="1"/>
  <c r="L27" i="23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Q19" i="24"/>
  <c r="Q19" i="27" s="1"/>
  <c r="K15" i="23"/>
  <c r="K15" i="24"/>
  <c r="P27" i="23"/>
  <c r="P27" i="26" s="1"/>
  <c r="P27" i="24"/>
  <c r="P27" i="27" s="1"/>
  <c r="P16" i="12"/>
  <c r="F4" i="13"/>
  <c r="F4" i="16" s="1"/>
  <c r="L29" i="13"/>
  <c r="L29" i="16" s="1"/>
  <c r="L15" i="23"/>
  <c r="L15" i="24"/>
  <c r="J27" i="12"/>
  <c r="J27" i="15" s="1"/>
  <c r="J27" i="13"/>
  <c r="J27" i="16" s="1"/>
  <c r="E16" i="24"/>
  <c r="D16" i="12"/>
  <c r="M15" i="23"/>
  <c r="M15" i="26" s="1"/>
  <c r="M15" i="24"/>
  <c r="M15" i="27" s="1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L4" i="12"/>
  <c r="L4" i="15" s="1"/>
  <c r="I16" i="24"/>
  <c r="I16" i="27" s="1"/>
  <c r="H16" i="13"/>
  <c r="H16" i="16" s="1"/>
  <c r="L29" i="12"/>
  <c r="L29" i="15" s="1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H29" i="13"/>
  <c r="H29" i="16" s="1"/>
  <c r="Q27" i="23"/>
  <c r="Q27" i="26" s="1"/>
  <c r="Q27" i="24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M16" i="13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P15" i="27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E15" i="27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L27" i="26"/>
  <c r="O8" i="17"/>
  <c r="P29" i="15"/>
  <c r="O31" i="15"/>
  <c r="O16" i="17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6"/>
  <c r="G16" i="10"/>
  <c r="G19" i="10"/>
  <c r="G29" i="10"/>
  <c r="F4" i="15"/>
  <c r="F3" i="8"/>
  <c r="F16" i="15"/>
  <c r="F19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Q3" i="12" s="1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1"/>
  <c r="G4" i="26"/>
  <c r="G3" i="19"/>
  <c r="N28" i="15"/>
  <c r="K16" i="16"/>
  <c r="K16" i="10"/>
  <c r="K19" i="16"/>
  <c r="K19" i="10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0"/>
  <c r="O19" i="10"/>
  <c r="O29" i="16"/>
  <c r="O29" i="10"/>
  <c r="N4" i="15"/>
  <c r="N3" i="8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C15" i="15"/>
  <c r="E9" i="16"/>
  <c r="C21" i="15"/>
  <c r="M32" i="15"/>
  <c r="M5" i="15"/>
  <c r="M9" i="15"/>
  <c r="M13" i="15"/>
  <c r="Q3" i="13" l="1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5" i="4"/>
  <c r="B30" i="4"/>
  <c r="B20" i="4"/>
  <c r="B38" i="4"/>
  <c r="B28" i="4"/>
  <c r="B14" i="4"/>
  <c r="B9" i="4"/>
  <c r="B23" i="4"/>
  <c r="B17" i="4"/>
  <c r="B16" i="4"/>
  <c r="B21" i="4"/>
  <c r="B43" i="4"/>
  <c r="B29" i="4"/>
  <c r="B26" i="4"/>
  <c r="B12" i="4"/>
  <c r="B10" i="4"/>
  <c r="B4" i="4"/>
  <c r="B44" i="4"/>
  <c r="B13" i="4"/>
  <c r="B25" i="4"/>
  <c r="B37" i="4"/>
  <c r="B33" i="4"/>
  <c r="B24" i="4"/>
  <c r="B7" i="4"/>
  <c r="B8" i="4"/>
  <c r="B22" i="4"/>
  <c r="B27" i="4"/>
  <c r="B42" i="4"/>
  <c r="B11" i="4"/>
  <c r="B45" i="4"/>
  <c r="B39" i="4"/>
  <c r="B36" i="4"/>
  <c r="B34" i="4"/>
  <c r="B15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<sst xmlns="http://schemas.openxmlformats.org/spreadsheetml/2006/main" count="2099" uniqueCount="1055">
  <si>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</si>
  <si>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</si>
  <si>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</si>
  <si>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</si>
  <si>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</si>
  <si>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</si>
  <si>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</si>
  <si>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</si>
  <si>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</si>
  <si>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</si>
  <si>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</si>
  <si>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</si>
  <si>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</si>
  <si>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</si>
  <si>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</si>
  <si>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</si>
  <si>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</si>
  <si>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</si>
  <si>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</si>
  <si>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</si>
  <si>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</si>
  <si>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</si>
  <si>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</si>
  <si>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</si>
  <si>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</si>
  <si>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</si>
  <si>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</si>
  <si>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</si>
  <si>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</si>
  <si>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</si>
  <si>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</si>
  <si>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</si>
  <si>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</si>
  <si>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</si>
  <si>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</si>
  <si>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</si>
  <si>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</si>
  <si>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</si>
  <si>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</si>
  <si>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</si>
  <si>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</si>
  <si>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</si>
  <si>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</si>
  <si>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</si>
  <si>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</si>
  <si>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</si>
  <si>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</si>
  <si>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</si>
  <si>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</si>
  <si>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</si>
  <si>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</si>
  <si>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</si>
  <si>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</si>
  <si>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</si>
  <si>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</si>
  <si>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</si>
  <si>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</si>
  <si>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</si>
  <si>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</si>
  <si>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</si>
  <si>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</si>
  <si>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</si>
  <si>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</si>
  <si>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</si>
  <si>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</si>
  <si>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</si>
  <si>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</si>
  <si>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</si>
  <si>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</si>
  <si>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</si>
  <si>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</si>
  <si>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</si>
  <si>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</si>
  <si>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</si>
  <si>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</si>
  <si>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</si>
  <si>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</si>
  <si>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</si>
  <si>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</si>
  <si>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</si>
  <si>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</si>
  <si>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</si>
  <si>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</si>
  <si>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</si>
  <si>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</si>
  <si>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</si>
  <si>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</si>
  <si>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</si>
  <si>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</si>
  <si>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</si>
  <si>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</si>
  <si>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</si>
  <si>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</si>
  <si>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</si>
  <si>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</si>
  <si>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</si>
  <si>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</si>
  <si>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</si>
  <si>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</si>
  <si>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</si>
  <si>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</si>
  <si>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</si>
  <si>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</si>
  <si>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</si>
  <si>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</si>
  <si>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</si>
  <si>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</si>
  <si>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</si>
  <si>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</si>
  <si>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</si>
  <si>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</si>
  <si>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</si>
  <si>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</si>
  <si>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</si>
  <si>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</si>
  <si>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</si>
  <si>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</si>
  <si>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</si>
  <si>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</si>
  <si>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</si>
  <si>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</si>
  <si>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</si>
  <si>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</si>
  <si>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</si>
  <si>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</si>
  <si>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</si>
  <si>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</si>
  <si>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</si>
  <si>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</si>
  <si>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</si>
  <si>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</si>
  <si>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</si>
  <si>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</si>
  <si>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</si>
  <si>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</si>
  <si>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</si>
  <si>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</si>
  <si>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</si>
  <si>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</si>
  <si>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</si>
  <si>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</si>
  <si>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</si>
  <si>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</si>
  <si>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</si>
  <si>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</si>
  <si>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</si>
  <si>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</si>
  <si>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</si>
  <si>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</si>
  <si>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</si>
  <si>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</si>
  <si>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</si>
  <si>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</si>
  <si>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</si>
  <si>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</si>
  <si>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</si>
  <si>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</si>
  <si>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</si>
  <si>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</si>
  <si>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</si>
  <si>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</si>
  <si>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</si>
  <si>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</si>
  <si>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</si>
  <si>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</si>
  <si>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</si>
  <si>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</si>
  <si>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</si>
  <si>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</si>
  <si>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</si>
  <si>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</si>
  <si>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</si>
  <si>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</si>
  <si>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</si>
  <si>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</si>
  <si>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</si>
  <si>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</si>
  <si>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</si>
  <si>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</si>
  <si>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</si>
  <si>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</si>
  <si>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</si>
  <si>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</si>
  <si>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</si>
  <si>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SE</t>
  </si>
  <si>
    <t>Sweden</t>
  </si>
  <si>
    <t>SE - Services sector summary</t>
  </si>
  <si>
    <t>Macro.number.SE.Population</t>
  </si>
  <si>
    <t>Macro.Meuro2015.SE.GDP</t>
  </si>
  <si>
    <t>Macro.Meuro2015.SE.VA</t>
  </si>
  <si>
    <t>Macro.number.SE.Employees</t>
  </si>
  <si>
    <t>NUM.number.SE.Ser.Bld</t>
  </si>
  <si>
    <t>SurfaceArea.ksqm.SE.Ser.Bld</t>
  </si>
  <si>
    <t>NUM.number.SE.Ser.BldNew</t>
  </si>
  <si>
    <t>SurfaceArea.ksqm.SE.Ser.BldNew</t>
  </si>
  <si>
    <t>HDD.Celsius.SE.Actual</t>
  </si>
  <si>
    <t>HDD.Celsius.SE.Mean</t>
  </si>
  <si>
    <t>HDD.ratio.SE.Relative</t>
  </si>
  <si>
    <t>FEC.ktoe.SE.ES.Ser</t>
  </si>
  <si>
    <t>FEC.ktoe.SE.ES.Ser.Solids</t>
  </si>
  <si>
    <t>FEC.ktoe.SE.ES.Ser.LPG</t>
  </si>
  <si>
    <t>FEC.ktoe.SE.ES.Ser.Oil</t>
  </si>
  <si>
    <t>FEC.ktoe.SE.ES.Ser.NG</t>
  </si>
  <si>
    <t>FEC.ktoe.SE.ES.Ser.Biomass_Waste</t>
  </si>
  <si>
    <t>FEC.ktoe.SE.ES.Ser.Biogas</t>
  </si>
  <si>
    <t>FEC.ktoe.SE.ES.Ser.LiqBio</t>
  </si>
  <si>
    <t>FEC.ktoe.SE.ES.Ser.Solar</t>
  </si>
  <si>
    <t>FEC.ktoe.SE.ES.Ser.Geo</t>
  </si>
  <si>
    <t>FEC.ktoe.SE.ES.Ser.Ambient</t>
  </si>
  <si>
    <t>FEC.ktoe.SE.ES.Ser.Steam_Distr</t>
  </si>
  <si>
    <t>FEC.ktoe.SE.ES.Ser.Elec</t>
  </si>
  <si>
    <t>FEC.ktoe.SE.Ser</t>
  </si>
  <si>
    <t>FEC.ktoe.SE.Ser.Bld.Thermal</t>
  </si>
  <si>
    <t>FEC.ktoe.SE.Ser.Bld.Thermal.SH</t>
  </si>
  <si>
    <t>FEC.ktoe.SE.Ser.Bld.Thermal.SC</t>
  </si>
  <si>
    <t>FEC.ktoe.SE.Ser.Bld.Thermal.HW</t>
  </si>
  <si>
    <t>FEC.ktoe.SE.Ser.Bld.Thermal.CA</t>
  </si>
  <si>
    <t>FEC.ktoe.SE.Ser.SEU</t>
  </si>
  <si>
    <t>EMI.ktCO2.SE.ES.Ser</t>
  </si>
  <si>
    <t>EMI.ktCO2.SE.ES.Ser.Solids</t>
  </si>
  <si>
    <t>EMI.ktCO2.SE.ES.Ser.LPG</t>
  </si>
  <si>
    <t>EMI.ktCO2.SE.ES.Ser.Oil</t>
  </si>
  <si>
    <t>EMI.ktCO2.SE.ES.Ser.NG</t>
  </si>
  <si>
    <t>EMI.ktCO2.SE.ES.Ser.Biomass_Waste</t>
  </si>
  <si>
    <t>EMI.ktCO2.SE.ES.Ser.Biogas</t>
  </si>
  <si>
    <t>EMI.ktCO2.SE.ES.Ser.LiqBio</t>
  </si>
  <si>
    <t>EMI.ktCO2.SE.ES.Ser.Solar</t>
  </si>
  <si>
    <t>EMI.ktCO2.SE.ES.Ser.Geo</t>
  </si>
  <si>
    <t>EMI.ktCO2.SE.ES.Ser.Ambient</t>
  </si>
  <si>
    <t>EMI.ktCO2.SE.ES.Ser.Steam_Distr</t>
  </si>
  <si>
    <t>EMI.ktCO2.SE.ES.Ser.Elec</t>
  </si>
  <si>
    <t>EMI.ktCO2.SE.Ser</t>
  </si>
  <si>
    <t>EMI.ktCO2.SE.Ser.Bld.Thermal</t>
  </si>
  <si>
    <t>EMI.ktCO2.SE.Ser.Bld.Thermal.SH</t>
  </si>
  <si>
    <t>EMI.ktCO2.SE.Ser.Bld.Thermal.SC</t>
  </si>
  <si>
    <t>EMI.ktCO2.SE.Ser.Bld.Thermal.HW</t>
  </si>
  <si>
    <t>EMI.ktCO2.SE.Ser.Bld.Thermal.CA</t>
  </si>
  <si>
    <t>EMI.ktCO2.SE.Ser.SEU</t>
  </si>
  <si>
    <t>Eff.ratio.SE.Ser.Bld.Thermal</t>
  </si>
  <si>
    <t>Eff.ratio.SE.Ser.Bld.Thermal.SH</t>
  </si>
  <si>
    <t>Eff.ratio.SE.Ser.Bld.Thermal.SC</t>
  </si>
  <si>
    <t>Eff.ratio.SE.Ser.Bld.Thermal.HW</t>
  </si>
  <si>
    <t>Eff.ratio.SE.Ser.Bld.Thermal.CA</t>
  </si>
  <si>
    <t>SE - Number of buildings</t>
  </si>
  <si>
    <t>NUM.number.SE.Ser.Bld.Thermal</t>
  </si>
  <si>
    <t>NUM.number.SE.Ser.Bld.Thermal.SH</t>
  </si>
  <si>
    <t>NUM.number.SE.Ser.Bld.Thermal.SH.Solids</t>
  </si>
  <si>
    <t>NUM.number.SE.Ser.Bld.Thermal.SH.LPG</t>
  </si>
  <si>
    <t>NUM.number.SE.Ser.Bld.Thermal.SH.Oil</t>
  </si>
  <si>
    <t>NUM.number.SE.Ser.Bld.Thermal.SH.GasHP</t>
  </si>
  <si>
    <t>NUM.number.SE.Ser.Bld.Thermal.SH.GasTH</t>
  </si>
  <si>
    <t>NUM.number.SE.Ser.Bld.Thermal.SH.Biomass</t>
  </si>
  <si>
    <t>NUM.number.SE.Ser.Bld.Thermal.SH.Geo</t>
  </si>
  <si>
    <t>NUM.number.SE.Ser.Bld.Thermal.SH.DistrHeat</t>
  </si>
  <si>
    <t>NUM.number.SE.Ser.Bld.Thermal.SH.AdvElc</t>
  </si>
  <si>
    <t>NUM.number.SE.Ser.Bld.Thermal.SH.ConvElc</t>
  </si>
  <si>
    <t>NUM.number.SE.Ser.Bld.Thermal.SC</t>
  </si>
  <si>
    <t>NUM.number.SE.Ser.Bld.Thermal.SC.GasHP</t>
  </si>
  <si>
    <t>NUM.number.SE.Ser.Bld.Thermal.SC.AC</t>
  </si>
  <si>
    <t>NUM.number.SE.Ser.Bld.Thermal.HW</t>
  </si>
  <si>
    <t>NUM.number.SE.Ser.Bld.Thermal.HW.Solids</t>
  </si>
  <si>
    <t>NUM.number.SE.Ser.Bld.Thermal.HW.LPG</t>
  </si>
  <si>
    <t>NUM.number.SE.Ser.Bld.Thermal.HW.Oil</t>
  </si>
  <si>
    <t>NUM.number.SE.Ser.Bld.Thermal.HW.Gas</t>
  </si>
  <si>
    <t>NUM.number.SE.Ser.Bld.Thermal.HW.Biomass</t>
  </si>
  <si>
    <t>NUM.number.SE.Ser.Bld.Thermal.HW.DistrHeat</t>
  </si>
  <si>
    <t>NUM.number.SE.Ser.Bld.Thermal.HW.Elc</t>
  </si>
  <si>
    <t>NUM.number.SE.Ser.Bld.Thermal.HW.Solar</t>
  </si>
  <si>
    <t>NUM.number.SE.Ser.Bld.Thermal.CA</t>
  </si>
  <si>
    <t>NUM.number.SE.Ser.Bld.Thermal.CA.LPG</t>
  </si>
  <si>
    <t>NUM.number.SE.Ser.Bld.Thermal.CA.Gas</t>
  </si>
  <si>
    <t>NUM.number.SE.Ser.Bld.Thermal.CA.Biomass</t>
  </si>
  <si>
    <t>NUM.number.SE.Ser.Bld.Thermal.CA.Elc</t>
  </si>
  <si>
    <t>SE - Final energy consumption</t>
  </si>
  <si>
    <t>FEC.ktoe.SE.Ser.Bld.Thermal.SH.Solids.Solids</t>
  </si>
  <si>
    <t>FEC.ktoe.SE.Ser.Bld.Thermal.SH.LPG.LPG</t>
  </si>
  <si>
    <t>FEC.ktoe.SE.Ser.Bld.Thermal.SH.Oil.Oil_LiqBio</t>
  </si>
  <si>
    <t>FEC.ktoe.SE.Ser.Bld.Thermal.SH.GasHP.NG_Biogas</t>
  </si>
  <si>
    <t>FEC.ktoe.SE.Ser.Bld.Thermal.SH.GasTH.NG_Biogas</t>
  </si>
  <si>
    <t>FEC.ktoe.SE.Ser.Bld.Thermal.SH.Biomass.Biomass_Waste</t>
  </si>
  <si>
    <t>FEC.ktoe.SE.Ser.Bld.Thermal.SH.Geo.Geo</t>
  </si>
  <si>
    <t>FEC.ktoe.SE.Ser.Bld.Thermal.SH.DistrHeat.Steam_Distr</t>
  </si>
  <si>
    <t>FEC.ktoe.SE.Ser.Bld.Thermal.SH.AdvElc.Elec</t>
  </si>
  <si>
    <t>FEC.ktoe.SE.Ser.Bld.Thermal.SH.ConvElc.Elec</t>
  </si>
  <si>
    <t>FEC.ktoe.SE.Ser.Bld.Thermal.SH.TotalCirculation.Elec</t>
  </si>
  <si>
    <t>FEC.ktoe.SE.Ser.Bld.Thermal.SC.GasHP.NG_Biogas</t>
  </si>
  <si>
    <t>FEC.ktoe.SE.Ser.Bld.Thermal.SC.AC.Elec</t>
  </si>
  <si>
    <t>FEC.ktoe.SE.Ser.Bld.Thermal.HW.Solids.Solids</t>
  </si>
  <si>
    <t>FEC.ktoe.SE.Ser.Bld.Thermal.HW.LPG.LPG</t>
  </si>
  <si>
    <t>FEC.ktoe.SE.Ser.Bld.Thermal.HW.Oil.Oil_LiqBio</t>
  </si>
  <si>
    <t>FEC.ktoe.SE.Ser.Bld.Thermal.HW.Gas.NG_Biogas</t>
  </si>
  <si>
    <t>FEC.ktoe.SE.Ser.Bld.Thermal.HW.Biomass.Biomass_Waste</t>
  </si>
  <si>
    <t>FEC.ktoe.SE.Ser.Bld.Thermal.HW.DistrHeat.Steam_Distr</t>
  </si>
  <si>
    <t>FEC.ktoe.SE.Ser.Bld.Thermal.HW.Elc.Elec</t>
  </si>
  <si>
    <t>FEC.ktoe.SE.Ser.Bld.Thermal.HW.TotalSolar.Solar</t>
  </si>
  <si>
    <t>FEC.ktoe.SE.Ser.Bld.Thermal.CA.LPG</t>
  </si>
  <si>
    <t>FEC.ktoe.SE.Ser.Bld.Thermal.CA.Gas.NG_Biogas</t>
  </si>
  <si>
    <t>FEC.ktoe.SE.Ser.Bld.Thermal.CA.Biomass.Biomass_Waste</t>
  </si>
  <si>
    <t>FEC.ktoe.SE.Ser.Bld.Thermal.CA.Elc.Elec</t>
  </si>
  <si>
    <t>SE - Thermal energy service</t>
  </si>
  <si>
    <t>TES.ktoe.SE.Ser.Bld.Thermal</t>
  </si>
  <si>
    <t>TES.ktoe.SE.Ser.Bld.Thermal.SH</t>
  </si>
  <si>
    <t>TES.ktoe.SE.Ser.Bld.Thermal.SH.Solids.Solids</t>
  </si>
  <si>
    <t>TES.ktoe.SE.Ser.Bld.Thermal.SH.LPG.LPG</t>
  </si>
  <si>
    <t>TES.ktoe.SE.Ser.Bld.Thermal.SH.Oil.Oil_LiqBio</t>
  </si>
  <si>
    <t>TES.ktoe.SE.Ser.Bld.Thermal.SH.GasHP.NG_Biogas</t>
  </si>
  <si>
    <t>TES.ktoe.SE.Ser.Bld.Thermal.SH.GasTH.NG_Biogas</t>
  </si>
  <si>
    <t>TES.ktoe.SE.Ser.Bld.Thermal.SH.Biomass.Biomass_Waste</t>
  </si>
  <si>
    <t>TES.ktoe.SE.Ser.Bld.Thermal.SH.Geo.Geo</t>
  </si>
  <si>
    <t>TES.ktoe.SE.Ser.Bld.Thermal.SH.DistrHeat.Steam_Distr</t>
  </si>
  <si>
    <t>TES.ktoe.SE.Ser.Bld.Thermal.SH.AdvElc.Elec</t>
  </si>
  <si>
    <t>TES.ktoe.SE.Ser.Bld.Thermal.SH.ConvElc.Elec</t>
  </si>
  <si>
    <t>TES.ktoe.SE.Ser.Bld.Thermal.SH.TotalCirculation.Elec</t>
  </si>
  <si>
    <t>TES.ktoe.SE.Ser.Bld.Thermal.SC</t>
  </si>
  <si>
    <t>TES.ktoe.SE.Ser.Bld.Thermal.SC.GasHP.NG_Biogas</t>
  </si>
  <si>
    <t>TES.ktoe.SE.Ser.Bld.Thermal.SC.AC.Elec</t>
  </si>
  <si>
    <t>TES.ktoe.SE.Ser.Bld.Thermal.HW</t>
  </si>
  <si>
    <t>TES.ktoe.SE.Ser.Bld.Thermal.HW.Solids.Solids</t>
  </si>
  <si>
    <t>TES.ktoe.SE.Ser.Bld.Thermal.HW.LPG.LPG</t>
  </si>
  <si>
    <t>TES.ktoe.SE.Ser.Bld.Thermal.HW.Oil.Oil_LiqBio</t>
  </si>
  <si>
    <t>TES.ktoe.SE.Ser.Bld.Thermal.HW.Gas.NG_Biogas</t>
  </si>
  <si>
    <t>TES.ktoe.SE.Ser.Bld.Thermal.HW.Biomass.Biomass_Waste</t>
  </si>
  <si>
    <t>TES.ktoe.SE.Ser.Bld.Thermal.HW.DistrHeat.Steam_Distr</t>
  </si>
  <si>
    <t>TES.ktoe.SE.Ser.Bld.Thermal.HW.Elc.Elec</t>
  </si>
  <si>
    <t>TES.ktoe.SE.Ser.Bld.Thermal.HW.TotalSolar.Solar</t>
  </si>
  <si>
    <t>TES.ktoe.SE.Ser.Bld.Thermal.CA</t>
  </si>
  <si>
    <t>TES.ktoe.SE.Ser.Bld.Thermal.CA.LPG</t>
  </si>
  <si>
    <t>TES.ktoe.SE.Ser.Bld.Thermal.CA.Gas.NG_Biogas</t>
  </si>
  <si>
    <t>TES.ktoe.SE.Ser.Bld.Thermal.CA.Biomass.Biomass_Waste</t>
  </si>
  <si>
    <t>TES.ktoe.SE.Ser.Bld.Thermal.CA.Elc.Elec</t>
  </si>
  <si>
    <t>SE - System efficiency indicator of total stock</t>
  </si>
  <si>
    <t>Eff.ratio.SE.Ser.Bld.Thermal.SH.Solids.Solids</t>
  </si>
  <si>
    <t>Eff.ratio.SE.Ser.Bld.Thermal.SH.LPG.LPG</t>
  </si>
  <si>
    <t>Eff.ratio.SE.Ser.Bld.Thermal.SH.Oil.Oil_LiqBio</t>
  </si>
  <si>
    <t>Eff.ratio.SE.Ser.Bld.Thermal.SH.GasHP.NG_Biogas</t>
  </si>
  <si>
    <t>Eff.ratio.SE.Ser.Bld.Thermal.SH.GasTH.NG_Biogas</t>
  </si>
  <si>
    <t>Eff.ratio.SE.Ser.Bld.Thermal.SH.Biomass.Biomass_Waste</t>
  </si>
  <si>
    <t>Eff.ratio.SE.Ser.Bld.Thermal.SH.Geo.Geo</t>
  </si>
  <si>
    <t>Eff.ratio.SE.Ser.Bld.Thermal.SH.DistrHeat.Steam_Distr</t>
  </si>
  <si>
    <t>Eff.ratio.SE.Ser.Bld.Thermal.SH.AdvElc.Elec</t>
  </si>
  <si>
    <t>Eff.ratio.SE.Ser.Bld.Thermal.SH.ConvElc.Elec</t>
  </si>
  <si>
    <t>Eff.ratio.SE.Ser.Bld.Thermal.SH.TotalCirculation.Elec</t>
  </si>
  <si>
    <t>Eff.ratio.SE.Ser.Bld.Thermal.SC.GasHP.NG_Biogas</t>
  </si>
  <si>
    <t>Eff.ratio.SE.Ser.Bld.Thermal.SC.AC.Elec</t>
  </si>
  <si>
    <t>Eff.ratio.SE.Ser.Bld.Thermal.HW.Solids.Solids</t>
  </si>
  <si>
    <t>Eff.ratio.SE.Ser.Bld.Thermal.HW.LPG.LPG</t>
  </si>
  <si>
    <t>Eff.ratio.SE.Ser.Bld.Thermal.HW.Oil.Oil_LiqBio</t>
  </si>
  <si>
    <t>Eff.ratio.SE.Ser.Bld.Thermal.HW.Gas.NG_Biogas</t>
  </si>
  <si>
    <t>Eff.ratio.SE.Ser.Bld.Thermal.HW.Biomass.Biomass_Waste</t>
  </si>
  <si>
    <t>Eff.ratio.SE.Ser.Bld.Thermal.HW.DistrHeat.Steam_Distr</t>
  </si>
  <si>
    <t>Eff.ratio.SE.Ser.Bld.Thermal.HW.Elc.Elec</t>
  </si>
  <si>
    <t>Eff.ratio.SE.Ser.Bld.Thermal.HW.TotalSolar.Solar</t>
  </si>
  <si>
    <t>Eff.ratio.SE.Ser.Bld.Thermal.CA.LPG</t>
  </si>
  <si>
    <t>Eff.ratio.SE.Ser.Bld.Thermal.CA.Gas.NG_Biogas</t>
  </si>
  <si>
    <t>Eff.ratio.SE.Ser.Bld.Thermal.CA.Biomass.Biomass_Waste</t>
  </si>
  <si>
    <t>Eff.ratio.SE.Ser.Bld.Thermal.CA.Elc.Elec</t>
  </si>
  <si>
    <t>SE - CO2 emissions</t>
  </si>
  <si>
    <t>EMI.ktCO2.SE.Ser.Bld.Thermal.SH.Solids.Solids</t>
  </si>
  <si>
    <t>EMI.ktCO2.SE.Ser.Bld.Thermal.SH.LPG.LPG</t>
  </si>
  <si>
    <t>EMI.ktCO2.SE.Ser.Bld.Thermal.SH.Oil.Oil_LiqBio</t>
  </si>
  <si>
    <t>EMI.ktCO2.SE.Ser.Bld.Thermal.SH.GasHP.NG_Biogas</t>
  </si>
  <si>
    <t>EMI.ktCO2.SE.Ser.Bld.Thermal.SH.GasTH.NG_Biogas</t>
  </si>
  <si>
    <t>EMI.ktCO2.SE.Ser.Bld.Thermal.SH.Biomass.Biomass_Waste</t>
  </si>
  <si>
    <t>EMI.ktCO2.SE.Ser.Bld.Thermal.SH.Geo.Geo</t>
  </si>
  <si>
    <t>EMI.ktCO2.SE.Ser.Bld.Thermal.SH.DistrHeat.Steam_Distr</t>
  </si>
  <si>
    <t>EMI.ktCO2.SE.Ser.Bld.Thermal.SH.AdvElc.Elec</t>
  </si>
  <si>
    <t>EMI.ktCO2.SE.Ser.Bld.Thermal.SH.ConvElc.Elec</t>
  </si>
  <si>
    <t>EMI.ktCO2.SE.Ser.Bld.Thermal.SH.TotalCirculation.Elec</t>
  </si>
  <si>
    <t>EMI.ktCO2.SE.Ser.Bld.Thermal.SC.GasHP.NG_Biogas</t>
  </si>
  <si>
    <t>EMI.ktCO2.SE.Ser.Bld.Thermal.SC.AC.Elec</t>
  </si>
  <si>
    <t>EMI.ktCO2.SE.Ser.Bld.Thermal.HW.Solids.Solids</t>
  </si>
  <si>
    <t>EMI.ktCO2.SE.Ser.Bld.Thermal.HW.LPG.LPG</t>
  </si>
  <si>
    <t>EMI.ktCO2.SE.Ser.Bld.Thermal.HW.Oil.Oil_LiqBio</t>
  </si>
  <si>
    <t>EMI.ktCO2.SE.Ser.Bld.Thermal.HW.Gas.NG_Biogas</t>
  </si>
  <si>
    <t>EMI.ktCO2.SE.Ser.Bld.Thermal.HW.Biomass.Biomass_Waste</t>
  </si>
  <si>
    <t>EMI.ktCO2.SE.Ser.Bld.Thermal.HW.DistrHeat.Steam_Distr</t>
  </si>
  <si>
    <t>EMI.ktCO2.SE.Ser.Bld.Thermal.HW.Elc.Elec</t>
  </si>
  <si>
    <t>EMI.ktCO2.SE.Ser.Bld.Thermal.HW.TotalSolar.Solar</t>
  </si>
  <si>
    <t>EMI.ktCO2.SE.Ser.Bld.Thermal.CA.LPG</t>
  </si>
  <si>
    <t>EMI.ktCO2.SE.Ser.Bld.Thermal.CA.Gas.NG_Biogas</t>
  </si>
  <si>
    <t>EMI.ktCO2.SE.Ser.Bld.Thermal.CA.Biomass.Biomass_Waste</t>
  </si>
  <si>
    <t>EMI.ktCO2.SE.Ser.Bld.Thermal.CA.Elc.Elec</t>
  </si>
  <si>
    <t>SE - Final energy consumption per building</t>
  </si>
  <si>
    <t>FEC_per_building.kWh.SE.Ser.Bld.Thermal</t>
  </si>
  <si>
    <t>FEC_per_building.kWh.SE.Ser.Bld.Thermal.SH</t>
  </si>
  <si>
    <t>FEC_per_building.kWh.SE.Ser.Bld.Thermal.SH.Solids.Solids</t>
  </si>
  <si>
    <t>FEC_per_building.kWh.SE.Ser.Bld.Thermal.SH.LPG.LPG</t>
  </si>
  <si>
    <t>FEC_per_building.kWh.SE.Ser.Bld.Thermal.SH.Oil.Oil_LiqBio</t>
  </si>
  <si>
    <t>FEC_per_building.kWh.SE.Ser.Bld.Thermal.SH.GasHP.NG_Biogas</t>
  </si>
  <si>
    <t>FEC_per_building.kWh.SE.Ser.Bld.Thermal.SH.GasTH.NG_Biogas</t>
  </si>
  <si>
    <t>FEC_per_building.kWh.SE.Ser.Bld.Thermal.SH.Biomass.Biomass_Waste</t>
  </si>
  <si>
    <t>FEC_per_building.kWh.SE.Ser.Bld.Thermal.SH.Geo.Geo</t>
  </si>
  <si>
    <t>FEC_per_building.kWh.SE.Ser.Bld.Thermal.SH.DistrHeat.Steam_Distr</t>
  </si>
  <si>
    <t>FEC_per_building.kWh.SE.Ser.Bld.Thermal.SH.AdvElc.Elec</t>
  </si>
  <si>
    <t>FEC_per_building.kWh.SE.Ser.Bld.Thermal.SH.ConvElc.Elec</t>
  </si>
  <si>
    <t>FEC_per_building.kWh.SE.Ser.Bld.Thermal.SH.TotalCirculation.Elec</t>
  </si>
  <si>
    <t>FEC_per_building.kWh.SE.Ser.Bld.Thermal.SC</t>
  </si>
  <si>
    <t>FEC_per_building.kWh.SE.Ser.Bld.Thermal.SC.GasHP.NG_Biogas</t>
  </si>
  <si>
    <t>FEC_per_building.kWh.SE.Ser.Bld.Thermal.SC.AC.Elec</t>
  </si>
  <si>
    <t>FEC_per_building.kWh.SE.Ser.Bld.Thermal.HW</t>
  </si>
  <si>
    <t>FEC_per_building.kWh.SE.Ser.Bld.Thermal.HW.Solids.Solids</t>
  </si>
  <si>
    <t>FEC_per_building.kWh.SE.Ser.Bld.Thermal.HW.LPG.LPG</t>
  </si>
  <si>
    <t>FEC_per_building.kWh.SE.Ser.Bld.Thermal.HW.Oil.Oil_LiqBio</t>
  </si>
  <si>
    <t>FEC_per_building.kWh.SE.Ser.Bld.Thermal.HW.Gas.NG_Biogas</t>
  </si>
  <si>
    <t>FEC_per_building.kWh.SE.Ser.Bld.Thermal.HW.Biomass.Biomass_Waste</t>
  </si>
  <si>
    <t>FEC_per_building.kWh.SE.Ser.Bld.Thermal.HW.DistrHeat.Steam_Distr</t>
  </si>
  <si>
    <t>FEC_per_building.kWh.SE.Ser.Bld.Thermal.HW.Elc.Elec</t>
  </si>
  <si>
    <t>FEC_per_building.kWh.SE.Ser.Bld.Thermal.HW.TotalSolar.Solar</t>
  </si>
  <si>
    <t>FEC_per_building.kWh.SE.Ser.Bld.Thermal.CA</t>
  </si>
  <si>
    <t>FEC_per_building.kWh.SE.Ser.Bld.Thermal.CA.LPG</t>
  </si>
  <si>
    <t>FEC_per_building.kWh.SE.Ser.Bld.Thermal.CA.Gas.NG_Biogas</t>
  </si>
  <si>
    <t>FEC_per_building.kWh.SE.Ser.Bld.Thermal.CA.Biomass.Biomass_Waste</t>
  </si>
  <si>
    <t>FEC_per_building.kWh.SE.Ser.Bld.Thermal.CA.Elc.Elec</t>
  </si>
  <si>
    <t>SE - Thermal energy service per building</t>
  </si>
  <si>
    <t>TES_per_building.kWh.SE.Ser.Bld.Thermal</t>
  </si>
  <si>
    <t>TES_per_building.kWh.SE.Ser.Bld.Thermal.SH</t>
  </si>
  <si>
    <t>TES_per_building.kWh.SE.Ser.Bld.Thermal.SH.Solids.Solids</t>
  </si>
  <si>
    <t>TES_per_building.kWh.SE.Ser.Bld.Thermal.SH.LPG.LPG</t>
  </si>
  <si>
    <t>TES_per_building.kWh.SE.Ser.Bld.Thermal.SH.Oil.Oil_LiqBio</t>
  </si>
  <si>
    <t>TES_per_building.kWh.SE.Ser.Bld.Thermal.SH.GasHP.NG_Biogas</t>
  </si>
  <si>
    <t>TES_per_building.kWh.SE.Ser.Bld.Thermal.SH.GasTH.NG_Biogas</t>
  </si>
  <si>
    <t>TES_per_building.kWh.SE.Ser.Bld.Thermal.SH.Biomass.Biomass_Waste</t>
  </si>
  <si>
    <t>TES_per_building.kWh.SE.Ser.Bld.Thermal.SH.Geo.Geo</t>
  </si>
  <si>
    <t>TES_per_building.kWh.SE.Ser.Bld.Thermal.SH.DistrHeat.Steam_Distr</t>
  </si>
  <si>
    <t>TES_per_building.kWh.SE.Ser.Bld.Thermal.SH.AdvElc.Elec</t>
  </si>
  <si>
    <t>TES_per_building.kWh.SE.Ser.Bld.Thermal.SH.ConvElc.Elec</t>
  </si>
  <si>
    <t>TES_per_building.kWh.SE.Ser.Bld.Thermal.SH.TotalCirculation.Elec</t>
  </si>
  <si>
    <t>TES_per_building.kWh.SE.Ser.Bld.Thermal.SC</t>
  </si>
  <si>
    <t>TES_per_building.kWh.SE.Ser.Bld.Thermal.SC.GasHP.NG_Biogas</t>
  </si>
  <si>
    <t>TES_per_building.kWh.SE.Ser.Bld.Thermal.SC.AC.Elec</t>
  </si>
  <si>
    <t>TES_per_building.kWh.SE.Ser.Bld.Thermal.HW</t>
  </si>
  <si>
    <t>TES_per_building.kWh.SE.Ser.Bld.Thermal.HW.Solids.Solids</t>
  </si>
  <si>
    <t>TES_per_building.kWh.SE.Ser.Bld.Thermal.HW.LPG.LPG</t>
  </si>
  <si>
    <t>TES_per_building.kWh.SE.Ser.Bld.Thermal.HW.Oil.Oil_LiqBio</t>
  </si>
  <si>
    <t>TES_per_building.kWh.SE.Ser.Bld.Thermal.HW.Gas.NG_Biogas</t>
  </si>
  <si>
    <t>TES_per_building.kWh.SE.Ser.Bld.Thermal.HW.Biomass.Biomass_Waste</t>
  </si>
  <si>
    <t>TES_per_building.kWh.SE.Ser.Bld.Thermal.HW.DistrHeat.Steam_Distr</t>
  </si>
  <si>
    <t>TES_per_building.kWh.SE.Ser.Bld.Thermal.HW.Elc.Elec</t>
  </si>
  <si>
    <t>TES_per_building.kWh.SE.Ser.Bld.Thermal.HW.TotalSolar.Solar</t>
  </si>
  <si>
    <t>TES_per_building.kWh.SE.Ser.Bld.Thermal.CA</t>
  </si>
  <si>
    <t>TES_per_building.kWh.SE.Ser.Bld.Thermal.CA.LPG</t>
  </si>
  <si>
    <t>TES_per_building.kWh.SE.Ser.Bld.Thermal.CA.Gas.NG_Biogas</t>
  </si>
  <si>
    <t>TES_per_building.kWh.SE.Ser.Bld.Thermal.CA.Biomass.Biomass_Waste</t>
  </si>
  <si>
    <t>TES_per_building.kWh.SE.Ser.Bld.Thermal.CA.Elc.Elec</t>
  </si>
  <si>
    <t>SE - CO2 emissions per building</t>
  </si>
  <si>
    <t>EMI_per_building.kgCO2.SE.Ser.Bld.Thermal</t>
  </si>
  <si>
    <t>EMI_per_building.kgCO2.SE.Ser.Bld.Thermal.SH</t>
  </si>
  <si>
    <t>EMI_per_building.kgCO2.SE.Ser.Bld.Thermal.SH.Solids.Solids</t>
  </si>
  <si>
    <t>EMI_per_building.kgCO2.SE.Ser.Bld.Thermal.SH.LPG.LPG</t>
  </si>
  <si>
    <t>EMI_per_building.kgCO2.SE.Ser.Bld.Thermal.SH.Oil.Oil_LiqBio</t>
  </si>
  <si>
    <t>EMI_per_building.kgCO2.SE.Ser.Bld.Thermal.SH.GasHP.NG_Biogas</t>
  </si>
  <si>
    <t>EMI_per_building.kgCO2.SE.Ser.Bld.Thermal.SH.GasTH.NG_Biogas</t>
  </si>
  <si>
    <t>EMI_per_building.kgCO2.SE.Ser.Bld.Thermal.SH.Biomass.Biomass_Waste</t>
  </si>
  <si>
    <t>EMI_per_building.kgCO2.SE.Ser.Bld.Thermal.SH.Geo.Geo</t>
  </si>
  <si>
    <t>EMI_per_building.kgCO2.SE.Ser.Bld.Thermal.SH.DistrHeat.Steam_Distr</t>
  </si>
  <si>
    <t>EMI_per_building.kgCO2.SE.Ser.Bld.Thermal.SH.AdvElc.Elec</t>
  </si>
  <si>
    <t>EMI_per_building.kgCO2.SE.Ser.Bld.Thermal.SH.ConvElc.Elec</t>
  </si>
  <si>
    <t>EMI_per_building.kgCO2.SE.Ser.Bld.Thermal.SH.TotalCirculation.Elec</t>
  </si>
  <si>
    <t>EMI_per_building.kgCO2.SE.Ser.Bld.Thermal.SC</t>
  </si>
  <si>
    <t>EMI_per_building.kgCO2.SE.Ser.Bld.Thermal.SC.GasHP.NG_Biogas</t>
  </si>
  <si>
    <t>EMI_per_building.kgCO2.SE.Ser.Bld.Thermal.SC.AC.Elec</t>
  </si>
  <si>
    <t>EMI_per_building.kgCO2.SE.Ser.Bld.Thermal.HW</t>
  </si>
  <si>
    <t>EMI_per_building.kgCO2.SE.Ser.Bld.Thermal.HW.Solids.Solids</t>
  </si>
  <si>
    <t>EMI_per_building.kgCO2.SE.Ser.Bld.Thermal.HW.LPG.LPG</t>
  </si>
  <si>
    <t>EMI_per_building.kgCO2.SE.Ser.Bld.Thermal.HW.Oil.Oil_LiqBio</t>
  </si>
  <si>
    <t>EMI_per_building.kgCO2.SE.Ser.Bld.Thermal.HW.Gas.NG_Biogas</t>
  </si>
  <si>
    <t>EMI_per_building.kgCO2.SE.Ser.Bld.Thermal.HW.Biomass.Biomass_Waste</t>
  </si>
  <si>
    <t>EMI_per_building.kgCO2.SE.Ser.Bld.Thermal.HW.DistrHeat.Steam_Distr</t>
  </si>
  <si>
    <t>EMI_per_building.kgCO2.SE.Ser.Bld.Thermal.HW.Elc.Elec</t>
  </si>
  <si>
    <t>EMI_per_building.kgCO2.SE.Ser.Bld.Thermal.HW.TotalSolar.Solar</t>
  </si>
  <si>
    <t>EMI_per_building.kgCO2.SE.Ser.Bld.Thermal.CA</t>
  </si>
  <si>
    <t>EMI_per_building.kgCO2.SE.Ser.Bld.Thermal.CA.LPG</t>
  </si>
  <si>
    <t>EMI_per_building.kgCO2.SE.Ser.Bld.Thermal.CA.Gas.NG_Biogas</t>
  </si>
  <si>
    <t>EMI_per_building.kgCO2.SE.Ser.Bld.Thermal.CA.Biomass.Biomass_Waste</t>
  </si>
  <si>
    <t>EMI_per_building.kgCO2.SE.Ser.Bld.Thermal.CA.Elc.Elec</t>
  </si>
  <si>
    <t>SE - Final energy consumption per useful surface area</t>
  </si>
  <si>
    <t>FEC_per_sqm.kWh.SE.Ser.Bld.Thermal</t>
  </si>
  <si>
    <t>FEC_per_sqm.kWh.SE.Ser.Bld.Thermal.SH</t>
  </si>
  <si>
    <t>FEC_per_sqm.kWh.SE.Ser.Bld.Thermal.SH.Solids.Solids</t>
  </si>
  <si>
    <t>FEC_per_sqm.kWh.SE.Ser.Bld.Thermal.SH.LPG.LPG</t>
  </si>
  <si>
    <t>FEC_per_sqm.kWh.SE.Ser.Bld.Thermal.SH.Oil.Oil_LiqBio</t>
  </si>
  <si>
    <t>FEC_per_sqm.kWh.SE.Ser.Bld.Thermal.SH.GasHP.NG_Biogas</t>
  </si>
  <si>
    <t>FEC_per_sqm.kWh.SE.Ser.Bld.Thermal.SH.GasTH.NG_Biogas</t>
  </si>
  <si>
    <t>FEC_per_sqm.kWh.SE.Ser.Bld.Thermal.SH.Biomass.Biomass_Waste</t>
  </si>
  <si>
    <t>FEC_per_sqm.kWh.SE.Ser.Bld.Thermal.SH.Geo.Geo</t>
  </si>
  <si>
    <t>FEC_per_sqm.kWh.SE.Ser.Bld.Thermal.SH.DistrHeat.Steam_Distr</t>
  </si>
  <si>
    <t>FEC_per_sqm.kWh.SE.Ser.Bld.Thermal.SH.AdvElc.Elec</t>
  </si>
  <si>
    <t>FEC_per_sqm.kWh.SE.Ser.Bld.Thermal.SH.ConvElc.Elec</t>
  </si>
  <si>
    <t>FEC_per_sqm.kWh.SE.Ser.Bld.Thermal.SH.TotalCirculation.Elec</t>
  </si>
  <si>
    <t>FEC_per_sqm.kWh.SE.Ser.Bld.Thermal.SC</t>
  </si>
  <si>
    <t>FEC_per_sqm.kWh.SE.Ser.Bld.Thermal.SC.GasHP.NG_Biogas</t>
  </si>
  <si>
    <t>FEC_per_sqm.kWh.SE.Ser.Bld.Thermal.SC.AC.Elec</t>
  </si>
  <si>
    <t>FEC_per_sqm.kWh.SE.Ser.Bld.Thermal.HW</t>
  </si>
  <si>
    <t>FEC_per_sqm.kWh.SE.Ser.Bld.Thermal.HW.Solids.Solids</t>
  </si>
  <si>
    <t>FEC_per_sqm.kWh.SE.Ser.Bld.Thermal.HW.LPG.LPG</t>
  </si>
  <si>
    <t>FEC_per_sqm.kWh.SE.Ser.Bld.Thermal.HW.Oil.Oil_LiqBio</t>
  </si>
  <si>
    <t>FEC_per_sqm.kWh.SE.Ser.Bld.Thermal.HW.Gas.NG_Biogas</t>
  </si>
  <si>
    <t>FEC_per_sqm.kWh.SE.Ser.Bld.Thermal.HW.Biomass.Biomass_Waste</t>
  </si>
  <si>
    <t>FEC_per_sqm.kWh.SE.Ser.Bld.Thermal.HW.DistrHeat.Steam_Distr</t>
  </si>
  <si>
    <t>FEC_per_sqm.kWh.SE.Ser.Bld.Thermal.HW.Elc.Elec</t>
  </si>
  <si>
    <t>FEC_per_sqm.kWh.SE.Ser.Bld.Thermal.HW.TotalSolar.Solar</t>
  </si>
  <si>
    <t>FEC_per_sqm.kWh.SE.Ser.Bld.Thermal.CA</t>
  </si>
  <si>
    <t>FEC_per_sqm.kWh.SE.Ser.Bld.Thermal.CA.LPG</t>
  </si>
  <si>
    <t>FEC_per_sqm.kWh.SE.Ser.Bld.Thermal.CA.Gas.NG_Biogas</t>
  </si>
  <si>
    <t>FEC_per_sqm.kWh.SE.Ser.Bld.Thermal.CA.Biomass.Biomass_Waste</t>
  </si>
  <si>
    <t>FEC_per_sqm.kWh.SE.Ser.Bld.Thermal.CA.Elc.Elec</t>
  </si>
  <si>
    <t>SE - Thermal energy service per useful surface area</t>
  </si>
  <si>
    <t>TES_per_sqm.kWh.SE.Ser.Bld.Thermal</t>
  </si>
  <si>
    <t>TES_per_sqm.kWh.SE.Ser.Bld.Thermal.SH</t>
  </si>
  <si>
    <t>TES_per_sqm.kWh.SE.Ser.Bld.Thermal.SH.Solids.Solids</t>
  </si>
  <si>
    <t>TES_per_sqm.kWh.SE.Ser.Bld.Thermal.SH.LPG.LPG</t>
  </si>
  <si>
    <t>TES_per_sqm.kWh.SE.Ser.Bld.Thermal.SH.Oil.Oil_LiqBio</t>
  </si>
  <si>
    <t>TES_per_sqm.kWh.SE.Ser.Bld.Thermal.SH.GasHP.NG_Biogas</t>
  </si>
  <si>
    <t>TES_per_sqm.kWh.SE.Ser.Bld.Thermal.SH.GasTH.NG_Biogas</t>
  </si>
  <si>
    <t>TES_per_sqm.kWh.SE.Ser.Bld.Thermal.SH.Biomass.Biomass_Waste</t>
  </si>
  <si>
    <t>TES_per_sqm.kWh.SE.Ser.Bld.Thermal.SH.Geo.Geo</t>
  </si>
  <si>
    <t>TES_per_sqm.kWh.SE.Ser.Bld.Thermal.SH.DistrHeat.Steam_Distr</t>
  </si>
  <si>
    <t>TES_per_sqm.kWh.SE.Ser.Bld.Thermal.SH.AdvElc.Elec</t>
  </si>
  <si>
    <t>TES_per_sqm.kWh.SE.Ser.Bld.Thermal.SH.ConvElc.Elec</t>
  </si>
  <si>
    <t>TES_per_sqm.kWh.SE.Ser.Bld.Thermal.SH.TotalCirculation.Elec</t>
  </si>
  <si>
    <t>TES_per_sqm.kWh.SE.Ser.Bld.Thermal.SC</t>
  </si>
  <si>
    <t>TES_per_sqm.kWh.SE.Ser.Bld.Thermal.SC.GasHP.NG_Biogas</t>
  </si>
  <si>
    <t>TES_per_sqm.kWh.SE.Ser.Bld.Thermal.SC.AC.Elec</t>
  </si>
  <si>
    <t>TES_per_sqm.kWh.SE.Ser.Bld.Thermal.HW</t>
  </si>
  <si>
    <t>TES_per_sqm.kWh.SE.Ser.Bld.Thermal.HW.Solids.Solids</t>
  </si>
  <si>
    <t>TES_per_sqm.kWh.SE.Ser.Bld.Thermal.HW.LPG.LPG</t>
  </si>
  <si>
    <t>TES_per_sqm.kWh.SE.Ser.Bld.Thermal.HW.Oil.Oil_LiqBio</t>
  </si>
  <si>
    <t>TES_per_sqm.kWh.SE.Ser.Bld.Thermal.HW.Gas.NG_Biogas</t>
  </si>
  <si>
    <t>TES_per_sqm.kWh.SE.Ser.Bld.Thermal.HW.Biomass.Biomass_Waste</t>
  </si>
  <si>
    <t>TES_per_sqm.kWh.SE.Ser.Bld.Thermal.HW.DistrHeat.Steam_Distr</t>
  </si>
  <si>
    <t>TES_per_sqm.kWh.SE.Ser.Bld.Thermal.HW.Elc.Elec</t>
  </si>
  <si>
    <t>TES_per_sqm.kWh.SE.Ser.Bld.Thermal.HW.TotalSolar.Solar</t>
  </si>
  <si>
    <t>TES_per_sqm.kWh.SE.Ser.Bld.Thermal.CA</t>
  </si>
  <si>
    <t>TES_per_sqm.kWh.SE.Ser.Bld.Thermal.CA.LPG</t>
  </si>
  <si>
    <t>TES_per_sqm.kWh.SE.Ser.Bld.Thermal.CA.Gas.NG_Biogas</t>
  </si>
  <si>
    <t>TES_per_sqm.kWh.SE.Ser.Bld.Thermal.CA.Biomass.Biomass_Waste</t>
  </si>
  <si>
    <t>TES_per_sqm.kWh.SE.Ser.Bld.Thermal.CA.Elc.Elec</t>
  </si>
  <si>
    <t>SE - CO2 emissions per useful surface area</t>
  </si>
  <si>
    <t>EMI_per_sqm.kgCO2.SE.Ser.Bld.Thermal</t>
  </si>
  <si>
    <t>EMI_per_sqm.kgCO2.SE.Ser.Bld.Thermal.SH</t>
  </si>
  <si>
    <t>EMI_per_sqm.kgCO2.SE.Ser.Bld.Thermal.SH.Solids.Solids</t>
  </si>
  <si>
    <t>EMI_per_sqm.kgCO2.SE.Ser.Bld.Thermal.SH.LPG.LPG</t>
  </si>
  <si>
    <t>EMI_per_sqm.kgCO2.SE.Ser.Bld.Thermal.SH.Oil.Oil_LiqBio</t>
  </si>
  <si>
    <t>EMI_per_sqm.kgCO2.SE.Ser.Bld.Thermal.SH.GasHP.NG_Biogas</t>
  </si>
  <si>
    <t>EMI_per_sqm.kgCO2.SE.Ser.Bld.Thermal.SH.GasTH.NG_Biogas</t>
  </si>
  <si>
    <t>EMI_per_sqm.kgCO2.SE.Ser.Bld.Thermal.SH.Biomass.Biomass_Waste</t>
  </si>
  <si>
    <t>EMI_per_sqm.kgCO2.SE.Ser.Bld.Thermal.SH.Geo.Geo</t>
  </si>
  <si>
    <t>EMI_per_sqm.kgCO2.SE.Ser.Bld.Thermal.SH.DistrHeat.Steam_Distr</t>
  </si>
  <si>
    <t>EMI_per_sqm.kgCO2.SE.Ser.Bld.Thermal.SH.AdvElc.Elec</t>
  </si>
  <si>
    <t>EMI_per_sqm.kgCO2.SE.Ser.Bld.Thermal.SH.ConvElc.Elec</t>
  </si>
  <si>
    <t>EMI_per_sqm.kgCO2.SE.Ser.Bld.Thermal.SH.TotalCirculation.Elec</t>
  </si>
  <si>
    <t>EMI_per_sqm.kgCO2.SE.Ser.Bld.Thermal.SC</t>
  </si>
  <si>
    <t>EMI_per_sqm.kgCO2.SE.Ser.Bld.Thermal.SC.GasHP.NG_Biogas</t>
  </si>
  <si>
    <t>EMI_per_sqm.kgCO2.SE.Ser.Bld.Thermal.SC.AC.Elec</t>
  </si>
  <si>
    <t>EMI_per_sqm.kgCO2.SE.Ser.Bld.Thermal.HW</t>
  </si>
  <si>
    <t>EMI_per_sqm.kgCO2.SE.Ser.Bld.Thermal.HW.Solids.Solids</t>
  </si>
  <si>
    <t>EMI_per_sqm.kgCO2.SE.Ser.Bld.Thermal.HW.LPG.LPG</t>
  </si>
  <si>
    <t>EMI_per_sqm.kgCO2.SE.Ser.Bld.Thermal.HW.Oil.Oil_LiqBio</t>
  </si>
  <si>
    <t>EMI_per_sqm.kgCO2.SE.Ser.Bld.Thermal.HW.Gas.NG_Biogas</t>
  </si>
  <si>
    <t>EMI_per_sqm.kgCO2.SE.Ser.Bld.Thermal.HW.Biomass.Biomass_Waste</t>
  </si>
  <si>
    <t>EMI_per_sqm.kgCO2.SE.Ser.Bld.Thermal.HW.DistrHeat.Steam_Distr</t>
  </si>
  <si>
    <t>EMI_per_sqm.kgCO2.SE.Ser.Bld.Thermal.HW.Elc.Elec</t>
  </si>
  <si>
    <t>EMI_per_sqm.kgCO2.SE.Ser.Bld.Thermal.HW.TotalSolar.Solar</t>
  </si>
  <si>
    <t>EMI_per_sqm.kgCO2.SE.Ser.Bld.Thermal.CA</t>
  </si>
  <si>
    <t>EMI_per_sqm.kgCO2.SE.Ser.Bld.Thermal.CA.LPG</t>
  </si>
  <si>
    <t>EMI_per_sqm.kgCO2.SE.Ser.Bld.Thermal.CA.Gas.NG_Biogas</t>
  </si>
  <si>
    <t>EMI_per_sqm.kgCO2.SE.Ser.Bld.Thermal.CA.Biomass.Biomass_Waste</t>
  </si>
  <si>
    <t>EMI_per_sqm.kgCO2.SE.Ser.Bld.Thermal.CA.Elc.Elec</t>
  </si>
  <si>
    <t>SE - Number of new and renovated buildings</t>
  </si>
  <si>
    <t>NUM.number.SE.Ser.BldNew.Thermal</t>
  </si>
  <si>
    <t>NUM.number.SE.Ser.BldNew.Thermal.SH</t>
  </si>
  <si>
    <t>NUM.number.SE.Ser.BldNew.Thermal.SH.Solids</t>
  </si>
  <si>
    <t>NUM.number.SE.Ser.BldNew.Thermal.SH.LPG</t>
  </si>
  <si>
    <t>NUM.number.SE.Ser.BldNew.Thermal.SH.Oil</t>
  </si>
  <si>
    <t>NUM.number.SE.Ser.BldNew.Thermal.SH.GasHP</t>
  </si>
  <si>
    <t>NUM.number.SE.Ser.BldNew.Thermal.SH.GasTH</t>
  </si>
  <si>
    <t>NUM.number.SE.Ser.BldNew.Thermal.SH.Biomass</t>
  </si>
  <si>
    <t>NUM.number.SE.Ser.BldNew.Thermal.SH.Geo</t>
  </si>
  <si>
    <t>NUM.number.SE.Ser.BldNew.Thermal.SH.DistrHeat</t>
  </si>
  <si>
    <t>NUM.number.SE.Ser.BldNew.Thermal.SH.AdvElc</t>
  </si>
  <si>
    <t>NUM.number.SE.Ser.BldNew.Thermal.SH.ConvElc</t>
  </si>
  <si>
    <t>NUM.number.SE.Ser.BldNew.Thermal.SC</t>
  </si>
  <si>
    <t>NUM.number.SE.Ser.BldNew.Thermal.SC.GasHP</t>
  </si>
  <si>
    <t>NUM.number.SE.Ser.BldNew.Thermal.SC.AC</t>
  </si>
  <si>
    <t>NUM.number.SE.Ser.BldNew.Thermal.HW</t>
  </si>
  <si>
    <t>NUM.number.SE.Ser.BldNew.Thermal.HW.Solids</t>
  </si>
  <si>
    <t>NUM.number.SE.Ser.BldNew.Thermal.HW.LPG</t>
  </si>
  <si>
    <t>NUM.number.SE.Ser.BldNew.Thermal.HW.Oil</t>
  </si>
  <si>
    <t>NUM.number.SE.Ser.BldNew.Thermal.HW.Gas</t>
  </si>
  <si>
    <t>NUM.number.SE.Ser.BldNew.Thermal.HW.Biomass</t>
  </si>
  <si>
    <t>NUM.number.SE.Ser.BldNew.Thermal.HW.DistrHeat</t>
  </si>
  <si>
    <t>NUM.number.SE.Ser.BldNew.Thermal.HW.Elc</t>
  </si>
  <si>
    <t>NUM.number.SE.Ser.BldNew.Thermal.HW.Solar</t>
  </si>
  <si>
    <t>NUM.number.SE.Ser.BldNew.Thermal.CA</t>
  </si>
  <si>
    <t>NUM.number.SE.Ser.BldNew.Thermal.CA.LPG</t>
  </si>
  <si>
    <t>NUM.number.SE.Ser.BldNew.Thermal.CA.Gas</t>
  </si>
  <si>
    <t>NUM.number.SE.Ser.BldNew.Thermal.CA.Biomass</t>
  </si>
  <si>
    <t>NUM.number.SE.Ser.BldNew.Thermal.CA.Elc</t>
  </si>
  <si>
    <t>SE - Final energy consumption in new and renovated buildings</t>
  </si>
  <si>
    <t>FEC.ktoe.SE.Ser.BldNew.Thermal</t>
  </si>
  <si>
    <t>FEC.ktoe.SE.Ser.BldNew.Thermal.SH</t>
  </si>
  <si>
    <t>FEC.ktoe.SE.Ser.BldNew.Thermal.SH.Solids.Solids</t>
  </si>
  <si>
    <t>FEC.ktoe.SE.Ser.BldNew.Thermal.SH.LPG.LPG</t>
  </si>
  <si>
    <t>FEC.ktoe.SE.Ser.BldNew.Thermal.SH.Oil.Oil_LiqBio</t>
  </si>
  <si>
    <t>FEC.ktoe.SE.Ser.BldNew.Thermal.SH.GasHP.NG_Biogas</t>
  </si>
  <si>
    <t>FEC.ktoe.SE.Ser.BldNew.Thermal.SH.GasTH.NG_Biogas</t>
  </si>
  <si>
    <t>FEC.ktoe.SE.Ser.BldNew.Thermal.SH.Biomass.Biomass_Waste</t>
  </si>
  <si>
    <t>FEC.ktoe.SE.Ser.BldNew.Thermal.SH.Geo.Geo</t>
  </si>
  <si>
    <t>FEC.ktoe.SE.Ser.BldNew.Thermal.SH.DistrHeat.Steam_Distr</t>
  </si>
  <si>
    <t>FEC.ktoe.SE.Ser.BldNew.Thermal.SH.AdvElc.Elec</t>
  </si>
  <si>
    <t>FEC.ktoe.SE.Ser.BldNew.Thermal.SH.ConvElc.Elec</t>
  </si>
  <si>
    <t>FEC.ktoe.SE.Ser.BldNew.Thermal.SH.TotalCirculation.Elec</t>
  </si>
  <si>
    <t>FEC.ktoe.SE.Ser.BldNew.Thermal.SC</t>
  </si>
  <si>
    <t>FEC.ktoe.SE.Ser.BldNew.Thermal.SC.GasHP.NG_Biogas</t>
  </si>
  <si>
    <t>FEC.ktoe.SE.Ser.BldNew.Thermal.SC.AC.Elec</t>
  </si>
  <si>
    <t>FEC.ktoe.SE.Ser.BldNew.Thermal.HW</t>
  </si>
  <si>
    <t>FEC.ktoe.SE.Ser.BldNew.Thermal.HW.Solids.Solids</t>
  </si>
  <si>
    <t>FEC.ktoe.SE.Ser.BldNew.Thermal.HW.LPG.LPG</t>
  </si>
  <si>
    <t>FEC.ktoe.SE.Ser.BldNew.Thermal.HW.Oil.Oil_LiqBio</t>
  </si>
  <si>
    <t>FEC.ktoe.SE.Ser.BldNew.Thermal.HW.Gas.NG_Biogas</t>
  </si>
  <si>
    <t>FEC.ktoe.SE.Ser.BldNew.Thermal.HW.Biomass.Biomass_Waste</t>
  </si>
  <si>
    <t>FEC.ktoe.SE.Ser.BldNew.Thermal.HW.DistrHeat.Steam_Distr</t>
  </si>
  <si>
    <t>FEC.ktoe.SE.Ser.BldNew.Thermal.HW.Elc.Elec</t>
  </si>
  <si>
    <t>FEC.ktoe.SE.Ser.BldNew.Thermal.HW.TotalSolar.Solar</t>
  </si>
  <si>
    <t>FEC.ktoe.SE.Ser.BldNew.Thermal.CA</t>
  </si>
  <si>
    <t>FEC.ktoe.SE.Ser.BldNew.Thermal.CA.LPG</t>
  </si>
  <si>
    <t>FEC.ktoe.SE.Ser.BldNew.Thermal.CA.Gas.NG_Biogas</t>
  </si>
  <si>
    <t>FEC.ktoe.SE.Ser.BldNew.Thermal.CA.Biomass.Biomass_Waste</t>
  </si>
  <si>
    <t>FEC.ktoe.SE.Ser.BldNew.Thermal.CA.Elc.Elec</t>
  </si>
  <si>
    <t>SE - Thermal energy service in new and renovated buildings</t>
  </si>
  <si>
    <t>TES.ktoe.SE.Ser.BldNew.Thermal</t>
  </si>
  <si>
    <t>TES.ktoe.SE.Ser.BldNew.Thermal.SH</t>
  </si>
  <si>
    <t>TES.ktoe.SE.Ser.BldNew.Thermal.SH.Solids.Solids</t>
  </si>
  <si>
    <t>TES.ktoe.SE.Ser.BldNew.Thermal.SH.LPG.LPG</t>
  </si>
  <si>
    <t>TES.ktoe.SE.Ser.BldNew.Thermal.SH.Oil.Oil_LiqBio</t>
  </si>
  <si>
    <t>TES.ktoe.SE.Ser.BldNew.Thermal.SH.GasHP.NG_Biogas</t>
  </si>
  <si>
    <t>TES.ktoe.SE.Ser.BldNew.Thermal.SH.GasTH.NG_Biogas</t>
  </si>
  <si>
    <t>TES.ktoe.SE.Ser.BldNew.Thermal.SH.Biomass.Biomass_Waste</t>
  </si>
  <si>
    <t>TES.ktoe.SE.Ser.BldNew.Thermal.SH.Geo.Geo</t>
  </si>
  <si>
    <t>TES.ktoe.SE.Ser.BldNew.Thermal.SH.DistrHeat.Steam_Distr</t>
  </si>
  <si>
    <t>TES.ktoe.SE.Ser.BldNew.Thermal.SH.AdvElc.Elec</t>
  </si>
  <si>
    <t>TES.ktoe.SE.Ser.BldNew.Thermal.SH.ConvElc.Elec</t>
  </si>
  <si>
    <t>TES.ktoe.SE.Ser.BldNew.Thermal.SH.TotalCirculation.Elec</t>
  </si>
  <si>
    <t>TES.ktoe.SE.Ser.BldNew.Thermal.SC</t>
  </si>
  <si>
    <t>TES.ktoe.SE.Ser.BldNew.Thermal.SC.GasHP.NG_Biogas</t>
  </si>
  <si>
    <t>TES.ktoe.SE.Ser.BldNew.Thermal.SC.AC.Elec</t>
  </si>
  <si>
    <t>TES.ktoe.SE.Ser.BldNew.Thermal.HW</t>
  </si>
  <si>
    <t>TES.ktoe.SE.Ser.BldNew.Thermal.HW.Solids.Solids</t>
  </si>
  <si>
    <t>TES.ktoe.SE.Ser.BldNew.Thermal.HW.LPG.LPG</t>
  </si>
  <si>
    <t>TES.ktoe.SE.Ser.BldNew.Thermal.HW.Oil.Oil_LiqBio</t>
  </si>
  <si>
    <t>TES.ktoe.SE.Ser.BldNew.Thermal.HW.Gas.NG_Biogas</t>
  </si>
  <si>
    <t>TES.ktoe.SE.Ser.BldNew.Thermal.HW.Biomass.Biomass_Waste</t>
  </si>
  <si>
    <t>TES.ktoe.SE.Ser.BldNew.Thermal.HW.DistrHeat.Steam_Distr</t>
  </si>
  <si>
    <t>TES.ktoe.SE.Ser.BldNew.Thermal.HW.Elc.Elec</t>
  </si>
  <si>
    <t>TES.ktoe.SE.Ser.BldNew.Thermal.HW.TotalSolar.Solar</t>
  </si>
  <si>
    <t>TES.ktoe.SE.Ser.BldNew.Thermal.CA</t>
  </si>
  <si>
    <t>TES.ktoe.SE.Ser.BldNew.Thermal.CA.LPG</t>
  </si>
  <si>
    <t>TES.ktoe.SE.Ser.BldNew.Thermal.CA.Gas.NG_Biogas</t>
  </si>
  <si>
    <t>TES.ktoe.SE.Ser.BldNew.Thermal.CA.Biomass.Biomass_Waste</t>
  </si>
  <si>
    <t>TES.ktoe.SE.Ser.BldNew.Thermal.CA.Elc.Elec</t>
  </si>
  <si>
    <t>SE - System efficiency indicator of new and renovated buildings</t>
  </si>
  <si>
    <t>Eff.ratio.SE.Ser.BldNew.Thermal</t>
  </si>
  <si>
    <t>Eff.ratio.SE.Ser.BldNew.Thermal.SH</t>
  </si>
  <si>
    <t>Eff.ratio.SE.Ser.BldNew.Thermal.SH.Solids.Solids</t>
  </si>
  <si>
    <t>Eff.ratio.SE.Ser.BldNew.Thermal.SH.LPG.LPG</t>
  </si>
  <si>
    <t>Eff.ratio.SE.Ser.BldNew.Thermal.SH.Oil.Oil_LiqBio</t>
  </si>
  <si>
    <t>Eff.ratio.SE.Ser.BldNew.Thermal.SH.GasHP.NG_Biogas</t>
  </si>
  <si>
    <t>Eff.ratio.SE.Ser.BldNew.Thermal.SH.GasTH.NG_Biogas</t>
  </si>
  <si>
    <t>Eff.ratio.SE.Ser.BldNew.Thermal.SH.Biomass.Biomass_Waste</t>
  </si>
  <si>
    <t>Eff.ratio.SE.Ser.BldNew.Thermal.SH.Geo.Geo</t>
  </si>
  <si>
    <t>Eff.ratio.SE.Ser.BldNew.Thermal.SH.DistrHeat.Steam_Distr</t>
  </si>
  <si>
    <t>Eff.ratio.SE.Ser.BldNew.Thermal.SH.AdvElc.Elec</t>
  </si>
  <si>
    <t>Eff.ratio.SE.Ser.BldNew.Thermal.SH.ConvElc.Elec</t>
  </si>
  <si>
    <t>Eff.ratio.SE.Ser.BldNew.Thermal.SH.TotalCirculation.Elec</t>
  </si>
  <si>
    <t>Eff.ratio.SE.Ser.BldNew.Thermal.SC</t>
  </si>
  <si>
    <t>Eff.ratio.SE.Ser.BldNew.Thermal.SC.GasHP.NG_Biogas</t>
  </si>
  <si>
    <t>Eff.ratio.SE.Ser.BldNew.Thermal.SC.AC.Elec</t>
  </si>
  <si>
    <t>Eff.ratio.SE.Ser.BldNew.Thermal.HW</t>
  </si>
  <si>
    <t>Eff.ratio.SE.Ser.BldNew.Thermal.HW.Solids.Solids</t>
  </si>
  <si>
    <t>Eff.ratio.SE.Ser.BldNew.Thermal.HW.LPG.LPG</t>
  </si>
  <si>
    <t>Eff.ratio.SE.Ser.BldNew.Thermal.HW.Oil.Oil_LiqBio</t>
  </si>
  <si>
    <t>Eff.ratio.SE.Ser.BldNew.Thermal.HW.Gas.NG_Biogas</t>
  </si>
  <si>
    <t>Eff.ratio.SE.Ser.BldNew.Thermal.HW.Biomass.Biomass_Waste</t>
  </si>
  <si>
    <t>Eff.ratio.SE.Ser.BldNew.Thermal.HW.DistrHeat.Steam_Distr</t>
  </si>
  <si>
    <t>Eff.ratio.SE.Ser.BldNew.Thermal.HW.Elc.Elec</t>
  </si>
  <si>
    <t>Eff.ratio.SE.Ser.BldNew.Thermal.HW.TotalSolar.Solar</t>
  </si>
  <si>
    <t>Eff.ratio.SE.Ser.BldNew.Thermal.CA</t>
  </si>
  <si>
    <t>Eff.ratio.SE.Ser.BldNew.Thermal.CA.LPG</t>
  </si>
  <si>
    <t>Eff.ratio.SE.Ser.BldNew.Thermal.CA.Gas.NG_Biogas</t>
  </si>
  <si>
    <t>Eff.ratio.SE.Ser.BldNew.Thermal.CA.Biomass.Biomass_Waste</t>
  </si>
  <si>
    <t>Eff.ratio.SE.Ser.BldNew.Thermal.CA.Elc.Elec</t>
  </si>
  <si>
    <t>SE - CO2 emissions in new and renovated buildings</t>
  </si>
  <si>
    <t>EMI.ktCO2.SE.Ser.BldNew.Thermal</t>
  </si>
  <si>
    <t>EMI.ktCO2.SE.Ser.BldNew.Thermal.SH</t>
  </si>
  <si>
    <t>EMI.ktCO2.SE.Ser.BldNew.Thermal.SH.Solids.Solids</t>
  </si>
  <si>
    <t>EMI.ktCO2.SE.Ser.BldNew.Thermal.SH.LPG.LPG</t>
  </si>
  <si>
    <t>EMI.ktCO2.SE.Ser.BldNew.Thermal.SH.Oil.Oil_LiqBio</t>
  </si>
  <si>
    <t>EMI.ktCO2.SE.Ser.BldNew.Thermal.SH.GasHP.NG_Biogas</t>
  </si>
  <si>
    <t>EMI.ktCO2.SE.Ser.BldNew.Thermal.SH.GasTH.NG_Biogas</t>
  </si>
  <si>
    <t>EMI.ktCO2.SE.Ser.BldNew.Thermal.SH.Biomass.Biomass_Waste</t>
  </si>
  <si>
    <t>EMI.ktCO2.SE.Ser.BldNew.Thermal.SH.Geo.Geo</t>
  </si>
  <si>
    <t>EMI.ktCO2.SE.Ser.BldNew.Thermal.SH.DistrHeat.Steam_Distr</t>
  </si>
  <si>
    <t>EMI.ktCO2.SE.Ser.BldNew.Thermal.SH.AdvElc.Elec</t>
  </si>
  <si>
    <t>EMI.ktCO2.SE.Ser.BldNew.Thermal.SH.ConvElc.Elec</t>
  </si>
  <si>
    <t>EMI.ktCO2.SE.Ser.BldNew.Thermal.SH.TotalCirculation.Elec</t>
  </si>
  <si>
    <t>EMI.ktCO2.SE.Ser.BldNew.Thermal.SC</t>
  </si>
  <si>
    <t>EMI.ktCO2.SE.Ser.BldNew.Thermal.SC.GasHP.NG_Biogas</t>
  </si>
  <si>
    <t>EMI.ktCO2.SE.Ser.BldNew.Thermal.SC.AC.Elec</t>
  </si>
  <si>
    <t>EMI.ktCO2.SE.Ser.BldNew.Thermal.HW</t>
  </si>
  <si>
    <t>EMI.ktCO2.SE.Ser.BldNew.Thermal.HW.Solids.Solids</t>
  </si>
  <si>
    <t>EMI.ktCO2.SE.Ser.BldNew.Thermal.HW.LPG.LPG</t>
  </si>
  <si>
    <t>EMI.ktCO2.SE.Ser.BldNew.Thermal.HW.Oil.Oil_LiqBio</t>
  </si>
  <si>
    <t>EMI.ktCO2.SE.Ser.BldNew.Thermal.HW.Gas.NG_Biogas</t>
  </si>
  <si>
    <t>EMI.ktCO2.SE.Ser.BldNew.Thermal.HW.Biomass.Biomass_Waste</t>
  </si>
  <si>
    <t>EMI.ktCO2.SE.Ser.BldNew.Thermal.HW.DistrHeat.Steam_Distr</t>
  </si>
  <si>
    <t>EMI.ktCO2.SE.Ser.BldNew.Thermal.HW.Elc.Elec</t>
  </si>
  <si>
    <t>EMI.ktCO2.SE.Ser.BldNew.Thermal.HW.TotalSolar.Solar</t>
  </si>
  <si>
    <t>EMI.ktCO2.SE.Ser.BldNew.Thermal.CA</t>
  </si>
  <si>
    <t>EMI.ktCO2.SE.Ser.BldNew.Thermal.CA.LPG</t>
  </si>
  <si>
    <t>EMI.ktCO2.SE.Ser.BldNew.Thermal.CA.Gas.NG_Biogas</t>
  </si>
  <si>
    <t>EMI.ktCO2.SE.Ser.BldNew.Thermal.CA.Biomass.Biomass_Waste</t>
  </si>
  <si>
    <t>EMI.ktCO2.SE.Ser.BldNew.Thermal.CA.Elc.Elec</t>
  </si>
  <si>
    <t>SE - Final energy consumption of new and renovated buildings (per building)</t>
  </si>
  <si>
    <t>FEC_per_building.kWh.SE.Ser.BldNew.Thermal</t>
  </si>
  <si>
    <t>FEC_per_building.kWh.SE.Ser.BldNew.Thermal.SH</t>
  </si>
  <si>
    <t>FEC_per_building.kWh.SE.Ser.BldNew.Thermal.SH.Solids.Solids</t>
  </si>
  <si>
    <t>FEC_per_building.kWh.SE.Ser.BldNew.Thermal.SH.LPG.LPG</t>
  </si>
  <si>
    <t>FEC_per_building.kWh.SE.Ser.BldNew.Thermal.SH.Oil.Oil_LiqBio</t>
  </si>
  <si>
    <t>FEC_per_building.kWh.SE.Ser.BldNew.Thermal.SH.GasHP.NG_Biogas</t>
  </si>
  <si>
    <t>FEC_per_building.kWh.SE.Ser.BldNew.Thermal.SH.GasTH.NG_Biogas</t>
  </si>
  <si>
    <t>FEC_per_building.kWh.SE.Ser.BldNew.Thermal.SH.Biomass.Biomass_Waste</t>
  </si>
  <si>
    <t>FEC_per_building.kWh.SE.Ser.BldNew.Thermal.SH.Geo.Geo</t>
  </si>
  <si>
    <t>FEC_per_building.kWh.SE.Ser.BldNew.Thermal.SH.DistrHeat.Steam_Distr</t>
  </si>
  <si>
    <t>FEC_per_building.kWh.SE.Ser.BldNew.Thermal.SH.AdvElc.Elec</t>
  </si>
  <si>
    <t>FEC_per_building.kWh.SE.Ser.BldNew.Thermal.SH.ConvElc.Elec</t>
  </si>
  <si>
    <t>FEC_per_building.kWh.SE.Ser.BldNew.Thermal.SH.TotalCirculation.Elec</t>
  </si>
  <si>
    <t>FEC_per_building.kWh.SE.Ser.BldNew.Thermal.SC</t>
  </si>
  <si>
    <t>FEC_per_building.kWh.SE.Ser.BldNew.Thermal.SC.GasHP.NG_Biogas</t>
  </si>
  <si>
    <t>FEC_per_building.kWh.SE.Ser.BldNew.Thermal.SC.AC.Elec</t>
  </si>
  <si>
    <t>FEC_per_building.kWh.SE.Ser.BldNew.Thermal.HW</t>
  </si>
  <si>
    <t>FEC_per_building.kWh.SE.Ser.BldNew.Thermal.HW.Solids.Solids</t>
  </si>
  <si>
    <t>FEC_per_building.kWh.SE.Ser.BldNew.Thermal.HW.LPG.LPG</t>
  </si>
  <si>
    <t>FEC_per_building.kWh.SE.Ser.BldNew.Thermal.HW.Oil.Oil_LiqBio</t>
  </si>
  <si>
    <t>FEC_per_building.kWh.SE.Ser.BldNew.Thermal.HW.Gas.NG_Biogas</t>
  </si>
  <si>
    <t>FEC_per_building.kWh.SE.Ser.BldNew.Thermal.HW.Biomass.Biomass_Waste</t>
  </si>
  <si>
    <t>FEC_per_building.kWh.SE.Ser.BldNew.Thermal.HW.DistrHeat.Steam_Distr</t>
  </si>
  <si>
    <t>FEC_per_building.kWh.SE.Ser.BldNew.Thermal.HW.Elc.Elec</t>
  </si>
  <si>
    <t>FEC_per_building.kWh.SE.Ser.BldNew.Thermal.HW.TotalSolar.Solar</t>
  </si>
  <si>
    <t>FEC_per_building.kWh.SE.Ser.BldNew.Thermal.CA</t>
  </si>
  <si>
    <t>FEC_per_building.kWh.SE.Ser.BldNew.Thermal.CA.LPG</t>
  </si>
  <si>
    <t>FEC_per_building.kWh.SE.Ser.BldNew.Thermal.CA.Gas.NG_Biogas</t>
  </si>
  <si>
    <t>FEC_per_building.kWh.SE.Ser.BldNew.Thermal.CA.Biomass.Biomass_Waste</t>
  </si>
  <si>
    <t>FEC_per_building.kWh.SE.Ser.BldNew.Thermal.CA.Elc.Elec</t>
  </si>
  <si>
    <t>SE - Thermal energy service of new and renovated buildings (per building)</t>
  </si>
  <si>
    <t>TES_per_building.kWh.SE.Ser.BldNew.Thermal</t>
  </si>
  <si>
    <t>TES_per_building.kWh.SE.Ser.BldNew.Thermal.SH</t>
  </si>
  <si>
    <t>TES_per_building.kWh.SE.Ser.BldNew.Thermal.SH.Solids.Solids</t>
  </si>
  <si>
    <t>TES_per_building.kWh.SE.Ser.BldNew.Thermal.SH.LPG.LPG</t>
  </si>
  <si>
    <t>TES_per_building.kWh.SE.Ser.BldNew.Thermal.SH.Oil.Oil_LiqBio</t>
  </si>
  <si>
    <t>TES_per_building.kWh.SE.Ser.BldNew.Thermal.SH.GasHP.NG_Biogas</t>
  </si>
  <si>
    <t>TES_per_building.kWh.SE.Ser.BldNew.Thermal.SH.GasTH.NG_Biogas</t>
  </si>
  <si>
    <t>TES_per_building.kWh.SE.Ser.BldNew.Thermal.SH.Biomass.Biomass_Waste</t>
  </si>
  <si>
    <t>TES_per_building.kWh.SE.Ser.BldNew.Thermal.SH.Geo.Geo</t>
  </si>
  <si>
    <t>TES_per_building.kWh.SE.Ser.BldNew.Thermal.SH.DistrHeat.Steam_Distr</t>
  </si>
  <si>
    <t>TES_per_building.kWh.SE.Ser.BldNew.Thermal.SH.AdvElc.Elec</t>
  </si>
  <si>
    <t>TES_per_building.kWh.SE.Ser.BldNew.Thermal.SH.ConvElc.Elec</t>
  </si>
  <si>
    <t>TES_per_building.kWh.SE.Ser.BldNew.Thermal.SH.TotalCirculation.Elec</t>
  </si>
  <si>
    <t>TES_per_building.kWh.SE.Ser.BldNew.Thermal.SC</t>
  </si>
  <si>
    <t>TES_per_building.kWh.SE.Ser.BldNew.Thermal.SC.GasHP.NG_Biogas</t>
  </si>
  <si>
    <t>TES_per_building.kWh.SE.Ser.BldNew.Thermal.SC.AC.Elec</t>
  </si>
  <si>
    <t>TES_per_building.kWh.SE.Ser.BldNew.Thermal.HW</t>
  </si>
  <si>
    <t>TES_per_building.kWh.SE.Ser.BldNew.Thermal.HW.Solids.Solids</t>
  </si>
  <si>
    <t>TES_per_building.kWh.SE.Ser.BldNew.Thermal.HW.LPG.LPG</t>
  </si>
  <si>
    <t>TES_per_building.kWh.SE.Ser.BldNew.Thermal.HW.Oil.Oil_LiqBio</t>
  </si>
  <si>
    <t>TES_per_building.kWh.SE.Ser.BldNew.Thermal.HW.Gas.NG_Biogas</t>
  </si>
  <si>
    <t>TES_per_building.kWh.SE.Ser.BldNew.Thermal.HW.Biomass.Biomass_Waste</t>
  </si>
  <si>
    <t>TES_per_building.kWh.SE.Ser.BldNew.Thermal.HW.DistrHeat.Steam_Distr</t>
  </si>
  <si>
    <t>TES_per_building.kWh.SE.Ser.BldNew.Thermal.HW.Elc.Elec</t>
  </si>
  <si>
    <t>TES_per_building.kWh.SE.Ser.BldNew.Thermal.HW.TotalSolar.Solar</t>
  </si>
  <si>
    <t>TES_per_building.kWh.SE.Ser.BldNew.Thermal.CA</t>
  </si>
  <si>
    <t>TES_per_building.kWh.SE.Ser.BldNew.Thermal.CA.LPG</t>
  </si>
  <si>
    <t>TES_per_building.kWh.SE.Ser.BldNew.Thermal.CA.Gas.NG_Biogas</t>
  </si>
  <si>
    <t>TES_per_building.kWh.SE.Ser.BldNew.Thermal.CA.Biomass.Biomass_Waste</t>
  </si>
  <si>
    <t>TES_per_building.kWh.SE.Ser.BldNew.Thermal.CA.Elc.Elec</t>
  </si>
  <si>
    <t>SE - CO2 emissions in new and renovated buildings (per building)</t>
  </si>
  <si>
    <t>EMI_per_building.kgCO2.SE.Ser.BldNew.Thermal</t>
  </si>
  <si>
    <t>EMI_per_building.kgCO2.SE.Ser.BldNew.Thermal.SH</t>
  </si>
  <si>
    <t>EMI_per_building.kgCO2.SE.Ser.BldNew.Thermal.SH.Solids.Solids</t>
  </si>
  <si>
    <t>EMI_per_building.kgCO2.SE.Ser.BldNew.Thermal.SH.LPG.LPG</t>
  </si>
  <si>
    <t>EMI_per_building.kgCO2.SE.Ser.BldNew.Thermal.SH.Oil.Oil_LiqBio</t>
  </si>
  <si>
    <t>EMI_per_building.kgCO2.SE.Ser.BldNew.Thermal.SH.GasHP.NG_Biogas</t>
  </si>
  <si>
    <t>EMI_per_building.kgCO2.SE.Ser.BldNew.Thermal.SH.GasTH.NG_Biogas</t>
  </si>
  <si>
    <t>EMI_per_building.kgCO2.SE.Ser.BldNew.Thermal.SH.Biomass.Biomass_Waste</t>
  </si>
  <si>
    <t>EMI_per_building.kgCO2.SE.Ser.BldNew.Thermal.SH.Geo.Geo</t>
  </si>
  <si>
    <t>EMI_per_building.kgCO2.SE.Ser.BldNew.Thermal.SH.DistrHeat.Steam_Distr</t>
  </si>
  <si>
    <t>EMI_per_building.kgCO2.SE.Ser.BldNew.Thermal.SH.AdvElc.Elec</t>
  </si>
  <si>
    <t>EMI_per_building.kgCO2.SE.Ser.BldNew.Thermal.SH.ConvElc.Elec</t>
  </si>
  <si>
    <t>EMI_per_building.kgCO2.SE.Ser.BldNew.Thermal.SH.TotalCirculation.Elec</t>
  </si>
  <si>
    <t>EMI_per_building.kgCO2.SE.Ser.BldNew.Thermal.SC</t>
  </si>
  <si>
    <t>EMI_per_building.kgCO2.SE.Ser.BldNew.Thermal.SC.GasHP.NG_Biogas</t>
  </si>
  <si>
    <t>EMI_per_building.kgCO2.SE.Ser.BldNew.Thermal.SC.AC.Elec</t>
  </si>
  <si>
    <t>EMI_per_building.kgCO2.SE.Ser.BldNew.Thermal.HW</t>
  </si>
  <si>
    <t>EMI_per_building.kgCO2.SE.Ser.BldNew.Thermal.HW.Solids.Solids</t>
  </si>
  <si>
    <t>EMI_per_building.kgCO2.SE.Ser.BldNew.Thermal.HW.LPG.LPG</t>
  </si>
  <si>
    <t>EMI_per_building.kgCO2.SE.Ser.BldNew.Thermal.HW.Oil.Oil_LiqBio</t>
  </si>
  <si>
    <t>EMI_per_building.kgCO2.SE.Ser.BldNew.Thermal.HW.Gas.NG_Biogas</t>
  </si>
  <si>
    <t>EMI_per_building.kgCO2.SE.Ser.BldNew.Thermal.HW.Biomass.Biomass_Waste</t>
  </si>
  <si>
    <t>EMI_per_building.kgCO2.SE.Ser.BldNew.Thermal.HW.DistrHeat.Steam_Distr</t>
  </si>
  <si>
    <t>EMI_per_building.kgCO2.SE.Ser.BldNew.Thermal.HW.Elc.Elec</t>
  </si>
  <si>
    <t>EMI_per_building.kgCO2.SE.Ser.BldNew.Thermal.HW.TotalSolar.Solar</t>
  </si>
  <si>
    <t>EMI_per_building.kgCO2.SE.Ser.BldNew.Thermal.CA</t>
  </si>
  <si>
    <t>EMI_per_building.kgCO2.SE.Ser.BldNew.Thermal.CA.LPG</t>
  </si>
  <si>
    <t>EMI_per_building.kgCO2.SE.Ser.BldNew.Thermal.CA.Gas.NG_Biogas</t>
  </si>
  <si>
    <t>EMI_per_building.kgCO2.SE.Ser.BldNew.Thermal.CA.Biomass.Biomass_Waste</t>
  </si>
  <si>
    <t>EMI_per_building.kgCO2.SE.Ser.BldNew.Thermal.CA.Elc.Elec</t>
  </si>
  <si>
    <t>SE - Final energy consumption in new and renovated buildings per surface area</t>
  </si>
  <si>
    <t>FEC_per_sqm.kWh.SE.Ser.BldNew.Thermal</t>
  </si>
  <si>
    <t>FEC_per_sqm.kWh.SE.Ser.BldNew.Thermal.SH</t>
  </si>
  <si>
    <t>FEC_per_sqm.kWh.SE.Ser.BldNew.Thermal.SH.Solids.Solids</t>
  </si>
  <si>
    <t>FEC_per_sqm.kWh.SE.Ser.BldNew.Thermal.SH.LPG.LPG</t>
  </si>
  <si>
    <t>FEC_per_sqm.kWh.SE.Ser.BldNew.Thermal.SH.Oil.Oil_LiqBio</t>
  </si>
  <si>
    <t>FEC_per_sqm.kWh.SE.Ser.BldNew.Thermal.SH.GasHP.NG_Biogas</t>
  </si>
  <si>
    <t>FEC_per_sqm.kWh.SE.Ser.BldNew.Thermal.SH.GasTH.NG_Biogas</t>
  </si>
  <si>
    <t>FEC_per_sqm.kWh.SE.Ser.BldNew.Thermal.SH.Biomass.Biomass_Waste</t>
  </si>
  <si>
    <t>FEC_per_sqm.kWh.SE.Ser.BldNew.Thermal.SH.Geo.Geo</t>
  </si>
  <si>
    <t>FEC_per_sqm.kWh.SE.Ser.BldNew.Thermal.SH.DistrHeat.Steam_Distr</t>
  </si>
  <si>
    <t>FEC_per_sqm.kWh.SE.Ser.BldNew.Thermal.SH.AdvElc.Elec</t>
  </si>
  <si>
    <t>FEC_per_sqm.kWh.SE.Ser.BldNew.Thermal.SH.ConvElc.Elec</t>
  </si>
  <si>
    <t>FEC_per_sqm.kWh.SE.Ser.BldNew.Thermal.SH.TotalCirculation.Elec</t>
  </si>
  <si>
    <t>FEC_per_sqm.kWh.SE.Ser.BldNew.Thermal.SC</t>
  </si>
  <si>
    <t>FEC_per_sqm.kWh.SE.Ser.BldNew.Thermal.SC.GasHP.NG_Biogas</t>
  </si>
  <si>
    <t>FEC_per_sqm.kWh.SE.Ser.BldNew.Thermal.SC.AC.Elec</t>
  </si>
  <si>
    <t>FEC_per_sqm.kWh.SE.Ser.BldNew.Thermal.HW</t>
  </si>
  <si>
    <t>FEC_per_sqm.kWh.SE.Ser.BldNew.Thermal.HW.Solids.Solids</t>
  </si>
  <si>
    <t>FEC_per_sqm.kWh.SE.Ser.BldNew.Thermal.HW.LPG.LPG</t>
  </si>
  <si>
    <t>FEC_per_sqm.kWh.SE.Ser.BldNew.Thermal.HW.Oil.Oil_LiqBio</t>
  </si>
  <si>
    <t>FEC_per_sqm.kWh.SE.Ser.BldNew.Thermal.HW.Gas.NG_Biogas</t>
  </si>
  <si>
    <t>FEC_per_sqm.kWh.SE.Ser.BldNew.Thermal.HW.Biomass.Biomass_Waste</t>
  </si>
  <si>
    <t>FEC_per_sqm.kWh.SE.Ser.BldNew.Thermal.HW.DistrHeat.Steam_Distr</t>
  </si>
  <si>
    <t>FEC_per_sqm.kWh.SE.Ser.BldNew.Thermal.HW.Elc.Elec</t>
  </si>
  <si>
    <t>FEC_per_sqm.kWh.SE.Ser.BldNew.Thermal.HW.TotalSolar.Solar</t>
  </si>
  <si>
    <t>FEC_per_sqm.kWh.SE.Ser.BldNew.Thermal.CA</t>
  </si>
  <si>
    <t>FEC_per_sqm.kWh.SE.Ser.BldNew.Thermal.CA.LPG</t>
  </si>
  <si>
    <t>FEC_per_sqm.kWh.SE.Ser.BldNew.Thermal.CA.Gas.NG_Biogas</t>
  </si>
  <si>
    <t>FEC_per_sqm.kWh.SE.Ser.BldNew.Thermal.CA.Biomass.Biomass_Waste</t>
  </si>
  <si>
    <t>FEC_per_sqm.kWh.SE.Ser.BldNew.Thermal.CA.Elc.Elec</t>
  </si>
  <si>
    <t>SE - Thermal energy service in new and renovated buildings per surface area</t>
  </si>
  <si>
    <t>TES_per_sqm.kWh.SE.Ser.BldNew.Thermal</t>
  </si>
  <si>
    <t>TES_per_sqm.kWh.SE.Ser.BldNew.Thermal.SH</t>
  </si>
  <si>
    <t>TES_per_sqm.kWh.SE.Ser.BldNew.Thermal.SH.Solids.Solids</t>
  </si>
  <si>
    <t>TES_per_sqm.kWh.SE.Ser.BldNew.Thermal.SH.LPG.LPG</t>
  </si>
  <si>
    <t>TES_per_sqm.kWh.SE.Ser.BldNew.Thermal.SH.Oil.Oil_LiqBio</t>
  </si>
  <si>
    <t>TES_per_sqm.kWh.SE.Ser.BldNew.Thermal.SH.GasHP.NG_Biogas</t>
  </si>
  <si>
    <t>TES_per_sqm.kWh.SE.Ser.BldNew.Thermal.SH.GasTH.NG_Biogas</t>
  </si>
  <si>
    <t>TES_per_sqm.kWh.SE.Ser.BldNew.Thermal.SH.Biomass.Biomass_Waste</t>
  </si>
  <si>
    <t>TES_per_sqm.kWh.SE.Ser.BldNew.Thermal.SH.Geo.Geo</t>
  </si>
  <si>
    <t>TES_per_sqm.kWh.SE.Ser.BldNew.Thermal.SH.DistrHeat.Steam_Distr</t>
  </si>
  <si>
    <t>TES_per_sqm.kWh.SE.Ser.BldNew.Thermal.SH.AdvElc.Elec</t>
  </si>
  <si>
    <t>TES_per_sqm.kWh.SE.Ser.BldNew.Thermal.SH.ConvElc.Elec</t>
  </si>
  <si>
    <t>TES_per_sqm.kWh.SE.Ser.BldNew.Thermal.SH.TotalCirculation.Elec</t>
  </si>
  <si>
    <t>TES_per_sqm.kWh.SE.Ser.BldNew.Thermal.SC</t>
  </si>
  <si>
    <t>TES_per_sqm.kWh.SE.Ser.BldNew.Thermal.SC.GasHP.NG_Biogas</t>
  </si>
  <si>
    <t>TES_per_sqm.kWh.SE.Ser.BldNew.Thermal.SC.AC.Elec</t>
  </si>
  <si>
    <t>TES_per_sqm.kWh.SE.Ser.BldNew.Thermal.HW</t>
  </si>
  <si>
    <t>TES_per_sqm.kWh.SE.Ser.BldNew.Thermal.HW.Solids.Solids</t>
  </si>
  <si>
    <t>TES_per_sqm.kWh.SE.Ser.BldNew.Thermal.HW.LPG.LPG</t>
  </si>
  <si>
    <t>TES_per_sqm.kWh.SE.Ser.BldNew.Thermal.HW.Oil.Oil_LiqBio</t>
  </si>
  <si>
    <t>TES_per_sqm.kWh.SE.Ser.BldNew.Thermal.HW.Gas.NG_Biogas</t>
  </si>
  <si>
    <t>TES_per_sqm.kWh.SE.Ser.BldNew.Thermal.HW.Biomass.Biomass_Waste</t>
  </si>
  <si>
    <t>TES_per_sqm.kWh.SE.Ser.BldNew.Thermal.HW.DistrHeat.Steam_Distr</t>
  </si>
  <si>
    <t>TES_per_sqm.kWh.SE.Ser.BldNew.Thermal.HW.Elc.Elec</t>
  </si>
  <si>
    <t>TES_per_sqm.kWh.SE.Ser.BldNew.Thermal.HW.TotalSolar.Solar</t>
  </si>
  <si>
    <t>TES_per_sqm.kWh.SE.Ser.BldNew.Thermal.CA</t>
  </si>
  <si>
    <t>TES_per_sqm.kWh.SE.Ser.BldNew.Thermal.CA.LPG</t>
  </si>
  <si>
    <t>TES_per_sqm.kWh.SE.Ser.BldNew.Thermal.CA.Gas.NG_Biogas</t>
  </si>
  <si>
    <t>TES_per_sqm.kWh.SE.Ser.BldNew.Thermal.CA.Biomass.Biomass_Waste</t>
  </si>
  <si>
    <t>TES_per_sqm.kWh.SE.Ser.BldNew.Thermal.CA.Elc.Elec</t>
  </si>
  <si>
    <t>SE - CO2 emissions in new and renovated buildings per surface area</t>
  </si>
  <si>
    <t>EMI_per_sqm.kgCO2.SE.Ser.BldNew.Thermal</t>
  </si>
  <si>
    <t>EMI_per_sqm.kgCO2.SE.Ser.BldNew.Thermal.SH</t>
  </si>
  <si>
    <t>EMI_per_sqm.kgCO2.SE.Ser.BldNew.Thermal.SH.Solids.Solids</t>
  </si>
  <si>
    <t>EMI_per_sqm.kgCO2.SE.Ser.BldNew.Thermal.SH.LPG.LPG</t>
  </si>
  <si>
    <t>EMI_per_sqm.kgCO2.SE.Ser.BldNew.Thermal.SH.Oil.Oil_LiqBio</t>
  </si>
  <si>
    <t>EMI_per_sqm.kgCO2.SE.Ser.BldNew.Thermal.SH.GasHP.NG_Biogas</t>
  </si>
  <si>
    <t>EMI_per_sqm.kgCO2.SE.Ser.BldNew.Thermal.SH.GasTH.NG_Biogas</t>
  </si>
  <si>
    <t>EMI_per_sqm.kgCO2.SE.Ser.BldNew.Thermal.SH.Biomass.Biomass_Waste</t>
  </si>
  <si>
    <t>EMI_per_sqm.kgCO2.SE.Ser.BldNew.Thermal.SH.Geo.Geo</t>
  </si>
  <si>
    <t>EMI_per_sqm.kgCO2.SE.Ser.BldNew.Thermal.SH.DistrHeat.Steam_Distr</t>
  </si>
  <si>
    <t>EMI_per_sqm.kgCO2.SE.Ser.BldNew.Thermal.SH.AdvElc.Elec</t>
  </si>
  <si>
    <t>EMI_per_sqm.kgCO2.SE.Ser.BldNew.Thermal.SH.ConvElc.Elec</t>
  </si>
  <si>
    <t>EMI_per_sqm.kgCO2.SE.Ser.BldNew.Thermal.SH.TotalCirculation.Elec</t>
  </si>
  <si>
    <t>EMI_per_sqm.kgCO2.SE.Ser.BldNew.Thermal.SC</t>
  </si>
  <si>
    <t>EMI_per_sqm.kgCO2.SE.Ser.BldNew.Thermal.SC.GasHP.NG_Biogas</t>
  </si>
  <si>
    <t>EMI_per_sqm.kgCO2.SE.Ser.BldNew.Thermal.SC.AC.Elec</t>
  </si>
  <si>
    <t>EMI_per_sqm.kgCO2.SE.Ser.BldNew.Thermal.HW</t>
  </si>
  <si>
    <t>EMI_per_sqm.kgCO2.SE.Ser.BldNew.Thermal.HW.Solids.Solids</t>
  </si>
  <si>
    <t>EMI_per_sqm.kgCO2.SE.Ser.BldNew.Thermal.HW.LPG.LPG</t>
  </si>
  <si>
    <t>EMI_per_sqm.kgCO2.SE.Ser.BldNew.Thermal.HW.Oil.Oil_LiqBio</t>
  </si>
  <si>
    <t>EMI_per_sqm.kgCO2.SE.Ser.BldNew.Thermal.HW.Gas.NG_Biogas</t>
  </si>
  <si>
    <t>EMI_per_sqm.kgCO2.SE.Ser.BldNew.Thermal.HW.Biomass.Biomass_Waste</t>
  </si>
  <si>
    <t>EMI_per_sqm.kgCO2.SE.Ser.BldNew.Thermal.HW.DistrHeat.Steam_Distr</t>
  </si>
  <si>
    <t>EMI_per_sqm.kgCO2.SE.Ser.BldNew.Thermal.HW.Elc.Elec</t>
  </si>
  <si>
    <t>EMI_per_sqm.kgCO2.SE.Ser.BldNew.Thermal.HW.TotalSolar.Solar</t>
  </si>
  <si>
    <t>EMI_per_sqm.kgCO2.SE.Ser.BldNew.Thermal.CA</t>
  </si>
  <si>
    <t>EMI_per_sqm.kgCO2.SE.Ser.BldNew.Thermal.CA.LPG</t>
  </si>
  <si>
    <t>EMI_per_sqm.kgCO2.SE.Ser.BldNew.Thermal.CA.Gas.NG_Biogas</t>
  </si>
  <si>
    <t>EMI_per_sqm.kgCO2.SE.Ser.BldNew.Thermal.CA.Biomass.Biomass_Waste</t>
  </si>
  <si>
    <t>EMI_per_sqm.kgCO2.SE.Ser.BldNew.Thermal.CA.Elc.Elec</t>
  </si>
  <si>
    <t>FEC.ktoe.SE.Ser.SEU.VE</t>
  </si>
  <si>
    <t>FEC.ktoe.SE.Ser.SEU.SL</t>
  </si>
  <si>
    <t>FEC.ktoe.SE.Ser.SEU.BL</t>
  </si>
  <si>
    <t>FEC.ktoe.SE.Ser.SEU.CR</t>
  </si>
  <si>
    <t>FEC.ktoe.SE.Ser.SEU.BT</t>
  </si>
  <si>
    <t>FEC.ktoe.SE.Ser.SEU.IT</t>
  </si>
  <si>
    <t>Size.MW.SE.Ser.SEU</t>
  </si>
  <si>
    <t>Size.MW.SE.Ser.SEU.VE</t>
  </si>
  <si>
    <t>Size.MW.SE.Ser.SEU.SL</t>
  </si>
  <si>
    <t>Size.MW.SE.Ser.SEU.BL</t>
  </si>
  <si>
    <t>Size.MW.SE.Ser.SEU.CR</t>
  </si>
  <si>
    <t>Size.MW.SE.Ser.SEU.BT</t>
  </si>
  <si>
    <t>Size.MW.SE.Ser.SEU.IT</t>
  </si>
  <si>
    <t>NUM.Msqm.SE.Ser.SEU.VE</t>
  </si>
  <si>
    <t>NUM.k.SE.Ser.SEU.SL</t>
  </si>
  <si>
    <t>NUM.M.SE.Ser.SEU.BL</t>
  </si>
  <si>
    <t>NUM.k.SE.Ser.SEU.CR</t>
  </si>
  <si>
    <t>NUM.Msqm.SE.Ser.SEU.BT</t>
  </si>
  <si>
    <t>NUM.k.SE.Ser.SEU.IT</t>
  </si>
  <si>
    <t>NUM.Msqm.SE.Ser.SEUnew.VE</t>
  </si>
  <si>
    <t>NUM.k.SE.Ser.SEUnew.SL</t>
  </si>
  <si>
    <t>NUM.M.SE.Ser.SEUnew.BL</t>
  </si>
  <si>
    <t>NUM.k.SE.Ser.SEUnew.CR</t>
  </si>
  <si>
    <t>NUM.Msqm.SE.Ser.SEUnew.BT</t>
  </si>
  <si>
    <t>NUM.k.SE.Ser.SEUnew.IT</t>
  </si>
  <si>
    <t>NUM.Msqm.SE.Ser.SEUrepl.VE</t>
  </si>
  <si>
    <t>NUM.k.SE.Ser.SEUrepl.SL</t>
  </si>
  <si>
    <t>NUM.M.SE.Ser.SEUrepl.BL</t>
  </si>
  <si>
    <t>NUM.k.SE.Ser.SEUrepl.CR</t>
  </si>
  <si>
    <t>NUM.Msqm.SE.Ser.SEUrepl.BT</t>
  </si>
  <si>
    <t>NUM.k.SE.Ser.SEUrepl.IT</t>
  </si>
  <si>
    <t>Op.hours.SE.Ser.SEU.VE</t>
  </si>
  <si>
    <t>Op.hours.SE.Ser.SEU.SL</t>
  </si>
  <si>
    <t>Op.hours.SE.Ser.SEU.BL</t>
  </si>
  <si>
    <t>Op.hours.SE.Ser.SEU.CR</t>
  </si>
  <si>
    <t>Op.hours.SE.Ser.SEU.BT</t>
  </si>
  <si>
    <t>Op.hours.SE.Ser.SEU.IT</t>
  </si>
  <si>
    <t>Size_per_appl.W.SE.Ser.SEU.VE</t>
  </si>
  <si>
    <t>Size_per_appl.W.SE.Ser.SEU.SL</t>
  </si>
  <si>
    <t>Size_per_appl.W.SE.Ser.SEU.BL</t>
  </si>
  <si>
    <t>Size_per_appl.W.SE.Ser.SEU.CR</t>
  </si>
  <si>
    <t>Size_per_appl.W.SE.Ser.SEU.BT</t>
  </si>
  <si>
    <t>Size_per_appl.W.SE.Ser.SEU.IT</t>
  </si>
  <si>
    <t>Size_per_appl.W.SE.Ser.SEUnew.VE</t>
  </si>
  <si>
    <t>Size_per_appl.W.SE.Ser.SEUnew.SL</t>
  </si>
  <si>
    <t>Size_per_appl.W.SE.Ser.SEUnew.BL</t>
  </si>
  <si>
    <t>Size_per_appl.W.SE.Ser.SEUnew.CR</t>
  </si>
  <si>
    <t>Size_per_appl.W.SE.Ser.SEUnew.BT</t>
  </si>
  <si>
    <t>Size_per_appl.W.SE.Ser.SEUnew.IT</t>
  </si>
  <si>
    <t>NUM.sqm_per_building.SE.Ser.SEU.VE</t>
  </si>
  <si>
    <t>NUM.number_per_capita.SE.Ser.SEU.SL</t>
  </si>
  <si>
    <t>NUM.number_per_building.SE.Ser.SEU.BL</t>
  </si>
  <si>
    <t>NUM.number_per_capita.SE.Ser.SEU.CR</t>
  </si>
  <si>
    <t>NUM.sqm_per_building.SE.Ser.SEU.BT</t>
  </si>
  <si>
    <t>NUM.number_per_capita.SE.Ser.SEU.IT</t>
  </si>
  <si>
    <t>Lumens_per_sqm.lumen.SE.Ser.SEU.BL</t>
  </si>
  <si>
    <t>SE - Services / specific electric uses</t>
  </si>
  <si>
    <t>SE - Ventilation and others</t>
  </si>
  <si>
    <t>SE - Street lighting</t>
  </si>
  <si>
    <t>SE - Building lighting</t>
  </si>
  <si>
    <t>SE - Commercial refrigeration</t>
  </si>
  <si>
    <t>SE - Miscellaneous building technologies</t>
  </si>
  <si>
    <t>SE - ICT and multimedia</t>
  </si>
  <si>
    <t>SE - Agriculture, forestry and fishing</t>
  </si>
  <si>
    <t>VA.Meuro2015.SE.AGR.AGR</t>
  </si>
  <si>
    <t>OUTPUT.index.SE.AGR.AGR</t>
  </si>
  <si>
    <t>CAP.index.SE.AGR.AGR</t>
  </si>
  <si>
    <t>NEWCAP.index.SE.AGR.AGR</t>
  </si>
  <si>
    <t>CAPOUT.index.SE.AGR.AGR</t>
  </si>
  <si>
    <t>CAPIDLE.index.SE.AGR.AGR</t>
  </si>
  <si>
    <t>FEC.ktoe.SE.ES.AGR</t>
  </si>
  <si>
    <t>FEC.ktoe.SE.ES.AGR.Solids</t>
  </si>
  <si>
    <t>FEC.ktoe.SE.ES.AGR.LPG</t>
  </si>
  <si>
    <t>FEC.ktoe.SE.ES.AGR.Diesel</t>
  </si>
  <si>
    <t>FEC.ktoe.SE.ES.AGR.RFO</t>
  </si>
  <si>
    <t>FEC.ktoe.SE.ES.AGR.NG</t>
  </si>
  <si>
    <t>FEC.ktoe.SE.ES.AGR.Biomass_Waste</t>
  </si>
  <si>
    <t>FEC.ktoe.SE.ES.AGR.Biogas</t>
  </si>
  <si>
    <t>FEC.ktoe.SE.ES.AGR.LiqBio</t>
  </si>
  <si>
    <t>FEC.ktoe.SE.ES.AGR.Solar</t>
  </si>
  <si>
    <t>FEC.ktoe.SE.ES.AGR.Geo</t>
  </si>
  <si>
    <t>FEC.ktoe.SE.ES.AGR.Ambient</t>
  </si>
  <si>
    <t>FEC.ktoe.SE.ES.AGR.Steam_Distr</t>
  </si>
  <si>
    <t>FEC.ktoe.SE.ES.AGR.Elec</t>
  </si>
  <si>
    <t>SE - Agriculture, forestry and fishing / final energy consumption</t>
  </si>
  <si>
    <t>FEC.ktoe.SE.AGR.AGR.LIGHT.GENERIC.ELEC</t>
  </si>
  <si>
    <t>FEC.ktoe.SE.AGR.AGR.FANS.GENERIC.ELEC</t>
  </si>
  <si>
    <t>FEC.ktoe.SE.AGR.AGR.MOTOR.GENERIC.ELEC</t>
  </si>
  <si>
    <t>FEC.ktoe.SE.AGR.AGR.LOW_ENTH.THERM.DIESEL_LIQBIO</t>
  </si>
  <si>
    <t>FEC.ktoe.SE.AGR.AGR.LOW_ENTH.THERM.NG_BIOGAS</t>
  </si>
  <si>
    <t>FEC.ktoe.SE.AGR.AGR.LOW_ENTH.THERM.SOLAR_GEO</t>
  </si>
  <si>
    <t>FEC.ktoe.SE.AGR.AGR.LOW_ENTH.HP.AMBIENT</t>
  </si>
  <si>
    <t>FEC.ktoe.SE.AGR.AGR.LOW_ENTH.THERM.STEAM_DISTR</t>
  </si>
  <si>
    <t>FEC.ktoe.SE.AGR.AGR.LOW_ENTH.THERM.ELEC</t>
  </si>
  <si>
    <t>FEC.ktoe.SE.AGR.AGR.FARM_DRIVES.MECH.DIESEL_LIQBIO</t>
  </si>
  <si>
    <t>FEC.ktoe.SE.AGR.AGR.HEAT_USE.THERM.SOLIDS</t>
  </si>
  <si>
    <t>FEC.ktoe.SE.AGR.AGR.HEAT_USE.THERM.LPG</t>
  </si>
  <si>
    <t>FEC.ktoe.SE.AGR.AGR.HEAT_USE.THERM.DIESEL_LIQBIO</t>
  </si>
  <si>
    <t>FEC.ktoe.SE.AGR.AGR.HEAT_USE.THERM.RFO</t>
  </si>
  <si>
    <t>FEC.ktoe.SE.AGR.AGR.HEAT_USE.THERM.NG_BIOGAS</t>
  </si>
  <si>
    <t>FEC.ktoe.SE.AGR.AGR.HEAT_USE.THERM.BIOMASS_WASTE</t>
  </si>
  <si>
    <t>FEC.ktoe.SE.AGR.AGR.HEAT_USE.THERM.SOLAR_GEO</t>
  </si>
  <si>
    <t>FEC.ktoe.SE.AGR.AGR.FARM_PUMP.MECH.DIESEL_LIQBIO</t>
  </si>
  <si>
    <t>FEC.ktoe.SE.AGR.AGR.FARM_PUMP_ELEC.MECH.ELEC</t>
  </si>
  <si>
    <t>FEC.ktoe.SE.AGR.AGR.GENERIC.MECH.ELEC</t>
  </si>
  <si>
    <t>SE - Agriculture, forestry and fishing / useful energy demand</t>
  </si>
  <si>
    <t>UED.ktoe.SE.AGR.AGR.LIGHT.GENERIC.ELEC</t>
  </si>
  <si>
    <t>UED.ktoe.SE.AGR.AGR.FANS.GENERIC.ELEC</t>
  </si>
  <si>
    <t>UED.ktoe.SE.AGR.AGR.MOTOR.GENERIC.ELEC</t>
  </si>
  <si>
    <t>UED.ktoe.SE.AGR.AGR.LOW_ENTH.THERM.DIESEL_LIQBIO</t>
  </si>
  <si>
    <t>UED.ktoe.SE.AGR.AGR.LOW_ENTH.THERM.NG_BIOGAS</t>
  </si>
  <si>
    <t>UED.ktoe.SE.AGR.AGR.LOW_ENTH.THERM.SOLAR_GEO</t>
  </si>
  <si>
    <t>UED.ktoe.SE.AGR.AGR.LOW_ENTH.HP.AMBIENT</t>
  </si>
  <si>
    <t>UED.ktoe.SE.AGR.AGR.LOW_ENTH.THERM.STEAM_DISTR</t>
  </si>
  <si>
    <t>UED.ktoe.SE.AGR.AGR.LOW_ENTH.THERM.ELEC</t>
  </si>
  <si>
    <t>UED.ktoe.SE.AGR.AGR.FARM_DRIVES.MECH.DIESEL_LIQBIO</t>
  </si>
  <si>
    <t>UED.ktoe.SE.AGR.AGR.HEAT_USE.THERM.SOLIDS</t>
  </si>
  <si>
    <t>UED.ktoe.SE.AGR.AGR.HEAT_USE.THERM.LPG</t>
  </si>
  <si>
    <t>UED.ktoe.SE.AGR.AGR.HEAT_USE.THERM.DIESEL_LIQBIO</t>
  </si>
  <si>
    <t>UED.ktoe.SE.AGR.AGR.HEAT_USE.THERM.RFO</t>
  </si>
  <si>
    <t>UED.ktoe.SE.AGR.AGR.HEAT_USE.THERM.NG_BIOGAS</t>
  </si>
  <si>
    <t>UED.ktoe.SE.AGR.AGR.HEAT_USE.THERM.BIOMASS_WASTE</t>
  </si>
  <si>
    <t>UED.ktoe.SE.AGR.AGR.HEAT_USE.THERM.SOLAR_GEO</t>
  </si>
  <si>
    <t>UED.ktoe.SE.AGR.AGR.FARM_PUMP.MECH.DIESEL_LIQBIO</t>
  </si>
  <si>
    <t>UED.ktoe.SE.AGR.AGR.FARM_PUMP_ELEC.MECH.ELEC</t>
  </si>
  <si>
    <t>UED.ktoe.SE.AGR.AGR.GENERIC.MECH.ELEC</t>
  </si>
  <si>
    <t>SE - Agriculture, forestry and fishing / CO2 emissions</t>
  </si>
  <si>
    <t>FUEL_EMI.ktCO2.SE.AGR.AGR.LIGHT.GENERIC.ELEC</t>
  </si>
  <si>
    <t>FUEL_EMI.ktCO2.SE.AGR.AGR.FANS.GENERIC.ELEC</t>
  </si>
  <si>
    <t>FUEL_EMI.ktCO2.SE.AGR.AGR.MOTOR.GENERIC.ELEC</t>
  </si>
  <si>
    <t>FUEL_EMI.ktCO2.SE.AGR.AGR.LOW_ENTH.THERM.DIESEL_LIQBIO</t>
  </si>
  <si>
    <t>FUEL_EMI.ktCO2.SE.AGR.AGR.LOW_ENTH.THERM.NG_BIOGAS</t>
  </si>
  <si>
    <t>FUEL_EMI.ktCO2.SE.AGR.AGR.LOW_ENTH.THERM.SOLAR_GEO</t>
  </si>
  <si>
    <t>FUEL_EMI.ktCO2.SE.AGR.AGR.LOW_ENTH.HP.AMBIENT</t>
  </si>
  <si>
    <t>FUEL_EMI.ktCO2.SE.AGR.AGR.LOW_ENTH.THERM.STEAM_DISTR</t>
  </si>
  <si>
    <t>FUEL_EMI.ktCO2.SE.AGR.AGR.LOW_ENTH.THERM.ELEC</t>
  </si>
  <si>
    <t>FUEL_EMI.ktCO2.SE.AGR.AGR.FARM_DRIVES.MECH.DIESEL_LIQBIO</t>
  </si>
  <si>
    <t>FUEL_EMI.ktCO2.SE.AGR.AGR.HEAT_USE.THERM.SOLIDS</t>
  </si>
  <si>
    <t>FUEL_EMI.ktCO2.SE.AGR.AGR.HEAT_USE.THERM.LPG</t>
  </si>
  <si>
    <t>FUEL_EMI.ktCO2.SE.AGR.AGR.HEAT_USE.THERM.DIESEL_LIQBIO</t>
  </si>
  <si>
    <t>FUEL_EMI.ktCO2.SE.AGR.AGR.HEAT_USE.THERM.RFO</t>
  </si>
  <si>
    <t>FUEL_EMI.ktCO2.SE.AGR.AGR.HEAT_USE.THERM.NG_BIOGAS</t>
  </si>
  <si>
    <t>FUEL_EMI.ktCO2.SE.AGR.AGR.HEAT_USE.THERM.BIOMASS_WASTE</t>
  </si>
  <si>
    <t>FUEL_EMI.ktCO2.SE.AGR.AGR.HEAT_USE.THERM.SOLAR_GEO</t>
  </si>
  <si>
    <t>FUEL_EMI.ktCO2.SE.AGR.AGR.FARM_PUMP.MECH.DIESEL_LIQBIO</t>
  </si>
  <si>
    <t>FUEL_EMI.ktCO2.SE.AGR.AGR.FARM_PUMP_ELEC.MECH.ELEC</t>
  </si>
  <si>
    <t>FUEL_EMI.ktCO2.SE.AGR.AGR.GENERIC.MECH.ELEC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</si>
</sst>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45432.788807870369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8861426</v>
      </c>
      <c r="C3" s="34">
        <v>8882792</v>
      </c>
      <c r="D3" s="34">
        <v>8909128</v>
      </c>
      <c r="E3" s="34">
        <v>8940788</v>
      </c>
      <c r="F3" s="34">
        <v>8975670</v>
      </c>
      <c r="G3" s="34">
        <v>9011392</v>
      </c>
      <c r="H3" s="34">
        <v>9047752</v>
      </c>
      <c r="I3" s="34">
        <v>9113257</v>
      </c>
      <c r="J3" s="34">
        <v>9182927</v>
      </c>
      <c r="K3" s="34">
        <v>9256347</v>
      </c>
      <c r="L3" s="34">
        <v>9340682</v>
      </c>
      <c r="M3" s="34">
        <v>9415570</v>
      </c>
      <c r="N3" s="34">
        <v>9482855</v>
      </c>
      <c r="O3" s="34">
        <v>9555893</v>
      </c>
      <c r="P3" s="34">
        <v>9644864</v>
      </c>
      <c r="Q3" s="34">
        <v>9747355</v>
      </c>
      <c r="R3" s="34">
        <v>9851017</v>
      </c>
      <c r="S3" s="34">
        <v>9995153</v>
      </c>
      <c r="T3" s="34">
        <v>10120242</v>
      </c>
      <c r="U3" s="34">
        <v>10230185</v>
      </c>
      <c r="V3" s="34">
        <v>10327589</v>
      </c>
      <c r="W3" s="34">
        <v>10379295</v>
      </c>
      <c r="DA3" s="88" t="s">
        <v>187</v>
      </c>
    </row>
    <row r="4" spans="1:105" ht="12" customHeight="1" x14ac:dyDescent="0.25">
      <c r="A4" s="35" t="s">
        <v>178</v>
      </c>
      <c r="B4" s="36">
        <v>328968.96631287492</v>
      </c>
      <c r="C4" s="36">
        <v>333733.65408339503</v>
      </c>
      <c r="D4" s="36">
        <v>341066.03013504244</v>
      </c>
      <c r="E4" s="36">
        <v>348943.64953188482</v>
      </c>
      <c r="F4" s="36">
        <v>364080.47326165548</v>
      </c>
      <c r="G4" s="36">
        <v>374486.84803491377</v>
      </c>
      <c r="H4" s="36">
        <v>391946.7360739932</v>
      </c>
      <c r="I4" s="36">
        <v>405427.34511775005</v>
      </c>
      <c r="J4" s="36">
        <v>403599.60877526185</v>
      </c>
      <c r="K4" s="36">
        <v>386086.70576974994</v>
      </c>
      <c r="L4" s="36">
        <v>409064.82674294198</v>
      </c>
      <c r="M4" s="36">
        <v>422135.91141013708</v>
      </c>
      <c r="N4" s="36">
        <v>419654.83927630424</v>
      </c>
      <c r="O4" s="36">
        <v>424640.03921078681</v>
      </c>
      <c r="P4" s="36">
        <v>435926.27176731202</v>
      </c>
      <c r="Q4" s="36">
        <v>455494.7</v>
      </c>
      <c r="R4" s="36">
        <v>464927.50877472881</v>
      </c>
      <c r="S4" s="36">
        <v>476863.89239343157</v>
      </c>
      <c r="T4" s="36">
        <v>486162.22860330122</v>
      </c>
      <c r="U4" s="36">
        <v>495819.73008380295</v>
      </c>
      <c r="V4" s="36">
        <v>485057.73578811367</v>
      </c>
      <c r="W4" s="36">
        <v>514876.88293881278</v>
      </c>
      <c r="DA4" s="89" t="s">
        <v>188</v>
      </c>
    </row>
    <row r="5" spans="1:105" ht="12" customHeight="1" x14ac:dyDescent="0.25">
      <c r="A5" s="35" t="s">
        <v>147</v>
      </c>
      <c r="B5" s="36">
        <v>199181.02354759103</v>
      </c>
      <c r="C5" s="36">
        <v>203053.4050002466</v>
      </c>
      <c r="D5" s="36">
        <v>208534.20508629392</v>
      </c>
      <c r="E5" s="36">
        <v>215008.65143543202</v>
      </c>
      <c r="F5" s="36">
        <v>225753.15920514867</v>
      </c>
      <c r="G5" s="36">
        <v>234172.60199046385</v>
      </c>
      <c r="H5" s="36">
        <v>243746.4191722757</v>
      </c>
      <c r="I5" s="36">
        <v>250404.7969227288</v>
      </c>
      <c r="J5" s="36">
        <v>252930.06123775529</v>
      </c>
      <c r="K5" s="36">
        <v>249131.29573826949</v>
      </c>
      <c r="L5" s="36">
        <v>257843.57749934282</v>
      </c>
      <c r="M5" s="36">
        <v>268124.15363781853</v>
      </c>
      <c r="N5" s="36">
        <v>270046.97776385845</v>
      </c>
      <c r="O5" s="36">
        <v>277565.57842920034</v>
      </c>
      <c r="P5" s="36">
        <v>286688.54872238636</v>
      </c>
      <c r="Q5" s="36">
        <v>297455.3</v>
      </c>
      <c r="R5" s="36">
        <v>304301.13743981341</v>
      </c>
      <c r="S5" s="36">
        <v>310647.85539581219</v>
      </c>
      <c r="T5" s="36">
        <v>317686.39341039147</v>
      </c>
      <c r="U5" s="36">
        <v>325026.2166829654</v>
      </c>
      <c r="V5" s="36">
        <v>318435.07839703723</v>
      </c>
      <c r="W5" s="36">
        <v>333617.54769948137</v>
      </c>
      <c r="DA5" s="89" t="s">
        <v>189</v>
      </c>
    </row>
    <row r="6" spans="1:105" ht="12" customHeight="1" x14ac:dyDescent="0.25">
      <c r="A6" s="37" t="s">
        <v>70</v>
      </c>
      <c r="B6" s="38">
        <v>3179000</v>
      </c>
      <c r="C6" s="38">
        <v>3251000</v>
      </c>
      <c r="D6" s="38">
        <v>3273000</v>
      </c>
      <c r="E6" s="38">
        <v>3291000</v>
      </c>
      <c r="F6" s="38">
        <v>3289000</v>
      </c>
      <c r="G6" s="38">
        <v>3301000</v>
      </c>
      <c r="H6" s="38">
        <v>3372000</v>
      </c>
      <c r="I6" s="38">
        <v>3442000</v>
      </c>
      <c r="J6" s="38">
        <v>3454000</v>
      </c>
      <c r="K6" s="38">
        <v>3419000</v>
      </c>
      <c r="L6" s="38">
        <v>3450000</v>
      </c>
      <c r="M6" s="38">
        <v>3518000</v>
      </c>
      <c r="N6" s="38">
        <v>3554000</v>
      </c>
      <c r="O6" s="38">
        <v>3605000</v>
      </c>
      <c r="P6" s="38">
        <v>3670000</v>
      </c>
      <c r="Q6" s="38">
        <v>3745000</v>
      </c>
      <c r="R6" s="38">
        <v>3841000</v>
      </c>
      <c r="S6" s="38">
        <v>3920000</v>
      </c>
      <c r="T6" s="38">
        <v>3978000</v>
      </c>
      <c r="U6" s="38">
        <v>4008000</v>
      </c>
      <c r="V6" s="38">
        <v>3949000</v>
      </c>
      <c r="W6" s="38">
        <v>4001000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162695.0932014565</v>
      </c>
      <c r="C8" s="34">
        <v>164745.06964215953</v>
      </c>
      <c r="D8" s="34">
        <v>166580.13011802401</v>
      </c>
      <c r="E8" s="34">
        <v>168146.42580379054</v>
      </c>
      <c r="F8" s="34">
        <v>170240.63603061825</v>
      </c>
      <c r="G8" s="34">
        <v>172082.03245918197</v>
      </c>
      <c r="H8" s="34">
        <v>174650.28031942606</v>
      </c>
      <c r="I8" s="34">
        <v>177112.33932586844</v>
      </c>
      <c r="J8" s="34">
        <v>178610.34759809694</v>
      </c>
      <c r="K8" s="34">
        <v>180356.95532009334</v>
      </c>
      <c r="L8" s="34">
        <v>182538.82857990675</v>
      </c>
      <c r="M8" s="34">
        <v>184220.73285883997</v>
      </c>
      <c r="N8" s="34">
        <v>185633.71169032683</v>
      </c>
      <c r="O8" s="34">
        <v>188277.63862261389</v>
      </c>
      <c r="P8" s="34">
        <v>190252.19190251947</v>
      </c>
      <c r="Q8" s="34">
        <v>192790.69578557246</v>
      </c>
      <c r="R8" s="34">
        <v>195099.97587388413</v>
      </c>
      <c r="S8" s="34">
        <v>197740.95530169323</v>
      </c>
      <c r="T8" s="34">
        <v>199962.55466206904</v>
      </c>
      <c r="U8" s="34">
        <v>202035.18852008905</v>
      </c>
      <c r="V8" s="34">
        <v>204095.64555555556</v>
      </c>
      <c r="W8" s="34">
        <v>206130.53991215638</v>
      </c>
      <c r="DA8" s="88" t="s">
        <v>191</v>
      </c>
    </row>
    <row r="9" spans="1:105" ht="12" customHeight="1" x14ac:dyDescent="0.25">
      <c r="A9" s="39" t="s">
        <v>68</v>
      </c>
      <c r="B9" s="40">
        <v>146425.58388131086</v>
      </c>
      <c r="C9" s="40">
        <v>148270.56267794358</v>
      </c>
      <c r="D9" s="40">
        <v>149922.11710622162</v>
      </c>
      <c r="E9" s="40">
        <v>151331.7832234115</v>
      </c>
      <c r="F9" s="40">
        <v>153216.57242755641</v>
      </c>
      <c r="G9" s="40">
        <v>154873.82921326376</v>
      </c>
      <c r="H9" s="40">
        <v>157185.25228748345</v>
      </c>
      <c r="I9" s="40">
        <v>159401.10539328161</v>
      </c>
      <c r="J9" s="40">
        <v>160749.31283828727</v>
      </c>
      <c r="K9" s="40">
        <v>162321.25978808399</v>
      </c>
      <c r="L9" s="40">
        <v>164284.94572191607</v>
      </c>
      <c r="M9" s="40">
        <v>165798.65957295598</v>
      </c>
      <c r="N9" s="40">
        <v>167070.34052129416</v>
      </c>
      <c r="O9" s="40">
        <v>169449.87476035251</v>
      </c>
      <c r="P9" s="40">
        <v>171226.97271226751</v>
      </c>
      <c r="Q9" s="40">
        <v>173511.62620701522</v>
      </c>
      <c r="R9" s="40">
        <v>175589.97828649572</v>
      </c>
      <c r="S9" s="40">
        <v>177966.85977152392</v>
      </c>
      <c r="T9" s="40">
        <v>179966.29919586214</v>
      </c>
      <c r="U9" s="40">
        <v>181831.66966808017</v>
      </c>
      <c r="V9" s="40">
        <v>183686.08100000001</v>
      </c>
      <c r="W9" s="40">
        <v>185517.48592094076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2700.7684894765398</v>
      </c>
      <c r="D10" s="41">
        <v>2493.9414653571844</v>
      </c>
      <c r="E10" s="41">
        <v>2232.5302577312486</v>
      </c>
      <c r="F10" s="41">
        <v>2766.6953438935893</v>
      </c>
      <c r="G10" s="41">
        <v>2522.3381654724813</v>
      </c>
      <c r="H10" s="41">
        <v>3256.5431796248681</v>
      </c>
      <c r="I10" s="41">
        <v>3160.6493412840205</v>
      </c>
      <c r="J10" s="41">
        <v>2206.5259434072836</v>
      </c>
      <c r="K10" s="41">
        <v>2461.008259152833</v>
      </c>
      <c r="L10" s="41">
        <v>2903.2597003182723</v>
      </c>
      <c r="M10" s="41">
        <v>2412.1150184044964</v>
      </c>
      <c r="N10" s="41">
        <v>2149.8077951829232</v>
      </c>
      <c r="O10" s="41">
        <v>3386.638761960799</v>
      </c>
      <c r="P10" s="41">
        <v>2727.5601250400628</v>
      </c>
      <c r="Q10" s="41">
        <v>3299.5996689067342</v>
      </c>
      <c r="R10" s="41">
        <v>3297.9503231094313</v>
      </c>
      <c r="S10" s="41">
        <v>3641.4921245982423</v>
      </c>
      <c r="T10" s="41">
        <v>3235.6555414101549</v>
      </c>
      <c r="U10" s="41">
        <v>3098.0828562869974</v>
      </c>
      <c r="V10" s="41">
        <v>3096.5349253130898</v>
      </c>
      <c r="W10" s="41">
        <v>3081.5386927830518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2430.6916405288857</v>
      </c>
      <c r="D11" s="42">
        <v>2244.547318821466</v>
      </c>
      <c r="E11" s="42">
        <v>2009.2772319581238</v>
      </c>
      <c r="F11" s="42">
        <v>2490.0258095042304</v>
      </c>
      <c r="G11" s="42">
        <v>2270.1043489252334</v>
      </c>
      <c r="H11" s="42">
        <v>2930.8888616623813</v>
      </c>
      <c r="I11" s="42">
        <v>2844.5844071556189</v>
      </c>
      <c r="J11" s="42">
        <v>1985.8733490665554</v>
      </c>
      <c r="K11" s="42">
        <v>2214.9074332375494</v>
      </c>
      <c r="L11" s="42">
        <v>2612.9337302864446</v>
      </c>
      <c r="M11" s="42">
        <v>2170.9035165640466</v>
      </c>
      <c r="N11" s="42">
        <v>1934.8270156646308</v>
      </c>
      <c r="O11" s="42">
        <v>3047.9748857647191</v>
      </c>
      <c r="P11" s="42">
        <v>2454.8041125360564</v>
      </c>
      <c r="Q11" s="42">
        <v>2969.6397020160607</v>
      </c>
      <c r="R11" s="42">
        <v>2968.1552907984883</v>
      </c>
      <c r="S11" s="42">
        <v>3277.3429121384179</v>
      </c>
      <c r="T11" s="42">
        <v>2912.0899872691393</v>
      </c>
      <c r="U11" s="42">
        <v>2788.2745706582978</v>
      </c>
      <c r="V11" s="42">
        <v>2786.8814327817809</v>
      </c>
      <c r="W11" s="42">
        <v>2773.3848235047467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4925.62</v>
      </c>
      <c r="C13" s="43">
        <v>5422.89</v>
      </c>
      <c r="D13" s="43">
        <v>5210.8999999999996</v>
      </c>
      <c r="E13" s="43">
        <v>5224.63</v>
      </c>
      <c r="F13" s="43">
        <v>5281.26</v>
      </c>
      <c r="G13" s="43">
        <v>5085.0600000000004</v>
      </c>
      <c r="H13" s="43">
        <v>4985.68</v>
      </c>
      <c r="I13" s="43">
        <v>5069.6000000000004</v>
      </c>
      <c r="J13" s="43">
        <v>5074.88</v>
      </c>
      <c r="K13" s="43">
        <v>5294.04</v>
      </c>
      <c r="L13" s="43">
        <v>5986.18</v>
      </c>
      <c r="M13" s="43">
        <v>4895.71</v>
      </c>
      <c r="N13" s="43">
        <v>5471.41</v>
      </c>
      <c r="O13" s="43">
        <v>5155.24</v>
      </c>
      <c r="P13" s="43">
        <v>4850.03</v>
      </c>
      <c r="Q13" s="43">
        <v>4875.4799999999996</v>
      </c>
      <c r="R13" s="43">
        <v>5092.4799999999996</v>
      </c>
      <c r="S13" s="43">
        <v>5181.13</v>
      </c>
      <c r="T13" s="43">
        <v>5122.22</v>
      </c>
      <c r="U13" s="43">
        <v>5119.6099999999997</v>
      </c>
      <c r="V13" s="43">
        <v>4592.9399999999996</v>
      </c>
      <c r="W13" s="43">
        <v>5201.47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5138.9042857142858</v>
      </c>
      <c r="C14" s="44">
        <f t="shared" ref="C14:W14" si="0">AVERAGE($B$13:$V$13)</f>
        <v>5138.9042857142858</v>
      </c>
      <c r="D14" s="44">
        <f t="shared" si="0"/>
        <v>5138.9042857142858</v>
      </c>
      <c r="E14" s="44">
        <f t="shared" si="0"/>
        <v>5138.9042857142858</v>
      </c>
      <c r="F14" s="44">
        <f t="shared" si="0"/>
        <v>5138.9042857142858</v>
      </c>
      <c r="G14" s="44">
        <f t="shared" si="0"/>
        <v>5138.9042857142858</v>
      </c>
      <c r="H14" s="44">
        <f t="shared" si="0"/>
        <v>5138.9042857142858</v>
      </c>
      <c r="I14" s="44">
        <f t="shared" si="0"/>
        <v>5138.9042857142858</v>
      </c>
      <c r="J14" s="44">
        <f t="shared" si="0"/>
        <v>5138.9042857142858</v>
      </c>
      <c r="K14" s="44">
        <f t="shared" si="0"/>
        <v>5138.9042857142858</v>
      </c>
      <c r="L14" s="44">
        <f t="shared" si="0"/>
        <v>5138.9042857142858</v>
      </c>
      <c r="M14" s="44">
        <f t="shared" si="0"/>
        <v>5138.9042857142858</v>
      </c>
      <c r="N14" s="44">
        <f t="shared" si="0"/>
        <v>5138.9042857142858</v>
      </c>
      <c r="O14" s="44">
        <f t="shared" si="0"/>
        <v>5138.9042857142858</v>
      </c>
      <c r="P14" s="44">
        <f t="shared" si="0"/>
        <v>5138.9042857142858</v>
      </c>
      <c r="Q14" s="44">
        <f t="shared" si="0"/>
        <v>5138.9042857142858</v>
      </c>
      <c r="R14" s="44">
        <f t="shared" si="0"/>
        <v>5138.9042857142858</v>
      </c>
      <c r="S14" s="44">
        <f t="shared" si="0"/>
        <v>5138.9042857142858</v>
      </c>
      <c r="T14" s="44">
        <f t="shared" si="0"/>
        <v>5138.9042857142858</v>
      </c>
      <c r="U14" s="44">
        <f t="shared" si="0"/>
        <v>5138.9042857142858</v>
      </c>
      <c r="V14" s="44">
        <f t="shared" si="0"/>
        <v>5138.9042857142858</v>
      </c>
      <c r="W14" s="44">
        <f t="shared" si="0"/>
        <v>5138.9042857142858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0.95849615523931864</v>
      </c>
      <c r="C15" s="46">
        <f t="shared" ref="C15:W15" si="1">C13/C14</f>
        <v>1.0552619193696933</v>
      </c>
      <c r="D15" s="46">
        <f t="shared" si="1"/>
        <v>1.0140099348582645</v>
      </c>
      <c r="E15" s="46">
        <f t="shared" si="1"/>
        <v>1.0166817106370369</v>
      </c>
      <c r="F15" s="46">
        <f t="shared" si="1"/>
        <v>1.0277015695118998</v>
      </c>
      <c r="G15" s="46">
        <f t="shared" si="1"/>
        <v>0.98952222444306503</v>
      </c>
      <c r="H15" s="46">
        <f t="shared" si="1"/>
        <v>0.97018347157384577</v>
      </c>
      <c r="I15" s="46">
        <f t="shared" si="1"/>
        <v>0.98651380102428732</v>
      </c>
      <c r="J15" s="46">
        <f t="shared" si="1"/>
        <v>0.9875412574053446</v>
      </c>
      <c r="K15" s="46">
        <f t="shared" si="1"/>
        <v>1.0301884809796864</v>
      </c>
      <c r="L15" s="46">
        <f t="shared" si="1"/>
        <v>1.164874780143516</v>
      </c>
      <c r="M15" s="46">
        <f t="shared" si="1"/>
        <v>0.95267584835344277</v>
      </c>
      <c r="N15" s="46">
        <f t="shared" si="1"/>
        <v>1.0647036208107732</v>
      </c>
      <c r="O15" s="46">
        <f t="shared" si="1"/>
        <v>1.0031788321746187</v>
      </c>
      <c r="P15" s="46">
        <f t="shared" si="1"/>
        <v>0.94378679390520426</v>
      </c>
      <c r="Q15" s="46">
        <f t="shared" si="1"/>
        <v>0.94873921149950524</v>
      </c>
      <c r="R15" s="46">
        <f t="shared" si="1"/>
        <v>0.99096611200886897</v>
      </c>
      <c r="S15" s="46">
        <f t="shared" si="1"/>
        <v>1.0082168711340078</v>
      </c>
      <c r="T15" s="46">
        <f t="shared" si="1"/>
        <v>0.99675333791277909</v>
      </c>
      <c r="U15" s="46">
        <f t="shared" si="1"/>
        <v>0.99624544754259725</v>
      </c>
      <c r="V15" s="46">
        <f t="shared" si="1"/>
        <v>0.89375861947224422</v>
      </c>
      <c r="W15" s="46">
        <f t="shared" si="1"/>
        <v>1.0121749133292173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37123.705181634978</v>
      </c>
      <c r="C19" s="34">
        <f t="shared" si="2"/>
        <v>37570.805900148851</v>
      </c>
      <c r="D19" s="34">
        <f t="shared" ref="D19:W19" si="3">D4*1000000/D3</f>
        <v>38282.762368555312</v>
      </c>
      <c r="E19" s="34">
        <f t="shared" si="3"/>
        <v>39028.288058265651</v>
      </c>
      <c r="F19" s="34">
        <f t="shared" si="3"/>
        <v>40563.04133971675</v>
      </c>
      <c r="G19" s="34">
        <f t="shared" si="3"/>
        <v>41557.047794049329</v>
      </c>
      <c r="H19" s="34">
        <f t="shared" si="3"/>
        <v>43319.79215102196</v>
      </c>
      <c r="I19" s="34">
        <f t="shared" si="3"/>
        <v>44487.645319093936</v>
      </c>
      <c r="J19" s="34">
        <f t="shared" si="3"/>
        <v>43951.08539741869</v>
      </c>
      <c r="K19" s="34">
        <f t="shared" si="3"/>
        <v>41710.48317114191</v>
      </c>
      <c r="L19" s="34">
        <f t="shared" si="3"/>
        <v>43793.89285953017</v>
      </c>
      <c r="M19" s="34">
        <f t="shared" si="3"/>
        <v>44833.813716019009</v>
      </c>
      <c r="N19" s="34">
        <f t="shared" si="3"/>
        <v>44254.060541504034</v>
      </c>
      <c r="O19" s="34">
        <f t="shared" si="3"/>
        <v>44437.504606925468</v>
      </c>
      <c r="P19" s="34">
        <f t="shared" si="3"/>
        <v>45197.762432659707</v>
      </c>
      <c r="Q19" s="34">
        <f t="shared" si="3"/>
        <v>46730.082160750273</v>
      </c>
      <c r="R19" s="34">
        <f t="shared" si="3"/>
        <v>47195.889396468287</v>
      </c>
      <c r="S19" s="34">
        <f t="shared" si="3"/>
        <v>47709.514040798735</v>
      </c>
      <c r="T19" s="34">
        <f t="shared" si="3"/>
        <v>48038.597160354584</v>
      </c>
      <c r="U19" s="34">
        <f t="shared" si="3"/>
        <v>48466.350323459737</v>
      </c>
      <c r="V19" s="34">
        <f t="shared" si="3"/>
        <v>46967.180412399604</v>
      </c>
      <c r="W19" s="34">
        <f t="shared" si="3"/>
        <v>49606.151760674766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62655.244903300103</v>
      </c>
      <c r="C20" s="36">
        <f t="shared" si="4"/>
        <v>62458.75269155539</v>
      </c>
      <c r="D20" s="36">
        <f t="shared" ref="D20:W20" si="5">D5*1000000/D6</f>
        <v>63713.475431192761</v>
      </c>
      <c r="E20" s="36">
        <f t="shared" si="5"/>
        <v>65332.315841820731</v>
      </c>
      <c r="F20" s="36">
        <f t="shared" si="5"/>
        <v>68638.844391957638</v>
      </c>
      <c r="G20" s="36">
        <f t="shared" si="5"/>
        <v>70939.897603896956</v>
      </c>
      <c r="H20" s="36">
        <f t="shared" si="5"/>
        <v>72285.414938397298</v>
      </c>
      <c r="I20" s="36">
        <f t="shared" si="5"/>
        <v>72749.795735830558</v>
      </c>
      <c r="J20" s="36">
        <f t="shared" si="5"/>
        <v>73228.15901498415</v>
      </c>
      <c r="K20" s="36">
        <f t="shared" si="5"/>
        <v>72866.714167379207</v>
      </c>
      <c r="L20" s="36">
        <f t="shared" si="5"/>
        <v>74737.268840389224</v>
      </c>
      <c r="M20" s="36">
        <f t="shared" si="5"/>
        <v>76214.938498527146</v>
      </c>
      <c r="N20" s="36">
        <f t="shared" si="5"/>
        <v>75983.955476606207</v>
      </c>
      <c r="O20" s="36">
        <f t="shared" si="5"/>
        <v>76994.612601719928</v>
      </c>
      <c r="P20" s="36">
        <f t="shared" si="5"/>
        <v>78116.770769042603</v>
      </c>
      <c r="Q20" s="36">
        <f t="shared" si="5"/>
        <v>79427.316421895855</v>
      </c>
      <c r="R20" s="36">
        <f t="shared" si="5"/>
        <v>79224.456506069619</v>
      </c>
      <c r="S20" s="36">
        <f t="shared" si="5"/>
        <v>79246.901886686785</v>
      </c>
      <c r="T20" s="36">
        <f t="shared" si="5"/>
        <v>79860.8329337334</v>
      </c>
      <c r="U20" s="36">
        <f t="shared" si="5"/>
        <v>81094.36543986162</v>
      </c>
      <c r="V20" s="36">
        <f t="shared" si="5"/>
        <v>80636.889946071722</v>
      </c>
      <c r="W20" s="36">
        <f t="shared" si="5"/>
        <v>83383.541039610442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22477.310485647686</v>
      </c>
      <c r="C21" s="36">
        <f t="shared" si="6"/>
        <v>22859.187179013825</v>
      </c>
      <c r="D21" s="36">
        <f t="shared" ref="D21:W21" si="7">D5*1000000/D3</f>
        <v>23406.803122179175</v>
      </c>
      <c r="E21" s="36">
        <f t="shared" si="7"/>
        <v>24048.065051473321</v>
      </c>
      <c r="F21" s="36">
        <f t="shared" si="7"/>
        <v>25151.677724910638</v>
      </c>
      <c r="G21" s="36">
        <f t="shared" si="7"/>
        <v>25986.285136687413</v>
      </c>
      <c r="H21" s="36">
        <f t="shared" si="7"/>
        <v>26939.997821809848</v>
      </c>
      <c r="I21" s="36">
        <f t="shared" si="7"/>
        <v>27476.98182139808</v>
      </c>
      <c r="J21" s="36">
        <f t="shared" si="7"/>
        <v>27543.512132651744</v>
      </c>
      <c r="K21" s="36">
        <f t="shared" si="7"/>
        <v>26914.645241613078</v>
      </c>
      <c r="L21" s="36">
        <f t="shared" si="7"/>
        <v>27604.36309675705</v>
      </c>
      <c r="M21" s="36">
        <f t="shared" si="7"/>
        <v>28476.67784720612</v>
      </c>
      <c r="N21" s="36">
        <f t="shared" si="7"/>
        <v>28477.391857606013</v>
      </c>
      <c r="O21" s="36">
        <f t="shared" si="7"/>
        <v>29046.534785309999</v>
      </c>
      <c r="P21" s="36">
        <f t="shared" si="7"/>
        <v>29724.478097605766</v>
      </c>
      <c r="Q21" s="36">
        <f t="shared" si="7"/>
        <v>30516.514480082031</v>
      </c>
      <c r="R21" s="36">
        <f t="shared" si="7"/>
        <v>30890.327104279022</v>
      </c>
      <c r="S21" s="36">
        <f t="shared" si="7"/>
        <v>31079.849942848519</v>
      </c>
      <c r="T21" s="36">
        <f t="shared" si="7"/>
        <v>31391.185448963719</v>
      </c>
      <c r="U21" s="36">
        <f t="shared" si="7"/>
        <v>31771.294134266915</v>
      </c>
      <c r="V21" s="36">
        <f t="shared" si="7"/>
        <v>30833.438317213942</v>
      </c>
      <c r="W21" s="36">
        <f t="shared" si="7"/>
        <v>32142.60194931172</v>
      </c>
      <c r="DA21" s="89"/>
    </row>
    <row r="22" spans="1:105" ht="12" customHeight="1" x14ac:dyDescent="0.25">
      <c r="A22" s="51" t="s">
        <v>152</v>
      </c>
      <c r="B22" s="52">
        <v>1.5449695069732887</v>
      </c>
      <c r="C22" s="52">
        <v>1.5312945496865968</v>
      </c>
      <c r="D22" s="52">
        <v>1.5381086064844336</v>
      </c>
      <c r="E22" s="52">
        <v>1.5627112159523771</v>
      </c>
      <c r="F22" s="52">
        <v>1.597012338954245</v>
      </c>
      <c r="G22" s="52">
        <v>1.6172838488053851</v>
      </c>
      <c r="H22" s="52">
        <v>1.6292699685103222</v>
      </c>
      <c r="I22" s="52">
        <v>1.6126728954939706</v>
      </c>
      <c r="J22" s="52">
        <v>1.5955953530433766</v>
      </c>
      <c r="K22" s="52">
        <v>1.5949779320050799</v>
      </c>
      <c r="L22" s="52">
        <v>1.6140481278277168</v>
      </c>
      <c r="M22" s="52">
        <v>1.6340356326526617</v>
      </c>
      <c r="N22" s="52">
        <v>1.6390527366404464</v>
      </c>
      <c r="O22" s="52">
        <v>1.6654754365684521</v>
      </c>
      <c r="P22" s="52">
        <v>1.682310210473615</v>
      </c>
      <c r="Q22" s="52">
        <v>1.7023451984553819</v>
      </c>
      <c r="R22" s="52">
        <v>1.6956683936452073</v>
      </c>
      <c r="S22" s="52">
        <v>1.6622426323816548</v>
      </c>
      <c r="T22" s="52">
        <v>1.6441675306459456</v>
      </c>
      <c r="U22" s="52">
        <v>1.6329239432981413</v>
      </c>
      <c r="V22" s="52">
        <v>1.6788212549298991</v>
      </c>
      <c r="W22" s="52">
        <v>1.6610491118678778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19.539618174369998</v>
      </c>
      <c r="C23" s="53">
        <f t="shared" si="8"/>
        <v>19.733519231024342</v>
      </c>
      <c r="D23" s="53">
        <f t="shared" ref="D23:W23" si="9">D6/D8</f>
        <v>19.648201725386098</v>
      </c>
      <c r="E23" s="53">
        <f t="shared" si="9"/>
        <v>19.572226910373082</v>
      </c>
      <c r="F23" s="53">
        <f t="shared" si="9"/>
        <v>19.319711654557402</v>
      </c>
      <c r="G23" s="53">
        <f t="shared" si="9"/>
        <v>19.182711598800999</v>
      </c>
      <c r="H23" s="53">
        <f t="shared" si="9"/>
        <v>19.307154811505551</v>
      </c>
      <c r="I23" s="53">
        <f t="shared" si="9"/>
        <v>19.433993210755773</v>
      </c>
      <c r="J23" s="53">
        <f t="shared" si="9"/>
        <v>19.338185309241297</v>
      </c>
      <c r="K23" s="53">
        <f t="shared" si="9"/>
        <v>18.956851394680278</v>
      </c>
      <c r="L23" s="53">
        <f t="shared" si="9"/>
        <v>18.900088418666254</v>
      </c>
      <c r="M23" s="53">
        <f t="shared" si="9"/>
        <v>19.096656198277554</v>
      </c>
      <c r="N23" s="53">
        <f t="shared" si="9"/>
        <v>19.145229428632899</v>
      </c>
      <c r="O23" s="53">
        <f t="shared" si="9"/>
        <v>19.14725522570372</v>
      </c>
      <c r="P23" s="53">
        <f t="shared" si="9"/>
        <v>19.290185113243886</v>
      </c>
      <c r="Q23" s="53">
        <f t="shared" si="9"/>
        <v>19.425211288024503</v>
      </c>
      <c r="R23" s="53">
        <f t="shared" si="9"/>
        <v>19.687342260272171</v>
      </c>
      <c r="S23" s="53">
        <f t="shared" si="9"/>
        <v>19.82391555669011</v>
      </c>
      <c r="T23" s="53">
        <f t="shared" si="9"/>
        <v>19.893724636208542</v>
      </c>
      <c r="U23" s="53">
        <f t="shared" si="9"/>
        <v>19.83812834466443</v>
      </c>
      <c r="V23" s="53">
        <f t="shared" si="9"/>
        <v>19.348771451006133</v>
      </c>
      <c r="W23" s="53">
        <f t="shared" si="9"/>
        <v>19.410030176533024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16.52393010801093</v>
      </c>
      <c r="C24" s="54">
        <f t="shared" si="10"/>
        <v>16.691887266744914</v>
      </c>
      <c r="D24" s="54">
        <f t="shared" ref="D24:W24" si="11">D9*1000/D3</f>
        <v>16.827922677305974</v>
      </c>
      <c r="E24" s="54">
        <f t="shared" si="11"/>
        <v>16.926000619118973</v>
      </c>
      <c r="F24" s="54">
        <f t="shared" si="11"/>
        <v>17.070210070953635</v>
      </c>
      <c r="G24" s="54">
        <f t="shared" si="11"/>
        <v>17.18644902066892</v>
      </c>
      <c r="H24" s="54">
        <f t="shared" si="11"/>
        <v>17.372851542292874</v>
      </c>
      <c r="I24" s="54">
        <f t="shared" si="11"/>
        <v>17.491123688630925</v>
      </c>
      <c r="J24" s="54">
        <f t="shared" si="11"/>
        <v>17.50523692917163</v>
      </c>
      <c r="K24" s="54">
        <f t="shared" si="11"/>
        <v>17.536211616535549</v>
      </c>
      <c r="L24" s="54">
        <f t="shared" si="11"/>
        <v>17.588110345895092</v>
      </c>
      <c r="M24" s="54">
        <f t="shared" si="11"/>
        <v>17.608988045647365</v>
      </c>
      <c r="N24" s="54">
        <f t="shared" si="11"/>
        <v>17.618147754162027</v>
      </c>
      <c r="O24" s="54">
        <f t="shared" si="11"/>
        <v>17.732500223720852</v>
      </c>
      <c r="P24" s="54">
        <f t="shared" si="11"/>
        <v>17.753176479447248</v>
      </c>
      <c r="Q24" s="54">
        <f t="shared" si="11"/>
        <v>17.800893289206684</v>
      </c>
      <c r="R24" s="54">
        <f t="shared" si="11"/>
        <v>17.824553372153932</v>
      </c>
      <c r="S24" s="54">
        <f t="shared" si="11"/>
        <v>17.80531621392128</v>
      </c>
      <c r="T24" s="54">
        <f t="shared" si="11"/>
        <v>17.782805904825413</v>
      </c>
      <c r="U24" s="54">
        <f t="shared" si="11"/>
        <v>17.774035334461711</v>
      </c>
      <c r="V24" s="54">
        <f t="shared" si="11"/>
        <v>17.785959627169518</v>
      </c>
      <c r="W24" s="54">
        <f t="shared" si="11"/>
        <v>17.873804138040278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46.060265454957801</v>
      </c>
      <c r="C25" s="54">
        <f t="shared" si="12"/>
        <v>45.607678461379138</v>
      </c>
      <c r="D25" s="54">
        <f t="shared" ref="D25:W25" si="13">D9*1000/D6</f>
        <v>45.805718639236666</v>
      </c>
      <c r="E25" s="54">
        <f t="shared" si="13"/>
        <v>45.983525743971896</v>
      </c>
      <c r="F25" s="54">
        <f t="shared" si="13"/>
        <v>46.584546192628892</v>
      </c>
      <c r="G25" s="54">
        <f t="shared" si="13"/>
        <v>46.917246050670627</v>
      </c>
      <c r="H25" s="54">
        <f t="shared" si="13"/>
        <v>46.614843501626176</v>
      </c>
      <c r="I25" s="54">
        <f t="shared" si="13"/>
        <v>46.310605866729112</v>
      </c>
      <c r="J25" s="54">
        <f t="shared" si="13"/>
        <v>46.540044249648886</v>
      </c>
      <c r="K25" s="54">
        <f t="shared" si="13"/>
        <v>47.476238604294821</v>
      </c>
      <c r="L25" s="54">
        <f t="shared" si="13"/>
        <v>47.618824846932199</v>
      </c>
      <c r="M25" s="54">
        <f t="shared" si="13"/>
        <v>47.128669577304137</v>
      </c>
      <c r="N25" s="54">
        <f t="shared" si="13"/>
        <v>47.009099752755809</v>
      </c>
      <c r="O25" s="54">
        <f t="shared" si="13"/>
        <v>47.004126147115819</v>
      </c>
      <c r="P25" s="54">
        <f t="shared" si="13"/>
        <v>46.655850875277252</v>
      </c>
      <c r="Q25" s="54">
        <f t="shared" si="13"/>
        <v>46.331542378375225</v>
      </c>
      <c r="R25" s="54">
        <f t="shared" si="13"/>
        <v>45.714651988153008</v>
      </c>
      <c r="S25" s="54">
        <f t="shared" si="13"/>
        <v>45.399709125388753</v>
      </c>
      <c r="T25" s="54">
        <f t="shared" si="13"/>
        <v>45.240396982368566</v>
      </c>
      <c r="U25" s="54">
        <f t="shared" si="13"/>
        <v>45.367183050918207</v>
      </c>
      <c r="V25" s="54">
        <f t="shared" si="13"/>
        <v>46.514581159787291</v>
      </c>
      <c r="W25" s="54">
        <f t="shared" si="13"/>
        <v>46.367779535351353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900</v>
      </c>
      <c r="D26" s="55">
        <f t="shared" ref="D26:W26" si="15">D9*1000/D8</f>
        <v>900</v>
      </c>
      <c r="E26" s="55">
        <f t="shared" si="15"/>
        <v>900.00000000000011</v>
      </c>
      <c r="F26" s="55">
        <f t="shared" si="15"/>
        <v>900</v>
      </c>
      <c r="G26" s="55">
        <f t="shared" si="15"/>
        <v>899.99999999999989</v>
      </c>
      <c r="H26" s="55">
        <f t="shared" si="15"/>
        <v>900</v>
      </c>
      <c r="I26" s="55">
        <f t="shared" si="15"/>
        <v>900.00000000000011</v>
      </c>
      <c r="J26" s="55">
        <f t="shared" si="15"/>
        <v>900.00000000000011</v>
      </c>
      <c r="K26" s="55">
        <f t="shared" si="15"/>
        <v>900</v>
      </c>
      <c r="L26" s="55">
        <f t="shared" si="15"/>
        <v>900</v>
      </c>
      <c r="M26" s="55">
        <f t="shared" si="15"/>
        <v>900</v>
      </c>
      <c r="N26" s="55">
        <f t="shared" si="15"/>
        <v>900</v>
      </c>
      <c r="O26" s="55">
        <f t="shared" si="15"/>
        <v>900.00000000000011</v>
      </c>
      <c r="P26" s="55">
        <f t="shared" si="15"/>
        <v>900</v>
      </c>
      <c r="Q26" s="55">
        <f t="shared" si="15"/>
        <v>900</v>
      </c>
      <c r="R26" s="55">
        <f t="shared" si="15"/>
        <v>900</v>
      </c>
      <c r="S26" s="55">
        <f t="shared" si="15"/>
        <v>900.00000000000011</v>
      </c>
      <c r="T26" s="55">
        <f t="shared" si="15"/>
        <v>900</v>
      </c>
      <c r="U26" s="55">
        <f t="shared" si="15"/>
        <v>900.00000000000011</v>
      </c>
      <c r="V26" s="55">
        <f t="shared" si="15"/>
        <v>900</v>
      </c>
      <c r="W26" s="55">
        <f t="shared" si="15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900</v>
      </c>
      <c r="E27" s="57">
        <f t="shared" si="17"/>
        <v>900</v>
      </c>
      <c r="F27" s="57">
        <f t="shared" si="17"/>
        <v>900</v>
      </c>
      <c r="G27" s="57">
        <f t="shared" si="17"/>
        <v>900.00000000000011</v>
      </c>
      <c r="H27" s="57">
        <f t="shared" si="17"/>
        <v>900</v>
      </c>
      <c r="I27" s="57">
        <f t="shared" si="17"/>
        <v>900.00000000000023</v>
      </c>
      <c r="J27" s="57">
        <f t="shared" si="17"/>
        <v>900.00000000000011</v>
      </c>
      <c r="K27" s="57">
        <f t="shared" si="17"/>
        <v>899.99999999999989</v>
      </c>
      <c r="L27" s="57">
        <f t="shared" si="17"/>
        <v>899.99999999999977</v>
      </c>
      <c r="M27" s="57">
        <f t="shared" si="17"/>
        <v>899.99999999999989</v>
      </c>
      <c r="N27" s="57">
        <f t="shared" si="17"/>
        <v>900</v>
      </c>
      <c r="O27" s="57">
        <f t="shared" si="17"/>
        <v>900</v>
      </c>
      <c r="P27" s="57">
        <f t="shared" si="17"/>
        <v>900</v>
      </c>
      <c r="Q27" s="57">
        <f t="shared" si="17"/>
        <v>900</v>
      </c>
      <c r="R27" s="57">
        <f t="shared" si="17"/>
        <v>900</v>
      </c>
      <c r="S27" s="57">
        <f t="shared" si="17"/>
        <v>899.99999999999989</v>
      </c>
      <c r="T27" s="57">
        <f t="shared" si="17"/>
        <v>900</v>
      </c>
      <c r="U27" s="57">
        <f t="shared" si="17"/>
        <v>900</v>
      </c>
      <c r="V27" s="57">
        <f t="shared" si="17"/>
        <v>900.00000000000011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4408.4480721625814</v>
      </c>
      <c r="C31" s="80">
        <f t="shared" ref="C31:W31" si="18">SUM(C32:C33,C36:C37,C44:C45)</f>
        <v>4791.9248580195526</v>
      </c>
      <c r="D31" s="80">
        <f t="shared" si="18"/>
        <v>4783.6186096263918</v>
      </c>
      <c r="E31" s="80">
        <f t="shared" si="18"/>
        <v>4791.443049890866</v>
      </c>
      <c r="F31" s="80">
        <f t="shared" si="18"/>
        <v>4555.2243368408217</v>
      </c>
      <c r="G31" s="80">
        <f t="shared" si="18"/>
        <v>4104.5083747456038</v>
      </c>
      <c r="H31" s="80">
        <f t="shared" si="18"/>
        <v>4145.5308690072807</v>
      </c>
      <c r="I31" s="80">
        <f t="shared" si="18"/>
        <v>4219.9451935885318</v>
      </c>
      <c r="J31" s="80">
        <f t="shared" si="18"/>
        <v>4167.8711230803747</v>
      </c>
      <c r="K31" s="80">
        <f t="shared" si="18"/>
        <v>4036.6453685477718</v>
      </c>
      <c r="L31" s="80">
        <f t="shared" si="18"/>
        <v>4333.6488213216053</v>
      </c>
      <c r="M31" s="80">
        <f t="shared" si="18"/>
        <v>3864.6719683514002</v>
      </c>
      <c r="N31" s="80">
        <f t="shared" si="18"/>
        <v>4045.941506386127</v>
      </c>
      <c r="O31" s="80">
        <f t="shared" si="18"/>
        <v>3958.3582613366975</v>
      </c>
      <c r="P31" s="80">
        <f t="shared" si="18"/>
        <v>3959.0829675256168</v>
      </c>
      <c r="Q31" s="80">
        <f t="shared" si="18"/>
        <v>4019.3106124787328</v>
      </c>
      <c r="R31" s="80">
        <f t="shared" si="18"/>
        <v>4211.7042738243745</v>
      </c>
      <c r="S31" s="80">
        <f t="shared" si="18"/>
        <v>3995.571952589562</v>
      </c>
      <c r="T31" s="80">
        <f t="shared" si="18"/>
        <v>4107.9351306885783</v>
      </c>
      <c r="U31" s="80">
        <f t="shared" si="18"/>
        <v>4023.1282341641609</v>
      </c>
      <c r="V31" s="80">
        <f t="shared" si="18"/>
        <v>3998.9793872440623</v>
      </c>
      <c r="W31" s="80">
        <f t="shared" si="18"/>
        <v>4250.4957858960433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1059.0737747205503</v>
      </c>
      <c r="C33" s="55">
        <f t="shared" ref="C33:W33" si="19">SUM(C34:C35)</f>
        <v>1080.7871883061048</v>
      </c>
      <c r="D33" s="55">
        <f t="shared" si="19"/>
        <v>1042.3019776440242</v>
      </c>
      <c r="E33" s="55">
        <f t="shared" si="19"/>
        <v>1067.430954428203</v>
      </c>
      <c r="F33" s="55">
        <f t="shared" si="19"/>
        <v>802.81840068787631</v>
      </c>
      <c r="G33" s="55">
        <f t="shared" si="19"/>
        <v>425.87454858125534</v>
      </c>
      <c r="H33" s="55">
        <f t="shared" si="19"/>
        <v>411.62811693895094</v>
      </c>
      <c r="I33" s="55">
        <f t="shared" si="19"/>
        <v>427.99578675838353</v>
      </c>
      <c r="J33" s="55">
        <f t="shared" si="19"/>
        <v>371.63920894239027</v>
      </c>
      <c r="K33" s="55">
        <f t="shared" si="19"/>
        <v>339.04772141014621</v>
      </c>
      <c r="L33" s="55">
        <f t="shared" si="19"/>
        <v>381.94926913155632</v>
      </c>
      <c r="M33" s="55">
        <f t="shared" si="19"/>
        <v>356.38529664660354</v>
      </c>
      <c r="N33" s="55">
        <f t="shared" si="19"/>
        <v>293.71539122957864</v>
      </c>
      <c r="O33" s="55">
        <f t="shared" si="19"/>
        <v>266.27016337059325</v>
      </c>
      <c r="P33" s="55">
        <f t="shared" si="19"/>
        <v>256.51711092003438</v>
      </c>
      <c r="Q33" s="55">
        <f t="shared" si="19"/>
        <v>242.13172828890799</v>
      </c>
      <c r="R33" s="55">
        <f t="shared" si="19"/>
        <v>233.18331900257948</v>
      </c>
      <c r="S33" s="55">
        <f t="shared" si="19"/>
        <v>232.37629492691312</v>
      </c>
      <c r="T33" s="55">
        <f t="shared" si="19"/>
        <v>228.11349957007738</v>
      </c>
      <c r="U33" s="55">
        <f t="shared" si="19"/>
        <v>220.43000859845228</v>
      </c>
      <c r="V33" s="55">
        <f t="shared" si="19"/>
        <v>216.94221840068792</v>
      </c>
      <c r="W33" s="55">
        <f t="shared" si="19"/>
        <v>188.10490111779876</v>
      </c>
      <c r="DA33" s="101"/>
    </row>
    <row r="34" spans="1:105" ht="12" customHeight="1" x14ac:dyDescent="0.25">
      <c r="A34" s="61" t="s">
        <v>52</v>
      </c>
      <c r="B34" s="55">
        <v>41.80042992261393</v>
      </c>
      <c r="C34" s="55">
        <v>56.487016337059323</v>
      </c>
      <c r="D34" s="55">
        <v>46.319346517626819</v>
      </c>
      <c r="E34" s="55">
        <v>36.151676698194322</v>
      </c>
      <c r="F34" s="55">
        <v>31.632760103181429</v>
      </c>
      <c r="G34" s="55">
        <v>32.165950128976782</v>
      </c>
      <c r="H34" s="55">
        <v>63.347979363714522</v>
      </c>
      <c r="I34" s="55">
        <v>95.408856405846947</v>
      </c>
      <c r="J34" s="55">
        <v>87.55270851246776</v>
      </c>
      <c r="K34" s="55">
        <v>57.381771281169392</v>
      </c>
      <c r="L34" s="55">
        <v>90.503525365434214</v>
      </c>
      <c r="M34" s="55">
        <v>83.608770421324152</v>
      </c>
      <c r="N34" s="55">
        <v>22.58013757523646</v>
      </c>
      <c r="O34" s="55">
        <v>24.55150472914875</v>
      </c>
      <c r="P34" s="55">
        <v>26.681083404987099</v>
      </c>
      <c r="Q34" s="55">
        <v>12.084866723989681</v>
      </c>
      <c r="R34" s="55">
        <v>12.860963026655201</v>
      </c>
      <c r="S34" s="55">
        <v>12.436999999999999</v>
      </c>
      <c r="T34" s="55">
        <v>12.01470335339639</v>
      </c>
      <c r="U34" s="55">
        <v>12.01470335339639</v>
      </c>
      <c r="V34" s="55">
        <v>12.01470335339639</v>
      </c>
      <c r="W34" s="55">
        <v>12.01470335339639</v>
      </c>
      <c r="DA34" s="101" t="s">
        <v>200</v>
      </c>
    </row>
    <row r="35" spans="1:105" ht="12" customHeight="1" x14ac:dyDescent="0.25">
      <c r="A35" s="61" t="s">
        <v>170</v>
      </c>
      <c r="B35" s="55">
        <v>1017.2733447979364</v>
      </c>
      <c r="C35" s="55">
        <v>1024.3001719690456</v>
      </c>
      <c r="D35" s="55">
        <v>995.98263112639734</v>
      </c>
      <c r="E35" s="55">
        <v>1031.2792777300087</v>
      </c>
      <c r="F35" s="55">
        <v>771.18564058469485</v>
      </c>
      <c r="G35" s="55">
        <v>393.70859845227858</v>
      </c>
      <c r="H35" s="55">
        <v>348.28013757523644</v>
      </c>
      <c r="I35" s="55">
        <v>332.58693035253657</v>
      </c>
      <c r="J35" s="55">
        <v>284.08650042992252</v>
      </c>
      <c r="K35" s="55">
        <v>281.66595012897682</v>
      </c>
      <c r="L35" s="55">
        <v>291.44574376612212</v>
      </c>
      <c r="M35" s="55">
        <v>272.77652622527938</v>
      </c>
      <c r="N35" s="55">
        <v>271.13525365434219</v>
      </c>
      <c r="O35" s="55">
        <v>241.71865864144451</v>
      </c>
      <c r="P35" s="55">
        <v>229.83602751504728</v>
      </c>
      <c r="Q35" s="55">
        <v>230.04686156491832</v>
      </c>
      <c r="R35" s="55">
        <v>220.32235597592427</v>
      </c>
      <c r="S35" s="55">
        <v>219.93929492691311</v>
      </c>
      <c r="T35" s="55">
        <v>216.098796216681</v>
      </c>
      <c r="U35" s="55">
        <v>208.41530524505589</v>
      </c>
      <c r="V35" s="55">
        <v>204.92751504729154</v>
      </c>
      <c r="W35" s="55">
        <v>176.09019776440238</v>
      </c>
      <c r="DA35" s="101" t="s">
        <v>201</v>
      </c>
    </row>
    <row r="36" spans="1:105" ht="12" customHeight="1" x14ac:dyDescent="0.25">
      <c r="A36" s="60" t="s">
        <v>153</v>
      </c>
      <c r="B36" s="55">
        <v>35.941530524505595</v>
      </c>
      <c r="C36" s="55">
        <v>33.813413585554599</v>
      </c>
      <c r="D36" s="55">
        <v>65.649183147033526</v>
      </c>
      <c r="E36" s="55">
        <v>89.681857265692173</v>
      </c>
      <c r="F36" s="55">
        <v>90.025795356835772</v>
      </c>
      <c r="G36" s="55">
        <v>95.227858985382625</v>
      </c>
      <c r="H36" s="55">
        <v>96.861564918314699</v>
      </c>
      <c r="I36" s="55">
        <v>98.624247635425618</v>
      </c>
      <c r="J36" s="55">
        <v>102.73000859845227</v>
      </c>
      <c r="K36" s="55">
        <v>56.513327601031811</v>
      </c>
      <c r="L36" s="55">
        <v>107.09372312983658</v>
      </c>
      <c r="M36" s="55">
        <v>94.217540842648319</v>
      </c>
      <c r="N36" s="55">
        <v>121.60361134995701</v>
      </c>
      <c r="O36" s="55">
        <v>105.8469475494411</v>
      </c>
      <c r="P36" s="55">
        <v>100.5588993981083</v>
      </c>
      <c r="Q36" s="55">
        <v>94.991401547721409</v>
      </c>
      <c r="R36" s="55">
        <v>95.765262252794486</v>
      </c>
      <c r="S36" s="55">
        <v>53.97841788478074</v>
      </c>
      <c r="T36" s="55">
        <v>78.009458297506441</v>
      </c>
      <c r="U36" s="55">
        <v>101.64995700773861</v>
      </c>
      <c r="V36" s="55">
        <v>95.221496130696465</v>
      </c>
      <c r="W36" s="55">
        <v>93.318228718830596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12.99320722269991</v>
      </c>
      <c r="C37" s="55">
        <f t="shared" ref="C37:W37" si="20">SUM(C38:C42)</f>
        <v>34.393809114359406</v>
      </c>
      <c r="D37" s="55">
        <f t="shared" si="20"/>
        <v>25.79535683576956</v>
      </c>
      <c r="E37" s="55">
        <f t="shared" si="20"/>
        <v>23.88460877042132</v>
      </c>
      <c r="F37" s="55">
        <f t="shared" si="20"/>
        <v>54.337403267411858</v>
      </c>
      <c r="G37" s="55">
        <f t="shared" si="20"/>
        <v>62.13508168529664</v>
      </c>
      <c r="H37" s="55">
        <f t="shared" si="20"/>
        <v>47.267497850386938</v>
      </c>
      <c r="I37" s="55">
        <f t="shared" si="20"/>
        <v>51.069475494411002</v>
      </c>
      <c r="J37" s="55">
        <f t="shared" si="20"/>
        <v>53.66629406706793</v>
      </c>
      <c r="K37" s="55">
        <f t="shared" si="20"/>
        <v>54.7183147033534</v>
      </c>
      <c r="L37" s="55">
        <f t="shared" si="20"/>
        <v>55.478761822871888</v>
      </c>
      <c r="M37" s="55">
        <f t="shared" si="20"/>
        <v>52.847205503009448</v>
      </c>
      <c r="N37" s="55">
        <f t="shared" si="20"/>
        <v>66.914875322441944</v>
      </c>
      <c r="O37" s="55">
        <f t="shared" si="20"/>
        <v>47.087360275150466</v>
      </c>
      <c r="P37" s="55">
        <f t="shared" si="20"/>
        <v>64.054600171969028</v>
      </c>
      <c r="Q37" s="55">
        <f t="shared" si="20"/>
        <v>69.136457437661221</v>
      </c>
      <c r="R37" s="55">
        <f t="shared" si="20"/>
        <v>101.86543422184008</v>
      </c>
      <c r="S37" s="55">
        <f t="shared" si="20"/>
        <v>111.28168529664661</v>
      </c>
      <c r="T37" s="55">
        <f t="shared" si="20"/>
        <v>121.23473774720551</v>
      </c>
      <c r="U37" s="55">
        <f t="shared" si="20"/>
        <v>90.425537403267398</v>
      </c>
      <c r="V37" s="55">
        <f t="shared" si="20"/>
        <v>90.84419604471195</v>
      </c>
      <c r="W37" s="55">
        <f t="shared" si="20"/>
        <v>95.630266552020629</v>
      </c>
      <c r="DA37" s="101"/>
    </row>
    <row r="38" spans="1:105" ht="12" customHeight="1" x14ac:dyDescent="0.25">
      <c r="A38" s="61" t="s">
        <v>171</v>
      </c>
      <c r="B38" s="55">
        <v>12.99320722269991</v>
      </c>
      <c r="C38" s="55">
        <v>34.393809114359406</v>
      </c>
      <c r="D38" s="55">
        <v>25.79535683576956</v>
      </c>
      <c r="E38" s="55">
        <v>23.88460877042132</v>
      </c>
      <c r="F38" s="55">
        <v>54.337403267411858</v>
      </c>
      <c r="G38" s="55">
        <v>59.711435941530517</v>
      </c>
      <c r="H38" s="55">
        <v>42.562338779019782</v>
      </c>
      <c r="I38" s="55">
        <v>44.019260533104038</v>
      </c>
      <c r="J38" s="55">
        <v>45.070249355116083</v>
      </c>
      <c r="K38" s="55">
        <v>45.070249355116083</v>
      </c>
      <c r="L38" s="55">
        <v>45.07024935511609</v>
      </c>
      <c r="M38" s="55">
        <v>40.603783319002567</v>
      </c>
      <c r="N38" s="55">
        <v>52.020636285468598</v>
      </c>
      <c r="O38" s="55">
        <v>28.90034393809114</v>
      </c>
      <c r="P38" s="55">
        <v>39.815649183147016</v>
      </c>
      <c r="Q38" s="55">
        <v>40.317196904557179</v>
      </c>
      <c r="R38" s="55">
        <v>65.658727429062779</v>
      </c>
      <c r="S38" s="55">
        <v>65.348237317282894</v>
      </c>
      <c r="T38" s="55">
        <v>66.733533963886515</v>
      </c>
      <c r="U38" s="55">
        <v>37.666036113499558</v>
      </c>
      <c r="V38" s="55">
        <v>35.373086844368004</v>
      </c>
      <c r="W38" s="55">
        <v>38.645227858985379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0</v>
      </c>
      <c r="U39" s="55">
        <v>0</v>
      </c>
      <c r="V39" s="55">
        <v>0</v>
      </c>
      <c r="W39" s="55">
        <v>0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2.4236457437661216</v>
      </c>
      <c r="H40" s="55">
        <v>4.7051590713671532</v>
      </c>
      <c r="I40" s="55">
        <v>7.0502149613069651</v>
      </c>
      <c r="J40" s="55">
        <v>8.5960447119518477</v>
      </c>
      <c r="K40" s="55">
        <v>9.6480653482373171</v>
      </c>
      <c r="L40" s="55">
        <v>10.408512467755802</v>
      </c>
      <c r="M40" s="55">
        <v>12.243422184006878</v>
      </c>
      <c r="N40" s="55">
        <v>14.894239036973342</v>
      </c>
      <c r="O40" s="55">
        <v>18.187016337059326</v>
      </c>
      <c r="P40" s="55">
        <v>24.238950988822008</v>
      </c>
      <c r="Q40" s="55">
        <v>28.819260533104043</v>
      </c>
      <c r="R40" s="55">
        <v>36.206706792777297</v>
      </c>
      <c r="S40" s="55">
        <v>45.93344797936372</v>
      </c>
      <c r="T40" s="55">
        <v>54.501203783319006</v>
      </c>
      <c r="U40" s="55">
        <v>52.75950128976784</v>
      </c>
      <c r="V40" s="55">
        <v>55.471109200343946</v>
      </c>
      <c r="W40" s="55">
        <v>56.985038693035257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1.9547865619654283</v>
      </c>
      <c r="C43" s="55">
        <v>3.5235592090346071</v>
      </c>
      <c r="D43" s="55">
        <v>5.4326315425246232</v>
      </c>
      <c r="E43" s="55">
        <v>7.5520125770940005</v>
      </c>
      <c r="F43" s="55">
        <v>12.581973023254889</v>
      </c>
      <c r="G43" s="55">
        <v>16.248982402622257</v>
      </c>
      <c r="H43" s="55">
        <v>25.572171926489339</v>
      </c>
      <c r="I43" s="55">
        <v>36.186693620212786</v>
      </c>
      <c r="J43" s="55">
        <v>41.620612701474229</v>
      </c>
      <c r="K43" s="55">
        <v>47.725720644227756</v>
      </c>
      <c r="L43" s="55">
        <v>53.401096880765252</v>
      </c>
      <c r="M43" s="55">
        <v>62.445147033534006</v>
      </c>
      <c r="N43" s="55">
        <v>70.283080395528771</v>
      </c>
      <c r="O43" s="55">
        <v>78.553337919174467</v>
      </c>
      <c r="P43" s="55">
        <v>82.686938950988974</v>
      </c>
      <c r="Q43" s="55">
        <v>88.199401547721564</v>
      </c>
      <c r="R43" s="55">
        <v>109.26386758383515</v>
      </c>
      <c r="S43" s="55">
        <v>115.69217540842644</v>
      </c>
      <c r="T43" s="55">
        <v>128.39794024075655</v>
      </c>
      <c r="U43" s="55">
        <v>135.15572656921739</v>
      </c>
      <c r="V43" s="55">
        <v>153.56011650902835</v>
      </c>
      <c r="W43" s="55">
        <v>162.13886500429936</v>
      </c>
      <c r="DA43" s="101" t="s">
        <v>208</v>
      </c>
    </row>
    <row r="44" spans="1:105" ht="12" customHeight="1" x14ac:dyDescent="0.25">
      <c r="A44" s="60" t="s">
        <v>169</v>
      </c>
      <c r="B44" s="55">
        <v>1118.204815133276</v>
      </c>
      <c r="C44" s="55">
        <v>1232.8269991401551</v>
      </c>
      <c r="D44" s="55">
        <v>1242.380825451419</v>
      </c>
      <c r="E44" s="55">
        <v>1266.5281169389509</v>
      </c>
      <c r="F44" s="55">
        <v>1238.8459157351681</v>
      </c>
      <c r="G44" s="55">
        <v>1274.290627687016</v>
      </c>
      <c r="H44" s="55">
        <v>1256.4727429062771</v>
      </c>
      <c r="I44" s="55">
        <v>1195.5908856405849</v>
      </c>
      <c r="J44" s="55">
        <v>1224.2285468615651</v>
      </c>
      <c r="K44" s="55">
        <v>1287.0211521926051</v>
      </c>
      <c r="L44" s="55">
        <v>1451.6337059329319</v>
      </c>
      <c r="M44" s="55">
        <v>1243.145141874463</v>
      </c>
      <c r="N44" s="55">
        <v>1350.792949269131</v>
      </c>
      <c r="O44" s="55">
        <v>1346.8281169389511</v>
      </c>
      <c r="P44" s="55">
        <v>1273.9085124677561</v>
      </c>
      <c r="Q44" s="55">
        <v>1231.1073086844369</v>
      </c>
      <c r="R44" s="55">
        <v>1315.4676698194321</v>
      </c>
      <c r="S44" s="55">
        <v>1236.027515047291</v>
      </c>
      <c r="T44" s="55">
        <v>1284.871539122958</v>
      </c>
      <c r="U44" s="55">
        <v>1251.241960447119</v>
      </c>
      <c r="V44" s="55">
        <v>1091.4779879621669</v>
      </c>
      <c r="W44" s="55">
        <v>1309.807050730868</v>
      </c>
      <c r="DA44" s="101" t="s">
        <v>209</v>
      </c>
    </row>
    <row r="45" spans="1:105" ht="12" customHeight="1" x14ac:dyDescent="0.25">
      <c r="A45" s="62" t="s">
        <v>24</v>
      </c>
      <c r="B45" s="63">
        <v>2182.2347445615496</v>
      </c>
      <c r="C45" s="63">
        <v>2410.1034478733791</v>
      </c>
      <c r="D45" s="63">
        <v>2407.4912665481456</v>
      </c>
      <c r="E45" s="63">
        <v>2343.9175124875983</v>
      </c>
      <c r="F45" s="63">
        <v>2369.19682179353</v>
      </c>
      <c r="G45" s="63">
        <v>2246.9802578066528</v>
      </c>
      <c r="H45" s="63">
        <v>2333.3009463933513</v>
      </c>
      <c r="I45" s="63">
        <v>2446.6647980597263</v>
      </c>
      <c r="J45" s="63">
        <v>2415.6070646108988</v>
      </c>
      <c r="K45" s="63">
        <v>2299.3448526406351</v>
      </c>
      <c r="L45" s="63">
        <v>2337.4933613044091</v>
      </c>
      <c r="M45" s="63">
        <v>2118.0767834846761</v>
      </c>
      <c r="N45" s="63">
        <v>2212.9146792150182</v>
      </c>
      <c r="O45" s="63">
        <v>2192.3256732025616</v>
      </c>
      <c r="P45" s="63">
        <v>2264.0438445677491</v>
      </c>
      <c r="Q45" s="63">
        <v>2381.9437165200052</v>
      </c>
      <c r="R45" s="63">
        <v>2465.4225885277287</v>
      </c>
      <c r="S45" s="63">
        <v>2361.9080394339303</v>
      </c>
      <c r="T45" s="63">
        <v>2395.7058959508308</v>
      </c>
      <c r="U45" s="63">
        <v>2359.3807707075835</v>
      </c>
      <c r="V45" s="63">
        <v>2504.4934887057989</v>
      </c>
      <c r="W45" s="63">
        <v>2563.6353387765253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4408.4480721625814</v>
      </c>
      <c r="C47" s="82">
        <f t="shared" ref="C47:W47" si="22">SUM(C48,C53)</f>
        <v>4791.9248580195526</v>
      </c>
      <c r="D47" s="82">
        <f t="shared" si="22"/>
        <v>4783.6186096263918</v>
      </c>
      <c r="E47" s="82">
        <f t="shared" si="22"/>
        <v>4791.443049890866</v>
      </c>
      <c r="F47" s="82">
        <f t="shared" si="22"/>
        <v>4555.2243368408217</v>
      </c>
      <c r="G47" s="82">
        <f t="shared" si="22"/>
        <v>4104.5083747456038</v>
      </c>
      <c r="H47" s="82">
        <f t="shared" si="22"/>
        <v>4145.5308690072816</v>
      </c>
      <c r="I47" s="82">
        <f t="shared" si="22"/>
        <v>4219.9451935885318</v>
      </c>
      <c r="J47" s="82">
        <f t="shared" si="22"/>
        <v>4167.8711230803738</v>
      </c>
      <c r="K47" s="82">
        <f t="shared" si="22"/>
        <v>4036.64536854777</v>
      </c>
      <c r="L47" s="82">
        <f t="shared" si="22"/>
        <v>4333.6488213216062</v>
      </c>
      <c r="M47" s="82">
        <f t="shared" si="22"/>
        <v>3864.6719683514002</v>
      </c>
      <c r="N47" s="82">
        <f t="shared" si="22"/>
        <v>4045.9415063861265</v>
      </c>
      <c r="O47" s="82">
        <f t="shared" si="22"/>
        <v>3958.358261336698</v>
      </c>
      <c r="P47" s="82">
        <f t="shared" si="22"/>
        <v>3959.0829675256177</v>
      </c>
      <c r="Q47" s="82">
        <f t="shared" si="22"/>
        <v>4019.3106124787337</v>
      </c>
      <c r="R47" s="82">
        <f t="shared" si="22"/>
        <v>4211.7042738243745</v>
      </c>
      <c r="S47" s="82">
        <f t="shared" si="22"/>
        <v>3995.5719525895611</v>
      </c>
      <c r="T47" s="82">
        <f t="shared" si="22"/>
        <v>4107.9351306885783</v>
      </c>
      <c r="U47" s="82">
        <f t="shared" si="22"/>
        <v>4023.1282341641609</v>
      </c>
      <c r="V47" s="82">
        <f t="shared" si="22"/>
        <v>3998.97938724406</v>
      </c>
      <c r="W47" s="82">
        <f t="shared" si="22"/>
        <v>4250.4957858960406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3536.0888889661951</v>
      </c>
      <c r="C48" s="64">
        <f t="shared" ref="C48:W48" si="24">SUM(C49:C52)</f>
        <v>3875.2632380877726</v>
      </c>
      <c r="D48" s="64">
        <f t="shared" si="24"/>
        <v>3828.0537538022868</v>
      </c>
      <c r="E48" s="64">
        <f t="shared" si="24"/>
        <v>3803.2779764755878</v>
      </c>
      <c r="F48" s="64">
        <f t="shared" si="24"/>
        <v>3534.3586453855655</v>
      </c>
      <c r="G48" s="64">
        <f t="shared" si="24"/>
        <v>3062.3957333342692</v>
      </c>
      <c r="H48" s="64">
        <f t="shared" si="24"/>
        <v>3081.858453651681</v>
      </c>
      <c r="I48" s="64">
        <f t="shared" si="24"/>
        <v>3132.4900827662814</v>
      </c>
      <c r="J48" s="64">
        <f t="shared" si="24"/>
        <v>3062.7212316584587</v>
      </c>
      <c r="K48" s="64">
        <f t="shared" si="24"/>
        <v>2918.3745825417773</v>
      </c>
      <c r="L48" s="64">
        <f t="shared" si="24"/>
        <v>3193.5348372802691</v>
      </c>
      <c r="M48" s="64">
        <f t="shared" si="24"/>
        <v>2741.1105435626814</v>
      </c>
      <c r="N48" s="64">
        <f t="shared" si="24"/>
        <v>2909.3338834428118</v>
      </c>
      <c r="O48" s="64">
        <f t="shared" si="24"/>
        <v>2797.0882057614249</v>
      </c>
      <c r="P48" s="64">
        <f t="shared" si="24"/>
        <v>2774.3755721078401</v>
      </c>
      <c r="Q48" s="64">
        <f t="shared" si="24"/>
        <v>2798.8802953792729</v>
      </c>
      <c r="R48" s="64">
        <f t="shared" si="24"/>
        <v>2965.7359410023032</v>
      </c>
      <c r="S48" s="64">
        <f t="shared" si="24"/>
        <v>2735.5846916225837</v>
      </c>
      <c r="T48" s="64">
        <f t="shared" si="24"/>
        <v>2839.8763844560526</v>
      </c>
      <c r="U48" s="64">
        <f t="shared" si="24"/>
        <v>2728.4314975546272</v>
      </c>
      <c r="V48" s="64">
        <f t="shared" si="24"/>
        <v>2570.979343678624</v>
      </c>
      <c r="W48" s="64">
        <f t="shared" si="24"/>
        <v>2803.0857975820127</v>
      </c>
      <c r="DA48" s="108" t="s">
        <v>212</v>
      </c>
    </row>
    <row r="49" spans="1:105" ht="12" customHeight="1" x14ac:dyDescent="0.25">
      <c r="A49" s="61" t="s">
        <v>32</v>
      </c>
      <c r="B49" s="65">
        <v>2864.3786290832086</v>
      </c>
      <c r="C49" s="65">
        <v>3191.5489875975627</v>
      </c>
      <c r="D49" s="65">
        <v>3146.6106432254273</v>
      </c>
      <c r="E49" s="65">
        <v>3123.4971947943518</v>
      </c>
      <c r="F49" s="65">
        <v>2853.9012715528506</v>
      </c>
      <c r="G49" s="65">
        <v>2386.6733470943836</v>
      </c>
      <c r="H49" s="65">
        <v>2389.8426369818753</v>
      </c>
      <c r="I49" s="65">
        <v>2422.4497766611826</v>
      </c>
      <c r="J49" s="65">
        <v>2350.5291646746582</v>
      </c>
      <c r="K49" s="65">
        <v>2210.9149095796847</v>
      </c>
      <c r="L49" s="65">
        <v>2471.3533779584795</v>
      </c>
      <c r="M49" s="65">
        <v>2016.0124670615965</v>
      </c>
      <c r="N49" s="65">
        <v>2193.1622459687087</v>
      </c>
      <c r="O49" s="65">
        <v>2073.9258262100179</v>
      </c>
      <c r="P49" s="65">
        <v>2046.3664280195096</v>
      </c>
      <c r="Q49" s="65">
        <v>2070.3400614969992</v>
      </c>
      <c r="R49" s="65">
        <v>2232.8707019812518</v>
      </c>
      <c r="S49" s="65">
        <v>2002.314422663399</v>
      </c>
      <c r="T49" s="65">
        <v>2103.4457055942898</v>
      </c>
      <c r="U49" s="65">
        <v>1989.9732264456211</v>
      </c>
      <c r="V49" s="65">
        <v>1859.1583723151205</v>
      </c>
      <c r="W49" s="65">
        <v>2081.5565885478541</v>
      </c>
      <c r="DA49" s="109" t="s">
        <v>213</v>
      </c>
    </row>
    <row r="50" spans="1:105" ht="12" customHeight="1" x14ac:dyDescent="0.25">
      <c r="A50" s="61" t="s">
        <v>31</v>
      </c>
      <c r="B50" s="65">
        <v>43.650326837978632</v>
      </c>
      <c r="C50" s="65">
        <v>43.169009322612887</v>
      </c>
      <c r="D50" s="65">
        <v>42.708687300100443</v>
      </c>
      <c r="E50" s="65">
        <v>41.742775519913721</v>
      </c>
      <c r="F50" s="65">
        <v>41.108190368267358</v>
      </c>
      <c r="G50" s="65">
        <v>40.112272027826499</v>
      </c>
      <c r="H50" s="65">
        <v>39.02127996419869</v>
      </c>
      <c r="I50" s="65">
        <v>38.016972034977563</v>
      </c>
      <c r="J50" s="65">
        <v>36.82691178503827</v>
      </c>
      <c r="K50" s="65">
        <v>37.221951259329231</v>
      </c>
      <c r="L50" s="65">
        <v>38.078440540807627</v>
      </c>
      <c r="M50" s="65">
        <v>36.984601388807384</v>
      </c>
      <c r="N50" s="65">
        <v>36.438056033881651</v>
      </c>
      <c r="O50" s="65">
        <v>36.091792439610273</v>
      </c>
      <c r="P50" s="65">
        <v>35.806359874934124</v>
      </c>
      <c r="Q50" s="65">
        <v>34.622461206865353</v>
      </c>
      <c r="R50" s="65">
        <v>34.280020071779795</v>
      </c>
      <c r="S50" s="65">
        <v>34.046233561645074</v>
      </c>
      <c r="T50" s="65">
        <v>33.803878851324697</v>
      </c>
      <c r="U50" s="65">
        <v>33.255482611373175</v>
      </c>
      <c r="V50" s="65">
        <v>32.262620985453459</v>
      </c>
      <c r="W50" s="65">
        <v>32.575482113046746</v>
      </c>
      <c r="DA50" s="109" t="s">
        <v>214</v>
      </c>
    </row>
    <row r="51" spans="1:105" ht="12" customHeight="1" x14ac:dyDescent="0.25">
      <c r="A51" s="61" t="s">
        <v>35</v>
      </c>
      <c r="B51" s="65">
        <v>363.44200800210336</v>
      </c>
      <c r="C51" s="65">
        <v>363.61635521015614</v>
      </c>
      <c r="D51" s="65">
        <v>362.63629205679297</v>
      </c>
      <c r="E51" s="65">
        <v>362.60108475380764</v>
      </c>
      <c r="F51" s="65">
        <v>359.92735287891389</v>
      </c>
      <c r="G51" s="65">
        <v>353.46649733958475</v>
      </c>
      <c r="H51" s="65">
        <v>355.24700852374872</v>
      </c>
      <c r="I51" s="65">
        <v>358.63229283226667</v>
      </c>
      <c r="J51" s="65">
        <v>360.26325375765111</v>
      </c>
      <c r="K51" s="65">
        <v>358.15257457636642</v>
      </c>
      <c r="L51" s="65">
        <v>358.64865810801103</v>
      </c>
      <c r="M51" s="65">
        <v>359.72596256211727</v>
      </c>
      <c r="N51" s="65">
        <v>364.14761975170825</v>
      </c>
      <c r="O51" s="65">
        <v>367.5854835640971</v>
      </c>
      <c r="P51" s="65">
        <v>368.88972622837298</v>
      </c>
      <c r="Q51" s="65">
        <v>373.64605301819415</v>
      </c>
      <c r="R51" s="65">
        <v>372.29750761611371</v>
      </c>
      <c r="S51" s="65">
        <v>369.89446936544277</v>
      </c>
      <c r="T51" s="65">
        <v>370.95666960376957</v>
      </c>
      <c r="U51" s="65">
        <v>368.37432449632814</v>
      </c>
      <c r="V51" s="65">
        <v>357.57929210219737</v>
      </c>
      <c r="W51" s="65">
        <v>363.1530128380241</v>
      </c>
      <c r="DA51" s="109" t="s">
        <v>215</v>
      </c>
    </row>
    <row r="52" spans="1:105" ht="12" customHeight="1" x14ac:dyDescent="0.25">
      <c r="A52" s="66" t="s">
        <v>34</v>
      </c>
      <c r="B52" s="67">
        <v>264.61792504290446</v>
      </c>
      <c r="C52" s="67">
        <v>276.92888595744074</v>
      </c>
      <c r="D52" s="67">
        <v>276.09813121996609</v>
      </c>
      <c r="E52" s="67">
        <v>275.43692140751477</v>
      </c>
      <c r="F52" s="67">
        <v>279.42183058553348</v>
      </c>
      <c r="G52" s="67">
        <v>282.1436168724743</v>
      </c>
      <c r="H52" s="67">
        <v>297.7475281818584</v>
      </c>
      <c r="I52" s="67">
        <v>313.39104123785432</v>
      </c>
      <c r="J52" s="67">
        <v>315.10190144111141</v>
      </c>
      <c r="K52" s="67">
        <v>312.08514712639703</v>
      </c>
      <c r="L52" s="67">
        <v>325.45436067297061</v>
      </c>
      <c r="M52" s="67">
        <v>328.3875125501603</v>
      </c>
      <c r="N52" s="67">
        <v>315.58596168851312</v>
      </c>
      <c r="O52" s="67">
        <v>319.48510354769934</v>
      </c>
      <c r="P52" s="67">
        <v>323.31305798502297</v>
      </c>
      <c r="Q52" s="67">
        <v>320.27171965721402</v>
      </c>
      <c r="R52" s="67">
        <v>326.2877113331578</v>
      </c>
      <c r="S52" s="67">
        <v>329.32956603209692</v>
      </c>
      <c r="T52" s="67">
        <v>331.67013040666853</v>
      </c>
      <c r="U52" s="67">
        <v>336.82846400130478</v>
      </c>
      <c r="V52" s="67">
        <v>321.97905827585259</v>
      </c>
      <c r="W52" s="67">
        <v>325.80071408308794</v>
      </c>
      <c r="DA52" s="110" t="s">
        <v>216</v>
      </c>
    </row>
    <row r="53" spans="1:105" ht="12" customHeight="1" x14ac:dyDescent="0.25">
      <c r="A53" s="78" t="s">
        <v>33</v>
      </c>
      <c r="B53" s="68">
        <v>872.35918319638643</v>
      </c>
      <c r="C53" s="68">
        <v>916.66161993178048</v>
      </c>
      <c r="D53" s="68">
        <v>955.56485582410528</v>
      </c>
      <c r="E53" s="68">
        <v>988.16507341527779</v>
      </c>
      <c r="F53" s="68">
        <v>1020.8656914552564</v>
      </c>
      <c r="G53" s="68">
        <v>1042.1126414113344</v>
      </c>
      <c r="H53" s="68">
        <v>1063.6724153556002</v>
      </c>
      <c r="I53" s="68">
        <v>1087.4551108222504</v>
      </c>
      <c r="J53" s="68">
        <v>1105.1498914219153</v>
      </c>
      <c r="K53" s="68">
        <v>1118.2707860059929</v>
      </c>
      <c r="L53" s="68">
        <v>1140.1139840413368</v>
      </c>
      <c r="M53" s="68">
        <v>1123.561424788719</v>
      </c>
      <c r="N53" s="68">
        <v>1136.6076229433147</v>
      </c>
      <c r="O53" s="68">
        <v>1161.2700555752731</v>
      </c>
      <c r="P53" s="68">
        <v>1184.7073954177777</v>
      </c>
      <c r="Q53" s="68">
        <v>1220.4303170994608</v>
      </c>
      <c r="R53" s="68">
        <v>1245.9683328220713</v>
      </c>
      <c r="S53" s="68">
        <v>1259.9872609669776</v>
      </c>
      <c r="T53" s="68">
        <v>1268.0587462325257</v>
      </c>
      <c r="U53" s="68">
        <v>1294.6967366095337</v>
      </c>
      <c r="V53" s="68">
        <v>1428.000043565436</v>
      </c>
      <c r="W53" s="68">
        <v>1447.4099883140279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0.80211648886034237</v>
      </c>
      <c r="C56" s="70">
        <f t="shared" ref="C56:W56" si="28">IF(C48=0,0,C48/C$47)</f>
        <v>0.80870701292452529</v>
      </c>
      <c r="D56" s="70">
        <f t="shared" si="28"/>
        <v>0.80024225721064823</v>
      </c>
      <c r="E56" s="70">
        <f t="shared" si="28"/>
        <v>0.79376462098661793</v>
      </c>
      <c r="F56" s="70">
        <f t="shared" si="28"/>
        <v>0.77589123696962514</v>
      </c>
      <c r="G56" s="70">
        <f t="shared" si="28"/>
        <v>0.74610536847158349</v>
      </c>
      <c r="H56" s="70">
        <f t="shared" si="28"/>
        <v>0.74341707999141848</v>
      </c>
      <c r="I56" s="70">
        <f t="shared" si="28"/>
        <v>0.7423058686936389</v>
      </c>
      <c r="J56" s="70">
        <f t="shared" si="28"/>
        <v>0.73484067554249966</v>
      </c>
      <c r="K56" s="70">
        <f t="shared" si="28"/>
        <v>0.72297026765858707</v>
      </c>
      <c r="L56" s="70">
        <f t="shared" si="28"/>
        <v>0.73691592672854289</v>
      </c>
      <c r="M56" s="70">
        <f t="shared" si="28"/>
        <v>0.7092737924486745</v>
      </c>
      <c r="N56" s="70">
        <f t="shared" si="28"/>
        <v>0.71907462795759902</v>
      </c>
      <c r="O56" s="70">
        <f t="shared" si="28"/>
        <v>0.70662835981321104</v>
      </c>
      <c r="P56" s="70">
        <f t="shared" si="28"/>
        <v>0.70076217014512165</v>
      </c>
      <c r="Q56" s="70">
        <f t="shared" si="28"/>
        <v>0.69635829753729483</v>
      </c>
      <c r="R56" s="70">
        <f t="shared" si="28"/>
        <v>0.70416528516360233</v>
      </c>
      <c r="S56" s="70">
        <f t="shared" si="28"/>
        <v>0.68465409310164727</v>
      </c>
      <c r="T56" s="70">
        <f t="shared" si="28"/>
        <v>0.69131480758802255</v>
      </c>
      <c r="U56" s="70">
        <f t="shared" si="28"/>
        <v>0.67818655999700739</v>
      </c>
      <c r="V56" s="70">
        <f t="shared" si="28"/>
        <v>0.64290887616963743</v>
      </c>
      <c r="W56" s="70">
        <f t="shared" si="28"/>
        <v>0.65947266831393847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0.64974761689278027</v>
      </c>
      <c r="C57" s="71">
        <f t="shared" ref="C57:W57" si="30">IF(C49=0,0,C49/C$47)</f>
        <v>0.66602650963032695</v>
      </c>
      <c r="D57" s="71">
        <f t="shared" si="30"/>
        <v>0.65778877874864328</v>
      </c>
      <c r="E57" s="71">
        <f t="shared" si="30"/>
        <v>0.65189070646795966</v>
      </c>
      <c r="F57" s="71">
        <f t="shared" si="30"/>
        <v>0.62651168428119897</v>
      </c>
      <c r="G57" s="71">
        <f t="shared" si="30"/>
        <v>0.58147605734689456</v>
      </c>
      <c r="H57" s="71">
        <f t="shared" si="30"/>
        <v>0.57648651342793256</v>
      </c>
      <c r="I57" s="71">
        <f t="shared" si="30"/>
        <v>0.57404768676656537</v>
      </c>
      <c r="J57" s="71">
        <f t="shared" si="30"/>
        <v>0.56396397471557091</v>
      </c>
      <c r="K57" s="71">
        <f t="shared" si="30"/>
        <v>0.54771095989913199</v>
      </c>
      <c r="L57" s="71">
        <f t="shared" si="30"/>
        <v>0.57027079947027326</v>
      </c>
      <c r="M57" s="71">
        <f t="shared" si="30"/>
        <v>0.52165163914845569</v>
      </c>
      <c r="N57" s="71">
        <f t="shared" si="30"/>
        <v>0.54206474377027314</v>
      </c>
      <c r="O57" s="71">
        <f t="shared" si="30"/>
        <v>0.52393585655626684</v>
      </c>
      <c r="P57" s="71">
        <f t="shared" si="30"/>
        <v>0.51687889463414438</v>
      </c>
      <c r="Q57" s="71">
        <f t="shared" si="30"/>
        <v>0.51509829946190888</v>
      </c>
      <c r="R57" s="71">
        <f t="shared" si="30"/>
        <v>0.5301584719180028</v>
      </c>
      <c r="S57" s="71">
        <f t="shared" si="30"/>
        <v>0.50113336624201787</v>
      </c>
      <c r="T57" s="71">
        <f t="shared" si="30"/>
        <v>0.51204452813297152</v>
      </c>
      <c r="U57" s="71">
        <f t="shared" si="30"/>
        <v>0.49463330786895859</v>
      </c>
      <c r="V57" s="71">
        <f t="shared" si="30"/>
        <v>0.46490821589265047</v>
      </c>
      <c r="W57" s="71">
        <f t="shared" si="30"/>
        <v>0.48972089219682502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9.9015177503419694E-3</v>
      </c>
      <c r="C58" s="72">
        <f t="shared" ref="C58:W58" si="32">IF(C50=0,0,C50/C$47)</f>
        <v>9.0086991348303693E-3</v>
      </c>
      <c r="D58" s="72">
        <f t="shared" si="32"/>
        <v>8.9281129591215584E-3</v>
      </c>
      <c r="E58" s="72">
        <f t="shared" si="32"/>
        <v>8.7119423282855241E-3</v>
      </c>
      <c r="F58" s="72">
        <f t="shared" si="32"/>
        <v>9.0244052385742794E-3</v>
      </c>
      <c r="G58" s="72">
        <f t="shared" si="32"/>
        <v>9.7727348480103043E-3</v>
      </c>
      <c r="H58" s="72">
        <f t="shared" si="32"/>
        <v>9.4128547578619295E-3</v>
      </c>
      <c r="I58" s="72">
        <f t="shared" si="32"/>
        <v>9.0088781467441096E-3</v>
      </c>
      <c r="J58" s="72">
        <f t="shared" si="32"/>
        <v>8.835904637526407E-3</v>
      </c>
      <c r="K58" s="72">
        <f t="shared" si="32"/>
        <v>9.2210109784105852E-3</v>
      </c>
      <c r="L58" s="72">
        <f t="shared" si="32"/>
        <v>8.7866927180304099E-3</v>
      </c>
      <c r="M58" s="72">
        <f t="shared" si="32"/>
        <v>9.569919954832376E-3</v>
      </c>
      <c r="N58" s="72">
        <f t="shared" si="32"/>
        <v>9.0060758358388796E-3</v>
      </c>
      <c r="O58" s="72">
        <f t="shared" si="32"/>
        <v>9.117869090359304E-3</v>
      </c>
      <c r="P58" s="72">
        <f t="shared" si="32"/>
        <v>9.044104447579358E-3</v>
      </c>
      <c r="Q58" s="72">
        <f t="shared" si="32"/>
        <v>8.6140297541009072E-3</v>
      </c>
      <c r="R58" s="72">
        <f t="shared" si="32"/>
        <v>8.1392276957404554E-3</v>
      </c>
      <c r="S58" s="72">
        <f t="shared" si="32"/>
        <v>8.5209912286974207E-3</v>
      </c>
      <c r="T58" s="72">
        <f t="shared" si="32"/>
        <v>8.2289222628640774E-3</v>
      </c>
      <c r="U58" s="72">
        <f t="shared" si="32"/>
        <v>8.2660757191306087E-3</v>
      </c>
      <c r="V58" s="72">
        <f t="shared" si="32"/>
        <v>8.0677137492543051E-3</v>
      </c>
      <c r="W58" s="72">
        <f t="shared" si="32"/>
        <v>7.6639252816432463E-3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8.2442166053192378E-2</v>
      </c>
      <c r="C59" s="72">
        <f t="shared" ref="C59:W59" si="34">IF(C51=0,0,C51/C$47)</f>
        <v>7.5881063661009621E-2</v>
      </c>
      <c r="D59" s="72">
        <f t="shared" si="34"/>
        <v>7.5807944079621228E-2</v>
      </c>
      <c r="E59" s="72">
        <f t="shared" si="34"/>
        <v>7.5676801535200663E-2</v>
      </c>
      <c r="F59" s="72">
        <f t="shared" si="34"/>
        <v>7.9014188163679722E-2</v>
      </c>
      <c r="G59" s="72">
        <f t="shared" si="34"/>
        <v>8.6116646640169783E-2</v>
      </c>
      <c r="H59" s="72">
        <f t="shared" si="34"/>
        <v>8.5693972557203194E-2</v>
      </c>
      <c r="I59" s="72">
        <f t="shared" si="34"/>
        <v>8.4985059374028282E-2</v>
      </c>
      <c r="J59" s="72">
        <f t="shared" si="34"/>
        <v>8.6438194252846559E-2</v>
      </c>
      <c r="K59" s="72">
        <f t="shared" si="34"/>
        <v>8.8725300807193763E-2</v>
      </c>
      <c r="L59" s="72">
        <f t="shared" si="34"/>
        <v>8.2759049681980501E-2</v>
      </c>
      <c r="M59" s="72">
        <f t="shared" si="34"/>
        <v>9.3080594034367664E-2</v>
      </c>
      <c r="N59" s="72">
        <f t="shared" si="34"/>
        <v>9.000318446940879E-2</v>
      </c>
      <c r="O59" s="72">
        <f t="shared" si="34"/>
        <v>9.2863116296089676E-2</v>
      </c>
      <c r="P59" s="72">
        <f t="shared" si="34"/>
        <v>9.3175548290902549E-2</v>
      </c>
      <c r="Q59" s="72">
        <f t="shared" si="34"/>
        <v>9.2962721482170871E-2</v>
      </c>
      <c r="R59" s="72">
        <f t="shared" si="34"/>
        <v>8.8395927969096122E-2</v>
      </c>
      <c r="S59" s="72">
        <f t="shared" si="34"/>
        <v>9.2576100181530036E-2</v>
      </c>
      <c r="T59" s="72">
        <f t="shared" si="34"/>
        <v>9.0302465302461887E-2</v>
      </c>
      <c r="U59" s="72">
        <f t="shared" si="34"/>
        <v>9.1564151837894639E-2</v>
      </c>
      <c r="V59" s="72">
        <f t="shared" si="34"/>
        <v>8.9417638221092957E-2</v>
      </c>
      <c r="W59" s="72">
        <f t="shared" si="34"/>
        <v>8.5437800936783742E-2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6.0025188164027778E-2</v>
      </c>
      <c r="C60" s="73">
        <f t="shared" ref="C60:W60" si="36">IF(C52=0,0,C52/C$47)</f>
        <v>5.7790740498358369E-2</v>
      </c>
      <c r="D60" s="73">
        <f t="shared" si="36"/>
        <v>5.7717421423262208E-2</v>
      </c>
      <c r="E60" s="73">
        <f t="shared" si="36"/>
        <v>5.7485170655172113E-2</v>
      </c>
      <c r="F60" s="73">
        <f t="shared" si="36"/>
        <v>6.1340959286172177E-2</v>
      </c>
      <c r="G60" s="73">
        <f t="shared" si="36"/>
        <v>6.8739929636508892E-2</v>
      </c>
      <c r="H60" s="73">
        <f t="shared" si="36"/>
        <v>7.1823739248420823E-2</v>
      </c>
      <c r="I60" s="73">
        <f t="shared" si="36"/>
        <v>7.4264244406301097E-2</v>
      </c>
      <c r="J60" s="73">
        <f t="shared" si="36"/>
        <v>7.5602601936555838E-2</v>
      </c>
      <c r="K60" s="73">
        <f t="shared" si="36"/>
        <v>7.7312995973850759E-2</v>
      </c>
      <c r="L60" s="73">
        <f t="shared" si="36"/>
        <v>7.5099384858258733E-2</v>
      </c>
      <c r="M60" s="73">
        <f t="shared" si="36"/>
        <v>8.497163931101881E-2</v>
      </c>
      <c r="N60" s="73">
        <f t="shared" si="36"/>
        <v>7.8000623882078193E-2</v>
      </c>
      <c r="O60" s="73">
        <f t="shared" si="36"/>
        <v>8.0711517870495228E-2</v>
      </c>
      <c r="P60" s="73">
        <f t="shared" si="36"/>
        <v>8.1663622772495212E-2</v>
      </c>
      <c r="Q60" s="73">
        <f t="shared" si="36"/>
        <v>7.9683246839114152E-2</v>
      </c>
      <c r="R60" s="73">
        <f t="shared" si="36"/>
        <v>7.7471657580762951E-2</v>
      </c>
      <c r="S60" s="73">
        <f t="shared" si="36"/>
        <v>8.24236354494019E-2</v>
      </c>
      <c r="T60" s="73">
        <f t="shared" si="36"/>
        <v>8.0738891889725023E-2</v>
      </c>
      <c r="U60" s="73">
        <f t="shared" si="36"/>
        <v>8.3723024571023583E-2</v>
      </c>
      <c r="V60" s="73">
        <f t="shared" si="36"/>
        <v>8.0515308306639694E-2</v>
      </c>
      <c r="W60" s="73">
        <f t="shared" si="36"/>
        <v>7.6650049898686443E-2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0.19788351113965763</v>
      </c>
      <c r="C61" s="70">
        <f t="shared" ref="C61:W61" si="38">IF(C53=0,0,C53/C$47)</f>
        <v>0.19129298707547476</v>
      </c>
      <c r="D61" s="70">
        <f t="shared" si="38"/>
        <v>0.19975774278935177</v>
      </c>
      <c r="E61" s="70">
        <f t="shared" si="38"/>
        <v>0.20623537901338201</v>
      </c>
      <c r="F61" s="70">
        <f t="shared" si="38"/>
        <v>0.22410876303037491</v>
      </c>
      <c r="G61" s="70">
        <f t="shared" si="38"/>
        <v>0.2538946315284164</v>
      </c>
      <c r="H61" s="70">
        <f t="shared" si="38"/>
        <v>0.25658292000858135</v>
      </c>
      <c r="I61" s="70">
        <f t="shared" si="38"/>
        <v>0.2576941313063611</v>
      </c>
      <c r="J61" s="70">
        <f t="shared" si="38"/>
        <v>0.2651593244575004</v>
      </c>
      <c r="K61" s="70">
        <f t="shared" si="38"/>
        <v>0.27702973234141293</v>
      </c>
      <c r="L61" s="70">
        <f t="shared" si="38"/>
        <v>0.26308407327145705</v>
      </c>
      <c r="M61" s="70">
        <f t="shared" si="38"/>
        <v>0.29072620755132556</v>
      </c>
      <c r="N61" s="70">
        <f t="shared" si="38"/>
        <v>0.28092537204240092</v>
      </c>
      <c r="O61" s="70">
        <f t="shared" si="38"/>
        <v>0.29337164018678891</v>
      </c>
      <c r="P61" s="70">
        <f t="shared" si="38"/>
        <v>0.29923782985487835</v>
      </c>
      <c r="Q61" s="70">
        <f t="shared" si="38"/>
        <v>0.30364170246270517</v>
      </c>
      <c r="R61" s="70">
        <f t="shared" si="38"/>
        <v>0.29583471483639767</v>
      </c>
      <c r="S61" s="70">
        <f t="shared" si="38"/>
        <v>0.31534590689835285</v>
      </c>
      <c r="T61" s="70">
        <f t="shared" si="38"/>
        <v>0.3086851924119775</v>
      </c>
      <c r="U61" s="70">
        <f t="shared" si="38"/>
        <v>0.32181344000299256</v>
      </c>
      <c r="V61" s="70">
        <f t="shared" si="38"/>
        <v>0.35709112383036257</v>
      </c>
      <c r="W61" s="70">
        <f t="shared" si="38"/>
        <v>0.34052733168606159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3357.1379861999999</v>
      </c>
      <c r="C65" s="80">
        <v>3406.2525241199996</v>
      </c>
      <c r="D65" s="80">
        <v>3369.9590056800002</v>
      </c>
      <c r="E65" s="80">
        <v>3512.4602356800001</v>
      </c>
      <c r="F65" s="80">
        <v>2690.2597075200006</v>
      </c>
      <c r="G65" s="80">
        <v>1515.0228850799999</v>
      </c>
      <c r="H65" s="80">
        <v>1459.9620586800002</v>
      </c>
      <c r="I65" s="80">
        <v>1501.3992258000001</v>
      </c>
      <c r="J65" s="80">
        <v>1339.1486391599999</v>
      </c>
      <c r="K65" s="80">
        <v>1143.0836564400001</v>
      </c>
      <c r="L65" s="80">
        <v>1380.0584584799999</v>
      </c>
      <c r="M65" s="80">
        <v>1275.6788089199999</v>
      </c>
      <c r="N65" s="80">
        <v>1173.47746968</v>
      </c>
      <c r="O65" s="80">
        <v>1050.21115704</v>
      </c>
      <c r="P65" s="80">
        <v>1006.6840516799998</v>
      </c>
      <c r="Q65" s="80">
        <v>955.55723760000012</v>
      </c>
      <c r="R65" s="80">
        <v>929.28082535999988</v>
      </c>
      <c r="S65" s="80">
        <v>828.9479262996</v>
      </c>
      <c r="T65" s="80">
        <v>873.93664799999999</v>
      </c>
      <c r="U65" s="80">
        <v>905.98398048000013</v>
      </c>
      <c r="V65" s="80">
        <v>880.22639736000019</v>
      </c>
      <c r="W65" s="80">
        <v>791.76956435999989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3274.1718461999999</v>
      </c>
      <c r="C67" s="55">
        <f t="shared" ref="C67:W67" si="39">SUM(C68:C69)</f>
        <v>3328.5060241199999</v>
      </c>
      <c r="D67" s="55">
        <f t="shared" si="39"/>
        <v>3217.2578056800003</v>
      </c>
      <c r="E67" s="55">
        <f t="shared" si="39"/>
        <v>3303.5007556800001</v>
      </c>
      <c r="F67" s="55">
        <f t="shared" si="39"/>
        <v>2480.7766975200007</v>
      </c>
      <c r="G67" s="55">
        <f t="shared" si="39"/>
        <v>1295.0692750799999</v>
      </c>
      <c r="H67" s="55">
        <f t="shared" si="39"/>
        <v>1236.13961868</v>
      </c>
      <c r="I67" s="55">
        <f t="shared" si="39"/>
        <v>1271.9097558000001</v>
      </c>
      <c r="J67" s="55">
        <f t="shared" si="39"/>
        <v>1100.5736691599998</v>
      </c>
      <c r="K67" s="55">
        <f t="shared" si="39"/>
        <v>1012.9358264400001</v>
      </c>
      <c r="L67" s="55">
        <f t="shared" si="39"/>
        <v>1130.6864584800001</v>
      </c>
      <c r="M67" s="55">
        <f t="shared" si="39"/>
        <v>1054.38113892</v>
      </c>
      <c r="N67" s="55">
        <f t="shared" si="39"/>
        <v>887.85553967999999</v>
      </c>
      <c r="O67" s="55">
        <f t="shared" si="39"/>
        <v>801.59839704000001</v>
      </c>
      <c r="P67" s="55">
        <f t="shared" si="39"/>
        <v>770.4918316799999</v>
      </c>
      <c r="Q67" s="55">
        <f t="shared" si="39"/>
        <v>732.4419276000001</v>
      </c>
      <c r="R67" s="55">
        <f t="shared" si="39"/>
        <v>704.34787535999976</v>
      </c>
      <c r="S67" s="55">
        <f t="shared" si="39"/>
        <v>702.16369905959994</v>
      </c>
      <c r="T67" s="55">
        <f t="shared" si="39"/>
        <v>690.708438</v>
      </c>
      <c r="U67" s="55">
        <f t="shared" si="39"/>
        <v>667.22909004000007</v>
      </c>
      <c r="V67" s="55">
        <f t="shared" si="39"/>
        <v>656.57064240000022</v>
      </c>
      <c r="W67" s="55">
        <f t="shared" si="39"/>
        <v>572.58419399999991</v>
      </c>
      <c r="DA67" s="101"/>
    </row>
    <row r="68" spans="1:105" ht="12" customHeight="1" x14ac:dyDescent="0.25">
      <c r="A68" s="61" t="s">
        <v>52</v>
      </c>
      <c r="B68" s="55">
        <v>110.43133524000002</v>
      </c>
      <c r="C68" s="55">
        <v>149.23139904000001</v>
      </c>
      <c r="D68" s="55">
        <v>122.36972904</v>
      </c>
      <c r="E68" s="55">
        <v>95.508059040000006</v>
      </c>
      <c r="F68" s="55">
        <v>83.56966524000002</v>
      </c>
      <c r="G68" s="55">
        <v>84.978284400000007</v>
      </c>
      <c r="H68" s="55">
        <v>167.35717692</v>
      </c>
      <c r="I68" s="55">
        <v>252.05787180000004</v>
      </c>
      <c r="J68" s="55">
        <v>231.30294408000006</v>
      </c>
      <c r="K68" s="55">
        <v>151.59522600000003</v>
      </c>
      <c r="L68" s="55">
        <v>239.09862096000001</v>
      </c>
      <c r="M68" s="55">
        <v>220.88356920000001</v>
      </c>
      <c r="N68" s="55">
        <v>59.653806120000013</v>
      </c>
      <c r="O68" s="55">
        <v>64.861903440000006</v>
      </c>
      <c r="P68" s="55">
        <v>70.487975160000005</v>
      </c>
      <c r="Q68" s="55">
        <v>31.926656520000002</v>
      </c>
      <c r="R68" s="55">
        <v>33.977002679999998</v>
      </c>
      <c r="S68" s="55">
        <v>32.856947139600003</v>
      </c>
      <c r="T68" s="55">
        <v>31.741293960000011</v>
      </c>
      <c r="U68" s="55">
        <v>31.741293960000011</v>
      </c>
      <c r="V68" s="55">
        <v>31.741293960000011</v>
      </c>
      <c r="W68" s="55">
        <v>31.741293960000011</v>
      </c>
      <c r="DA68" s="101" t="s">
        <v>220</v>
      </c>
    </row>
    <row r="69" spans="1:105" ht="12" customHeight="1" x14ac:dyDescent="0.25">
      <c r="A69" s="61" t="s">
        <v>170</v>
      </c>
      <c r="B69" s="55">
        <v>3163.7405109599999</v>
      </c>
      <c r="C69" s="55">
        <v>3179.2746250800001</v>
      </c>
      <c r="D69" s="55">
        <v>3094.8880766400002</v>
      </c>
      <c r="E69" s="55">
        <v>3207.9926966400003</v>
      </c>
      <c r="F69" s="55">
        <v>2397.2070322800005</v>
      </c>
      <c r="G69" s="55">
        <v>1210.0909906799998</v>
      </c>
      <c r="H69" s="55">
        <v>1068.78244176</v>
      </c>
      <c r="I69" s="55">
        <v>1019.851884</v>
      </c>
      <c r="J69" s="55">
        <v>869.27072507999969</v>
      </c>
      <c r="K69" s="55">
        <v>861.34060044000012</v>
      </c>
      <c r="L69" s="55">
        <v>891.58783751999999</v>
      </c>
      <c r="M69" s="55">
        <v>833.49756972</v>
      </c>
      <c r="N69" s="55">
        <v>828.20173355999998</v>
      </c>
      <c r="O69" s="55">
        <v>736.73649360000002</v>
      </c>
      <c r="P69" s="55">
        <v>700.00385651999989</v>
      </c>
      <c r="Q69" s="55">
        <v>700.51527108000005</v>
      </c>
      <c r="R69" s="55">
        <v>670.37087267999982</v>
      </c>
      <c r="S69" s="55">
        <v>669.3067519199999</v>
      </c>
      <c r="T69" s="55">
        <v>658.96714403999999</v>
      </c>
      <c r="U69" s="55">
        <v>635.48779608000007</v>
      </c>
      <c r="V69" s="55">
        <v>624.82934844000022</v>
      </c>
      <c r="W69" s="55">
        <v>540.8429000399999</v>
      </c>
      <c r="DA69" s="101" t="s">
        <v>221</v>
      </c>
    </row>
    <row r="70" spans="1:105" ht="12" customHeight="1" x14ac:dyDescent="0.25">
      <c r="A70" s="60" t="s">
        <v>153</v>
      </c>
      <c r="B70" s="55">
        <v>82.966140000000024</v>
      </c>
      <c r="C70" s="55">
        <v>77.746499999999997</v>
      </c>
      <c r="D70" s="55">
        <v>152.7012</v>
      </c>
      <c r="E70" s="55">
        <v>208.95947999999999</v>
      </c>
      <c r="F70" s="55">
        <v>209.48301000000004</v>
      </c>
      <c r="G70" s="55">
        <v>219.95361000000003</v>
      </c>
      <c r="H70" s="55">
        <v>223.82244</v>
      </c>
      <c r="I70" s="55">
        <v>229.48947000000001</v>
      </c>
      <c r="J70" s="55">
        <v>238.57497000000001</v>
      </c>
      <c r="K70" s="55">
        <v>130.14783</v>
      </c>
      <c r="L70" s="55">
        <v>249.3719999999999</v>
      </c>
      <c r="M70" s="55">
        <v>221.29767000000001</v>
      </c>
      <c r="N70" s="55">
        <v>285.62193000000002</v>
      </c>
      <c r="O70" s="55">
        <v>248.61276000000004</v>
      </c>
      <c r="P70" s="55">
        <v>236.19221999999993</v>
      </c>
      <c r="Q70" s="55">
        <v>223.11531000000002</v>
      </c>
      <c r="R70" s="55">
        <v>224.93295000000001</v>
      </c>
      <c r="S70" s="55">
        <v>126.78422724000002</v>
      </c>
      <c r="T70" s="55">
        <v>183.22821000000002</v>
      </c>
      <c r="U70" s="55">
        <v>238.75489044000003</v>
      </c>
      <c r="V70" s="55">
        <v>223.65575496</v>
      </c>
      <c r="W70" s="55">
        <v>219.18537036000001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3357.1379861999999</v>
      </c>
      <c r="C81" s="82">
        <f t="shared" ref="C81:W81" si="42">C82+C87</f>
        <v>3406.2525241200005</v>
      </c>
      <c r="D81" s="82">
        <f t="shared" si="42"/>
        <v>3369.9590056800002</v>
      </c>
      <c r="E81" s="82">
        <f t="shared" si="42"/>
        <v>3512.4602356800001</v>
      </c>
      <c r="F81" s="82">
        <f t="shared" si="42"/>
        <v>2690.2597075200001</v>
      </c>
      <c r="G81" s="82">
        <f t="shared" si="42"/>
        <v>1515.0228850799995</v>
      </c>
      <c r="H81" s="82">
        <f t="shared" si="42"/>
        <v>1459.9620586799992</v>
      </c>
      <c r="I81" s="82">
        <f t="shared" si="42"/>
        <v>1501.3992258000007</v>
      </c>
      <c r="J81" s="82">
        <f t="shared" si="42"/>
        <v>1339.1486391599997</v>
      </c>
      <c r="K81" s="82">
        <f t="shared" si="42"/>
        <v>1143.0836564400001</v>
      </c>
      <c r="L81" s="82">
        <f t="shared" si="42"/>
        <v>1380.0584584799997</v>
      </c>
      <c r="M81" s="82">
        <f t="shared" si="42"/>
        <v>1275.6788089200004</v>
      </c>
      <c r="N81" s="82">
        <f t="shared" si="42"/>
        <v>1173.4774696799996</v>
      </c>
      <c r="O81" s="82">
        <f t="shared" si="42"/>
        <v>1050.2111570400004</v>
      </c>
      <c r="P81" s="82">
        <f t="shared" si="42"/>
        <v>1006.6840516799999</v>
      </c>
      <c r="Q81" s="82">
        <f t="shared" si="42"/>
        <v>955.55723760000092</v>
      </c>
      <c r="R81" s="82">
        <f t="shared" si="42"/>
        <v>929.28082535999954</v>
      </c>
      <c r="S81" s="82">
        <f t="shared" si="42"/>
        <v>828.94792629959954</v>
      </c>
      <c r="T81" s="82">
        <f t="shared" si="42"/>
        <v>873.93664799999988</v>
      </c>
      <c r="U81" s="82">
        <f t="shared" si="42"/>
        <v>905.98398048000047</v>
      </c>
      <c r="V81" s="82">
        <f t="shared" si="42"/>
        <v>880.22639735999974</v>
      </c>
      <c r="W81" s="82">
        <f t="shared" si="42"/>
        <v>791.76956436000035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3357.1379861999999</v>
      </c>
      <c r="C82" s="64">
        <f t="shared" ref="C82:W82" si="44">SUM(C83:C86)</f>
        <v>3406.2525241200005</v>
      </c>
      <c r="D82" s="64">
        <f t="shared" si="44"/>
        <v>3369.9590056800002</v>
      </c>
      <c r="E82" s="64">
        <f t="shared" si="44"/>
        <v>3512.4602356800001</v>
      </c>
      <c r="F82" s="64">
        <f t="shared" si="44"/>
        <v>2690.2597075200001</v>
      </c>
      <c r="G82" s="64">
        <f t="shared" si="44"/>
        <v>1515.0228850799995</v>
      </c>
      <c r="H82" s="64">
        <f t="shared" si="44"/>
        <v>1459.9620586799992</v>
      </c>
      <c r="I82" s="64">
        <f t="shared" si="44"/>
        <v>1501.3992258000007</v>
      </c>
      <c r="J82" s="64">
        <f t="shared" si="44"/>
        <v>1339.1486391599997</v>
      </c>
      <c r="K82" s="64">
        <f t="shared" si="44"/>
        <v>1143.0836564400001</v>
      </c>
      <c r="L82" s="64">
        <f t="shared" si="44"/>
        <v>1380.0584584799997</v>
      </c>
      <c r="M82" s="64">
        <f t="shared" si="44"/>
        <v>1275.6788089200004</v>
      </c>
      <c r="N82" s="64">
        <f t="shared" si="44"/>
        <v>1173.4774696799996</v>
      </c>
      <c r="O82" s="64">
        <f t="shared" si="44"/>
        <v>1050.2111570400004</v>
      </c>
      <c r="P82" s="64">
        <f t="shared" si="44"/>
        <v>1006.6840516799999</v>
      </c>
      <c r="Q82" s="64">
        <f t="shared" si="44"/>
        <v>955.55723760000092</v>
      </c>
      <c r="R82" s="64">
        <f t="shared" si="44"/>
        <v>929.28082535999954</v>
      </c>
      <c r="S82" s="64">
        <f t="shared" si="44"/>
        <v>828.94792629959954</v>
      </c>
      <c r="T82" s="64">
        <f t="shared" si="44"/>
        <v>873.93664799999988</v>
      </c>
      <c r="U82" s="64">
        <f t="shared" si="44"/>
        <v>905.98398048000047</v>
      </c>
      <c r="V82" s="64">
        <f t="shared" si="44"/>
        <v>880.22639735999974</v>
      </c>
      <c r="W82" s="64">
        <f t="shared" si="44"/>
        <v>791.76956436000035</v>
      </c>
      <c r="DA82" s="108" t="s">
        <v>232</v>
      </c>
    </row>
    <row r="83" spans="1:105" ht="12" customHeight="1" x14ac:dyDescent="0.25">
      <c r="A83" s="61" t="s">
        <v>32</v>
      </c>
      <c r="B83" s="65">
        <v>2934.2861871775108</v>
      </c>
      <c r="C83" s="65">
        <v>2952.1535971860089</v>
      </c>
      <c r="D83" s="65">
        <v>2950.2295897925956</v>
      </c>
      <c r="E83" s="65">
        <v>3124.2013011494041</v>
      </c>
      <c r="F83" s="65">
        <v>2340.1327615203504</v>
      </c>
      <c r="G83" s="65">
        <v>1243.8816835193379</v>
      </c>
      <c r="H83" s="65">
        <v>1103.5093751437653</v>
      </c>
      <c r="I83" s="65">
        <v>1086.3306364509847</v>
      </c>
      <c r="J83" s="65">
        <v>959.02820700106315</v>
      </c>
      <c r="K83" s="65">
        <v>892.78927710021264</v>
      </c>
      <c r="L83" s="65">
        <v>1050.0749198959718</v>
      </c>
      <c r="M83" s="65">
        <v>961.42737080549693</v>
      </c>
      <c r="N83" s="65">
        <v>994.95986034059842</v>
      </c>
      <c r="O83" s="65">
        <v>861.2622231313195</v>
      </c>
      <c r="P83" s="65">
        <v>836.7395061038244</v>
      </c>
      <c r="Q83" s="65">
        <v>794.49323741774663</v>
      </c>
      <c r="R83" s="65">
        <v>766.75671703763737</v>
      </c>
      <c r="S83" s="65">
        <v>680.29663393042767</v>
      </c>
      <c r="T83" s="65">
        <v>720.700745978236</v>
      </c>
      <c r="U83" s="65">
        <v>746.69340829404155</v>
      </c>
      <c r="V83" s="65">
        <v>726.30122413257141</v>
      </c>
      <c r="W83" s="65">
        <v>649.36151375201212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290.77055375699297</v>
      </c>
      <c r="C85" s="65">
        <v>284.42563070622197</v>
      </c>
      <c r="D85" s="65">
        <v>274.33180316164294</v>
      </c>
      <c r="E85" s="65">
        <v>267.42508659297118</v>
      </c>
      <c r="F85" s="65">
        <v>241.08976267473562</v>
      </c>
      <c r="G85" s="65">
        <v>160.58069420249171</v>
      </c>
      <c r="H85" s="65">
        <v>163.38660459278779</v>
      </c>
      <c r="I85" s="65">
        <v>137.37521003748009</v>
      </c>
      <c r="J85" s="65">
        <v>123.43750167375579</v>
      </c>
      <c r="K85" s="65">
        <v>76.285938712449081</v>
      </c>
      <c r="L85" s="65">
        <v>71.680012633832206</v>
      </c>
      <c r="M85" s="65">
        <v>74.804601168169029</v>
      </c>
      <c r="N85" s="65">
        <v>101.18460642932305</v>
      </c>
      <c r="O85" s="65">
        <v>106.81236489068741</v>
      </c>
      <c r="P85" s="65">
        <v>81.785654322901195</v>
      </c>
      <c r="Q85" s="65">
        <v>112.68246390386145</v>
      </c>
      <c r="R85" s="65">
        <v>111.63805713413986</v>
      </c>
      <c r="S85" s="65">
        <v>106.28134898974224</v>
      </c>
      <c r="T85" s="65">
        <v>108.29013552092059</v>
      </c>
      <c r="U85" s="65">
        <v>108.77268456257823</v>
      </c>
      <c r="V85" s="65">
        <v>105.2843337445764</v>
      </c>
      <c r="W85" s="65">
        <v>92.216990158346093</v>
      </c>
      <c r="DA85" s="109" t="s">
        <v>235</v>
      </c>
    </row>
    <row r="86" spans="1:105" ht="12" customHeight="1" x14ac:dyDescent="0.25">
      <c r="A86" s="66" t="s">
        <v>34</v>
      </c>
      <c r="B86" s="67">
        <v>132.08124526549605</v>
      </c>
      <c r="C86" s="67">
        <v>169.67329622776967</v>
      </c>
      <c r="D86" s="67">
        <v>145.39761272576158</v>
      </c>
      <c r="E86" s="67">
        <v>120.83384793762499</v>
      </c>
      <c r="F86" s="67">
        <v>109.0371833249142</v>
      </c>
      <c r="G86" s="67">
        <v>110.56050735816987</v>
      </c>
      <c r="H86" s="67">
        <v>193.06607894344631</v>
      </c>
      <c r="I86" s="67">
        <v>277.69337931153575</v>
      </c>
      <c r="J86" s="67">
        <v>256.68293048518086</v>
      </c>
      <c r="K86" s="67">
        <v>174.00844062733847</v>
      </c>
      <c r="L86" s="67">
        <v>258.30352595019571</v>
      </c>
      <c r="M86" s="67">
        <v>239.44683694633443</v>
      </c>
      <c r="N86" s="67">
        <v>77.333002910078079</v>
      </c>
      <c r="O86" s="67">
        <v>82.136569017993594</v>
      </c>
      <c r="P86" s="67">
        <v>88.158891253274305</v>
      </c>
      <c r="Q86" s="67">
        <v>48.381536278392744</v>
      </c>
      <c r="R86" s="67">
        <v>50.886051188222268</v>
      </c>
      <c r="S86" s="67">
        <v>42.369943379429657</v>
      </c>
      <c r="T86" s="67">
        <v>44.945766500843263</v>
      </c>
      <c r="U86" s="67">
        <v>50.517887623380666</v>
      </c>
      <c r="V86" s="67">
        <v>48.640839482851923</v>
      </c>
      <c r="W86" s="67">
        <v>50.191060449642102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0.87404396221999736</v>
      </c>
      <c r="C91" s="71">
        <f t="shared" ref="C91:W91" si="50">IF(C83=0,0,C83/C$81)</f>
        <v>0.86668665234932718</v>
      </c>
      <c r="D91" s="71">
        <f t="shared" si="50"/>
        <v>0.8754496968123473</v>
      </c>
      <c r="E91" s="71">
        <f t="shared" si="50"/>
        <v>0.88946239715780573</v>
      </c>
      <c r="F91" s="71">
        <f t="shared" si="50"/>
        <v>0.86985384904626473</v>
      </c>
      <c r="G91" s="71">
        <f t="shared" si="50"/>
        <v>0.82103161329715213</v>
      </c>
      <c r="H91" s="71">
        <f t="shared" si="50"/>
        <v>0.75584798151637256</v>
      </c>
      <c r="I91" s="71">
        <f t="shared" si="50"/>
        <v>0.72354548862388535</v>
      </c>
      <c r="J91" s="71">
        <f t="shared" si="50"/>
        <v>0.71614769186684712</v>
      </c>
      <c r="K91" s="71">
        <f t="shared" si="50"/>
        <v>0.7810358166441641</v>
      </c>
      <c r="L91" s="71">
        <f t="shared" si="50"/>
        <v>0.76089162270164068</v>
      </c>
      <c r="M91" s="71">
        <f t="shared" si="50"/>
        <v>0.75365943533972224</v>
      </c>
      <c r="N91" s="71">
        <f t="shared" si="50"/>
        <v>0.84787299803201011</v>
      </c>
      <c r="O91" s="71">
        <f t="shared" si="50"/>
        <v>0.82008481566580405</v>
      </c>
      <c r="P91" s="71">
        <f t="shared" si="50"/>
        <v>0.83118383042567889</v>
      </c>
      <c r="Q91" s="71">
        <f t="shared" si="50"/>
        <v>0.83144494767599031</v>
      </c>
      <c r="R91" s="71">
        <f t="shared" si="50"/>
        <v>0.82510764896133415</v>
      </c>
      <c r="S91" s="71">
        <f t="shared" si="50"/>
        <v>0.82067475211290164</v>
      </c>
      <c r="T91" s="71">
        <f t="shared" si="50"/>
        <v>0.82466017145242332</v>
      </c>
      <c r="U91" s="71">
        <f t="shared" si="50"/>
        <v>0.82417948262002938</v>
      </c>
      <c r="V91" s="71">
        <f t="shared" si="50"/>
        <v>0.82513001917565176</v>
      </c>
      <c r="W91" s="71">
        <f t="shared" si="50"/>
        <v>0.82013952415170333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8.6612631042348356E-2</v>
      </c>
      <c r="C93" s="72">
        <f t="shared" ref="C93:W93" si="54">IF(C85=0,0,C85/C$81)</f>
        <v>8.350104071620551E-2</v>
      </c>
      <c r="D93" s="72">
        <f t="shared" si="54"/>
        <v>8.1405086144745981E-2</v>
      </c>
      <c r="E93" s="72">
        <f t="shared" si="54"/>
        <v>7.6136117891509342E-2</v>
      </c>
      <c r="F93" s="72">
        <f t="shared" si="54"/>
        <v>8.9615795085071087E-2</v>
      </c>
      <c r="G93" s="72">
        <f t="shared" si="54"/>
        <v>0.10599225647605474</v>
      </c>
      <c r="H93" s="72">
        <f t="shared" si="54"/>
        <v>0.11191154155095723</v>
      </c>
      <c r="I93" s="72">
        <f t="shared" si="54"/>
        <v>9.1498122336037255E-2</v>
      </c>
      <c r="J93" s="72">
        <f t="shared" si="54"/>
        <v>9.2176102087654546E-2</v>
      </c>
      <c r="K93" s="72">
        <f t="shared" si="54"/>
        <v>6.6736969147151215E-2</v>
      </c>
      <c r="L93" s="72">
        <f t="shared" si="54"/>
        <v>5.1939837905693342E-2</v>
      </c>
      <c r="M93" s="72">
        <f t="shared" si="54"/>
        <v>5.8639056042248741E-2</v>
      </c>
      <c r="N93" s="72">
        <f t="shared" si="54"/>
        <v>8.6226288142468979E-2</v>
      </c>
      <c r="O93" s="72">
        <f t="shared" si="54"/>
        <v>0.10170560860516466</v>
      </c>
      <c r="P93" s="72">
        <f t="shared" si="54"/>
        <v>8.1242624422641435E-2</v>
      </c>
      <c r="Q93" s="72">
        <f t="shared" si="54"/>
        <v>0.1179233011586802</v>
      </c>
      <c r="R93" s="72">
        <f t="shared" si="54"/>
        <v>0.12013382186261266</v>
      </c>
      <c r="S93" s="72">
        <f t="shared" si="54"/>
        <v>0.12821233471706628</v>
      </c>
      <c r="T93" s="72">
        <f t="shared" si="54"/>
        <v>0.12391073857440592</v>
      </c>
      <c r="U93" s="72">
        <f t="shared" si="54"/>
        <v>0.1200602735877838</v>
      </c>
      <c r="V93" s="72">
        <f t="shared" si="54"/>
        <v>0.11961051618123268</v>
      </c>
      <c r="W93" s="72">
        <f t="shared" si="54"/>
        <v>0.11646948090621104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3.9343406737654234E-2</v>
      </c>
      <c r="C94" s="73">
        <f t="shared" ref="C94:W94" si="56">IF(C86=0,0,C86/C$81)</f>
        <v>4.9812306934467365E-2</v>
      </c>
      <c r="D94" s="73">
        <f t="shared" si="56"/>
        <v>4.3145217042906671E-2</v>
      </c>
      <c r="E94" s="73">
        <f t="shared" si="56"/>
        <v>3.4401484950684992E-2</v>
      </c>
      <c r="F94" s="73">
        <f t="shared" si="56"/>
        <v>4.0530355868664249E-2</v>
      </c>
      <c r="G94" s="73">
        <f t="shared" si="56"/>
        <v>7.2976130226793126E-2</v>
      </c>
      <c r="H94" s="73">
        <f t="shared" si="56"/>
        <v>0.13224047693267033</v>
      </c>
      <c r="I94" s="73">
        <f t="shared" si="56"/>
        <v>0.18495638904007727</v>
      </c>
      <c r="J94" s="73">
        <f t="shared" si="56"/>
        <v>0.19167620604549837</v>
      </c>
      <c r="K94" s="73">
        <f t="shared" si="56"/>
        <v>0.15222721420868471</v>
      </c>
      <c r="L94" s="73">
        <f t="shared" si="56"/>
        <v>0.18716853939266598</v>
      </c>
      <c r="M94" s="73">
        <f t="shared" si="56"/>
        <v>0.18770150861802901</v>
      </c>
      <c r="N94" s="73">
        <f t="shared" si="56"/>
        <v>6.5900713825520943E-2</v>
      </c>
      <c r="O94" s="73">
        <f t="shared" si="56"/>
        <v>7.8209575729031394E-2</v>
      </c>
      <c r="P94" s="73">
        <f t="shared" si="56"/>
        <v>8.7573545151679671E-2</v>
      </c>
      <c r="Q94" s="73">
        <f t="shared" si="56"/>
        <v>5.063175116532935E-2</v>
      </c>
      <c r="R94" s="73">
        <f t="shared" si="56"/>
        <v>5.4758529176053131E-2</v>
      </c>
      <c r="S94" s="73">
        <f t="shared" si="56"/>
        <v>5.1112913170032165E-2</v>
      </c>
      <c r="T94" s="73">
        <f t="shared" si="56"/>
        <v>5.1429089973170763E-2</v>
      </c>
      <c r="U94" s="73">
        <f t="shared" si="56"/>
        <v>5.5760243792186838E-2</v>
      </c>
      <c r="V94" s="73">
        <f t="shared" si="56"/>
        <v>5.5259464643115597E-2</v>
      </c>
      <c r="W94" s="73">
        <f t="shared" si="56"/>
        <v>6.3390994942085596E-2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315130.89958875184</v>
      </c>
      <c r="C99" s="82">
        <f t="shared" ref="C99:W99" si="60">C47*11630*1000/C$8</f>
        <v>338280.75231518579</v>
      </c>
      <c r="D99" s="82">
        <f t="shared" si="60"/>
        <v>333974.31248575659</v>
      </c>
      <c r="E99" s="82">
        <f t="shared" si="60"/>
        <v>331404.50297323277</v>
      </c>
      <c r="F99" s="82">
        <f t="shared" si="60"/>
        <v>311190.44355503144</v>
      </c>
      <c r="G99" s="82">
        <f t="shared" si="60"/>
        <v>277399.28286594513</v>
      </c>
      <c r="H99" s="82">
        <f t="shared" si="60"/>
        <v>276051.79859074118</v>
      </c>
      <c r="I99" s="82">
        <f t="shared" si="60"/>
        <v>277100.75304881064</v>
      </c>
      <c r="J99" s="82">
        <f t="shared" si="60"/>
        <v>271385.96286983101</v>
      </c>
      <c r="K99" s="82">
        <f t="shared" si="60"/>
        <v>260295.95339359975</v>
      </c>
      <c r="L99" s="82">
        <f t="shared" si="60"/>
        <v>276107.47907208919</v>
      </c>
      <c r="M99" s="82">
        <f t="shared" si="60"/>
        <v>243979.78606657143</v>
      </c>
      <c r="N99" s="82">
        <f t="shared" si="60"/>
        <v>253479.28073412864</v>
      </c>
      <c r="O99" s="82">
        <f t="shared" si="60"/>
        <v>244509.68748137087</v>
      </c>
      <c r="P99" s="82">
        <f t="shared" si="60"/>
        <v>242016.3176669986</v>
      </c>
      <c r="Q99" s="82">
        <f t="shared" si="60"/>
        <v>242462.85450994162</v>
      </c>
      <c r="R99" s="82">
        <f t="shared" si="60"/>
        <v>251061.64408877393</v>
      </c>
      <c r="S99" s="82">
        <f t="shared" si="60"/>
        <v>234996.85099487676</v>
      </c>
      <c r="T99" s="82">
        <f t="shared" si="60"/>
        <v>238921.16026746618</v>
      </c>
      <c r="U99" s="82">
        <f t="shared" si="60"/>
        <v>231588.27779486941</v>
      </c>
      <c r="V99" s="82">
        <f t="shared" si="60"/>
        <v>227874.19176460942</v>
      </c>
      <c r="W99" s="82">
        <f t="shared" si="60"/>
        <v>239815.34231190197</v>
      </c>
      <c r="DA99" s="107"/>
    </row>
    <row r="100" spans="1:105" ht="12" customHeight="1" x14ac:dyDescent="0.25">
      <c r="A100" s="77" t="s">
        <v>36</v>
      </c>
      <c r="B100" s="64">
        <f t="shared" si="59"/>
        <v>252771.69070953078</v>
      </c>
      <c r="C100" s="64">
        <f t="shared" ref="C100:W100" si="61">C48*11630*1000/C$8</f>
        <v>273570.01673467504</v>
      </c>
      <c r="D100" s="64">
        <f t="shared" si="61"/>
        <v>267260.35767397622</v>
      </c>
      <c r="E100" s="64">
        <f t="shared" si="61"/>
        <v>263057.16969580663</v>
      </c>
      <c r="F100" s="64">
        <f t="shared" si="61"/>
        <v>241449.9381830396</v>
      </c>
      <c r="G100" s="64">
        <f t="shared" si="61"/>
        <v>206969.09415644899</v>
      </c>
      <c r="H100" s="64">
        <f t="shared" si="61"/>
        <v>205221.62203470795</v>
      </c>
      <c r="I100" s="64">
        <f t="shared" si="61"/>
        <v>205693.5152075589</v>
      </c>
      <c r="J100" s="64">
        <f t="shared" si="61"/>
        <v>199425.44428801836</v>
      </c>
      <c r="K100" s="64">
        <f t="shared" si="61"/>
        <v>188186.23509541791</v>
      </c>
      <c r="L100" s="64">
        <f t="shared" si="61"/>
        <v>203467.99881709035</v>
      </c>
      <c r="M100" s="64">
        <f t="shared" si="61"/>
        <v>173048.46814425339</v>
      </c>
      <c r="N100" s="64">
        <f t="shared" si="61"/>
        <v>182270.51948885334</v>
      </c>
      <c r="O100" s="64">
        <f t="shared" si="61"/>
        <v>172777.47942340191</v>
      </c>
      <c r="P100" s="64">
        <f t="shared" si="61"/>
        <v>169595.87997885709</v>
      </c>
      <c r="Q100" s="64">
        <f t="shared" si="61"/>
        <v>168841.02058257579</v>
      </c>
      <c r="R100" s="64">
        <f t="shared" si="61"/>
        <v>176788.89420341433</v>
      </c>
      <c r="S100" s="64">
        <f t="shared" si="61"/>
        <v>160891.55589964028</v>
      </c>
      <c r="T100" s="64">
        <f t="shared" si="61"/>
        <v>165169.73593901048</v>
      </c>
      <c r="U100" s="64">
        <f t="shared" si="61"/>
        <v>157060.05745333381</v>
      </c>
      <c r="V100" s="64">
        <f t="shared" si="61"/>
        <v>146502.34053544948</v>
      </c>
      <c r="W100" s="64">
        <f t="shared" si="61"/>
        <v>158151.66369705054</v>
      </c>
      <c r="DA100" s="108"/>
    </row>
    <row r="101" spans="1:105" ht="12" customHeight="1" x14ac:dyDescent="0.25">
      <c r="A101" s="61" t="s">
        <v>32</v>
      </c>
      <c r="B101" s="65">
        <f t="shared" si="59"/>
        <v>204755.55101706955</v>
      </c>
      <c r="C101" s="65">
        <f t="shared" ref="C101:W101" si="62">C49*11630*1000/C$8</f>
        <v>225303.94873960433</v>
      </c>
      <c r="D101" s="65">
        <f t="shared" si="62"/>
        <v>219684.55514342355</v>
      </c>
      <c r="E101" s="65">
        <f t="shared" si="62"/>
        <v>216039.51556988378</v>
      </c>
      <c r="F101" s="65">
        <f t="shared" si="62"/>
        <v>194964.4489238761</v>
      </c>
      <c r="G101" s="65">
        <f t="shared" si="62"/>
        <v>161301.04131174576</v>
      </c>
      <c r="H101" s="65">
        <f t="shared" si="62"/>
        <v>159140.13889508622</v>
      </c>
      <c r="I101" s="65">
        <f t="shared" si="62"/>
        <v>159069.04628894303</v>
      </c>
      <c r="J101" s="65">
        <f t="shared" si="62"/>
        <v>153051.90630208227</v>
      </c>
      <c r="K101" s="65">
        <f t="shared" si="62"/>
        <v>142566.94649106823</v>
      </c>
      <c r="L101" s="65">
        <f t="shared" si="62"/>
        <v>157456.03283016203</v>
      </c>
      <c r="M101" s="65">
        <f t="shared" si="62"/>
        <v>127272.45532071654</v>
      </c>
      <c r="N101" s="65">
        <f t="shared" si="62"/>
        <v>137402.18136221857</v>
      </c>
      <c r="O101" s="65">
        <f t="shared" si="62"/>
        <v>128107.39254685715</v>
      </c>
      <c r="P101" s="65">
        <f t="shared" si="62"/>
        <v>125093.12675914422</v>
      </c>
      <c r="Q101" s="65">
        <f t="shared" si="62"/>
        <v>124892.20404075117</v>
      </c>
      <c r="R101" s="65">
        <f t="shared" si="62"/>
        <v>133102.45758732586</v>
      </c>
      <c r="S101" s="65">
        <f t="shared" si="62"/>
        <v>117764.76299533648</v>
      </c>
      <c r="T101" s="65">
        <f t="shared" si="62"/>
        <v>122338.2727701368</v>
      </c>
      <c r="U101" s="65">
        <f t="shared" si="62"/>
        <v>114551.27590935155</v>
      </c>
      <c r="V101" s="65">
        <f t="shared" si="62"/>
        <v>105940.58394126427</v>
      </c>
      <c r="W101" s="65">
        <f t="shared" si="62"/>
        <v>117442.58339947164</v>
      </c>
      <c r="DA101" s="109"/>
    </row>
    <row r="102" spans="1:105" ht="12" customHeight="1" x14ac:dyDescent="0.25">
      <c r="A102" s="61" t="s">
        <v>31</v>
      </c>
      <c r="B102" s="65">
        <f t="shared" si="59"/>
        <v>3120.2741959592599</v>
      </c>
      <c r="C102" s="65">
        <f t="shared" ref="C102:W102" si="63">C50*11630*1000/C$8</f>
        <v>3047.4695207115806</v>
      </c>
      <c r="D102" s="65">
        <f t="shared" si="63"/>
        <v>2981.7603873177964</v>
      </c>
      <c r="E102" s="65">
        <f t="shared" si="63"/>
        <v>2887.1769172369322</v>
      </c>
      <c r="F102" s="65">
        <f t="shared" si="63"/>
        <v>2808.3086690122791</v>
      </c>
      <c r="G102" s="65">
        <f t="shared" si="63"/>
        <v>2710.9496384770896</v>
      </c>
      <c r="H102" s="65">
        <f t="shared" si="63"/>
        <v>2598.4354857812009</v>
      </c>
      <c r="I102" s="65">
        <f t="shared" si="63"/>
        <v>2496.3669185877661</v>
      </c>
      <c r="J102" s="65">
        <f t="shared" si="63"/>
        <v>2397.9404878811092</v>
      </c>
      <c r="K102" s="65">
        <f t="shared" si="63"/>
        <v>2400.1918438782332</v>
      </c>
      <c r="L102" s="65">
        <f t="shared" si="63"/>
        <v>2426.0715757564603</v>
      </c>
      <c r="M102" s="65">
        <f t="shared" si="63"/>
        <v>2334.8670232542163</v>
      </c>
      <c r="N102" s="65">
        <f t="shared" si="63"/>
        <v>2282.8536251054556</v>
      </c>
      <c r="O102" s="65">
        <f t="shared" si="63"/>
        <v>2229.4073217798045</v>
      </c>
      <c r="P102" s="65">
        <f t="shared" si="63"/>
        <v>2188.8208549988808</v>
      </c>
      <c r="Q102" s="65">
        <f t="shared" si="63"/>
        <v>2088.5822430128769</v>
      </c>
      <c r="R102" s="65">
        <f t="shared" si="63"/>
        <v>2043.4478869054817</v>
      </c>
      <c r="S102" s="65">
        <f t="shared" si="63"/>
        <v>2002.4061060988597</v>
      </c>
      <c r="T102" s="65">
        <f t="shared" si="63"/>
        <v>1966.063654794269</v>
      </c>
      <c r="U102" s="65">
        <f t="shared" si="63"/>
        <v>1914.3262399154441</v>
      </c>
      <c r="V102" s="65">
        <f t="shared" si="63"/>
        <v>1838.4237499995515</v>
      </c>
      <c r="W102" s="65">
        <f t="shared" si="63"/>
        <v>1837.9268648701147</v>
      </c>
      <c r="DA102" s="109"/>
    </row>
    <row r="103" spans="1:105" ht="12" customHeight="1" x14ac:dyDescent="0.25">
      <c r="A103" s="61" t="s">
        <v>35</v>
      </c>
      <c r="B103" s="65">
        <f t="shared" si="59"/>
        <v>25980.073952387775</v>
      </c>
      <c r="C103" s="65">
        <f t="shared" ref="C103:W103" si="64">C51*11630*1000/C$8</f>
        <v>25669.103301722836</v>
      </c>
      <c r="D103" s="65">
        <f t="shared" si="64"/>
        <v>25317.906004950179</v>
      </c>
      <c r="E103" s="65">
        <f t="shared" si="64"/>
        <v>25079.632799377159</v>
      </c>
      <c r="F103" s="65">
        <f t="shared" si="64"/>
        <v>24588.460261796208</v>
      </c>
      <c r="G103" s="65">
        <f t="shared" si="64"/>
        <v>23888.696020803101</v>
      </c>
      <c r="H103" s="65">
        <f t="shared" si="64"/>
        <v>23655.975252801556</v>
      </c>
      <c r="I103" s="65">
        <f t="shared" si="64"/>
        <v>23549.423950441123</v>
      </c>
      <c r="J103" s="65">
        <f t="shared" si="64"/>
        <v>23458.11257603826</v>
      </c>
      <c r="K103" s="65">
        <f t="shared" si="64"/>
        <v>23094.83676374242</v>
      </c>
      <c r="L103" s="65">
        <f t="shared" si="64"/>
        <v>22850.392578093419</v>
      </c>
      <c r="M103" s="65">
        <f t="shared" si="64"/>
        <v>22709.783419454408</v>
      </c>
      <c r="N103" s="65">
        <f t="shared" si="64"/>
        <v>22813.942463086838</v>
      </c>
      <c r="O103" s="65">
        <f t="shared" si="64"/>
        <v>22705.931544103081</v>
      </c>
      <c r="P103" s="65">
        <f t="shared" si="64"/>
        <v>22550.003093967844</v>
      </c>
      <c r="Q103" s="65">
        <f t="shared" si="64"/>
        <v>22540.006813579821</v>
      </c>
      <c r="R103" s="65">
        <f t="shared" si="64"/>
        <v>22192.827006674106</v>
      </c>
      <c r="S103" s="65">
        <f t="shared" si="64"/>
        <v>21755.092020045799</v>
      </c>
      <c r="T103" s="65">
        <f t="shared" si="64"/>
        <v>21575.169785076796</v>
      </c>
      <c r="U103" s="65">
        <f t="shared" si="64"/>
        <v>21205.184231885945</v>
      </c>
      <c r="V103" s="65">
        <f t="shared" si="64"/>
        <v>20375.972039131808</v>
      </c>
      <c r="W103" s="65">
        <f t="shared" si="64"/>
        <v>20489.295478030934</v>
      </c>
      <c r="DA103" s="109"/>
    </row>
    <row r="104" spans="1:105" ht="12" customHeight="1" x14ac:dyDescent="0.25">
      <c r="A104" s="66" t="s">
        <v>34</v>
      </c>
      <c r="B104" s="67">
        <f t="shared" si="59"/>
        <v>18915.791544114174</v>
      </c>
      <c r="C104" s="67">
        <f t="shared" ref="C104:W104" si="65">C52*11630*1000/C$8</f>
        <v>19549.49517263634</v>
      </c>
      <c r="D104" s="67">
        <f t="shared" si="65"/>
        <v>19276.136138284674</v>
      </c>
      <c r="E104" s="67">
        <f t="shared" si="65"/>
        <v>19050.844409308782</v>
      </c>
      <c r="F104" s="67">
        <f t="shared" si="65"/>
        <v>19088.720328355044</v>
      </c>
      <c r="G104" s="67">
        <f t="shared" si="65"/>
        <v>19068.407185423097</v>
      </c>
      <c r="H104" s="67">
        <f t="shared" si="65"/>
        <v>19827.072401038979</v>
      </c>
      <c r="I104" s="67">
        <f t="shared" si="65"/>
        <v>20578.678049586957</v>
      </c>
      <c r="J104" s="67">
        <f t="shared" si="65"/>
        <v>20517.484922016756</v>
      </c>
      <c r="K104" s="67">
        <f t="shared" si="65"/>
        <v>20124.259996729015</v>
      </c>
      <c r="L104" s="67">
        <f t="shared" si="65"/>
        <v>20735.501833078441</v>
      </c>
      <c r="M104" s="67">
        <f t="shared" si="65"/>
        <v>20731.362380828243</v>
      </c>
      <c r="N104" s="67">
        <f t="shared" si="65"/>
        <v>19771.542038442476</v>
      </c>
      <c r="O104" s="67">
        <f t="shared" si="65"/>
        <v>19734.748010661868</v>
      </c>
      <c r="P104" s="67">
        <f t="shared" si="65"/>
        <v>19763.929270746143</v>
      </c>
      <c r="Q104" s="67">
        <f t="shared" si="65"/>
        <v>19320.227485231902</v>
      </c>
      <c r="R104" s="67">
        <f t="shared" si="65"/>
        <v>19450.16172250887</v>
      </c>
      <c r="S104" s="67">
        <f t="shared" si="65"/>
        <v>19369.294778159143</v>
      </c>
      <c r="T104" s="67">
        <f t="shared" si="65"/>
        <v>19290.229729002614</v>
      </c>
      <c r="U104" s="67">
        <f t="shared" si="65"/>
        <v>19389.271072180887</v>
      </c>
      <c r="V104" s="67">
        <f t="shared" si="65"/>
        <v>18347.360805053864</v>
      </c>
      <c r="W104" s="67">
        <f t="shared" si="65"/>
        <v>18381.857954677856</v>
      </c>
      <c r="DA104" s="110"/>
    </row>
    <row r="105" spans="1:105" ht="12" customHeight="1" x14ac:dyDescent="0.25">
      <c r="A105" s="78" t="s">
        <v>33</v>
      </c>
      <c r="B105" s="68">
        <f t="shared" si="59"/>
        <v>62359.208879221122</v>
      </c>
      <c r="C105" s="68">
        <f t="shared" ref="C105:W105" si="66">C53*11630*1000/C$8</f>
        <v>64710.735580510714</v>
      </c>
      <c r="D105" s="68">
        <f t="shared" si="66"/>
        <v>66713.95481178035</v>
      </c>
      <c r="E105" s="68">
        <f t="shared" si="66"/>
        <v>68347.333277426151</v>
      </c>
      <c r="F105" s="68">
        <f t="shared" si="66"/>
        <v>69740.505371991807</v>
      </c>
      <c r="G105" s="68">
        <f t="shared" si="66"/>
        <v>70430.188709496098</v>
      </c>
      <c r="H105" s="68">
        <f t="shared" si="66"/>
        <v>70830.176556033155</v>
      </c>
      <c r="I105" s="68">
        <f t="shared" si="66"/>
        <v>71407.237841251743</v>
      </c>
      <c r="J105" s="68">
        <f t="shared" si="66"/>
        <v>71960.518581812663</v>
      </c>
      <c r="K105" s="68">
        <f t="shared" si="66"/>
        <v>72109.718298181819</v>
      </c>
      <c r="L105" s="68">
        <f t="shared" si="66"/>
        <v>72639.480254998794</v>
      </c>
      <c r="M105" s="68">
        <f t="shared" si="66"/>
        <v>70931.317922318049</v>
      </c>
      <c r="N105" s="68">
        <f t="shared" si="66"/>
        <v>71208.76124527528</v>
      </c>
      <c r="O105" s="68">
        <f t="shared" si="66"/>
        <v>71732.208057968921</v>
      </c>
      <c r="P105" s="68">
        <f t="shared" si="66"/>
        <v>72420.437688141523</v>
      </c>
      <c r="Q105" s="68">
        <f t="shared" si="66"/>
        <v>73621.833927365864</v>
      </c>
      <c r="R105" s="68">
        <f t="shared" si="66"/>
        <v>74272.74988535959</v>
      </c>
      <c r="S105" s="68">
        <f t="shared" si="66"/>
        <v>74105.295095236506</v>
      </c>
      <c r="T105" s="68">
        <f t="shared" si="66"/>
        <v>73751.424328455701</v>
      </c>
      <c r="U105" s="68">
        <f t="shared" si="66"/>
        <v>74528.220341535576</v>
      </c>
      <c r="V105" s="68">
        <f t="shared" si="66"/>
        <v>81371.851229159918</v>
      </c>
      <c r="W105" s="68">
        <f t="shared" si="66"/>
        <v>81663.678614851437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167176.84793937518</v>
      </c>
      <c r="C107" s="85">
        <f t="shared" ref="C107:W107" si="68">SUM(C108:C111)</f>
        <v>182644.9029407083</v>
      </c>
      <c r="D107" s="85">
        <f t="shared" si="68"/>
        <v>180031.25113878067</v>
      </c>
      <c r="E107" s="85">
        <f t="shared" si="68"/>
        <v>177759.23884541274</v>
      </c>
      <c r="F107" s="85">
        <f t="shared" si="68"/>
        <v>168002.15200194789</v>
      </c>
      <c r="G107" s="85">
        <f t="shared" si="68"/>
        <v>151259.91988699933</v>
      </c>
      <c r="H107" s="85">
        <f t="shared" si="68"/>
        <v>152171.97135976126</v>
      </c>
      <c r="I107" s="85">
        <f t="shared" si="68"/>
        <v>153699.09606394765</v>
      </c>
      <c r="J107" s="85">
        <f t="shared" si="68"/>
        <v>151438.46873299262</v>
      </c>
      <c r="K107" s="85">
        <f t="shared" si="68"/>
        <v>145553.82419915346</v>
      </c>
      <c r="L107" s="85">
        <f t="shared" si="68"/>
        <v>158041.6869453601</v>
      </c>
      <c r="M107" s="85">
        <f t="shared" si="68"/>
        <v>137429.35058948546</v>
      </c>
      <c r="N107" s="85">
        <f t="shared" si="68"/>
        <v>146990.21281864867</v>
      </c>
      <c r="O107" s="85">
        <f t="shared" si="68"/>
        <v>142552.56334803169</v>
      </c>
      <c r="P107" s="85">
        <f t="shared" si="68"/>
        <v>140569.87006204264</v>
      </c>
      <c r="Q107" s="85">
        <f t="shared" si="68"/>
        <v>140888.38603789796</v>
      </c>
      <c r="R107" s="85">
        <f t="shared" si="68"/>
        <v>149209.07785355719</v>
      </c>
      <c r="S107" s="85">
        <f t="shared" si="68"/>
        <v>138476.95548528046</v>
      </c>
      <c r="T107" s="85">
        <f t="shared" si="68"/>
        <v>143617.04845938442</v>
      </c>
      <c r="U107" s="85">
        <f t="shared" si="68"/>
        <v>138962.81159636512</v>
      </c>
      <c r="V107" s="85">
        <f t="shared" si="68"/>
        <v>132425.71748823067</v>
      </c>
      <c r="W107" s="85">
        <f t="shared" si="68"/>
        <v>144175.11059708329</v>
      </c>
      <c r="DA107" s="117"/>
    </row>
    <row r="108" spans="1:105" ht="12" customHeight="1" x14ac:dyDescent="0.25">
      <c r="A108" s="61" t="s">
        <v>32</v>
      </c>
      <c r="B108" s="65">
        <v>129616.20187631215</v>
      </c>
      <c r="C108" s="65">
        <v>144800.37926391058</v>
      </c>
      <c r="D108" s="65">
        <v>142269.74363942893</v>
      </c>
      <c r="E108" s="65">
        <v>140020.30361485263</v>
      </c>
      <c r="F108" s="65">
        <v>130100.37343405743</v>
      </c>
      <c r="G108" s="65">
        <v>113303.15001260005</v>
      </c>
      <c r="H108" s="65">
        <v>113910.51969736563</v>
      </c>
      <c r="I108" s="65">
        <v>114975.18450120844</v>
      </c>
      <c r="J108" s="65">
        <v>112324.85003295737</v>
      </c>
      <c r="K108" s="65">
        <v>106183.89264588551</v>
      </c>
      <c r="L108" s="65">
        <v>118346.25910896935</v>
      </c>
      <c r="M108" s="65">
        <v>97631.290453727692</v>
      </c>
      <c r="N108" s="65">
        <v>106910.32627557832</v>
      </c>
      <c r="O108" s="65">
        <v>102325.81206820338</v>
      </c>
      <c r="P108" s="65">
        <v>100154.24084199994</v>
      </c>
      <c r="Q108" s="65">
        <v>100640.64018486139</v>
      </c>
      <c r="R108" s="65">
        <v>108705.71235140295</v>
      </c>
      <c r="S108" s="65">
        <v>97968.878792403892</v>
      </c>
      <c r="T108" s="65">
        <v>102890.21126669024</v>
      </c>
      <c r="U108" s="65">
        <v>98154.951706045264</v>
      </c>
      <c r="V108" s="65">
        <v>93006.120471091053</v>
      </c>
      <c r="W108" s="65">
        <v>103901.14756814569</v>
      </c>
      <c r="DA108" s="109"/>
    </row>
    <row r="109" spans="1:105" ht="12" customHeight="1" x14ac:dyDescent="0.25">
      <c r="A109" s="61" t="s">
        <v>31</v>
      </c>
      <c r="B109" s="65">
        <v>6063.8856294918132</v>
      </c>
      <c r="C109" s="65">
        <v>6130.6726058397262</v>
      </c>
      <c r="D109" s="65">
        <v>6240.7617723189041</v>
      </c>
      <c r="E109" s="65">
        <v>6293.6571493502151</v>
      </c>
      <c r="F109" s="65">
        <v>6419.1849873653036</v>
      </c>
      <c r="G109" s="65">
        <v>6515.7286223982564</v>
      </c>
      <c r="H109" s="65">
        <v>6601.9671773835908</v>
      </c>
      <c r="I109" s="65">
        <v>6754.8263056203941</v>
      </c>
      <c r="J109" s="65">
        <v>6957.404187758495</v>
      </c>
      <c r="K109" s="65">
        <v>7068.2876425212762</v>
      </c>
      <c r="L109" s="65">
        <v>7306.9326719161263</v>
      </c>
      <c r="M109" s="65">
        <v>7257.9651224189374</v>
      </c>
      <c r="N109" s="65">
        <v>7332.7970055777059</v>
      </c>
      <c r="O109" s="65">
        <v>7414.0328730497567</v>
      </c>
      <c r="P109" s="65">
        <v>7550.6369464578811</v>
      </c>
      <c r="Q109" s="65">
        <v>7482.2459972027291</v>
      </c>
      <c r="R109" s="65">
        <v>7610.081262836813</v>
      </c>
      <c r="S109" s="65">
        <v>7739.7722719175426</v>
      </c>
      <c r="T109" s="65">
        <v>7836.1409286735343</v>
      </c>
      <c r="U109" s="65">
        <v>7819.5092575155631</v>
      </c>
      <c r="V109" s="65">
        <v>7697.8716262926373</v>
      </c>
      <c r="W109" s="65">
        <v>7901.3158355425858</v>
      </c>
      <c r="DA109" s="109"/>
    </row>
    <row r="110" spans="1:105" ht="12" customHeight="1" x14ac:dyDescent="0.25">
      <c r="A110" s="61" t="s">
        <v>35</v>
      </c>
      <c r="B110" s="65">
        <v>16745.23606952816</v>
      </c>
      <c r="C110" s="65">
        <v>16600.753748582149</v>
      </c>
      <c r="D110" s="65">
        <v>16465.523163289705</v>
      </c>
      <c r="E110" s="65">
        <v>16408.856207741701</v>
      </c>
      <c r="F110" s="65">
        <v>16312.326847194698</v>
      </c>
      <c r="G110" s="65">
        <v>16256.670946422149</v>
      </c>
      <c r="H110" s="65">
        <v>16220.186122950101</v>
      </c>
      <c r="I110" s="65">
        <v>16275.384355663553</v>
      </c>
      <c r="J110" s="65">
        <v>16356.442650382221</v>
      </c>
      <c r="K110" s="65">
        <v>16357.28992921228</v>
      </c>
      <c r="L110" s="65">
        <v>16300.721328463484</v>
      </c>
      <c r="M110" s="65">
        <v>16334.463268414962</v>
      </c>
      <c r="N110" s="65">
        <v>16511.626807914348</v>
      </c>
      <c r="O110" s="65">
        <v>16588.690011443974</v>
      </c>
      <c r="P110" s="65">
        <v>16602.39734851231</v>
      </c>
      <c r="Q110" s="65">
        <v>16630.195489979462</v>
      </c>
      <c r="R110" s="65">
        <v>16601.822721371915</v>
      </c>
      <c r="S110" s="65">
        <v>16428.030816192655</v>
      </c>
      <c r="T110" s="65">
        <v>16545.272934080007</v>
      </c>
      <c r="U110" s="65">
        <v>16477.437633768321</v>
      </c>
      <c r="V110" s="65">
        <v>15975.745453035366</v>
      </c>
      <c r="W110" s="65">
        <v>16468.362664026932</v>
      </c>
      <c r="DA110" s="109"/>
    </row>
    <row r="111" spans="1:105" ht="12" customHeight="1" x14ac:dyDescent="0.25">
      <c r="A111" s="74" t="s">
        <v>34</v>
      </c>
      <c r="B111" s="68">
        <v>14751.524364043049</v>
      </c>
      <c r="C111" s="68">
        <v>15113.097322375839</v>
      </c>
      <c r="D111" s="68">
        <v>15055.222563743127</v>
      </c>
      <c r="E111" s="68">
        <v>15036.421873468216</v>
      </c>
      <c r="F111" s="68">
        <v>15170.266733330482</v>
      </c>
      <c r="G111" s="68">
        <v>15184.370305578905</v>
      </c>
      <c r="H111" s="68">
        <v>15439.298362061947</v>
      </c>
      <c r="I111" s="68">
        <v>15693.700901455264</v>
      </c>
      <c r="J111" s="68">
        <v>15799.771861894509</v>
      </c>
      <c r="K111" s="68">
        <v>15944.353981534405</v>
      </c>
      <c r="L111" s="68">
        <v>16087.773836011116</v>
      </c>
      <c r="M111" s="68">
        <v>16205.631744923867</v>
      </c>
      <c r="N111" s="68">
        <v>16235.462729578296</v>
      </c>
      <c r="O111" s="68">
        <v>16224.028395334577</v>
      </c>
      <c r="P111" s="68">
        <v>16262.594925072497</v>
      </c>
      <c r="Q111" s="68">
        <v>16135.304365854361</v>
      </c>
      <c r="R111" s="68">
        <v>16291.46151794551</v>
      </c>
      <c r="S111" s="68">
        <v>16340.273604766388</v>
      </c>
      <c r="T111" s="68">
        <v>16345.423329940633</v>
      </c>
      <c r="U111" s="68">
        <v>16510.912999035976</v>
      </c>
      <c r="V111" s="68">
        <v>15745.979937811624</v>
      </c>
      <c r="W111" s="68">
        <v>15904.28452936808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20634.537404536459</v>
      </c>
      <c r="C113" s="82">
        <f t="shared" ref="C113:W113" si="70">C81*1000000/C$8</f>
        <v>20675.8996279444</v>
      </c>
      <c r="D113" s="82">
        <f t="shared" si="70"/>
        <v>20230.257974299482</v>
      </c>
      <c r="E113" s="82">
        <f t="shared" si="70"/>
        <v>20889.294666177902</v>
      </c>
      <c r="F113" s="82">
        <f t="shared" si="70"/>
        <v>15802.688301964223</v>
      </c>
      <c r="G113" s="82">
        <f t="shared" si="70"/>
        <v>8804.0736352841741</v>
      </c>
      <c r="H113" s="82">
        <f t="shared" si="70"/>
        <v>8359.3456363757705</v>
      </c>
      <c r="I113" s="82">
        <f t="shared" si="70"/>
        <v>8477.1012088411353</v>
      </c>
      <c r="J113" s="82">
        <f t="shared" si="70"/>
        <v>7497.5983036173657</v>
      </c>
      <c r="K113" s="82">
        <f t="shared" si="70"/>
        <v>6337.8961704652957</v>
      </c>
      <c r="L113" s="82">
        <f t="shared" si="70"/>
        <v>7560.3556197681874</v>
      </c>
      <c r="M113" s="82">
        <f t="shared" si="70"/>
        <v>6924.7298559901801</v>
      </c>
      <c r="N113" s="82">
        <f t="shared" si="70"/>
        <v>6321.4674694302748</v>
      </c>
      <c r="O113" s="82">
        <f t="shared" si="70"/>
        <v>5577.991973571844</v>
      </c>
      <c r="P113" s="82">
        <f t="shared" si="70"/>
        <v>5291.3138167459329</v>
      </c>
      <c r="Q113" s="82">
        <f t="shared" si="70"/>
        <v>4956.4489287532842</v>
      </c>
      <c r="R113" s="82">
        <f t="shared" si="70"/>
        <v>4763.1006677351006</v>
      </c>
      <c r="S113" s="82">
        <f t="shared" si="70"/>
        <v>4192.0902275144481</v>
      </c>
      <c r="T113" s="82">
        <f t="shared" si="70"/>
        <v>4370.5015145306961</v>
      </c>
      <c r="U113" s="82">
        <f t="shared" si="70"/>
        <v>4484.2880446537429</v>
      </c>
      <c r="V113" s="82">
        <f t="shared" si="70"/>
        <v>4312.8132154117857</v>
      </c>
      <c r="W113" s="82">
        <f t="shared" si="70"/>
        <v>3841.1075073951542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20634.537404536459</v>
      </c>
      <c r="C114" s="64">
        <f t="shared" ref="C114:W114" si="72">C82*1000000/C$8</f>
        <v>20675.8996279444</v>
      </c>
      <c r="D114" s="64">
        <f t="shared" si="72"/>
        <v>20230.257974299482</v>
      </c>
      <c r="E114" s="64">
        <f t="shared" si="72"/>
        <v>20889.294666177902</v>
      </c>
      <c r="F114" s="64">
        <f t="shared" si="72"/>
        <v>15802.688301964223</v>
      </c>
      <c r="G114" s="64">
        <f t="shared" si="72"/>
        <v>8804.0736352841741</v>
      </c>
      <c r="H114" s="64">
        <f t="shared" si="72"/>
        <v>8359.3456363757705</v>
      </c>
      <c r="I114" s="64">
        <f t="shared" si="72"/>
        <v>8477.1012088411353</v>
      </c>
      <c r="J114" s="64">
        <f t="shared" si="72"/>
        <v>7497.5983036173657</v>
      </c>
      <c r="K114" s="64">
        <f t="shared" si="72"/>
        <v>6337.8961704652957</v>
      </c>
      <c r="L114" s="64">
        <f t="shared" si="72"/>
        <v>7560.3556197681874</v>
      </c>
      <c r="M114" s="64">
        <f t="shared" si="72"/>
        <v>6924.7298559901801</v>
      </c>
      <c r="N114" s="64">
        <f t="shared" si="72"/>
        <v>6321.4674694302748</v>
      </c>
      <c r="O114" s="64">
        <f t="shared" si="72"/>
        <v>5577.991973571844</v>
      </c>
      <c r="P114" s="64">
        <f t="shared" si="72"/>
        <v>5291.3138167459329</v>
      </c>
      <c r="Q114" s="64">
        <f t="shared" si="72"/>
        <v>4956.4489287532842</v>
      </c>
      <c r="R114" s="64">
        <f t="shared" si="72"/>
        <v>4763.1006677351006</v>
      </c>
      <c r="S114" s="64">
        <f t="shared" si="72"/>
        <v>4192.0902275144481</v>
      </c>
      <c r="T114" s="64">
        <f t="shared" si="72"/>
        <v>4370.5015145306961</v>
      </c>
      <c r="U114" s="64">
        <f t="shared" si="72"/>
        <v>4484.2880446537429</v>
      </c>
      <c r="V114" s="64">
        <f t="shared" si="72"/>
        <v>4312.8132154117857</v>
      </c>
      <c r="W114" s="64">
        <f t="shared" si="72"/>
        <v>3841.1075073951542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18035.492831637788</v>
      </c>
      <c r="C115" s="65">
        <f t="shared" ref="C115:W115" si="74">C83*1000000/C$8</f>
        <v>17919.52623285383</v>
      </c>
      <c r="D115" s="65">
        <f t="shared" si="74"/>
        <v>17710.573210036051</v>
      </c>
      <c r="E115" s="65">
        <f t="shared" si="74"/>
        <v>18580.242108714363</v>
      </c>
      <c r="F115" s="65">
        <f t="shared" si="74"/>
        <v>13746.029244741962</v>
      </c>
      <c r="G115" s="65">
        <f t="shared" si="74"/>
        <v>7228.4227803642889</v>
      </c>
      <c r="H115" s="65">
        <f t="shared" si="74"/>
        <v>6318.3945260523224</v>
      </c>
      <c r="I115" s="65">
        <f t="shared" si="74"/>
        <v>6133.5683362650889</v>
      </c>
      <c r="J115" s="65">
        <f t="shared" si="74"/>
        <v>5369.3877196803651</v>
      </c>
      <c r="K115" s="65">
        <f t="shared" si="74"/>
        <v>4950.1239113052834</v>
      </c>
      <c r="L115" s="65">
        <f t="shared" si="74"/>
        <v>5752.6112557268834</v>
      </c>
      <c r="M115" s="65">
        <f t="shared" si="74"/>
        <v>5218.8879931456759</v>
      </c>
      <c r="N115" s="65">
        <f t="shared" si="74"/>
        <v>5359.8015752676711</v>
      </c>
      <c r="O115" s="65">
        <f t="shared" si="74"/>
        <v>4574.4265194319996</v>
      </c>
      <c r="P115" s="65">
        <f t="shared" si="74"/>
        <v>4398.0544861872031</v>
      </c>
      <c r="Q115" s="65">
        <f t="shared" si="74"/>
        <v>4121.0144202259926</v>
      </c>
      <c r="R115" s="65">
        <f t="shared" si="74"/>
        <v>3930.0707937210695</v>
      </c>
      <c r="S115" s="65">
        <f t="shared" si="74"/>
        <v>3440.3426083003369</v>
      </c>
      <c r="T115" s="65">
        <f t="shared" si="74"/>
        <v>3604.1785283059594</v>
      </c>
      <c r="U115" s="65">
        <f t="shared" si="74"/>
        <v>3695.8582005619046</v>
      </c>
      <c r="V115" s="65">
        <f t="shared" si="74"/>
        <v>3558.6316511337313</v>
      </c>
      <c r="W115" s="65">
        <f t="shared" si="74"/>
        <v>3150.2440833305973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1787.2115749486532</v>
      </c>
      <c r="C117" s="65">
        <f t="shared" ref="C117:W117" si="78">C85*1000000/C$8</f>
        <v>1726.4591366771635</v>
      </c>
      <c r="D117" s="65">
        <f t="shared" si="78"/>
        <v>1646.8458931282835</v>
      </c>
      <c r="E117" s="65">
        <f t="shared" si="78"/>
        <v>1590.4298013745981</v>
      </c>
      <c r="F117" s="65">
        <f t="shared" si="78"/>
        <v>1416.170476662076</v>
      </c>
      <c r="G117" s="65">
        <f t="shared" si="78"/>
        <v>933.16363078511176</v>
      </c>
      <c r="H117" s="65">
        <f t="shared" si="78"/>
        <v>935.50725652408005</v>
      </c>
      <c r="I117" s="65">
        <f t="shared" si="78"/>
        <v>775.63884346151553</v>
      </c>
      <c r="J117" s="65">
        <f t="shared" si="78"/>
        <v>691.09938664645995</v>
      </c>
      <c r="K117" s="65">
        <f t="shared" si="78"/>
        <v>422.97198118619025</v>
      </c>
      <c r="L117" s="65">
        <f t="shared" si="78"/>
        <v>392.68364540015727</v>
      </c>
      <c r="M117" s="65">
        <f t="shared" si="78"/>
        <v>406.05962210284122</v>
      </c>
      <c r="N117" s="65">
        <f t="shared" si="78"/>
        <v>545.07667550233907</v>
      </c>
      <c r="O117" s="65">
        <f t="shared" si="78"/>
        <v>567.31306846684799</v>
      </c>
      <c r="P117" s="65">
        <f t="shared" si="78"/>
        <v>429.88022111622314</v>
      </c>
      <c r="Q117" s="65">
        <f t="shared" si="78"/>
        <v>584.48081970299143</v>
      </c>
      <c r="R117" s="65">
        <f t="shared" si="78"/>
        <v>572.20948713138</v>
      </c>
      <c r="S117" s="65">
        <f t="shared" si="78"/>
        <v>537.4776754142249</v>
      </c>
      <c r="T117" s="65">
        <f t="shared" si="78"/>
        <v>541.55207060605824</v>
      </c>
      <c r="U117" s="65">
        <f t="shared" si="78"/>
        <v>538.38484948755638</v>
      </c>
      <c r="V117" s="65">
        <f t="shared" si="78"/>
        <v>515.85781488864552</v>
      </c>
      <c r="W117" s="65">
        <f t="shared" si="78"/>
        <v>447.37179749126375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811.83299795001813</v>
      </c>
      <c r="C118" s="67">
        <f t="shared" ref="C118:W118" si="80">C86*1000000/C$8</f>
        <v>1029.9142584134061</v>
      </c>
      <c r="D118" s="67">
        <f t="shared" si="80"/>
        <v>872.83887113514447</v>
      </c>
      <c r="E118" s="67">
        <f t="shared" si="80"/>
        <v>718.62275608894345</v>
      </c>
      <c r="F118" s="67">
        <f t="shared" si="80"/>
        <v>640.48858056018753</v>
      </c>
      <c r="G118" s="67">
        <f t="shared" si="80"/>
        <v>642.48722413477378</v>
      </c>
      <c r="H118" s="67">
        <f t="shared" si="80"/>
        <v>1105.4438537993683</v>
      </c>
      <c r="I118" s="67">
        <f t="shared" si="80"/>
        <v>1567.8940291145304</v>
      </c>
      <c r="J118" s="67">
        <f t="shared" si="80"/>
        <v>1437.1111972905414</v>
      </c>
      <c r="K118" s="67">
        <f t="shared" si="80"/>
        <v>964.8002779738232</v>
      </c>
      <c r="L118" s="67">
        <f t="shared" si="80"/>
        <v>1415.0607186411455</v>
      </c>
      <c r="M118" s="67">
        <f t="shared" si="80"/>
        <v>1299.7822407416636</v>
      </c>
      <c r="N118" s="67">
        <f t="shared" si="80"/>
        <v>416.58921866026458</v>
      </c>
      <c r="O118" s="67">
        <f t="shared" si="80"/>
        <v>436.25238567299641</v>
      </c>
      <c r="P118" s="67">
        <f t="shared" si="80"/>
        <v>463.37910944250643</v>
      </c>
      <c r="Q118" s="67">
        <f t="shared" si="80"/>
        <v>250.95368882429955</v>
      </c>
      <c r="R118" s="67">
        <f t="shared" si="80"/>
        <v>260.82038688265067</v>
      </c>
      <c r="S118" s="67">
        <f t="shared" si="80"/>
        <v>214.26994379988639</v>
      </c>
      <c r="T118" s="67">
        <f t="shared" si="80"/>
        <v>224.77091561867829</v>
      </c>
      <c r="U118" s="67">
        <f t="shared" si="80"/>
        <v>250.04499460428153</v>
      </c>
      <c r="V118" s="67">
        <f t="shared" si="80"/>
        <v>238.32374938940927</v>
      </c>
      <c r="W118" s="67">
        <f t="shared" si="80"/>
        <v>243.49162657329325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0.66137488525755928</v>
      </c>
      <c r="C121" s="86">
        <f t="shared" ref="C121:W121" si="84">IF(C107=0,"",C107/C100)</f>
        <v>0.6676349445043479</v>
      </c>
      <c r="D121" s="86">
        <f t="shared" si="84"/>
        <v>0.67361748934870469</v>
      </c>
      <c r="E121" s="86">
        <f t="shared" si="84"/>
        <v>0.67574375201774395</v>
      </c>
      <c r="F121" s="86">
        <f t="shared" si="84"/>
        <v>0.69580532207296719</v>
      </c>
      <c r="G121" s="86">
        <f t="shared" si="84"/>
        <v>0.73083336670866028</v>
      </c>
      <c r="H121" s="86">
        <f t="shared" si="84"/>
        <v>0.74150067546988441</v>
      </c>
      <c r="I121" s="86">
        <f t="shared" si="84"/>
        <v>0.74722382914626506</v>
      </c>
      <c r="J121" s="86">
        <f t="shared" si="84"/>
        <v>0.75937385659915602</v>
      </c>
      <c r="K121" s="86">
        <f t="shared" si="84"/>
        <v>0.77345627391584659</v>
      </c>
      <c r="L121" s="86">
        <f t="shared" si="84"/>
        <v>0.77673977167993524</v>
      </c>
      <c r="M121" s="86">
        <f t="shared" si="84"/>
        <v>0.79416681386005805</v>
      </c>
      <c r="N121" s="86">
        <f t="shared" si="84"/>
        <v>0.80643986329142914</v>
      </c>
      <c r="O121" s="86">
        <f t="shared" si="84"/>
        <v>0.82506449233871393</v>
      </c>
      <c r="P121" s="86">
        <f t="shared" si="84"/>
        <v>0.82885191597559438</v>
      </c>
      <c r="Q121" s="86">
        <f t="shared" si="84"/>
        <v>0.83444405602247052</v>
      </c>
      <c r="R121" s="86">
        <f t="shared" si="84"/>
        <v>0.84399576413366983</v>
      </c>
      <c r="S121" s="86">
        <f t="shared" si="84"/>
        <v>0.86068504161684267</v>
      </c>
      <c r="T121" s="86">
        <f t="shared" si="84"/>
        <v>0.86951188510960342</v>
      </c>
      <c r="U121" s="86">
        <f t="shared" si="84"/>
        <v>0.88477499530811132</v>
      </c>
      <c r="V121" s="86">
        <f t="shared" si="84"/>
        <v>0.90391537093693974</v>
      </c>
      <c r="W121" s="86">
        <f t="shared" si="84"/>
        <v>0.91162563343791181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0.63302900083771907</v>
      </c>
      <c r="C122" s="75">
        <f t="shared" ref="C122:W122" si="86">IF(C108=0,"",C108/C101)</f>
        <v>0.64268904328553966</v>
      </c>
      <c r="D122" s="75">
        <f t="shared" si="86"/>
        <v>0.64760922107858931</v>
      </c>
      <c r="E122" s="75">
        <f t="shared" si="86"/>
        <v>0.64812357704791879</v>
      </c>
      <c r="F122" s="75">
        <f t="shared" si="86"/>
        <v>0.66730306038951304</v>
      </c>
      <c r="G122" s="75">
        <f t="shared" si="86"/>
        <v>0.70243284910740023</v>
      </c>
      <c r="H122" s="75">
        <f t="shared" si="86"/>
        <v>0.71578748446651541</v>
      </c>
      <c r="I122" s="75">
        <f t="shared" si="86"/>
        <v>0.72280048936963048</v>
      </c>
      <c r="J122" s="75">
        <f t="shared" si="86"/>
        <v>0.73390036587495411</v>
      </c>
      <c r="K122" s="75">
        <f t="shared" si="86"/>
        <v>0.74480021673563657</v>
      </c>
      <c r="L122" s="75">
        <f t="shared" si="86"/>
        <v>0.75161463795180239</v>
      </c>
      <c r="M122" s="75">
        <f t="shared" si="86"/>
        <v>0.76710463554509534</v>
      </c>
      <c r="N122" s="75">
        <f t="shared" si="86"/>
        <v>0.7780831804536068</v>
      </c>
      <c r="O122" s="75">
        <f t="shared" si="86"/>
        <v>0.79875025190896942</v>
      </c>
      <c r="P122" s="75">
        <f t="shared" si="86"/>
        <v>0.80063744057527719</v>
      </c>
      <c r="Q122" s="75">
        <f t="shared" si="86"/>
        <v>0.80582003462780816</v>
      </c>
      <c r="R122" s="75">
        <f t="shared" si="86"/>
        <v>0.81670702646555804</v>
      </c>
      <c r="S122" s="75">
        <f t="shared" si="86"/>
        <v>0.83190316271670739</v>
      </c>
      <c r="T122" s="75">
        <f t="shared" si="86"/>
        <v>0.84103043910070718</v>
      </c>
      <c r="U122" s="75">
        <f t="shared" si="86"/>
        <v>0.85686476145162038</v>
      </c>
      <c r="V122" s="75">
        <f t="shared" si="86"/>
        <v>0.87790832380776418</v>
      </c>
      <c r="W122" s="75">
        <f t="shared" si="86"/>
        <v>0.88469739476637854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1.9433822954868889</v>
      </c>
      <c r="C123" s="76">
        <f t="shared" ref="C123:W123" si="88">IF(C109=0,"",C109/C102)</f>
        <v>2.0117256511258632</v>
      </c>
      <c r="D123" s="76">
        <f t="shared" si="88"/>
        <v>2.0929789660036029</v>
      </c>
      <c r="E123" s="76">
        <f t="shared" si="88"/>
        <v>2.1798654290203077</v>
      </c>
      <c r="F123" s="76">
        <f t="shared" si="88"/>
        <v>2.2857832752490914</v>
      </c>
      <c r="G123" s="76">
        <f t="shared" si="88"/>
        <v>2.4034856752479361</v>
      </c>
      <c r="H123" s="76">
        <f t="shared" si="88"/>
        <v>2.540747004691847</v>
      </c>
      <c r="I123" s="76">
        <f t="shared" si="88"/>
        <v>2.7058627701418607</v>
      </c>
      <c r="J123" s="76">
        <f t="shared" si="88"/>
        <v>2.9014081971259689</v>
      </c>
      <c r="K123" s="76">
        <f t="shared" si="88"/>
        <v>2.9448844518612844</v>
      </c>
      <c r="L123" s="76">
        <f t="shared" si="88"/>
        <v>3.0118372206878483</v>
      </c>
      <c r="M123" s="76">
        <f t="shared" si="88"/>
        <v>3.1085132686927768</v>
      </c>
      <c r="N123" s="76">
        <f t="shared" si="88"/>
        <v>3.2121187819210135</v>
      </c>
      <c r="O123" s="76">
        <f t="shared" si="88"/>
        <v>3.3255622696757388</v>
      </c>
      <c r="P123" s="76">
        <f t="shared" si="88"/>
        <v>3.449636789239082</v>
      </c>
      <c r="Q123" s="76">
        <f t="shared" si="88"/>
        <v>3.5824521740686839</v>
      </c>
      <c r="R123" s="76">
        <f t="shared" si="88"/>
        <v>3.7241376751531576</v>
      </c>
      <c r="S123" s="76">
        <f t="shared" si="88"/>
        <v>3.8652360519397191</v>
      </c>
      <c r="T123" s="76">
        <f t="shared" si="88"/>
        <v>3.9857005186810781</v>
      </c>
      <c r="U123" s="76">
        <f t="shared" si="88"/>
        <v>4.0847317946500858</v>
      </c>
      <c r="V123" s="76">
        <f t="shared" si="88"/>
        <v>4.1872128916385654</v>
      </c>
      <c r="W123" s="76">
        <f t="shared" si="88"/>
        <v>4.2990371306754733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0.6445415090124923</v>
      </c>
      <c r="C124" s="76">
        <f t="shared" ref="C124:W124" si="90">IF(C110=0,"",C110/C103)</f>
        <v>0.64672121785679804</v>
      </c>
      <c r="D124" s="76">
        <f t="shared" si="90"/>
        <v>0.6503509081703025</v>
      </c>
      <c r="E124" s="76">
        <f t="shared" si="90"/>
        <v>0.65427019362696603</v>
      </c>
      <c r="F124" s="76">
        <f t="shared" si="90"/>
        <v>0.66341392155163226</v>
      </c>
      <c r="G124" s="76">
        <f t="shared" si="90"/>
        <v>0.68051730124847665</v>
      </c>
      <c r="H124" s="76">
        <f t="shared" si="90"/>
        <v>0.68566972824462857</v>
      </c>
      <c r="I124" s="76">
        <f t="shared" si="90"/>
        <v>0.69111602856674914</v>
      </c>
      <c r="J124" s="76">
        <f t="shared" si="90"/>
        <v>0.6972616657612013</v>
      </c>
      <c r="K124" s="76">
        <f t="shared" si="90"/>
        <v>0.70826609845938793</v>
      </c>
      <c r="L124" s="76">
        <f t="shared" si="90"/>
        <v>0.71336723309038119</v>
      </c>
      <c r="M124" s="76">
        <f t="shared" si="90"/>
        <v>0.71926988323552188</v>
      </c>
      <c r="N124" s="76">
        <f t="shared" si="90"/>
        <v>0.72375157580196003</v>
      </c>
      <c r="O124" s="76">
        <f t="shared" si="90"/>
        <v>0.73058839181395285</v>
      </c>
      <c r="P124" s="76">
        <f t="shared" si="90"/>
        <v>0.73624811842945925</v>
      </c>
      <c r="Q124" s="76">
        <f t="shared" si="90"/>
        <v>0.73780791760720155</v>
      </c>
      <c r="R124" s="76">
        <f t="shared" si="90"/>
        <v>0.74807156007565889</v>
      </c>
      <c r="S124" s="76">
        <f t="shared" si="90"/>
        <v>0.75513497258735429</v>
      </c>
      <c r="T124" s="76">
        <f t="shared" si="90"/>
        <v>0.76686640702703113</v>
      </c>
      <c r="U124" s="76">
        <f t="shared" si="90"/>
        <v>0.77704760560351194</v>
      </c>
      <c r="V124" s="76">
        <f t="shared" si="90"/>
        <v>0.78404826146964379</v>
      </c>
      <c r="W124" s="76">
        <f t="shared" si="90"/>
        <v>0.8037544620157715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0.77985234345813692</v>
      </c>
      <c r="C125" s="56">
        <f t="shared" ref="C125:W125" si="92">IF(C111=0,"",C111/C104)</f>
        <v>0.77306841884745037</v>
      </c>
      <c r="D125" s="56">
        <f t="shared" si="92"/>
        <v>0.78102906390257765</v>
      </c>
      <c r="E125" s="56">
        <f t="shared" si="92"/>
        <v>0.78927849865389665</v>
      </c>
      <c r="F125" s="56">
        <f t="shared" si="92"/>
        <v>0.79472413406340514</v>
      </c>
      <c r="G125" s="56">
        <f t="shared" si="92"/>
        <v>0.79631036603763339</v>
      </c>
      <c r="H125" s="56">
        <f t="shared" si="92"/>
        <v>0.77869783545315019</v>
      </c>
      <c r="I125" s="56">
        <f t="shared" si="92"/>
        <v>0.76261948720123252</v>
      </c>
      <c r="J125" s="56">
        <f t="shared" si="92"/>
        <v>0.77006377350569921</v>
      </c>
      <c r="K125" s="56">
        <f t="shared" si="92"/>
        <v>0.79229516931931854</v>
      </c>
      <c r="L125" s="56">
        <f t="shared" si="92"/>
        <v>0.77585649797715495</v>
      </c>
      <c r="M125" s="56">
        <f t="shared" si="92"/>
        <v>0.78169641952283664</v>
      </c>
      <c r="N125" s="56">
        <f t="shared" si="92"/>
        <v>0.82115308446913948</v>
      </c>
      <c r="O125" s="56">
        <f t="shared" si="92"/>
        <v>0.82210466465390919</v>
      </c>
      <c r="P125" s="56">
        <f t="shared" si="92"/>
        <v>0.82284219409466341</v>
      </c>
      <c r="Q125" s="56">
        <f t="shared" si="92"/>
        <v>0.83515084789700067</v>
      </c>
      <c r="R125" s="56">
        <f t="shared" si="92"/>
        <v>0.83760031152296666</v>
      </c>
      <c r="S125" s="56">
        <f t="shared" si="92"/>
        <v>0.8436173744018659</v>
      </c>
      <c r="T125" s="56">
        <f t="shared" si="92"/>
        <v>0.84734207728825006</v>
      </c>
      <c r="U125" s="56">
        <f t="shared" si="92"/>
        <v>0.85154892814538607</v>
      </c>
      <c r="V125" s="56">
        <f t="shared" si="92"/>
        <v>0.85821498280419284</v>
      </c>
      <c r="W125" s="56">
        <f t="shared" si="92"/>
        <v>0.86521637630872472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350.14544398750206</v>
      </c>
      <c r="C129" s="82">
        <f t="shared" ref="C129:W129" si="94">IF(C99=0,0,C99/C$26)</f>
        <v>375.86750257242863</v>
      </c>
      <c r="D129" s="82">
        <f t="shared" si="94"/>
        <v>371.08256942861846</v>
      </c>
      <c r="E129" s="82">
        <f t="shared" si="94"/>
        <v>368.22722552581416</v>
      </c>
      <c r="F129" s="82">
        <f t="shared" si="94"/>
        <v>345.76715950559048</v>
      </c>
      <c r="G129" s="82">
        <f t="shared" si="94"/>
        <v>308.22142540660576</v>
      </c>
      <c r="H129" s="82">
        <f t="shared" si="94"/>
        <v>306.72422065637909</v>
      </c>
      <c r="I129" s="82">
        <f t="shared" si="94"/>
        <v>307.88972560978954</v>
      </c>
      <c r="J129" s="82">
        <f t="shared" si="94"/>
        <v>301.53995874425664</v>
      </c>
      <c r="K129" s="82">
        <f t="shared" si="94"/>
        <v>289.21772599288863</v>
      </c>
      <c r="L129" s="82">
        <f t="shared" si="94"/>
        <v>306.78608785787685</v>
      </c>
      <c r="M129" s="82">
        <f t="shared" si="94"/>
        <v>271.08865118507936</v>
      </c>
      <c r="N129" s="82">
        <f t="shared" si="94"/>
        <v>281.64364526014293</v>
      </c>
      <c r="O129" s="82">
        <f t="shared" si="94"/>
        <v>271.67743053485651</v>
      </c>
      <c r="P129" s="82">
        <f t="shared" si="94"/>
        <v>268.90701962999844</v>
      </c>
      <c r="Q129" s="82">
        <f t="shared" si="94"/>
        <v>269.40317167771292</v>
      </c>
      <c r="R129" s="82">
        <f t="shared" si="94"/>
        <v>278.95738232085995</v>
      </c>
      <c r="S129" s="82">
        <f t="shared" si="94"/>
        <v>261.10761221652967</v>
      </c>
      <c r="T129" s="82">
        <f t="shared" si="94"/>
        <v>265.4679558527402</v>
      </c>
      <c r="U129" s="82">
        <f t="shared" si="94"/>
        <v>257.32030866096596</v>
      </c>
      <c r="V129" s="82">
        <f t="shared" si="94"/>
        <v>253.19354640512159</v>
      </c>
      <c r="W129" s="82">
        <f t="shared" si="94"/>
        <v>266.46149145766884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280.85743412170086</v>
      </c>
      <c r="C130" s="64">
        <f t="shared" ref="C130:W130" si="96">IF(C100=0,0,C100/C$26)</f>
        <v>303.96668526075007</v>
      </c>
      <c r="D130" s="64">
        <f t="shared" si="96"/>
        <v>296.95595297108468</v>
      </c>
      <c r="E130" s="64">
        <f t="shared" si="96"/>
        <v>292.28574410645177</v>
      </c>
      <c r="F130" s="64">
        <f t="shared" si="96"/>
        <v>268.27770909226621</v>
      </c>
      <c r="G130" s="64">
        <f t="shared" si="96"/>
        <v>229.96566017383225</v>
      </c>
      <c r="H130" s="64">
        <f t="shared" si="96"/>
        <v>228.02402448300884</v>
      </c>
      <c r="I130" s="64">
        <f t="shared" si="96"/>
        <v>228.54835023062097</v>
      </c>
      <c r="J130" s="64">
        <f t="shared" si="96"/>
        <v>221.58382698668703</v>
      </c>
      <c r="K130" s="64">
        <f t="shared" si="96"/>
        <v>209.09581677268656</v>
      </c>
      <c r="L130" s="64">
        <f t="shared" si="96"/>
        <v>226.07555424121151</v>
      </c>
      <c r="M130" s="64">
        <f t="shared" si="96"/>
        <v>192.2760757158371</v>
      </c>
      <c r="N130" s="64">
        <f t="shared" si="96"/>
        <v>202.52279943205926</v>
      </c>
      <c r="O130" s="64">
        <f t="shared" si="96"/>
        <v>191.9749771371132</v>
      </c>
      <c r="P130" s="64">
        <f t="shared" si="96"/>
        <v>188.43986664317455</v>
      </c>
      <c r="Q130" s="64">
        <f t="shared" si="96"/>
        <v>187.60113398063976</v>
      </c>
      <c r="R130" s="64">
        <f t="shared" si="96"/>
        <v>196.43210467046038</v>
      </c>
      <c r="S130" s="64">
        <f t="shared" si="96"/>
        <v>178.76839544404473</v>
      </c>
      <c r="T130" s="64">
        <f t="shared" si="96"/>
        <v>183.52192882112277</v>
      </c>
      <c r="U130" s="64">
        <f t="shared" si="96"/>
        <v>174.51117494814866</v>
      </c>
      <c r="V130" s="64">
        <f t="shared" si="96"/>
        <v>162.78037837272163</v>
      </c>
      <c r="W130" s="64">
        <f t="shared" si="96"/>
        <v>175.72407077450057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227.50616779674394</v>
      </c>
      <c r="C131" s="65">
        <f t="shared" ref="C131:W131" si="98">IF(C101=0,0,C101/C$26)</f>
        <v>250.3377208217826</v>
      </c>
      <c r="D131" s="65">
        <f t="shared" si="98"/>
        <v>244.09395015935951</v>
      </c>
      <c r="E131" s="65">
        <f t="shared" si="98"/>
        <v>240.04390618875973</v>
      </c>
      <c r="F131" s="65">
        <f t="shared" si="98"/>
        <v>216.62716547097344</v>
      </c>
      <c r="G131" s="65">
        <f t="shared" si="98"/>
        <v>179.22337923527309</v>
      </c>
      <c r="H131" s="65">
        <f t="shared" si="98"/>
        <v>176.82237655009578</v>
      </c>
      <c r="I131" s="65">
        <f t="shared" si="98"/>
        <v>176.74338476549224</v>
      </c>
      <c r="J131" s="65">
        <f t="shared" si="98"/>
        <v>170.05767366898027</v>
      </c>
      <c r="K131" s="65">
        <f t="shared" si="98"/>
        <v>158.40771832340914</v>
      </c>
      <c r="L131" s="65">
        <f t="shared" si="98"/>
        <v>174.95114758906894</v>
      </c>
      <c r="M131" s="65">
        <f t="shared" si="98"/>
        <v>141.41383924524061</v>
      </c>
      <c r="N131" s="65">
        <f t="shared" si="98"/>
        <v>152.66909040246509</v>
      </c>
      <c r="O131" s="65">
        <f t="shared" si="98"/>
        <v>142.34154727428572</v>
      </c>
      <c r="P131" s="65">
        <f t="shared" si="98"/>
        <v>138.99236306571581</v>
      </c>
      <c r="Q131" s="65">
        <f t="shared" si="98"/>
        <v>138.76911560083462</v>
      </c>
      <c r="R131" s="65">
        <f t="shared" si="98"/>
        <v>147.89161954147318</v>
      </c>
      <c r="S131" s="65">
        <f t="shared" si="98"/>
        <v>130.84973666148497</v>
      </c>
      <c r="T131" s="65">
        <f t="shared" si="98"/>
        <v>135.93141418904088</v>
      </c>
      <c r="U131" s="65">
        <f t="shared" si="98"/>
        <v>127.27919545483503</v>
      </c>
      <c r="V131" s="65">
        <f t="shared" si="98"/>
        <v>117.71175993473807</v>
      </c>
      <c r="W131" s="65">
        <f t="shared" si="98"/>
        <v>130.49175933274626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3.4669713288436221</v>
      </c>
      <c r="C132" s="65">
        <f t="shared" ref="C132:W132" si="100">IF(C102=0,0,C102/C$26)</f>
        <v>3.3860772452350894</v>
      </c>
      <c r="D132" s="65">
        <f t="shared" si="100"/>
        <v>3.3130670970197738</v>
      </c>
      <c r="E132" s="65">
        <f t="shared" si="100"/>
        <v>3.20797435248548</v>
      </c>
      <c r="F132" s="65">
        <f t="shared" si="100"/>
        <v>3.1203429655691992</v>
      </c>
      <c r="G132" s="65">
        <f t="shared" si="100"/>
        <v>3.0121662649745442</v>
      </c>
      <c r="H132" s="65">
        <f t="shared" si="100"/>
        <v>2.88715053975689</v>
      </c>
      <c r="I132" s="65">
        <f t="shared" si="100"/>
        <v>2.7737410206530733</v>
      </c>
      <c r="J132" s="65">
        <f t="shared" si="100"/>
        <v>2.664378319867899</v>
      </c>
      <c r="K132" s="65">
        <f t="shared" si="100"/>
        <v>2.6668798265313702</v>
      </c>
      <c r="L132" s="65">
        <f t="shared" si="100"/>
        <v>2.695635084173845</v>
      </c>
      <c r="M132" s="65">
        <f t="shared" si="100"/>
        <v>2.5942966925046846</v>
      </c>
      <c r="N132" s="65">
        <f t="shared" si="100"/>
        <v>2.5365040278949507</v>
      </c>
      <c r="O132" s="65">
        <f t="shared" si="100"/>
        <v>2.4771192464220047</v>
      </c>
      <c r="P132" s="65">
        <f t="shared" si="100"/>
        <v>2.4320231722209789</v>
      </c>
      <c r="Q132" s="65">
        <f t="shared" si="100"/>
        <v>2.3206469366809745</v>
      </c>
      <c r="R132" s="65">
        <f t="shared" si="100"/>
        <v>2.2704976521172018</v>
      </c>
      <c r="S132" s="65">
        <f t="shared" si="100"/>
        <v>2.2248956734431773</v>
      </c>
      <c r="T132" s="65">
        <f t="shared" si="100"/>
        <v>2.1845151719936324</v>
      </c>
      <c r="U132" s="65">
        <f t="shared" si="100"/>
        <v>2.1270291554616043</v>
      </c>
      <c r="V132" s="65">
        <f t="shared" si="100"/>
        <v>2.0426930555550573</v>
      </c>
      <c r="W132" s="65">
        <f t="shared" si="100"/>
        <v>2.042140960966794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28.866748835986417</v>
      </c>
      <c r="C133" s="65">
        <f t="shared" ref="C133:W133" si="102">IF(C103=0,0,C103/C$26)</f>
        <v>28.521225890803152</v>
      </c>
      <c r="D133" s="65">
        <f t="shared" si="102"/>
        <v>28.131006672166865</v>
      </c>
      <c r="E133" s="65">
        <f t="shared" si="102"/>
        <v>27.866258665974616</v>
      </c>
      <c r="F133" s="65">
        <f t="shared" si="102"/>
        <v>27.320511401995788</v>
      </c>
      <c r="G133" s="65">
        <f t="shared" si="102"/>
        <v>26.542995578670116</v>
      </c>
      <c r="H133" s="65">
        <f t="shared" si="102"/>
        <v>26.284416947557286</v>
      </c>
      <c r="I133" s="65">
        <f t="shared" si="102"/>
        <v>26.166026611601247</v>
      </c>
      <c r="J133" s="65">
        <f t="shared" si="102"/>
        <v>26.064569528931397</v>
      </c>
      <c r="K133" s="65">
        <f t="shared" si="102"/>
        <v>25.660929737491578</v>
      </c>
      <c r="L133" s="65">
        <f t="shared" si="102"/>
        <v>25.389325086770466</v>
      </c>
      <c r="M133" s="65">
        <f t="shared" si="102"/>
        <v>25.233092688282674</v>
      </c>
      <c r="N133" s="65">
        <f t="shared" si="102"/>
        <v>25.348824958985375</v>
      </c>
      <c r="O133" s="65">
        <f t="shared" si="102"/>
        <v>25.228812826781198</v>
      </c>
      <c r="P133" s="65">
        <f t="shared" si="102"/>
        <v>25.055558993297605</v>
      </c>
      <c r="Q133" s="65">
        <f t="shared" si="102"/>
        <v>25.044452015088691</v>
      </c>
      <c r="R133" s="65">
        <f t="shared" si="102"/>
        <v>24.658696674082339</v>
      </c>
      <c r="S133" s="65">
        <f t="shared" si="102"/>
        <v>24.172324466717551</v>
      </c>
      <c r="T133" s="65">
        <f t="shared" si="102"/>
        <v>23.972410872307552</v>
      </c>
      <c r="U133" s="65">
        <f t="shared" si="102"/>
        <v>23.561315813206605</v>
      </c>
      <c r="V133" s="65">
        <f t="shared" si="102"/>
        <v>22.639968932368674</v>
      </c>
      <c r="W133" s="65">
        <f t="shared" si="102"/>
        <v>22.765883864478813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21.017546160126859</v>
      </c>
      <c r="C134" s="67">
        <f t="shared" ref="C134:W134" si="104">IF(C104=0,0,C104/C$26)</f>
        <v>21.721661302929267</v>
      </c>
      <c r="D134" s="67">
        <f t="shared" si="104"/>
        <v>21.417929042538525</v>
      </c>
      <c r="E134" s="67">
        <f t="shared" si="104"/>
        <v>21.167604899231979</v>
      </c>
      <c r="F134" s="67">
        <f t="shared" si="104"/>
        <v>21.209689253727827</v>
      </c>
      <c r="G134" s="67">
        <f t="shared" si="104"/>
        <v>21.187119094914554</v>
      </c>
      <c r="H134" s="67">
        <f t="shared" si="104"/>
        <v>22.030080445598866</v>
      </c>
      <c r="I134" s="67">
        <f t="shared" si="104"/>
        <v>22.865197832874394</v>
      </c>
      <c r="J134" s="67">
        <f t="shared" si="104"/>
        <v>22.797205468907503</v>
      </c>
      <c r="K134" s="67">
        <f t="shared" si="104"/>
        <v>22.360288885254462</v>
      </c>
      <c r="L134" s="67">
        <f t="shared" si="104"/>
        <v>23.039446481198269</v>
      </c>
      <c r="M134" s="67">
        <f t="shared" si="104"/>
        <v>23.034847089809158</v>
      </c>
      <c r="N134" s="67">
        <f t="shared" si="104"/>
        <v>21.968380042713861</v>
      </c>
      <c r="O134" s="67">
        <f t="shared" si="104"/>
        <v>21.927497789624294</v>
      </c>
      <c r="P134" s="67">
        <f t="shared" si="104"/>
        <v>21.959921411940158</v>
      </c>
      <c r="Q134" s="67">
        <f t="shared" si="104"/>
        <v>21.466919428035446</v>
      </c>
      <c r="R134" s="67">
        <f t="shared" si="104"/>
        <v>21.611290802787632</v>
      </c>
      <c r="S134" s="67">
        <f t="shared" si="104"/>
        <v>21.521438642399044</v>
      </c>
      <c r="T134" s="67">
        <f t="shared" si="104"/>
        <v>21.433588587780683</v>
      </c>
      <c r="U134" s="67">
        <f t="shared" si="104"/>
        <v>21.543634524645427</v>
      </c>
      <c r="V134" s="67">
        <f t="shared" si="104"/>
        <v>20.385956450059847</v>
      </c>
      <c r="W134" s="67">
        <f t="shared" si="104"/>
        <v>20.424286616308727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69.288009865801243</v>
      </c>
      <c r="C135" s="68">
        <f t="shared" ref="C135:W135" si="106">IF(C105=0,0,C105/C$26)</f>
        <v>71.900817311678566</v>
      </c>
      <c r="D135" s="68">
        <f t="shared" si="106"/>
        <v>74.126616457533729</v>
      </c>
      <c r="E135" s="68">
        <f t="shared" si="106"/>
        <v>75.941481419362376</v>
      </c>
      <c r="F135" s="68">
        <f t="shared" si="106"/>
        <v>77.489450413324235</v>
      </c>
      <c r="G135" s="68">
        <f t="shared" si="106"/>
        <v>78.255765232773456</v>
      </c>
      <c r="H135" s="68">
        <f t="shared" si="106"/>
        <v>78.700196173370173</v>
      </c>
      <c r="I135" s="68">
        <f t="shared" si="106"/>
        <v>79.341375379168596</v>
      </c>
      <c r="J135" s="68">
        <f t="shared" si="106"/>
        <v>79.956131757569622</v>
      </c>
      <c r="K135" s="68">
        <f t="shared" si="106"/>
        <v>80.121909220202028</v>
      </c>
      <c r="L135" s="68">
        <f t="shared" si="106"/>
        <v>80.71053361666533</v>
      </c>
      <c r="M135" s="68">
        <f t="shared" si="106"/>
        <v>78.812575469242276</v>
      </c>
      <c r="N135" s="68">
        <f t="shared" si="106"/>
        <v>79.120845828083645</v>
      </c>
      <c r="O135" s="68">
        <f t="shared" si="106"/>
        <v>79.702453397743241</v>
      </c>
      <c r="P135" s="68">
        <f t="shared" si="106"/>
        <v>80.467152986823919</v>
      </c>
      <c r="Q135" s="68">
        <f t="shared" si="106"/>
        <v>81.802037697073189</v>
      </c>
      <c r="R135" s="68">
        <f t="shared" si="106"/>
        <v>82.525277650399545</v>
      </c>
      <c r="S135" s="68">
        <f t="shared" si="106"/>
        <v>82.339216772485003</v>
      </c>
      <c r="T135" s="68">
        <f t="shared" si="106"/>
        <v>81.946027031617447</v>
      </c>
      <c r="U135" s="68">
        <f t="shared" si="106"/>
        <v>82.8091337128173</v>
      </c>
      <c r="V135" s="68">
        <f t="shared" si="106"/>
        <v>90.413168032399909</v>
      </c>
      <c r="W135" s="68">
        <f t="shared" si="106"/>
        <v>90.737420683168253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185.75205326597242</v>
      </c>
      <c r="C137" s="85">
        <f t="shared" ref="C137:W137" si="108">IF(C107=0,0,C107/C$26)</f>
        <v>202.93878104523145</v>
      </c>
      <c r="D137" s="85">
        <f t="shared" si="108"/>
        <v>200.03472348753408</v>
      </c>
      <c r="E137" s="85">
        <f t="shared" si="108"/>
        <v>197.5102653837919</v>
      </c>
      <c r="F137" s="85">
        <f t="shared" si="108"/>
        <v>186.66905777994211</v>
      </c>
      <c r="G137" s="85">
        <f t="shared" si="108"/>
        <v>168.0665776522215</v>
      </c>
      <c r="H137" s="85">
        <f t="shared" si="108"/>
        <v>169.07996817751251</v>
      </c>
      <c r="I137" s="85">
        <f t="shared" si="108"/>
        <v>170.77677340438626</v>
      </c>
      <c r="J137" s="85">
        <f t="shared" si="108"/>
        <v>168.26496525888066</v>
      </c>
      <c r="K137" s="85">
        <f t="shared" si="108"/>
        <v>161.72647133239272</v>
      </c>
      <c r="L137" s="85">
        <f t="shared" si="108"/>
        <v>175.60187438373345</v>
      </c>
      <c r="M137" s="85">
        <f t="shared" si="108"/>
        <v>152.69927843276162</v>
      </c>
      <c r="N137" s="85">
        <f t="shared" si="108"/>
        <v>163.32245868738741</v>
      </c>
      <c r="O137" s="85">
        <f t="shared" si="108"/>
        <v>158.39173705336853</v>
      </c>
      <c r="P137" s="85">
        <f t="shared" si="108"/>
        <v>156.1887445133807</v>
      </c>
      <c r="Q137" s="85">
        <f t="shared" si="108"/>
        <v>156.54265115321996</v>
      </c>
      <c r="R137" s="85">
        <f t="shared" si="108"/>
        <v>165.78786428173021</v>
      </c>
      <c r="S137" s="85">
        <f t="shared" si="108"/>
        <v>153.86328387253383</v>
      </c>
      <c r="T137" s="85">
        <f t="shared" si="108"/>
        <v>159.57449828820489</v>
      </c>
      <c r="U137" s="85">
        <f t="shared" si="108"/>
        <v>154.40312399596124</v>
      </c>
      <c r="V137" s="85">
        <f t="shared" si="108"/>
        <v>147.13968609803408</v>
      </c>
      <c r="W137" s="85">
        <f t="shared" si="108"/>
        <v>160.19456733009253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144.01800208479128</v>
      </c>
      <c r="C138" s="65">
        <f t="shared" ref="C138:W138" si="110">IF(C108=0,0,C108/C$26)</f>
        <v>160.88931029323399</v>
      </c>
      <c r="D138" s="65">
        <f t="shared" si="110"/>
        <v>158.07749293269882</v>
      </c>
      <c r="E138" s="65">
        <f t="shared" si="110"/>
        <v>155.57811512761401</v>
      </c>
      <c r="F138" s="65">
        <f t="shared" si="110"/>
        <v>144.55597048228603</v>
      </c>
      <c r="G138" s="65">
        <f t="shared" si="110"/>
        <v>125.89238890288895</v>
      </c>
      <c r="H138" s="65">
        <f t="shared" si="110"/>
        <v>126.56724410818403</v>
      </c>
      <c r="I138" s="65">
        <f t="shared" si="110"/>
        <v>127.75020500134269</v>
      </c>
      <c r="J138" s="65">
        <f t="shared" si="110"/>
        <v>124.80538892550818</v>
      </c>
      <c r="K138" s="65">
        <f t="shared" si="110"/>
        <v>117.98210293987279</v>
      </c>
      <c r="L138" s="65">
        <f t="shared" si="110"/>
        <v>131.49584345441039</v>
      </c>
      <c r="M138" s="65">
        <f t="shared" si="110"/>
        <v>108.47921161525299</v>
      </c>
      <c r="N138" s="65">
        <f t="shared" si="110"/>
        <v>118.78925141730925</v>
      </c>
      <c r="O138" s="65">
        <f t="shared" si="110"/>
        <v>113.69534674244818</v>
      </c>
      <c r="P138" s="65">
        <f t="shared" si="110"/>
        <v>111.28248982444438</v>
      </c>
      <c r="Q138" s="65">
        <f t="shared" si="110"/>
        <v>111.82293353873487</v>
      </c>
      <c r="R138" s="65">
        <f t="shared" si="110"/>
        <v>120.78412483489217</v>
      </c>
      <c r="S138" s="65">
        <f t="shared" si="110"/>
        <v>108.85430976933765</v>
      </c>
      <c r="T138" s="65">
        <f t="shared" si="110"/>
        <v>114.32245696298915</v>
      </c>
      <c r="U138" s="65">
        <f t="shared" si="110"/>
        <v>109.06105745116139</v>
      </c>
      <c r="V138" s="65">
        <f t="shared" si="110"/>
        <v>103.34013385676784</v>
      </c>
      <c r="W138" s="65">
        <f t="shared" si="110"/>
        <v>115.44571952016187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6.7376506994353482</v>
      </c>
      <c r="C139" s="65">
        <f t="shared" ref="C139:W139" si="112">IF(C109=0,0,C109/C$26)</f>
        <v>6.8118584509330296</v>
      </c>
      <c r="D139" s="65">
        <f t="shared" si="112"/>
        <v>6.9341797470210045</v>
      </c>
      <c r="E139" s="65">
        <f t="shared" si="112"/>
        <v>6.9929523881669047</v>
      </c>
      <c r="F139" s="65">
        <f t="shared" si="112"/>
        <v>7.1324277637392264</v>
      </c>
      <c r="G139" s="65">
        <f t="shared" si="112"/>
        <v>7.2396984693313966</v>
      </c>
      <c r="H139" s="65">
        <f t="shared" si="112"/>
        <v>7.3355190859817672</v>
      </c>
      <c r="I139" s="65">
        <f t="shared" si="112"/>
        <v>7.5053625618004371</v>
      </c>
      <c r="J139" s="65">
        <f t="shared" si="112"/>
        <v>7.730449097509438</v>
      </c>
      <c r="K139" s="65">
        <f t="shared" si="112"/>
        <v>7.8536529361347514</v>
      </c>
      <c r="L139" s="65">
        <f t="shared" si="112"/>
        <v>8.1188140799068069</v>
      </c>
      <c r="M139" s="65">
        <f t="shared" si="112"/>
        <v>8.0644056915765976</v>
      </c>
      <c r="N139" s="65">
        <f t="shared" si="112"/>
        <v>8.1475522284196735</v>
      </c>
      <c r="O139" s="65">
        <f t="shared" si="112"/>
        <v>8.2378143033886175</v>
      </c>
      <c r="P139" s="65">
        <f t="shared" si="112"/>
        <v>8.3895966071754238</v>
      </c>
      <c r="Q139" s="65">
        <f t="shared" si="112"/>
        <v>8.3136066635585877</v>
      </c>
      <c r="R139" s="65">
        <f t="shared" si="112"/>
        <v>8.4556458475964593</v>
      </c>
      <c r="S139" s="65">
        <f t="shared" si="112"/>
        <v>8.5997469687972679</v>
      </c>
      <c r="T139" s="65">
        <f t="shared" si="112"/>
        <v>8.706823254081705</v>
      </c>
      <c r="U139" s="65">
        <f t="shared" si="112"/>
        <v>8.6883436194617349</v>
      </c>
      <c r="V139" s="65">
        <f t="shared" si="112"/>
        <v>8.5531906958807085</v>
      </c>
      <c r="W139" s="65">
        <f t="shared" si="112"/>
        <v>8.7792398172695378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18.60581785503129</v>
      </c>
      <c r="C140" s="65">
        <f t="shared" ref="C140:W140" si="114">IF(C110=0,0,C110/C$26)</f>
        <v>18.445281942869055</v>
      </c>
      <c r="D140" s="65">
        <f t="shared" si="114"/>
        <v>18.29502573698856</v>
      </c>
      <c r="E140" s="65">
        <f t="shared" si="114"/>
        <v>18.232062453046332</v>
      </c>
      <c r="F140" s="65">
        <f t="shared" si="114"/>
        <v>18.124807607994107</v>
      </c>
      <c r="G140" s="65">
        <f t="shared" si="114"/>
        <v>18.062967718246835</v>
      </c>
      <c r="H140" s="65">
        <f t="shared" si="114"/>
        <v>18.022429025500113</v>
      </c>
      <c r="I140" s="65">
        <f t="shared" si="114"/>
        <v>18.083760395181724</v>
      </c>
      <c r="J140" s="65">
        <f t="shared" si="114"/>
        <v>18.173825167091355</v>
      </c>
      <c r="K140" s="65">
        <f t="shared" si="114"/>
        <v>18.174766588013643</v>
      </c>
      <c r="L140" s="65">
        <f t="shared" si="114"/>
        <v>18.111912587181649</v>
      </c>
      <c r="M140" s="65">
        <f t="shared" si="114"/>
        <v>18.149403631572181</v>
      </c>
      <c r="N140" s="65">
        <f t="shared" si="114"/>
        <v>18.346252008793719</v>
      </c>
      <c r="O140" s="65">
        <f t="shared" si="114"/>
        <v>18.431877790493303</v>
      </c>
      <c r="P140" s="65">
        <f t="shared" si="114"/>
        <v>18.447108165013677</v>
      </c>
      <c r="Q140" s="65">
        <f t="shared" si="114"/>
        <v>18.477994988866069</v>
      </c>
      <c r="R140" s="65">
        <f t="shared" si="114"/>
        <v>18.446469690413238</v>
      </c>
      <c r="S140" s="65">
        <f t="shared" si="114"/>
        <v>18.253367573547393</v>
      </c>
      <c r="T140" s="65">
        <f t="shared" si="114"/>
        <v>18.383636593422231</v>
      </c>
      <c r="U140" s="65">
        <f t="shared" si="114"/>
        <v>18.308264037520352</v>
      </c>
      <c r="V140" s="65">
        <f t="shared" si="114"/>
        <v>17.750828281150408</v>
      </c>
      <c r="W140" s="65">
        <f t="shared" si="114"/>
        <v>18.298180737807701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16.390582626714497</v>
      </c>
      <c r="C141" s="68">
        <f t="shared" ref="C141:W141" si="116">IF(C111=0,0,C111/C$26)</f>
        <v>16.792330358195375</v>
      </c>
      <c r="D141" s="68">
        <f t="shared" si="116"/>
        <v>16.728025070825698</v>
      </c>
      <c r="E141" s="68">
        <f t="shared" si="116"/>
        <v>16.707135414964682</v>
      </c>
      <c r="F141" s="68">
        <f t="shared" si="116"/>
        <v>16.855851925922757</v>
      </c>
      <c r="G141" s="68">
        <f t="shared" si="116"/>
        <v>16.87152256175434</v>
      </c>
      <c r="H141" s="68">
        <f t="shared" si="116"/>
        <v>17.154775957846606</v>
      </c>
      <c r="I141" s="68">
        <f t="shared" si="116"/>
        <v>17.437445446061403</v>
      </c>
      <c r="J141" s="68">
        <f t="shared" si="116"/>
        <v>17.555302068771674</v>
      </c>
      <c r="K141" s="68">
        <f t="shared" si="116"/>
        <v>17.715948868371562</v>
      </c>
      <c r="L141" s="68">
        <f t="shared" si="116"/>
        <v>17.875304262234575</v>
      </c>
      <c r="M141" s="68">
        <f t="shared" si="116"/>
        <v>18.006257494359851</v>
      </c>
      <c r="N141" s="68">
        <f t="shared" si="116"/>
        <v>18.039403032864772</v>
      </c>
      <c r="O141" s="68">
        <f t="shared" si="116"/>
        <v>18.026698217038415</v>
      </c>
      <c r="P141" s="68">
        <f t="shared" si="116"/>
        <v>18.069549916747221</v>
      </c>
      <c r="Q141" s="68">
        <f t="shared" si="116"/>
        <v>17.928115962060403</v>
      </c>
      <c r="R141" s="68">
        <f t="shared" si="116"/>
        <v>18.101623908828344</v>
      </c>
      <c r="S141" s="68">
        <f t="shared" si="116"/>
        <v>18.155859560851539</v>
      </c>
      <c r="T141" s="68">
        <f t="shared" si="116"/>
        <v>18.161581477711813</v>
      </c>
      <c r="U141" s="68">
        <f t="shared" si="116"/>
        <v>18.345458887817749</v>
      </c>
      <c r="V141" s="68">
        <f t="shared" si="116"/>
        <v>17.495533264235139</v>
      </c>
      <c r="W141" s="68">
        <f t="shared" si="116"/>
        <v>17.67142725485342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22.927263782818287</v>
      </c>
      <c r="C143" s="82">
        <f t="shared" ref="C143:W143" si="118">IF(C113=0,0,C113/C$26)</f>
        <v>22.973221808827113</v>
      </c>
      <c r="D143" s="82">
        <f t="shared" si="118"/>
        <v>22.478064415888312</v>
      </c>
      <c r="E143" s="82">
        <f t="shared" si="118"/>
        <v>23.210327406864334</v>
      </c>
      <c r="F143" s="82">
        <f t="shared" si="118"/>
        <v>17.558542557738026</v>
      </c>
      <c r="G143" s="82">
        <f t="shared" si="118"/>
        <v>9.7823040392046394</v>
      </c>
      <c r="H143" s="82">
        <f t="shared" si="118"/>
        <v>9.2881618181953005</v>
      </c>
      <c r="I143" s="82">
        <f t="shared" si="118"/>
        <v>9.4190013431568165</v>
      </c>
      <c r="J143" s="82">
        <f t="shared" si="118"/>
        <v>8.330664781797072</v>
      </c>
      <c r="K143" s="82">
        <f t="shared" si="118"/>
        <v>7.042106856072551</v>
      </c>
      <c r="L143" s="82">
        <f t="shared" si="118"/>
        <v>8.4003951330757634</v>
      </c>
      <c r="M143" s="82">
        <f t="shared" si="118"/>
        <v>7.6941442844335333</v>
      </c>
      <c r="N143" s="82">
        <f t="shared" si="118"/>
        <v>7.0238527438114167</v>
      </c>
      <c r="O143" s="82">
        <f t="shared" si="118"/>
        <v>6.1977688595242704</v>
      </c>
      <c r="P143" s="82">
        <f t="shared" si="118"/>
        <v>5.8792375741621479</v>
      </c>
      <c r="Q143" s="82">
        <f t="shared" si="118"/>
        <v>5.5071654763925384</v>
      </c>
      <c r="R143" s="82">
        <f t="shared" si="118"/>
        <v>5.2923340752612233</v>
      </c>
      <c r="S143" s="82">
        <f t="shared" si="118"/>
        <v>4.6578780305716085</v>
      </c>
      <c r="T143" s="82">
        <f t="shared" si="118"/>
        <v>4.8561127939229953</v>
      </c>
      <c r="U143" s="82">
        <f t="shared" si="118"/>
        <v>4.9825422718374917</v>
      </c>
      <c r="V143" s="82">
        <f t="shared" si="118"/>
        <v>4.7920146837908728</v>
      </c>
      <c r="W143" s="82">
        <f t="shared" si="118"/>
        <v>4.2678972304390594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22.927263782818287</v>
      </c>
      <c r="C144" s="64">
        <f t="shared" ref="C144:W144" si="120">IF(C114=0,0,C114/C$26)</f>
        <v>22.973221808827113</v>
      </c>
      <c r="D144" s="64">
        <f t="shared" si="120"/>
        <v>22.478064415888312</v>
      </c>
      <c r="E144" s="64">
        <f t="shared" si="120"/>
        <v>23.210327406864334</v>
      </c>
      <c r="F144" s="64">
        <f t="shared" si="120"/>
        <v>17.558542557738026</v>
      </c>
      <c r="G144" s="64">
        <f t="shared" si="120"/>
        <v>9.7823040392046394</v>
      </c>
      <c r="H144" s="64">
        <f t="shared" si="120"/>
        <v>9.2881618181953005</v>
      </c>
      <c r="I144" s="64">
        <f t="shared" si="120"/>
        <v>9.4190013431568165</v>
      </c>
      <c r="J144" s="64">
        <f t="shared" si="120"/>
        <v>8.330664781797072</v>
      </c>
      <c r="K144" s="64">
        <f t="shared" si="120"/>
        <v>7.042106856072551</v>
      </c>
      <c r="L144" s="64">
        <f t="shared" si="120"/>
        <v>8.4003951330757634</v>
      </c>
      <c r="M144" s="64">
        <f t="shared" si="120"/>
        <v>7.6941442844335333</v>
      </c>
      <c r="N144" s="64">
        <f t="shared" si="120"/>
        <v>7.0238527438114167</v>
      </c>
      <c r="O144" s="64">
        <f t="shared" si="120"/>
        <v>6.1977688595242704</v>
      </c>
      <c r="P144" s="64">
        <f t="shared" si="120"/>
        <v>5.8792375741621479</v>
      </c>
      <c r="Q144" s="64">
        <f t="shared" si="120"/>
        <v>5.5071654763925384</v>
      </c>
      <c r="R144" s="64">
        <f t="shared" si="120"/>
        <v>5.2923340752612233</v>
      </c>
      <c r="S144" s="64">
        <f t="shared" si="120"/>
        <v>4.6578780305716085</v>
      </c>
      <c r="T144" s="64">
        <f t="shared" si="120"/>
        <v>4.8561127939229953</v>
      </c>
      <c r="U144" s="64">
        <f t="shared" si="120"/>
        <v>4.9825422718374917</v>
      </c>
      <c r="V144" s="64">
        <f t="shared" si="120"/>
        <v>4.7920146837908728</v>
      </c>
      <c r="W144" s="64">
        <f t="shared" si="120"/>
        <v>4.2678972304390594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20.039436479597544</v>
      </c>
      <c r="C145" s="65">
        <f t="shared" ref="C145:W145" si="122">IF(C115=0,0,C115/C$26)</f>
        <v>19.910584703170922</v>
      </c>
      <c r="D145" s="65">
        <f t="shared" si="122"/>
        <v>19.678414677817834</v>
      </c>
      <c r="E145" s="65">
        <f t="shared" si="122"/>
        <v>20.644713454127068</v>
      </c>
      <c r="F145" s="65">
        <f t="shared" si="122"/>
        <v>15.273365827491068</v>
      </c>
      <c r="G145" s="65">
        <f t="shared" si="122"/>
        <v>8.0315808670714333</v>
      </c>
      <c r="H145" s="65">
        <f t="shared" si="122"/>
        <v>7.0204383622803581</v>
      </c>
      <c r="I145" s="65">
        <f t="shared" si="122"/>
        <v>6.8150759291834309</v>
      </c>
      <c r="J145" s="65">
        <f t="shared" si="122"/>
        <v>5.9659863552004051</v>
      </c>
      <c r="K145" s="65">
        <f t="shared" si="122"/>
        <v>5.5001376792280929</v>
      </c>
      <c r="L145" s="65">
        <f t="shared" si="122"/>
        <v>6.3917902841409813</v>
      </c>
      <c r="M145" s="65">
        <f t="shared" si="122"/>
        <v>5.7987644368285292</v>
      </c>
      <c r="N145" s="65">
        <f t="shared" si="122"/>
        <v>5.9553350836307457</v>
      </c>
      <c r="O145" s="65">
        <f t="shared" si="122"/>
        <v>5.0826961327022211</v>
      </c>
      <c r="P145" s="65">
        <f t="shared" si="122"/>
        <v>4.8867272068746699</v>
      </c>
      <c r="Q145" s="65">
        <f t="shared" si="122"/>
        <v>4.5789049113622138</v>
      </c>
      <c r="R145" s="65">
        <f t="shared" si="122"/>
        <v>4.3667453263567442</v>
      </c>
      <c r="S145" s="65">
        <f t="shared" si="122"/>
        <v>3.822602898111485</v>
      </c>
      <c r="T145" s="65">
        <f t="shared" si="122"/>
        <v>4.0046428092288435</v>
      </c>
      <c r="U145" s="65">
        <f t="shared" si="122"/>
        <v>4.1065091117354493</v>
      </c>
      <c r="V145" s="65">
        <f t="shared" si="122"/>
        <v>3.9540351679263681</v>
      </c>
      <c r="W145" s="65">
        <f t="shared" si="122"/>
        <v>3.5002712037006631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1.9857906388318369</v>
      </c>
      <c r="C147" s="65">
        <f t="shared" ref="C147:W147" si="126">IF(C117=0,0,C117/C$26)</f>
        <v>1.9182879296412929</v>
      </c>
      <c r="D147" s="65">
        <f t="shared" si="126"/>
        <v>1.8298287701425373</v>
      </c>
      <c r="E147" s="65">
        <f t="shared" si="126"/>
        <v>1.7671442237495532</v>
      </c>
      <c r="F147" s="65">
        <f t="shared" si="126"/>
        <v>1.5735227518467512</v>
      </c>
      <c r="G147" s="65">
        <f t="shared" si="126"/>
        <v>1.0368484786501244</v>
      </c>
      <c r="H147" s="65">
        <f t="shared" si="126"/>
        <v>1.0394525072489778</v>
      </c>
      <c r="I147" s="65">
        <f t="shared" si="126"/>
        <v>0.86182093717946162</v>
      </c>
      <c r="J147" s="65">
        <f t="shared" si="126"/>
        <v>0.76788820738495545</v>
      </c>
      <c r="K147" s="65">
        <f t="shared" si="126"/>
        <v>0.46996886798465581</v>
      </c>
      <c r="L147" s="65">
        <f t="shared" si="126"/>
        <v>0.4363151615557303</v>
      </c>
      <c r="M147" s="65">
        <f t="shared" si="126"/>
        <v>0.45117735789204577</v>
      </c>
      <c r="N147" s="65">
        <f t="shared" si="126"/>
        <v>0.60564075055815447</v>
      </c>
      <c r="O147" s="65">
        <f t="shared" si="126"/>
        <v>0.63034785385205327</v>
      </c>
      <c r="P147" s="65">
        <f t="shared" si="126"/>
        <v>0.4776446901291368</v>
      </c>
      <c r="Q147" s="65">
        <f t="shared" si="126"/>
        <v>0.64942313300332377</v>
      </c>
      <c r="R147" s="65">
        <f t="shared" si="126"/>
        <v>0.63578831903486666</v>
      </c>
      <c r="S147" s="65">
        <f t="shared" si="126"/>
        <v>0.59719741712691643</v>
      </c>
      <c r="T147" s="65">
        <f t="shared" si="126"/>
        <v>0.60172452289562028</v>
      </c>
      <c r="U147" s="65">
        <f t="shared" si="126"/>
        <v>0.59820538831950698</v>
      </c>
      <c r="V147" s="65">
        <f t="shared" si="126"/>
        <v>0.57317534987627283</v>
      </c>
      <c r="W147" s="65">
        <f t="shared" si="126"/>
        <v>0.49707977499029299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0.90203666438890906</v>
      </c>
      <c r="C148" s="67">
        <f t="shared" ref="C148:W148" si="128">IF(C118=0,0,C118/C$26)</f>
        <v>1.1443491760148956</v>
      </c>
      <c r="D148" s="67">
        <f t="shared" si="128"/>
        <v>0.96982096792793826</v>
      </c>
      <c r="E148" s="67">
        <f t="shared" si="128"/>
        <v>0.79846972898771484</v>
      </c>
      <c r="F148" s="67">
        <f t="shared" si="128"/>
        <v>0.71165397840020839</v>
      </c>
      <c r="G148" s="67">
        <f t="shared" si="128"/>
        <v>0.71387469348308208</v>
      </c>
      <c r="H148" s="67">
        <f t="shared" si="128"/>
        <v>1.2282709486659649</v>
      </c>
      <c r="I148" s="67">
        <f t="shared" si="128"/>
        <v>1.7421044767939224</v>
      </c>
      <c r="J148" s="67">
        <f t="shared" si="128"/>
        <v>1.5967902192117125</v>
      </c>
      <c r="K148" s="67">
        <f t="shared" si="128"/>
        <v>1.0720003088598036</v>
      </c>
      <c r="L148" s="67">
        <f t="shared" si="128"/>
        <v>1.5722896873790506</v>
      </c>
      <c r="M148" s="67">
        <f t="shared" si="128"/>
        <v>1.4442024897129595</v>
      </c>
      <c r="N148" s="67">
        <f t="shared" si="128"/>
        <v>0.46287690962251621</v>
      </c>
      <c r="O148" s="67">
        <f t="shared" si="128"/>
        <v>0.48472487296999595</v>
      </c>
      <c r="P148" s="67">
        <f t="shared" si="128"/>
        <v>0.51486567715834053</v>
      </c>
      <c r="Q148" s="67">
        <f t="shared" si="128"/>
        <v>0.27883743202699951</v>
      </c>
      <c r="R148" s="67">
        <f t="shared" si="128"/>
        <v>0.28980042986961185</v>
      </c>
      <c r="S148" s="67">
        <f t="shared" si="128"/>
        <v>0.23807771533320707</v>
      </c>
      <c r="T148" s="67">
        <f t="shared" si="128"/>
        <v>0.24974546179853144</v>
      </c>
      <c r="U148" s="67">
        <f t="shared" si="128"/>
        <v>0.27782777178253498</v>
      </c>
      <c r="V148" s="67">
        <f t="shared" si="128"/>
        <v>0.26480416598823253</v>
      </c>
      <c r="W148" s="67">
        <f t="shared" si="128"/>
        <v>0.27054625174810359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16127.792097908401</v>
      </c>
      <c r="C153" s="82">
        <f t="shared" ref="C153:W153" si="132">IF(C99=0,0,C99/C$23)</f>
        <v>17142.444201404924</v>
      </c>
      <c r="D153" s="82">
        <f t="shared" si="132"/>
        <v>16997.703767172301</v>
      </c>
      <c r="E153" s="82">
        <f t="shared" si="132"/>
        <v>16932.386104597619</v>
      </c>
      <c r="F153" s="82">
        <f t="shared" si="132"/>
        <v>16107.406213882261</v>
      </c>
      <c r="G153" s="82">
        <f t="shared" si="132"/>
        <v>14460.900453890146</v>
      </c>
      <c r="H153" s="82">
        <f t="shared" si="132"/>
        <v>14297.901544055365</v>
      </c>
      <c r="I153" s="82">
        <f t="shared" si="132"/>
        <v>14258.559733130338</v>
      </c>
      <c r="J153" s="82">
        <f t="shared" si="132"/>
        <v>14033.683022995006</v>
      </c>
      <c r="K153" s="82">
        <f t="shared" si="132"/>
        <v>13730.96976782994</v>
      </c>
      <c r="L153" s="82">
        <f t="shared" si="132"/>
        <v>14608.79298317979</v>
      </c>
      <c r="M153" s="82">
        <f t="shared" si="132"/>
        <v>12776.047467858665</v>
      </c>
      <c r="N153" s="82">
        <f t="shared" si="132"/>
        <v>13239.81421476383</v>
      </c>
      <c r="O153" s="82">
        <f t="shared" si="132"/>
        <v>12769.960216184687</v>
      </c>
      <c r="P153" s="82">
        <f t="shared" si="132"/>
        <v>12546.08580717246</v>
      </c>
      <c r="Q153" s="82">
        <f t="shared" si="132"/>
        <v>12481.864465454652</v>
      </c>
      <c r="R153" s="82">
        <f t="shared" si="132"/>
        <v>12752.439652324259</v>
      </c>
      <c r="S153" s="82">
        <f t="shared" si="132"/>
        <v>11854.209645055253</v>
      </c>
      <c r="T153" s="82">
        <f t="shared" si="132"/>
        <v>12009.875708875858</v>
      </c>
      <c r="U153" s="82">
        <f t="shared" si="132"/>
        <v>11673.897545740816</v>
      </c>
      <c r="V153" s="82">
        <f t="shared" si="132"/>
        <v>11777.191763395396</v>
      </c>
      <c r="W153" s="82">
        <f t="shared" si="132"/>
        <v>12355.227690570095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12936.367970643863</v>
      </c>
      <c r="C154" s="64">
        <f t="shared" ref="C154:W154" si="134">IF(C100=0,0,C100/C$23)</f>
        <v>13863.214844343524</v>
      </c>
      <c r="D154" s="64">
        <f t="shared" si="134"/>
        <v>13602.280830039901</v>
      </c>
      <c r="E154" s="64">
        <f t="shared" si="134"/>
        <v>13440.329038715006</v>
      </c>
      <c r="F154" s="64">
        <f t="shared" si="134"/>
        <v>12497.59533166133</v>
      </c>
      <c r="G154" s="64">
        <f t="shared" si="134"/>
        <v>10789.355461580595</v>
      </c>
      <c r="H154" s="64">
        <f t="shared" si="134"/>
        <v>10629.304215886432</v>
      </c>
      <c r="I154" s="64">
        <f t="shared" si="134"/>
        <v>10584.212569021456</v>
      </c>
      <c r="J154" s="64">
        <f t="shared" si="134"/>
        <v>10312.521112966959</v>
      </c>
      <c r="K154" s="64">
        <f t="shared" si="134"/>
        <v>9927.0828882599799</v>
      </c>
      <c r="L154" s="64">
        <f t="shared" si="134"/>
        <v>10765.45221958537</v>
      </c>
      <c r="M154" s="64">
        <f t="shared" si="134"/>
        <v>9061.7156400324002</v>
      </c>
      <c r="N154" s="64">
        <f t="shared" si="134"/>
        <v>9520.4144807090306</v>
      </c>
      <c r="O154" s="64">
        <f t="shared" si="134"/>
        <v>9023.6160424425434</v>
      </c>
      <c r="P154" s="64">
        <f t="shared" si="134"/>
        <v>8791.8223170610836</v>
      </c>
      <c r="Q154" s="64">
        <f t="shared" si="134"/>
        <v>8691.8498892552598</v>
      </c>
      <c r="R154" s="64">
        <f t="shared" si="134"/>
        <v>8979.8253043105415</v>
      </c>
      <c r="S154" s="64">
        <f t="shared" si="134"/>
        <v>8116.0331539721037</v>
      </c>
      <c r="T154" s="64">
        <f t="shared" si="134"/>
        <v>8302.6049148375787</v>
      </c>
      <c r="U154" s="64">
        <f t="shared" si="134"/>
        <v>7917.0804183034707</v>
      </c>
      <c r="V154" s="64">
        <f t="shared" si="134"/>
        <v>7571.6611210388437</v>
      </c>
      <c r="W154" s="64">
        <f t="shared" si="134"/>
        <v>8147.9349727265198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10478.994481358197</v>
      </c>
      <c r="C155" s="65">
        <f t="shared" ref="C155:W155" si="136">IF(C101=0,0,C101/C$23)</f>
        <v>11417.322277994359</v>
      </c>
      <c r="D155" s="65">
        <f t="shared" si="136"/>
        <v>11180.898802539479</v>
      </c>
      <c r="E155" s="65">
        <f t="shared" si="136"/>
        <v>11038.065139914406</v>
      </c>
      <c r="F155" s="65">
        <f t="shared" si="136"/>
        <v>10091.478196460825</v>
      </c>
      <c r="G155" s="65">
        <f t="shared" si="136"/>
        <v>8408.667381613961</v>
      </c>
      <c r="H155" s="65">
        <f t="shared" si="136"/>
        <v>8242.547410468329</v>
      </c>
      <c r="I155" s="65">
        <f t="shared" si="136"/>
        <v>8185.0932314263664</v>
      </c>
      <c r="J155" s="65">
        <f t="shared" si="136"/>
        <v>7914.4916575466932</v>
      </c>
      <c r="K155" s="65">
        <f t="shared" si="136"/>
        <v>7520.6026318840977</v>
      </c>
      <c r="L155" s="65">
        <f t="shared" si="136"/>
        <v>8330.9680538136563</v>
      </c>
      <c r="M155" s="65">
        <f t="shared" si="136"/>
        <v>6664.6461034469503</v>
      </c>
      <c r="N155" s="65">
        <f t="shared" si="136"/>
        <v>7176.8364998919751</v>
      </c>
      <c r="O155" s="65">
        <f t="shared" si="136"/>
        <v>6690.6400440561747</v>
      </c>
      <c r="P155" s="65">
        <f t="shared" si="136"/>
        <v>6484.8069639964297</v>
      </c>
      <c r="Q155" s="65">
        <f t="shared" si="136"/>
        <v>6429.38716026972</v>
      </c>
      <c r="R155" s="65">
        <f t="shared" si="136"/>
        <v>6760.8139193027755</v>
      </c>
      <c r="S155" s="65">
        <f t="shared" si="136"/>
        <v>5940.5399835651342</v>
      </c>
      <c r="T155" s="65">
        <f t="shared" si="136"/>
        <v>6149.591140286976</v>
      </c>
      <c r="U155" s="65">
        <f t="shared" si="136"/>
        <v>5774.2985587730973</v>
      </c>
      <c r="V155" s="65">
        <f t="shared" si="136"/>
        <v>5475.313210945772</v>
      </c>
      <c r="W155" s="65">
        <f t="shared" si="136"/>
        <v>6050.6131279209048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159.68961973126503</v>
      </c>
      <c r="C156" s="65">
        <f t="shared" ref="C156:W156" si="138">IF(C102=0,0,C102/C$23)</f>
        <v>154.43112224607441</v>
      </c>
      <c r="D156" s="65">
        <f t="shared" si="138"/>
        <v>151.75741927900035</v>
      </c>
      <c r="E156" s="65">
        <f t="shared" si="138"/>
        <v>147.51397122351764</v>
      </c>
      <c r="F156" s="65">
        <f t="shared" si="138"/>
        <v>145.35976101640296</v>
      </c>
      <c r="G156" s="65">
        <f t="shared" si="138"/>
        <v>141.32254579934025</v>
      </c>
      <c r="H156" s="65">
        <f t="shared" si="138"/>
        <v>134.58407057640295</v>
      </c>
      <c r="I156" s="65">
        <f t="shared" si="138"/>
        <v>128.45362718384342</v>
      </c>
      <c r="J156" s="65">
        <f t="shared" si="138"/>
        <v>124.00028490445719</v>
      </c>
      <c r="K156" s="65">
        <f t="shared" si="138"/>
        <v>126.61342297338372</v>
      </c>
      <c r="L156" s="65">
        <f t="shared" si="138"/>
        <v>128.36297492451965</v>
      </c>
      <c r="M156" s="65">
        <f t="shared" si="138"/>
        <v>122.2657516065463</v>
      </c>
      <c r="N156" s="65">
        <f t="shared" si="138"/>
        <v>119.23877087058064</v>
      </c>
      <c r="O156" s="65">
        <f t="shared" si="138"/>
        <v>116.43482554026838</v>
      </c>
      <c r="P156" s="65">
        <f t="shared" si="138"/>
        <v>113.4681104483607</v>
      </c>
      <c r="Q156" s="65">
        <f t="shared" si="138"/>
        <v>107.51915189208121</v>
      </c>
      <c r="R156" s="65">
        <f t="shared" si="138"/>
        <v>103.79501000645639</v>
      </c>
      <c r="S156" s="65">
        <f t="shared" si="138"/>
        <v>101.00961640865617</v>
      </c>
      <c r="T156" s="65">
        <f t="shared" si="138"/>
        <v>98.828333594999052</v>
      </c>
      <c r="U156" s="65">
        <f t="shared" si="138"/>
        <v>96.497321050466553</v>
      </c>
      <c r="V156" s="65">
        <f t="shared" si="138"/>
        <v>95.015011917149593</v>
      </c>
      <c r="W156" s="65">
        <f t="shared" si="138"/>
        <v>94.689541858218846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1329.6101142071284</v>
      </c>
      <c r="C157" s="65">
        <f t="shared" ref="C157:W157" si="140">IF(C103=0,0,C103/C$23)</f>
        <v>1300.786899752112</v>
      </c>
      <c r="D157" s="65">
        <f t="shared" si="140"/>
        <v>1288.5609766637647</v>
      </c>
      <c r="E157" s="65">
        <f t="shared" si="140"/>
        <v>1281.3888227550237</v>
      </c>
      <c r="F157" s="65">
        <f t="shared" si="140"/>
        <v>1272.7136254125171</v>
      </c>
      <c r="G157" s="65">
        <f t="shared" si="140"/>
        <v>1245.3242544863285</v>
      </c>
      <c r="H157" s="65">
        <f t="shared" si="140"/>
        <v>1225.2439825418735</v>
      </c>
      <c r="I157" s="65">
        <f t="shared" si="140"/>
        <v>1211.7645455082109</v>
      </c>
      <c r="J157" s="65">
        <f t="shared" si="140"/>
        <v>1213.0462192245175</v>
      </c>
      <c r="K157" s="65">
        <f t="shared" si="140"/>
        <v>1218.2844230251947</v>
      </c>
      <c r="L157" s="65">
        <f t="shared" si="140"/>
        <v>1209.0098242887443</v>
      </c>
      <c r="M157" s="65">
        <f t="shared" si="140"/>
        <v>1189.2020877195635</v>
      </c>
      <c r="N157" s="65">
        <f t="shared" si="140"/>
        <v>1191.6254411120897</v>
      </c>
      <c r="O157" s="65">
        <f t="shared" si="140"/>
        <v>1185.8583006519968</v>
      </c>
      <c r="P157" s="65">
        <f t="shared" si="140"/>
        <v>1168.9884239880048</v>
      </c>
      <c r="Q157" s="65">
        <f t="shared" si="140"/>
        <v>1160.3480898802663</v>
      </c>
      <c r="R157" s="65">
        <f t="shared" si="140"/>
        <v>1127.2637369371002</v>
      </c>
      <c r="S157" s="65">
        <f t="shared" si="140"/>
        <v>1097.4164996734946</v>
      </c>
      <c r="T157" s="65">
        <f t="shared" si="140"/>
        <v>1084.5213844876419</v>
      </c>
      <c r="U157" s="65">
        <f t="shared" si="140"/>
        <v>1068.9105274182377</v>
      </c>
      <c r="V157" s="65">
        <f t="shared" si="140"/>
        <v>1053.0886723597255</v>
      </c>
      <c r="W157" s="65">
        <f t="shared" si="140"/>
        <v>1055.6034839555662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968.07375534727214</v>
      </c>
      <c r="C158" s="67">
        <f t="shared" ref="C158:W158" si="142">IF(C104=0,0,C104/C$23)</f>
        <v>990.67454435097989</v>
      </c>
      <c r="D158" s="67">
        <f t="shared" si="142"/>
        <v>981.0636315576553</v>
      </c>
      <c r="E158" s="67">
        <f t="shared" si="142"/>
        <v>973.36110482205925</v>
      </c>
      <c r="F158" s="67">
        <f t="shared" si="142"/>
        <v>988.04374877158853</v>
      </c>
      <c r="G158" s="67">
        <f t="shared" si="142"/>
        <v>994.04127968096816</v>
      </c>
      <c r="H158" s="67">
        <f t="shared" si="142"/>
        <v>1026.9287522998261</v>
      </c>
      <c r="I158" s="67">
        <f t="shared" si="142"/>
        <v>1058.9011649030347</v>
      </c>
      <c r="J158" s="67">
        <f t="shared" si="142"/>
        <v>1060.9829512912929</v>
      </c>
      <c r="K158" s="67">
        <f t="shared" si="142"/>
        <v>1061.5824103773023</v>
      </c>
      <c r="L158" s="67">
        <f t="shared" si="142"/>
        <v>1097.1113665584485</v>
      </c>
      <c r="M158" s="67">
        <f t="shared" si="142"/>
        <v>1085.6016972593418</v>
      </c>
      <c r="N158" s="67">
        <f t="shared" si="142"/>
        <v>1032.7137688343857</v>
      </c>
      <c r="O158" s="67">
        <f t="shared" si="142"/>
        <v>1030.6828721941035</v>
      </c>
      <c r="P158" s="67">
        <f t="shared" si="142"/>
        <v>1024.558818628288</v>
      </c>
      <c r="Q158" s="67">
        <f t="shared" si="142"/>
        <v>994.59548721319072</v>
      </c>
      <c r="R158" s="67">
        <f t="shared" si="142"/>
        <v>987.9526380642086</v>
      </c>
      <c r="S158" s="67">
        <f t="shared" si="142"/>
        <v>977.06705432481806</v>
      </c>
      <c r="T158" s="67">
        <f t="shared" si="142"/>
        <v>969.66405646796238</v>
      </c>
      <c r="U158" s="67">
        <f t="shared" si="142"/>
        <v>977.37401106167033</v>
      </c>
      <c r="V158" s="67">
        <f t="shared" si="142"/>
        <v>948.24422581619797</v>
      </c>
      <c r="W158" s="67">
        <f t="shared" si="142"/>
        <v>947.02881899183024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3191.4241272645404</v>
      </c>
      <c r="C159" s="68">
        <f t="shared" ref="C159:W159" si="144">IF(C105=0,0,C105/C$23)</f>
        <v>3279.2293570613992</v>
      </c>
      <c r="D159" s="68">
        <f t="shared" si="144"/>
        <v>3395.4229371324</v>
      </c>
      <c r="E159" s="68">
        <f t="shared" si="144"/>
        <v>3492.0570658826132</v>
      </c>
      <c r="F159" s="68">
        <f t="shared" si="144"/>
        <v>3609.8108822209283</v>
      </c>
      <c r="G159" s="68">
        <f t="shared" si="144"/>
        <v>3671.5449923095484</v>
      </c>
      <c r="H159" s="68">
        <f t="shared" si="144"/>
        <v>3668.5973281689294</v>
      </c>
      <c r="I159" s="68">
        <f t="shared" si="144"/>
        <v>3674.3471641088822</v>
      </c>
      <c r="J159" s="68">
        <f t="shared" si="144"/>
        <v>3721.1619100280468</v>
      </c>
      <c r="K159" s="68">
        <f t="shared" si="144"/>
        <v>3803.8868795699605</v>
      </c>
      <c r="L159" s="68">
        <f t="shared" si="144"/>
        <v>3843.3407635944191</v>
      </c>
      <c r="M159" s="68">
        <f t="shared" si="144"/>
        <v>3714.3318278262655</v>
      </c>
      <c r="N159" s="68">
        <f t="shared" si="144"/>
        <v>3719.3997340547971</v>
      </c>
      <c r="O159" s="68">
        <f t="shared" si="144"/>
        <v>3746.3441737421422</v>
      </c>
      <c r="P159" s="68">
        <f t="shared" si="144"/>
        <v>3754.263490111377</v>
      </c>
      <c r="Q159" s="68">
        <f t="shared" si="144"/>
        <v>3790.0145761993936</v>
      </c>
      <c r="R159" s="68">
        <f t="shared" si="144"/>
        <v>3772.6143480137166</v>
      </c>
      <c r="S159" s="68">
        <f t="shared" si="144"/>
        <v>3738.1764910831498</v>
      </c>
      <c r="T159" s="68">
        <f t="shared" si="144"/>
        <v>3707.2707940382784</v>
      </c>
      <c r="U159" s="68">
        <f t="shared" si="144"/>
        <v>3756.817127437344</v>
      </c>
      <c r="V159" s="68">
        <f t="shared" si="144"/>
        <v>4205.5306423565507</v>
      </c>
      <c r="W159" s="68">
        <f t="shared" si="144"/>
        <v>4207.2927178435757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8555.7888822341502</v>
      </c>
      <c r="C161" s="85">
        <f t="shared" ref="C161:W161" si="146">IF(C107=0,0,C107/C$23)</f>
        <v>9255.5666732551399</v>
      </c>
      <c r="D161" s="85">
        <f t="shared" si="146"/>
        <v>9162.7342621474927</v>
      </c>
      <c r="E161" s="85">
        <f t="shared" si="146"/>
        <v>9082.2183729743156</v>
      </c>
      <c r="F161" s="85">
        <f t="shared" si="146"/>
        <v>8695.8933448842236</v>
      </c>
      <c r="G161" s="85">
        <f t="shared" si="146"/>
        <v>7885.2209766034175</v>
      </c>
      <c r="H161" s="85">
        <f t="shared" si="146"/>
        <v>7881.6362558546789</v>
      </c>
      <c r="I161" s="85">
        <f t="shared" si="146"/>
        <v>7908.7758443222392</v>
      </c>
      <c r="J161" s="85">
        <f t="shared" si="146"/>
        <v>7831.0589288139399</v>
      </c>
      <c r="K161" s="85">
        <f t="shared" si="146"/>
        <v>7678.1645416073243</v>
      </c>
      <c r="L161" s="85">
        <f t="shared" si="146"/>
        <v>8361.9548990719923</v>
      </c>
      <c r="M161" s="85">
        <f t="shared" si="146"/>
        <v>7196.5138379503878</v>
      </c>
      <c r="N161" s="85">
        <f t="shared" si="146"/>
        <v>7677.641752300734</v>
      </c>
      <c r="O161" s="85">
        <f t="shared" si="146"/>
        <v>7445.065189117332</v>
      </c>
      <c r="P161" s="85">
        <f t="shared" si="146"/>
        <v>7287.1187724130687</v>
      </c>
      <c r="Q161" s="85">
        <f t="shared" si="146"/>
        <v>7252.8624759286195</v>
      </c>
      <c r="R161" s="85">
        <f t="shared" si="146"/>
        <v>7578.9345194984398</v>
      </c>
      <c r="S161" s="85">
        <f t="shared" si="146"/>
        <v>6985.3483328901539</v>
      </c>
      <c r="T161" s="85">
        <f t="shared" si="146"/>
        <v>7219.2136508206822</v>
      </c>
      <c r="U161" s="85">
        <f t="shared" si="146"/>
        <v>7004.8347899583941</v>
      </c>
      <c r="V161" s="85">
        <f t="shared" si="146"/>
        <v>6844.1408708326317</v>
      </c>
      <c r="W161" s="85">
        <f t="shared" si="146"/>
        <v>7427.8663807227285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6633.5074063181519</v>
      </c>
      <c r="C162" s="65">
        <f t="shared" ref="C162:W162" si="148">IF(C108=0,0,C108/C$23)</f>
        <v>7337.7879317268735</v>
      </c>
      <c r="D162" s="65">
        <f t="shared" si="148"/>
        <v>7240.8531644711238</v>
      </c>
      <c r="E162" s="65">
        <f t="shared" si="148"/>
        <v>7154.0302621692617</v>
      </c>
      <c r="F162" s="65">
        <f t="shared" si="148"/>
        <v>6734.0742843523522</v>
      </c>
      <c r="G162" s="65">
        <f t="shared" si="148"/>
        <v>5906.5241860635579</v>
      </c>
      <c r="H162" s="65">
        <f t="shared" si="148"/>
        <v>5899.9122765351158</v>
      </c>
      <c r="I162" s="65">
        <f t="shared" si="148"/>
        <v>5916.1893932110279</v>
      </c>
      <c r="J162" s="65">
        <f t="shared" si="148"/>
        <v>5808.4483231877903</v>
      </c>
      <c r="K162" s="65">
        <f t="shared" si="148"/>
        <v>5601.3464702098745</v>
      </c>
      <c r="L162" s="65">
        <f t="shared" si="148"/>
        <v>6261.6775375551833</v>
      </c>
      <c r="M162" s="65">
        <f t="shared" si="148"/>
        <v>5112.480920221712</v>
      </c>
      <c r="N162" s="65">
        <f t="shared" si="148"/>
        <v>5584.1757694314792</v>
      </c>
      <c r="O162" s="65">
        <f t="shared" si="148"/>
        <v>5344.150420622107</v>
      </c>
      <c r="P162" s="65">
        <f t="shared" si="148"/>
        <v>5191.979250278835</v>
      </c>
      <c r="Q162" s="65">
        <f t="shared" si="148"/>
        <v>5180.9289841241307</v>
      </c>
      <c r="R162" s="65">
        <f t="shared" si="148"/>
        <v>5521.6042325207245</v>
      </c>
      <c r="S162" s="65">
        <f t="shared" si="148"/>
        <v>4941.9540005728923</v>
      </c>
      <c r="T162" s="65">
        <f t="shared" si="148"/>
        <v>5171.9933370053741</v>
      </c>
      <c r="U162" s="65">
        <f t="shared" si="148"/>
        <v>4947.7929571135455</v>
      </c>
      <c r="V162" s="65">
        <f t="shared" si="148"/>
        <v>4806.8230433439094</v>
      </c>
      <c r="W162" s="65">
        <f t="shared" si="148"/>
        <v>5352.9616710108739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310.33797975877422</v>
      </c>
      <c r="C163" s="65">
        <f t="shared" ref="C163:W163" si="150">IF(C109=0,0,C109/C$23)</f>
        <v>310.67304995458181</v>
      </c>
      <c r="D163" s="65">
        <f t="shared" si="150"/>
        <v>317.6250864859374</v>
      </c>
      <c r="E163" s="65">
        <f t="shared" si="150"/>
        <v>321.56060616764262</v>
      </c>
      <c r="F163" s="65">
        <f t="shared" si="150"/>
        <v>332.26091062549875</v>
      </c>
      <c r="G163" s="65">
        <f t="shared" si="150"/>
        <v>339.6667144182847</v>
      </c>
      <c r="H163" s="65">
        <f t="shared" si="150"/>
        <v>341.94407419623195</v>
      </c>
      <c r="I163" s="65">
        <f t="shared" si="150"/>
        <v>347.57788748644441</v>
      </c>
      <c r="J163" s="65">
        <f t="shared" si="150"/>
        <v>359.77544306774757</v>
      </c>
      <c r="K163" s="65">
        <f t="shared" si="150"/>
        <v>372.86190071125407</v>
      </c>
      <c r="L163" s="65">
        <f t="shared" si="150"/>
        <v>386.60838563588919</v>
      </c>
      <c r="M163" s="65">
        <f t="shared" si="150"/>
        <v>380.06471117564439</v>
      </c>
      <c r="N163" s="65">
        <f t="shared" si="150"/>
        <v>383.00909544656827</v>
      </c>
      <c r="O163" s="65">
        <f t="shared" si="150"/>
        <v>387.21126269299356</v>
      </c>
      <c r="P163" s="65">
        <f t="shared" si="150"/>
        <v>391.42376820810853</v>
      </c>
      <c r="Q163" s="65">
        <f t="shared" si="150"/>
        <v>385.18221944980735</v>
      </c>
      <c r="R163" s="65">
        <f t="shared" si="150"/>
        <v>386.54690725794319</v>
      </c>
      <c r="S163" s="65">
        <f t="shared" si="150"/>
        <v>390.42601093533966</v>
      </c>
      <c r="T163" s="65">
        <f t="shared" si="150"/>
        <v>393.90014046997436</v>
      </c>
      <c r="U163" s="65">
        <f t="shared" si="150"/>
        <v>394.16567539339781</v>
      </c>
      <c r="V163" s="65">
        <f t="shared" si="150"/>
        <v>397.84808279868071</v>
      </c>
      <c r="W163" s="65">
        <f t="shared" si="150"/>
        <v>407.07385633513223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856.98890940933472</v>
      </c>
      <c r="C164" s="65">
        <f t="shared" ref="C164:W164" si="152">IF(C110=0,0,C110/C$23)</f>
        <v>841.24648797985458</v>
      </c>
      <c r="D164" s="65">
        <f t="shared" si="152"/>
        <v>838.01680140609142</v>
      </c>
      <c r="E164" s="65">
        <f t="shared" si="152"/>
        <v>838.37451317535931</v>
      </c>
      <c r="F164" s="65">
        <f t="shared" si="152"/>
        <v>844.33593724711307</v>
      </c>
      <c r="G164" s="65">
        <f t="shared" si="152"/>
        <v>847.46470084230737</v>
      </c>
      <c r="H164" s="65">
        <f t="shared" si="152"/>
        <v>840.11270854285283</v>
      </c>
      <c r="I164" s="65">
        <f t="shared" si="152"/>
        <v>837.46990024962633</v>
      </c>
      <c r="J164" s="65">
        <f t="shared" si="152"/>
        <v>845.81062746181431</v>
      </c>
      <c r="K164" s="65">
        <f t="shared" si="152"/>
        <v>862.86955510990117</v>
      </c>
      <c r="L164" s="65">
        <f t="shared" si="152"/>
        <v>862.46799313194947</v>
      </c>
      <c r="M164" s="65">
        <f t="shared" si="152"/>
        <v>855.35724677748919</v>
      </c>
      <c r="N164" s="65">
        <f t="shared" si="152"/>
        <v>862.44079077058063</v>
      </c>
      <c r="O164" s="65">
        <f t="shared" si="152"/>
        <v>866.37430879256942</v>
      </c>
      <c r="P164" s="65">
        <f t="shared" si="152"/>
        <v>860.66552762698757</v>
      </c>
      <c r="Q164" s="65">
        <f t="shared" si="152"/>
        <v>856.11400789405332</v>
      </c>
      <c r="R164" s="65">
        <f t="shared" si="152"/>
        <v>843.27394230725383</v>
      </c>
      <c r="S164" s="65">
        <f t="shared" si="152"/>
        <v>828.69757839785473</v>
      </c>
      <c r="T164" s="65">
        <f t="shared" si="152"/>
        <v>831.68301746601924</v>
      </c>
      <c r="U164" s="65">
        <f t="shared" si="152"/>
        <v>830.59436593472867</v>
      </c>
      <c r="V164" s="65">
        <f t="shared" si="152"/>
        <v>825.67234273701808</v>
      </c>
      <c r="W164" s="65">
        <f t="shared" si="152"/>
        <v>848.44601034868015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754.95458674788927</v>
      </c>
      <c r="C165" s="68">
        <f t="shared" ref="C165:W165" si="154">IF(C111=0,0,C111/C$23)</f>
        <v>765.85920359383044</v>
      </c>
      <c r="D165" s="68">
        <f t="shared" si="154"/>
        <v>766.23920978433887</v>
      </c>
      <c r="E165" s="68">
        <f t="shared" si="154"/>
        <v>768.25299146205305</v>
      </c>
      <c r="F165" s="68">
        <f t="shared" si="154"/>
        <v>785.22221265926134</v>
      </c>
      <c r="G165" s="68">
        <f t="shared" si="154"/>
        <v>791.56537527926923</v>
      </c>
      <c r="H165" s="68">
        <f t="shared" si="154"/>
        <v>799.66719658047884</v>
      </c>
      <c r="I165" s="68">
        <f t="shared" si="154"/>
        <v>807.53866337514012</v>
      </c>
      <c r="J165" s="68">
        <f t="shared" si="154"/>
        <v>817.02453509658653</v>
      </c>
      <c r="K165" s="68">
        <f t="shared" si="154"/>
        <v>841.08661557629512</v>
      </c>
      <c r="L165" s="68">
        <f t="shared" si="154"/>
        <v>851.20098274896861</v>
      </c>
      <c r="M165" s="68">
        <f t="shared" si="154"/>
        <v>848.61095977554191</v>
      </c>
      <c r="N165" s="68">
        <f t="shared" si="154"/>
        <v>848.01609665210572</v>
      </c>
      <c r="O165" s="68">
        <f t="shared" si="154"/>
        <v>847.32919700966147</v>
      </c>
      <c r="P165" s="68">
        <f t="shared" si="154"/>
        <v>843.05022629913674</v>
      </c>
      <c r="Q165" s="68">
        <f t="shared" si="154"/>
        <v>830.63726446062674</v>
      </c>
      <c r="R165" s="68">
        <f t="shared" si="154"/>
        <v>827.50943741251774</v>
      </c>
      <c r="S165" s="68">
        <f t="shared" si="154"/>
        <v>824.27074298406831</v>
      </c>
      <c r="T165" s="68">
        <f t="shared" si="154"/>
        <v>821.63715587931426</v>
      </c>
      <c r="U165" s="68">
        <f t="shared" si="154"/>
        <v>832.28179151672214</v>
      </c>
      <c r="V165" s="68">
        <f t="shared" si="154"/>
        <v>813.7974019530235</v>
      </c>
      <c r="W165" s="68">
        <f t="shared" si="154"/>
        <v>819.3848430280425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1056.0358559924503</v>
      </c>
      <c r="C167" s="82">
        <f t="shared" ref="C167:W167" si="156">IF(C113=0,0,C113/C$23)</f>
        <v>1047.7553134789298</v>
      </c>
      <c r="D167" s="82">
        <f t="shared" si="156"/>
        <v>1029.6238941888178</v>
      </c>
      <c r="E167" s="82">
        <f t="shared" si="156"/>
        <v>1067.2926878395624</v>
      </c>
      <c r="F167" s="82">
        <f t="shared" si="156"/>
        <v>817.95673685618726</v>
      </c>
      <c r="G167" s="82">
        <f t="shared" si="156"/>
        <v>458.95876554983323</v>
      </c>
      <c r="H167" s="82">
        <f t="shared" si="156"/>
        <v>432.96620957295352</v>
      </c>
      <c r="I167" s="82">
        <f t="shared" si="156"/>
        <v>436.19965886112749</v>
      </c>
      <c r="J167" s="82">
        <f t="shared" si="156"/>
        <v>387.70950757382735</v>
      </c>
      <c r="K167" s="82">
        <f t="shared" si="156"/>
        <v>334.33274537584089</v>
      </c>
      <c r="L167" s="82">
        <f t="shared" si="156"/>
        <v>400.01694448695645</v>
      </c>
      <c r="M167" s="82">
        <f t="shared" si="156"/>
        <v>362.61478366117126</v>
      </c>
      <c r="N167" s="82">
        <f t="shared" si="156"/>
        <v>330.18499428249845</v>
      </c>
      <c r="O167" s="82">
        <f t="shared" si="156"/>
        <v>291.32070930374493</v>
      </c>
      <c r="P167" s="82">
        <f t="shared" si="156"/>
        <v>274.30083152043596</v>
      </c>
      <c r="Q167" s="82">
        <f t="shared" si="156"/>
        <v>255.15547065420586</v>
      </c>
      <c r="R167" s="82">
        <f t="shared" si="156"/>
        <v>241.9372104556104</v>
      </c>
      <c r="S167" s="82">
        <f t="shared" si="156"/>
        <v>211.46630772948964</v>
      </c>
      <c r="T167" s="82">
        <f t="shared" si="156"/>
        <v>219.69247058823524</v>
      </c>
      <c r="U167" s="82">
        <f t="shared" si="156"/>
        <v>226.04390730538933</v>
      </c>
      <c r="V167" s="82">
        <f t="shared" si="156"/>
        <v>222.89855592808297</v>
      </c>
      <c r="W167" s="82">
        <f t="shared" si="156"/>
        <v>197.89291786053494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1056.0358559924503</v>
      </c>
      <c r="C168" s="64">
        <f t="shared" ref="C168:W168" si="158">IF(C114=0,0,C114/C$23)</f>
        <v>1047.7553134789298</v>
      </c>
      <c r="D168" s="64">
        <f t="shared" si="158"/>
        <v>1029.6238941888178</v>
      </c>
      <c r="E168" s="64">
        <f t="shared" si="158"/>
        <v>1067.2926878395624</v>
      </c>
      <c r="F168" s="64">
        <f t="shared" si="158"/>
        <v>817.95673685618726</v>
      </c>
      <c r="G168" s="64">
        <f t="shared" si="158"/>
        <v>458.95876554983323</v>
      </c>
      <c r="H168" s="64">
        <f t="shared" si="158"/>
        <v>432.96620957295352</v>
      </c>
      <c r="I168" s="64">
        <f t="shared" si="158"/>
        <v>436.19965886112749</v>
      </c>
      <c r="J168" s="64">
        <f t="shared" si="158"/>
        <v>387.70950757382735</v>
      </c>
      <c r="K168" s="64">
        <f t="shared" si="158"/>
        <v>334.33274537584089</v>
      </c>
      <c r="L168" s="64">
        <f t="shared" si="158"/>
        <v>400.01694448695645</v>
      </c>
      <c r="M168" s="64">
        <f t="shared" si="158"/>
        <v>362.61478366117126</v>
      </c>
      <c r="N168" s="64">
        <f t="shared" si="158"/>
        <v>330.18499428249845</v>
      </c>
      <c r="O168" s="64">
        <f t="shared" si="158"/>
        <v>291.32070930374493</v>
      </c>
      <c r="P168" s="64">
        <f t="shared" si="158"/>
        <v>274.30083152043596</v>
      </c>
      <c r="Q168" s="64">
        <f t="shared" si="158"/>
        <v>255.15547065420586</v>
      </c>
      <c r="R168" s="64">
        <f t="shared" si="158"/>
        <v>241.9372104556104</v>
      </c>
      <c r="S168" s="64">
        <f t="shared" si="158"/>
        <v>211.46630772948964</v>
      </c>
      <c r="T168" s="64">
        <f t="shared" si="158"/>
        <v>219.69247058823524</v>
      </c>
      <c r="U168" s="64">
        <f t="shared" si="158"/>
        <v>226.04390730538933</v>
      </c>
      <c r="V168" s="64">
        <f t="shared" si="158"/>
        <v>222.89855592808297</v>
      </c>
      <c r="W168" s="64">
        <f t="shared" si="158"/>
        <v>197.89291786053494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923.02176381802781</v>
      </c>
      <c r="C169" s="65">
        <f t="shared" ref="C169:W169" si="160">IF(C115=0,0,C115/C$23)</f>
        <v>908.07554512027355</v>
      </c>
      <c r="D169" s="65">
        <f t="shared" si="160"/>
        <v>901.38392599834879</v>
      </c>
      <c r="E169" s="65">
        <f t="shared" si="160"/>
        <v>949.31671259477491</v>
      </c>
      <c r="F169" s="65">
        <f t="shared" si="160"/>
        <v>711.50281590767725</v>
      </c>
      <c r="G169" s="65">
        <f t="shared" si="160"/>
        <v>376.81965571624897</v>
      </c>
      <c r="H169" s="65">
        <f t="shared" si="160"/>
        <v>327.25663557051161</v>
      </c>
      <c r="I169" s="65">
        <f t="shared" si="160"/>
        <v>315.61029530824658</v>
      </c>
      <c r="J169" s="65">
        <f t="shared" si="160"/>
        <v>277.65726896382836</v>
      </c>
      <c r="K169" s="65">
        <f t="shared" si="160"/>
        <v>261.12584881550532</v>
      </c>
      <c r="L169" s="65">
        <f t="shared" si="160"/>
        <v>304.36954199883235</v>
      </c>
      <c r="M169" s="65">
        <f t="shared" si="160"/>
        <v>273.2880530999139</v>
      </c>
      <c r="N169" s="65">
        <f t="shared" si="160"/>
        <v>279.95494100748408</v>
      </c>
      <c r="O169" s="65">
        <f t="shared" si="160"/>
        <v>238.90769018899289</v>
      </c>
      <c r="P169" s="65">
        <f t="shared" si="160"/>
        <v>227.99441583210475</v>
      </c>
      <c r="Q169" s="65">
        <f t="shared" si="160"/>
        <v>212.14772694732886</v>
      </c>
      <c r="R169" s="65">
        <f t="shared" si="160"/>
        <v>199.6242429152922</v>
      </c>
      <c r="S169" s="65">
        <f t="shared" si="160"/>
        <v>173.54505967612948</v>
      </c>
      <c r="T169" s="65">
        <f t="shared" si="160"/>
        <v>181.17163046210052</v>
      </c>
      <c r="U169" s="65">
        <f t="shared" si="160"/>
        <v>186.30075057236564</v>
      </c>
      <c r="V169" s="65">
        <f t="shared" si="160"/>
        <v>183.9202897271642</v>
      </c>
      <c r="W169" s="65">
        <f t="shared" si="160"/>
        <v>162.29980348713124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91.466043962564626</v>
      </c>
      <c r="C171" s="65">
        <f t="shared" ref="C171:W171" si="164">IF(C117=0,0,C117/C$23)</f>
        <v>87.488659091424779</v>
      </c>
      <c r="D171" s="65">
        <f t="shared" si="164"/>
        <v>83.816621803129522</v>
      </c>
      <c r="E171" s="65">
        <f t="shared" si="164"/>
        <v>81.259521906098811</v>
      </c>
      <c r="F171" s="65">
        <f t="shared" si="164"/>
        <v>73.301843318557502</v>
      </c>
      <c r="G171" s="65">
        <f t="shared" si="164"/>
        <v>48.646075190091395</v>
      </c>
      <c r="H171" s="65">
        <f t="shared" si="164"/>
        <v>48.453915952784044</v>
      </c>
      <c r="I171" s="65">
        <f t="shared" si="164"/>
        <v>39.911449749413158</v>
      </c>
      <c r="J171" s="65">
        <f t="shared" si="164"/>
        <v>35.737551150479391</v>
      </c>
      <c r="K171" s="65">
        <f t="shared" si="164"/>
        <v>22.312354113029855</v>
      </c>
      <c r="L171" s="65">
        <f t="shared" si="164"/>
        <v>20.776815256183244</v>
      </c>
      <c r="M171" s="65">
        <f t="shared" si="164"/>
        <v>21.263388620855324</v>
      </c>
      <c r="N171" s="65">
        <f t="shared" si="164"/>
        <v>28.470626457322183</v>
      </c>
      <c r="O171" s="65">
        <f t="shared" si="164"/>
        <v>29.628950039025632</v>
      </c>
      <c r="P171" s="65">
        <f t="shared" si="164"/>
        <v>22.284919434033021</v>
      </c>
      <c r="Q171" s="65">
        <f t="shared" si="164"/>
        <v>30.088775408240707</v>
      </c>
      <c r="R171" s="65">
        <f t="shared" si="164"/>
        <v>29.06484174281173</v>
      </c>
      <c r="S171" s="65">
        <f t="shared" si="164"/>
        <v>27.112589027995465</v>
      </c>
      <c r="T171" s="65">
        <f t="shared" si="164"/>
        <v>27.22225628982418</v>
      </c>
      <c r="U171" s="65">
        <f t="shared" si="164"/>
        <v>27.13889335393668</v>
      </c>
      <c r="V171" s="65">
        <f t="shared" si="164"/>
        <v>26.661011330609366</v>
      </c>
      <c r="W171" s="65">
        <f t="shared" si="164"/>
        <v>23.048485418231962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41.548048211857825</v>
      </c>
      <c r="C172" s="67">
        <f t="shared" ref="C172:W172" si="166">IF(C118=0,0,C118/C$23)</f>
        <v>52.191109267231525</v>
      </c>
      <c r="D172" s="67">
        <f t="shared" si="166"/>
        <v>44.423346387339308</v>
      </c>
      <c r="E172" s="67">
        <f t="shared" si="166"/>
        <v>36.716453338688844</v>
      </c>
      <c r="F172" s="67">
        <f t="shared" si="166"/>
        <v>33.152077629952629</v>
      </c>
      <c r="G172" s="67">
        <f t="shared" si="166"/>
        <v>33.493034643492841</v>
      </c>
      <c r="H172" s="67">
        <f t="shared" si="166"/>
        <v>57.25565804965786</v>
      </c>
      <c r="I172" s="67">
        <f t="shared" si="166"/>
        <v>80.677913803467689</v>
      </c>
      <c r="J172" s="67">
        <f t="shared" si="166"/>
        <v>74.314687459519661</v>
      </c>
      <c r="K172" s="67">
        <f t="shared" si="166"/>
        <v>50.894542447305781</v>
      </c>
      <c r="L172" s="67">
        <f t="shared" si="166"/>
        <v>74.870587231940789</v>
      </c>
      <c r="M172" s="67">
        <f t="shared" si="166"/>
        <v>68.063341940402054</v>
      </c>
      <c r="N172" s="67">
        <f t="shared" si="166"/>
        <v>21.759426817692198</v>
      </c>
      <c r="O172" s="67">
        <f t="shared" si="166"/>
        <v>22.784069075726379</v>
      </c>
      <c r="P172" s="67">
        <f t="shared" si="166"/>
        <v>24.021496254298174</v>
      </c>
      <c r="Q172" s="67">
        <f t="shared" si="166"/>
        <v>12.918968298636248</v>
      </c>
      <c r="R172" s="67">
        <f t="shared" si="166"/>
        <v>13.248125797506448</v>
      </c>
      <c r="S172" s="67">
        <f t="shared" si="166"/>
        <v>10.808659025364708</v>
      </c>
      <c r="T172" s="67">
        <f t="shared" si="166"/>
        <v>11.298583836310524</v>
      </c>
      <c r="U172" s="67">
        <f t="shared" si="166"/>
        <v>12.604263379086992</v>
      </c>
      <c r="V172" s="67">
        <f t="shared" si="166"/>
        <v>12.317254870309426</v>
      </c>
      <c r="W172" s="67">
        <f t="shared" si="166"/>
        <v>12.544628955171731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162695.0932014565</v>
      </c>
      <c r="C3" s="125">
        <f t="shared" si="0"/>
        <v>164745.06964215951</v>
      </c>
      <c r="D3" s="125">
        <f t="shared" si="0"/>
        <v>166580.13011802407</v>
      </c>
      <c r="E3" s="125">
        <f t="shared" si="0"/>
        <v>168146.42580379051</v>
      </c>
      <c r="F3" s="125">
        <f t="shared" si="0"/>
        <v>170240.63603061822</v>
      </c>
      <c r="G3" s="125">
        <f t="shared" si="0"/>
        <v>172082.03245918197</v>
      </c>
      <c r="H3" s="125">
        <f t="shared" si="0"/>
        <v>174650.28031942603</v>
      </c>
      <c r="I3" s="125">
        <f t="shared" si="0"/>
        <v>177112.3393258685</v>
      </c>
      <c r="J3" s="125">
        <f t="shared" si="0"/>
        <v>178610.34759809688</v>
      </c>
      <c r="K3" s="125">
        <f t="shared" si="0"/>
        <v>180356.95532009326</v>
      </c>
      <c r="L3" s="125">
        <f t="shared" si="0"/>
        <v>182538.82857990678</v>
      </c>
      <c r="M3" s="125">
        <f t="shared" si="0"/>
        <v>184220.73285883997</v>
      </c>
      <c r="N3" s="125">
        <f t="shared" si="0"/>
        <v>185633.71169032683</v>
      </c>
      <c r="O3" s="125">
        <f t="shared" si="0"/>
        <v>188277.63862261386</v>
      </c>
      <c r="P3" s="125">
        <f t="shared" si="0"/>
        <v>190252.19190251947</v>
      </c>
      <c r="Q3" s="125">
        <f t="shared" si="0"/>
        <v>192790.69578557249</v>
      </c>
      <c r="R3" s="125">
        <f t="shared" si="0"/>
        <v>195099.97587388419</v>
      </c>
      <c r="S3" s="125">
        <f t="shared" si="0"/>
        <v>197740.95530169317</v>
      </c>
      <c r="T3" s="125">
        <f t="shared" si="0"/>
        <v>199962.55466206878</v>
      </c>
      <c r="U3" s="125">
        <f t="shared" si="0"/>
        <v>202035.18852008911</v>
      </c>
      <c r="V3" s="125">
        <f t="shared" si="0"/>
        <v>204095.64555555559</v>
      </c>
      <c r="W3" s="125">
        <f t="shared" si="0"/>
        <v>206130.5399121563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162695.0932014565</v>
      </c>
      <c r="C4" s="140">
        <f t="shared" si="1"/>
        <v>164745.06964215951</v>
      </c>
      <c r="D4" s="140">
        <f t="shared" si="1"/>
        <v>166580.13011802407</v>
      </c>
      <c r="E4" s="140">
        <f t="shared" si="1"/>
        <v>168146.42580379051</v>
      </c>
      <c r="F4" s="140">
        <f t="shared" si="1"/>
        <v>170240.63603061822</v>
      </c>
      <c r="G4" s="140">
        <f t="shared" si="1"/>
        <v>172082.03245918197</v>
      </c>
      <c r="H4" s="140">
        <f t="shared" si="1"/>
        <v>174650.28031942603</v>
      </c>
      <c r="I4" s="140">
        <f t="shared" si="1"/>
        <v>177112.3393258685</v>
      </c>
      <c r="J4" s="140">
        <f t="shared" si="1"/>
        <v>178610.34759809688</v>
      </c>
      <c r="K4" s="140">
        <f t="shared" si="1"/>
        <v>180356.95532009326</v>
      </c>
      <c r="L4" s="140">
        <f t="shared" si="1"/>
        <v>182538.82857990678</v>
      </c>
      <c r="M4" s="140">
        <f t="shared" si="1"/>
        <v>184220.73285883997</v>
      </c>
      <c r="N4" s="140">
        <f t="shared" si="1"/>
        <v>185633.71169032683</v>
      </c>
      <c r="O4" s="140">
        <f t="shared" si="1"/>
        <v>188277.63862261386</v>
      </c>
      <c r="P4" s="140">
        <f t="shared" si="1"/>
        <v>190252.19190251947</v>
      </c>
      <c r="Q4" s="140">
        <f t="shared" si="1"/>
        <v>192790.69578557249</v>
      </c>
      <c r="R4" s="140">
        <f t="shared" ref="R4:W4" si="2">SUM(R5:R14)</f>
        <v>195099.97587388419</v>
      </c>
      <c r="S4" s="140">
        <f t="shared" si="2"/>
        <v>197740.95530169317</v>
      </c>
      <c r="T4" s="140">
        <f t="shared" si="2"/>
        <v>199962.55466206878</v>
      </c>
      <c r="U4" s="140">
        <f t="shared" si="2"/>
        <v>202035.18852008911</v>
      </c>
      <c r="V4" s="140">
        <f t="shared" si="2"/>
        <v>204095.64555555559</v>
      </c>
      <c r="W4" s="140">
        <f t="shared" si="2"/>
        <v>206130.5399121563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36668.102566659014</v>
      </c>
      <c r="C7" s="141">
        <v>35211.774194002726</v>
      </c>
      <c r="D7" s="141">
        <v>34563.77406858965</v>
      </c>
      <c r="E7" s="141">
        <v>32310.397116945929</v>
      </c>
      <c r="F7" s="141">
        <v>27006.641706240589</v>
      </c>
      <c r="G7" s="141">
        <v>20283.985219704584</v>
      </c>
      <c r="H7" s="141">
        <v>15939.617343674536</v>
      </c>
      <c r="I7" s="141">
        <v>13942.475888539549</v>
      </c>
      <c r="J7" s="141">
        <v>13285.310711738317</v>
      </c>
      <c r="K7" s="141">
        <v>13831.501534620869</v>
      </c>
      <c r="L7" s="141">
        <v>14432.649788309827</v>
      </c>
      <c r="M7" s="141">
        <v>15521.185601680036</v>
      </c>
      <c r="N7" s="141">
        <v>15711.826029023903</v>
      </c>
      <c r="O7" s="141">
        <v>15764.134398367474</v>
      </c>
      <c r="P7" s="141">
        <v>15605.464575638927</v>
      </c>
      <c r="Q7" s="141">
        <v>15496.558653180206</v>
      </c>
      <c r="R7" s="141">
        <v>15466.21954092578</v>
      </c>
      <c r="S7" s="141">
        <v>16199.363381509318</v>
      </c>
      <c r="T7" s="141">
        <v>16702.184063203229</v>
      </c>
      <c r="U7" s="141">
        <v>16945.922945965132</v>
      </c>
      <c r="V7" s="141">
        <v>17017.254375915105</v>
      </c>
      <c r="W7" s="141">
        <v>15825.905764424049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1052.2458469732182</v>
      </c>
      <c r="C9" s="141">
        <v>1362.2282283715106</v>
      </c>
      <c r="D9" s="141">
        <v>2390.137634091956</v>
      </c>
      <c r="E9" s="141">
        <v>3305.0787134144184</v>
      </c>
      <c r="F9" s="141">
        <v>4017.5589237880054</v>
      </c>
      <c r="G9" s="141">
        <v>4592.2984091354128</v>
      </c>
      <c r="H9" s="141">
        <v>4885.2513672080695</v>
      </c>
      <c r="I9" s="141">
        <v>4833.5399812041451</v>
      </c>
      <c r="J9" s="141">
        <v>4767.069886670155</v>
      </c>
      <c r="K9" s="141">
        <v>4912.7865091718159</v>
      </c>
      <c r="L9" s="141">
        <v>5302.9003873171769</v>
      </c>
      <c r="M9" s="141">
        <v>5996.2651847422039</v>
      </c>
      <c r="N9" s="141">
        <v>6787.7598350657981</v>
      </c>
      <c r="O9" s="141">
        <v>6740.6028098738761</v>
      </c>
      <c r="P9" s="141">
        <v>6525.07822688752</v>
      </c>
      <c r="Q9" s="141">
        <v>5962.5249490698507</v>
      </c>
      <c r="R9" s="141">
        <v>5445.149740591467</v>
      </c>
      <c r="S9" s="141">
        <v>5515.3473402859081</v>
      </c>
      <c r="T9" s="141">
        <v>5602.2128242737117</v>
      </c>
      <c r="U9" s="141">
        <v>6248.753340694193</v>
      </c>
      <c r="V9" s="141">
        <v>6612.8679277223137</v>
      </c>
      <c r="W9" s="141">
        <v>6755.379310562812</v>
      </c>
      <c r="DA9" s="171" t="s">
        <v>250</v>
      </c>
    </row>
    <row r="10" spans="1:105" ht="12" customHeight="1" x14ac:dyDescent="0.25">
      <c r="A10" s="132" t="s">
        <v>128</v>
      </c>
      <c r="B10" s="141">
        <v>780.15537110269509</v>
      </c>
      <c r="C10" s="141">
        <v>1035.6699544561266</v>
      </c>
      <c r="D10" s="141">
        <v>1169.3068286857672</v>
      </c>
      <c r="E10" s="141">
        <v>1552.709361764842</v>
      </c>
      <c r="F10" s="141">
        <v>2170.8197969549456</v>
      </c>
      <c r="G10" s="141">
        <v>2471.6949178805426</v>
      </c>
      <c r="H10" s="141">
        <v>2519.3263040555175</v>
      </c>
      <c r="I10" s="141">
        <v>2472.3398980725128</v>
      </c>
      <c r="J10" s="141">
        <v>2449.6348248749864</v>
      </c>
      <c r="K10" s="141">
        <v>2516.7605592006435</v>
      </c>
      <c r="L10" s="141">
        <v>2550.7981075326261</v>
      </c>
      <c r="M10" s="141">
        <v>2572.5194636327942</v>
      </c>
      <c r="N10" s="141">
        <v>2594.5741739567266</v>
      </c>
      <c r="O10" s="141">
        <v>2546.3157911469198</v>
      </c>
      <c r="P10" s="141">
        <v>2561.9329248103181</v>
      </c>
      <c r="Q10" s="141">
        <v>2787.2732218922429</v>
      </c>
      <c r="R10" s="141">
        <v>2850.5575769389461</v>
      </c>
      <c r="S10" s="141">
        <v>2881.0046467257412</v>
      </c>
      <c r="T10" s="141">
        <v>2906.1597962669712</v>
      </c>
      <c r="U10" s="141">
        <v>2741.3425192980308</v>
      </c>
      <c r="V10" s="141">
        <v>2408.0448010409887</v>
      </c>
      <c r="W10" s="141">
        <v>2380.8040858994596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67545.275522396594</v>
      </c>
      <c r="C12" s="141">
        <v>68872.157452018728</v>
      </c>
      <c r="D12" s="141">
        <v>71016.805765698111</v>
      </c>
      <c r="E12" s="141">
        <v>74379.604234003957</v>
      </c>
      <c r="F12" s="141">
        <v>79146.354293210708</v>
      </c>
      <c r="G12" s="141">
        <v>84483.899669484847</v>
      </c>
      <c r="H12" s="141">
        <v>86264.376397254367</v>
      </c>
      <c r="I12" s="141">
        <v>87321.019674567637</v>
      </c>
      <c r="J12" s="141">
        <v>89794.956486138981</v>
      </c>
      <c r="K12" s="141">
        <v>94591.783189187641</v>
      </c>
      <c r="L12" s="141">
        <v>99577.385007751451</v>
      </c>
      <c r="M12" s="141">
        <v>102299.13288064863</v>
      </c>
      <c r="N12" s="141">
        <v>103128.34530137056</v>
      </c>
      <c r="O12" s="141">
        <v>104155.24040027107</v>
      </c>
      <c r="P12" s="141">
        <v>102326.77306315805</v>
      </c>
      <c r="Q12" s="141">
        <v>100650.15546802094</v>
      </c>
      <c r="R12" s="141">
        <v>100355.57857693873</v>
      </c>
      <c r="S12" s="141">
        <v>101556.06649339097</v>
      </c>
      <c r="T12" s="141">
        <v>102051.13037807557</v>
      </c>
      <c r="U12" s="141">
        <v>102101.68418344772</v>
      </c>
      <c r="V12" s="141">
        <v>100413.88783792352</v>
      </c>
      <c r="W12" s="141">
        <v>100645.4253190079</v>
      </c>
      <c r="DA12" s="171" t="s">
        <v>253</v>
      </c>
    </row>
    <row r="13" spans="1:105" ht="12" customHeight="1" x14ac:dyDescent="0.25">
      <c r="A13" s="132" t="s">
        <v>77</v>
      </c>
      <c r="B13" s="141">
        <v>842.70247619901113</v>
      </c>
      <c r="C13" s="141">
        <v>1123.0820028586766</v>
      </c>
      <c r="D13" s="141">
        <v>1638.3381119175558</v>
      </c>
      <c r="E13" s="141">
        <v>2293.0442757703704</v>
      </c>
      <c r="F13" s="141">
        <v>3323.2110732176607</v>
      </c>
      <c r="G13" s="141">
        <v>4642.0751271346016</v>
      </c>
      <c r="H13" s="141">
        <v>6267.801864059491</v>
      </c>
      <c r="I13" s="141">
        <v>7936.3289360415883</v>
      </c>
      <c r="J13" s="141">
        <v>9237.1779661875862</v>
      </c>
      <c r="K13" s="141">
        <v>10588.253822045674</v>
      </c>
      <c r="L13" s="141">
        <v>11635.862903855996</v>
      </c>
      <c r="M13" s="141">
        <v>13415.78852439663</v>
      </c>
      <c r="N13" s="141">
        <v>14568.49895243032</v>
      </c>
      <c r="O13" s="141">
        <v>15883.985775791407</v>
      </c>
      <c r="P13" s="141">
        <v>16854.536736437181</v>
      </c>
      <c r="Q13" s="141">
        <v>18048.840013154528</v>
      </c>
      <c r="R13" s="141">
        <v>19585.886566631933</v>
      </c>
      <c r="S13" s="141">
        <v>21373.198092114024</v>
      </c>
      <c r="T13" s="141">
        <v>23099.538785211989</v>
      </c>
      <c r="U13" s="141">
        <v>24815.28750444355</v>
      </c>
      <c r="V13" s="141">
        <v>26982.951944500546</v>
      </c>
      <c r="W13" s="141">
        <v>28195.487043335892</v>
      </c>
      <c r="DA13" s="171" t="s">
        <v>254</v>
      </c>
    </row>
    <row r="14" spans="1:105" ht="12" customHeight="1" x14ac:dyDescent="0.25">
      <c r="A14" s="60" t="s">
        <v>76</v>
      </c>
      <c r="B14" s="142">
        <v>55806.611418125969</v>
      </c>
      <c r="C14" s="142">
        <v>57140.157810451754</v>
      </c>
      <c r="D14" s="142">
        <v>55801.767709041014</v>
      </c>
      <c r="E14" s="142">
        <v>54305.592101891008</v>
      </c>
      <c r="F14" s="142">
        <v>54576.05023720632</v>
      </c>
      <c r="G14" s="142">
        <v>55608.079115841967</v>
      </c>
      <c r="H14" s="142">
        <v>58773.907043174047</v>
      </c>
      <c r="I14" s="142">
        <v>60606.634947443054</v>
      </c>
      <c r="J14" s="142">
        <v>59076.197722486853</v>
      </c>
      <c r="K14" s="142">
        <v>53915.869705866615</v>
      </c>
      <c r="L14" s="142">
        <v>49039.232385139701</v>
      </c>
      <c r="M14" s="142">
        <v>44415.841203739692</v>
      </c>
      <c r="N14" s="142">
        <v>42842.707398479521</v>
      </c>
      <c r="O14" s="142">
        <v>43187.359447163115</v>
      </c>
      <c r="P14" s="142">
        <v>46378.406375587474</v>
      </c>
      <c r="Q14" s="142">
        <v>49845.34348025472</v>
      </c>
      <c r="R14" s="142">
        <v>51396.583871857343</v>
      </c>
      <c r="S14" s="142">
        <v>50215.975347667219</v>
      </c>
      <c r="T14" s="142">
        <v>49601.328815037326</v>
      </c>
      <c r="U14" s="142">
        <v>49182.19802624049</v>
      </c>
      <c r="V14" s="142">
        <v>50660.63866845311</v>
      </c>
      <c r="W14" s="142">
        <v>52327.538388926187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106045.77930713151</v>
      </c>
      <c r="C15" s="144">
        <f t="shared" si="3"/>
        <v>106481.82982884909</v>
      </c>
      <c r="D15" s="144">
        <f t="shared" si="3"/>
        <v>109140.02429706548</v>
      </c>
      <c r="E15" s="144">
        <f t="shared" si="3"/>
        <v>111547.78942612914</v>
      </c>
      <c r="F15" s="144">
        <f t="shared" si="3"/>
        <v>112341.37472019425</v>
      </c>
      <c r="G15" s="144">
        <f t="shared" si="3"/>
        <v>111831.87821620538</v>
      </c>
      <c r="H15" s="144">
        <f t="shared" si="3"/>
        <v>109608.57141219248</v>
      </c>
      <c r="I15" s="144">
        <f t="shared" si="3"/>
        <v>108569.37544238384</v>
      </c>
      <c r="J15" s="144">
        <f t="shared" si="3"/>
        <v>110296.97190942244</v>
      </c>
      <c r="K15" s="144">
        <f t="shared" si="3"/>
        <v>115852.83179218098</v>
      </c>
      <c r="L15" s="144">
        <f t="shared" si="3"/>
        <v>121863.73329091107</v>
      </c>
      <c r="M15" s="144">
        <f t="shared" si="3"/>
        <v>126389.10313070366</v>
      </c>
      <c r="N15" s="144">
        <f t="shared" si="3"/>
        <v>128222.505339417</v>
      </c>
      <c r="O15" s="144">
        <f t="shared" si="3"/>
        <v>129206.29339965933</v>
      </c>
      <c r="P15" s="144">
        <f t="shared" si="3"/>
        <v>127019.24879049481</v>
      </c>
      <c r="Q15" s="144">
        <f t="shared" si="3"/>
        <v>124896.51229216324</v>
      </c>
      <c r="R15" s="144">
        <f t="shared" ref="R15:W15" si="4">SUM(R5:R12)</f>
        <v>124117.50543539492</v>
      </c>
      <c r="S15" s="144">
        <f t="shared" si="4"/>
        <v>126151.78186191194</v>
      </c>
      <c r="T15" s="144">
        <f t="shared" si="4"/>
        <v>127261.68706181948</v>
      </c>
      <c r="U15" s="144">
        <f t="shared" si="4"/>
        <v>128037.70298940508</v>
      </c>
      <c r="V15" s="144">
        <f t="shared" si="4"/>
        <v>126452.05494260193</v>
      </c>
      <c r="W15" s="144">
        <f t="shared" si="4"/>
        <v>125607.51447989422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42762.127792590843</v>
      </c>
      <c r="C16" s="140">
        <f t="shared" si="5"/>
        <v>43684.871347032793</v>
      </c>
      <c r="D16" s="140">
        <f t="shared" si="5"/>
        <v>44919.095671841453</v>
      </c>
      <c r="E16" s="140">
        <f t="shared" si="5"/>
        <v>45636.657540102125</v>
      </c>
      <c r="F16" s="140">
        <f t="shared" si="5"/>
        <v>47023.614476217022</v>
      </c>
      <c r="G16" s="140">
        <f t="shared" si="5"/>
        <v>48118.549787691336</v>
      </c>
      <c r="H16" s="140">
        <f t="shared" si="5"/>
        <v>49358.170039177057</v>
      </c>
      <c r="I16" s="140">
        <f t="shared" si="5"/>
        <v>51075.617844121298</v>
      </c>
      <c r="J16" s="140">
        <f t="shared" si="5"/>
        <v>52440.551285328409</v>
      </c>
      <c r="K16" s="140">
        <f t="shared" si="5"/>
        <v>53702.203781471238</v>
      </c>
      <c r="L16" s="140">
        <f t="shared" si="5"/>
        <v>55236.993045706819</v>
      </c>
      <c r="M16" s="140">
        <f t="shared" si="5"/>
        <v>56127.740558186153</v>
      </c>
      <c r="N16" s="140">
        <f t="shared" si="5"/>
        <v>57019.149530017559</v>
      </c>
      <c r="O16" s="140">
        <f t="shared" si="5"/>
        <v>58353.1581966378</v>
      </c>
      <c r="P16" s="140">
        <f t="shared" si="5"/>
        <v>59118.173809701351</v>
      </c>
      <c r="Q16" s="140">
        <f t="shared" si="5"/>
        <v>60000.545574369411</v>
      </c>
      <c r="R16" s="140">
        <f t="shared" ref="R16:W16" si="6">SUM(R17:R18)</f>
        <v>61326.230902438241</v>
      </c>
      <c r="S16" s="140">
        <f t="shared" si="6"/>
        <v>62908.416086461992</v>
      </c>
      <c r="T16" s="140">
        <f t="shared" si="6"/>
        <v>63449.094900879245</v>
      </c>
      <c r="U16" s="140">
        <f t="shared" si="6"/>
        <v>64142.225933549082</v>
      </c>
      <c r="V16" s="140">
        <f t="shared" si="6"/>
        <v>64060.024384507909</v>
      </c>
      <c r="W16" s="140">
        <f t="shared" si="6"/>
        <v>65791.445164876219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42762.127792590843</v>
      </c>
      <c r="C18" s="141">
        <v>43684.871347032793</v>
      </c>
      <c r="D18" s="141">
        <v>44919.095671841453</v>
      </c>
      <c r="E18" s="141">
        <v>45636.657540102125</v>
      </c>
      <c r="F18" s="141">
        <v>47023.614476217022</v>
      </c>
      <c r="G18" s="141">
        <v>48118.549787691336</v>
      </c>
      <c r="H18" s="141">
        <v>49358.170039177057</v>
      </c>
      <c r="I18" s="141">
        <v>51075.617844121298</v>
      </c>
      <c r="J18" s="141">
        <v>52440.551285328409</v>
      </c>
      <c r="K18" s="141">
        <v>53702.203781471238</v>
      </c>
      <c r="L18" s="141">
        <v>55236.993045706819</v>
      </c>
      <c r="M18" s="141">
        <v>56127.740558186153</v>
      </c>
      <c r="N18" s="141">
        <v>57019.149530017559</v>
      </c>
      <c r="O18" s="141">
        <v>58353.1581966378</v>
      </c>
      <c r="P18" s="141">
        <v>59118.173809701351</v>
      </c>
      <c r="Q18" s="141">
        <v>60000.545574369411</v>
      </c>
      <c r="R18" s="141">
        <v>61326.230902438241</v>
      </c>
      <c r="S18" s="141">
        <v>62908.416086461992</v>
      </c>
      <c r="T18" s="141">
        <v>63449.094900879245</v>
      </c>
      <c r="U18" s="141">
        <v>64142.225933549082</v>
      </c>
      <c r="V18" s="141">
        <v>64060.024384507909</v>
      </c>
      <c r="W18" s="141">
        <v>65791.445164876219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162695.0932014565</v>
      </c>
      <c r="C19" s="140">
        <f t="shared" si="7"/>
        <v>164745.06964215951</v>
      </c>
      <c r="D19" s="140">
        <f t="shared" si="7"/>
        <v>166580.13011802404</v>
      </c>
      <c r="E19" s="140">
        <f t="shared" si="7"/>
        <v>168146.42580379054</v>
      </c>
      <c r="F19" s="140">
        <f t="shared" si="7"/>
        <v>170240.63603061822</v>
      </c>
      <c r="G19" s="140">
        <f t="shared" si="7"/>
        <v>172082.03245918197</v>
      </c>
      <c r="H19" s="140">
        <f t="shared" si="7"/>
        <v>174650.28031942606</v>
      </c>
      <c r="I19" s="140">
        <f t="shared" si="7"/>
        <v>177112.33932586841</v>
      </c>
      <c r="J19" s="140">
        <f t="shared" si="7"/>
        <v>178610.34759809691</v>
      </c>
      <c r="K19" s="140">
        <f t="shared" si="7"/>
        <v>180356.95532009329</v>
      </c>
      <c r="L19" s="140">
        <f t="shared" si="7"/>
        <v>182538.82857990675</v>
      </c>
      <c r="M19" s="140">
        <f t="shared" si="7"/>
        <v>184220.73285883994</v>
      </c>
      <c r="N19" s="140">
        <f t="shared" si="7"/>
        <v>185633.71169032686</v>
      </c>
      <c r="O19" s="140">
        <f t="shared" si="7"/>
        <v>188277.6386226138</v>
      </c>
      <c r="P19" s="140">
        <f t="shared" si="7"/>
        <v>190252.19190251944</v>
      </c>
      <c r="Q19" s="140">
        <f t="shared" si="7"/>
        <v>192790.69578557246</v>
      </c>
      <c r="R19" s="140">
        <f t="shared" ref="R19:W19" si="8">SUM(R20:R26)</f>
        <v>195099.97587388416</v>
      </c>
      <c r="S19" s="140">
        <f t="shared" si="8"/>
        <v>197740.95530169317</v>
      </c>
      <c r="T19" s="140">
        <f t="shared" si="8"/>
        <v>199962.55466206896</v>
      </c>
      <c r="U19" s="140">
        <f t="shared" si="8"/>
        <v>202035.18852008908</v>
      </c>
      <c r="V19" s="140">
        <f t="shared" si="8"/>
        <v>204095.64555555559</v>
      </c>
      <c r="W19" s="140">
        <f t="shared" si="8"/>
        <v>206130.53991215635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31850.399503645149</v>
      </c>
      <c r="C22" s="141">
        <v>31480.012514384707</v>
      </c>
      <c r="D22" s="141">
        <v>30436.436022509173</v>
      </c>
      <c r="E22" s="141">
        <v>28392.764217132175</v>
      </c>
      <c r="F22" s="141">
        <v>25200.139492136408</v>
      </c>
      <c r="G22" s="141">
        <v>20673.943523253656</v>
      </c>
      <c r="H22" s="141">
        <v>17902.776582062619</v>
      </c>
      <c r="I22" s="141">
        <v>14929.836541172186</v>
      </c>
      <c r="J22" s="141">
        <v>12475.539267130172</v>
      </c>
      <c r="K22" s="141">
        <v>9525.0476656709598</v>
      </c>
      <c r="L22" s="141">
        <v>8519.6682702209418</v>
      </c>
      <c r="M22" s="141">
        <v>9069.0490174490133</v>
      </c>
      <c r="N22" s="141">
        <v>10705.711794408035</v>
      </c>
      <c r="O22" s="141">
        <v>12042.115563861913</v>
      </c>
      <c r="P22" s="141">
        <v>12520.113587123407</v>
      </c>
      <c r="Q22" s="141">
        <v>14407.536486257106</v>
      </c>
      <c r="R22" s="141">
        <v>15784.856271288021</v>
      </c>
      <c r="S22" s="141">
        <v>17121.740296493725</v>
      </c>
      <c r="T22" s="141">
        <v>17658.267131429518</v>
      </c>
      <c r="U22" s="141">
        <v>17527.878643168231</v>
      </c>
      <c r="V22" s="141">
        <v>17193.007873046809</v>
      </c>
      <c r="W22" s="141">
        <v>16234.447811161126</v>
      </c>
      <c r="DA22" s="171" t="s">
        <v>262</v>
      </c>
    </row>
    <row r="23" spans="1:105" ht="12" customHeight="1" x14ac:dyDescent="0.25">
      <c r="A23" s="132" t="s">
        <v>153</v>
      </c>
      <c r="B23" s="141">
        <v>758.69563508105716</v>
      </c>
      <c r="C23" s="141">
        <v>811.14617891741352</v>
      </c>
      <c r="D23" s="141">
        <v>999.72653380935731</v>
      </c>
      <c r="E23" s="141">
        <v>1177.4503397260701</v>
      </c>
      <c r="F23" s="141">
        <v>1361.276302907268</v>
      </c>
      <c r="G23" s="141">
        <v>1580.4416042409978</v>
      </c>
      <c r="H23" s="141">
        <v>1832.5915425098092</v>
      </c>
      <c r="I23" s="141">
        <v>1990.0084795557768</v>
      </c>
      <c r="J23" s="141">
        <v>2133.4378780645666</v>
      </c>
      <c r="K23" s="141">
        <v>2210.4658514312937</v>
      </c>
      <c r="L23" s="141">
        <v>2300.1694243491611</v>
      </c>
      <c r="M23" s="141">
        <v>2355.683275539694</v>
      </c>
      <c r="N23" s="141">
        <v>2436.1351026870038</v>
      </c>
      <c r="O23" s="141">
        <v>2526.1765407251241</v>
      </c>
      <c r="P23" s="141">
        <v>2638.8995160870995</v>
      </c>
      <c r="Q23" s="141">
        <v>2584.9080366166486</v>
      </c>
      <c r="R23" s="141">
        <v>2472.031126685004</v>
      </c>
      <c r="S23" s="141">
        <v>2461.1137728953877</v>
      </c>
      <c r="T23" s="141">
        <v>2510.3745335957892</v>
      </c>
      <c r="U23" s="141">
        <v>2957.7197839022701</v>
      </c>
      <c r="V23" s="141">
        <v>3280.5080048473815</v>
      </c>
      <c r="W23" s="141">
        <v>3390.3903126945056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67504.046926612529</v>
      </c>
      <c r="C25" s="141">
        <v>68536.839806126431</v>
      </c>
      <c r="D25" s="141">
        <v>70137.304223525192</v>
      </c>
      <c r="E25" s="141">
        <v>72584.507709869213</v>
      </c>
      <c r="F25" s="141">
        <v>77220.203674601726</v>
      </c>
      <c r="G25" s="141">
        <v>81761.09550293308</v>
      </c>
      <c r="H25" s="141">
        <v>85909.898751344721</v>
      </c>
      <c r="I25" s="141">
        <v>87973.200870976987</v>
      </c>
      <c r="J25" s="141">
        <v>89044.505311607121</v>
      </c>
      <c r="K25" s="141">
        <v>90311.442002909491</v>
      </c>
      <c r="L25" s="141">
        <v>92595.110471256296</v>
      </c>
      <c r="M25" s="141">
        <v>94572.058451651086</v>
      </c>
      <c r="N25" s="141">
        <v>96075.20311534038</v>
      </c>
      <c r="O25" s="141">
        <v>97854.109725563729</v>
      </c>
      <c r="P25" s="141">
        <v>99308.946938937646</v>
      </c>
      <c r="Q25" s="141">
        <v>101158.93264343588</v>
      </c>
      <c r="R25" s="141">
        <v>104165.94367569497</v>
      </c>
      <c r="S25" s="141">
        <v>105516.26643273613</v>
      </c>
      <c r="T25" s="141">
        <v>106401.463772501</v>
      </c>
      <c r="U25" s="141">
        <v>106836.74071044366</v>
      </c>
      <c r="V25" s="141">
        <v>107678.36176847172</v>
      </c>
      <c r="W25" s="141">
        <v>107111.93985644111</v>
      </c>
      <c r="DA25" s="171" t="s">
        <v>265</v>
      </c>
    </row>
    <row r="26" spans="1:105" ht="12" customHeight="1" x14ac:dyDescent="0.25">
      <c r="A26" s="132" t="s">
        <v>24</v>
      </c>
      <c r="B26" s="142">
        <v>62581.951136117765</v>
      </c>
      <c r="C26" s="142">
        <v>63917.071142730972</v>
      </c>
      <c r="D26" s="142">
        <v>65006.663338180319</v>
      </c>
      <c r="E26" s="142">
        <v>65991.703537063077</v>
      </c>
      <c r="F26" s="142">
        <v>66459.016560972828</v>
      </c>
      <c r="G26" s="142">
        <v>68066.551828754222</v>
      </c>
      <c r="H26" s="142">
        <v>69005.013443508913</v>
      </c>
      <c r="I26" s="142">
        <v>72219.293434163468</v>
      </c>
      <c r="J26" s="142">
        <v>74956.865141295042</v>
      </c>
      <c r="K26" s="142">
        <v>78309.999800081539</v>
      </c>
      <c r="L26" s="142">
        <v>79123.880414080355</v>
      </c>
      <c r="M26" s="142">
        <v>78223.942114200152</v>
      </c>
      <c r="N26" s="142">
        <v>76416.661677891432</v>
      </c>
      <c r="O26" s="142">
        <v>75855.236792463053</v>
      </c>
      <c r="P26" s="142">
        <v>75784.231860371277</v>
      </c>
      <c r="Q26" s="142">
        <v>74639.31861926282</v>
      </c>
      <c r="R26" s="142">
        <v>72677.144800216163</v>
      </c>
      <c r="S26" s="142">
        <v>72641.834799567951</v>
      </c>
      <c r="T26" s="142">
        <v>73392.449224542652</v>
      </c>
      <c r="U26" s="142">
        <v>74712.849382574947</v>
      </c>
      <c r="V26" s="142">
        <v>75943.767909189701</v>
      </c>
      <c r="W26" s="142">
        <v>79393.761931859612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162695.09320145648</v>
      </c>
      <c r="C29" s="140">
        <f t="shared" si="9"/>
        <v>164745.06964215953</v>
      </c>
      <c r="D29" s="140">
        <f t="shared" si="9"/>
        <v>166580.13011802404</v>
      </c>
      <c r="E29" s="140">
        <f t="shared" si="9"/>
        <v>168146.42580379051</v>
      </c>
      <c r="F29" s="140">
        <f t="shared" si="9"/>
        <v>170240.63603061819</v>
      </c>
      <c r="G29" s="140">
        <f t="shared" si="9"/>
        <v>172082.032459182</v>
      </c>
      <c r="H29" s="140">
        <f t="shared" si="9"/>
        <v>174650.28031942612</v>
      </c>
      <c r="I29" s="140">
        <f t="shared" si="9"/>
        <v>177112.3393258685</v>
      </c>
      <c r="J29" s="140">
        <f t="shared" si="9"/>
        <v>178610.34759809694</v>
      </c>
      <c r="K29" s="140">
        <f t="shared" si="9"/>
        <v>180356.95532009334</v>
      </c>
      <c r="L29" s="140">
        <f t="shared" si="9"/>
        <v>182538.82857990681</v>
      </c>
      <c r="M29" s="140">
        <f t="shared" si="9"/>
        <v>184220.73285884003</v>
      </c>
      <c r="N29" s="140">
        <f t="shared" si="9"/>
        <v>185633.71169032675</v>
      </c>
      <c r="O29" s="140">
        <f t="shared" si="9"/>
        <v>188277.63862261386</v>
      </c>
      <c r="P29" s="140">
        <f t="shared" si="9"/>
        <v>190252.19190251955</v>
      </c>
      <c r="Q29" s="140">
        <f t="shared" si="9"/>
        <v>192790.69578557255</v>
      </c>
      <c r="R29" s="140">
        <f t="shared" ref="R29:W29" si="10">SUM(R30:R33)</f>
        <v>195099.9758738841</v>
      </c>
      <c r="S29" s="140">
        <f t="shared" si="10"/>
        <v>197740.95530169329</v>
      </c>
      <c r="T29" s="140">
        <f t="shared" si="10"/>
        <v>199962.55466206893</v>
      </c>
      <c r="U29" s="140">
        <f t="shared" si="10"/>
        <v>202035.18852008891</v>
      </c>
      <c r="V29" s="140">
        <f t="shared" si="10"/>
        <v>204095.64555555591</v>
      </c>
      <c r="W29" s="140">
        <f t="shared" si="10"/>
        <v>206130.53991215647</v>
      </c>
      <c r="DA29" s="170" t="s">
        <v>268</v>
      </c>
    </row>
    <row r="30" spans="1:105" ht="12" customHeight="1" x14ac:dyDescent="0.25">
      <c r="A30" s="132" t="s">
        <v>52</v>
      </c>
      <c r="B30" s="141">
        <v>22728.088193038267</v>
      </c>
      <c r="C30" s="141">
        <v>22274.138105535938</v>
      </c>
      <c r="D30" s="141">
        <v>21417.896154844631</v>
      </c>
      <c r="E30" s="141">
        <v>18737.97977158245</v>
      </c>
      <c r="F30" s="141">
        <v>17879.491158452976</v>
      </c>
      <c r="G30" s="141">
        <v>21416.923297916157</v>
      </c>
      <c r="H30" s="141">
        <v>29593.688252553085</v>
      </c>
      <c r="I30" s="141">
        <v>36153.517295073922</v>
      </c>
      <c r="J30" s="141">
        <v>37606.79960674532</v>
      </c>
      <c r="K30" s="141">
        <v>35230.266031147148</v>
      </c>
      <c r="L30" s="141">
        <v>34505.898820361705</v>
      </c>
      <c r="M30" s="141">
        <v>29245.046975134683</v>
      </c>
      <c r="N30" s="141">
        <v>19243.689745257212</v>
      </c>
      <c r="O30" s="141">
        <v>13252.367524474663</v>
      </c>
      <c r="P30" s="141">
        <v>9755.4668708334084</v>
      </c>
      <c r="Q30" s="141">
        <v>7449.5250241624999</v>
      </c>
      <c r="R30" s="141">
        <v>6293.3281552673316</v>
      </c>
      <c r="S30" s="141">
        <v>5579.0099527906023</v>
      </c>
      <c r="T30" s="141">
        <v>5522.8552276608434</v>
      </c>
      <c r="U30" s="141">
        <v>5508.114180555277</v>
      </c>
      <c r="V30" s="141">
        <v>5600.5601829910993</v>
      </c>
      <c r="W30" s="141">
        <v>5648.2137377794024</v>
      </c>
      <c r="DA30" s="171" t="s">
        <v>269</v>
      </c>
    </row>
    <row r="31" spans="1:105" ht="12" customHeight="1" x14ac:dyDescent="0.25">
      <c r="A31" s="132" t="s">
        <v>153</v>
      </c>
      <c r="B31" s="141">
        <v>4318.1267633444368</v>
      </c>
      <c r="C31" s="141">
        <v>4504.1729005255847</v>
      </c>
      <c r="D31" s="141">
        <v>4829.159229394766</v>
      </c>
      <c r="E31" s="141">
        <v>5097.3341983166038</v>
      </c>
      <c r="F31" s="141">
        <v>5251.1689366794571</v>
      </c>
      <c r="G31" s="141">
        <v>5299.7597658937511</v>
      </c>
      <c r="H31" s="141">
        <v>5255.4815934720946</v>
      </c>
      <c r="I31" s="141">
        <v>5124.3813773101374</v>
      </c>
      <c r="J31" s="141">
        <v>4873.9650643924006</v>
      </c>
      <c r="K31" s="141">
        <v>4447.9484656962459</v>
      </c>
      <c r="L31" s="141">
        <v>3981.2176679800918</v>
      </c>
      <c r="M31" s="141">
        <v>3662.2565361289626</v>
      </c>
      <c r="N31" s="141">
        <v>3475.2380781308875</v>
      </c>
      <c r="O31" s="141">
        <v>3384.8255356839013</v>
      </c>
      <c r="P31" s="141">
        <v>3344.2702924950736</v>
      </c>
      <c r="Q31" s="141">
        <v>3135.5525293816131</v>
      </c>
      <c r="R31" s="141">
        <v>2908.6444085296525</v>
      </c>
      <c r="S31" s="141">
        <v>2773.0316606380202</v>
      </c>
      <c r="T31" s="141">
        <v>2766.1261314167646</v>
      </c>
      <c r="U31" s="141">
        <v>3170.7045541947032</v>
      </c>
      <c r="V31" s="141">
        <v>3507.6098871458489</v>
      </c>
      <c r="W31" s="141">
        <v>3573.8160254615082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135648.87824507378</v>
      </c>
      <c r="C33" s="153">
        <v>137966.75863609801</v>
      </c>
      <c r="D33" s="153">
        <v>140333.07473378466</v>
      </c>
      <c r="E33" s="153">
        <v>144311.11183389145</v>
      </c>
      <c r="F33" s="153">
        <v>147109.97593548577</v>
      </c>
      <c r="G33" s="153">
        <v>145365.34939537209</v>
      </c>
      <c r="H33" s="153">
        <v>139801.11047340094</v>
      </c>
      <c r="I33" s="153">
        <v>135834.44065348443</v>
      </c>
      <c r="J33" s="153">
        <v>136129.58292695921</v>
      </c>
      <c r="K33" s="153">
        <v>140678.74082324994</v>
      </c>
      <c r="L33" s="153">
        <v>144051.71209156502</v>
      </c>
      <c r="M33" s="153">
        <v>151313.4293475764</v>
      </c>
      <c r="N33" s="153">
        <v>162914.78386693864</v>
      </c>
      <c r="O33" s="153">
        <v>171640.44556245528</v>
      </c>
      <c r="P33" s="153">
        <v>177152.45473919107</v>
      </c>
      <c r="Q33" s="153">
        <v>182205.61823202844</v>
      </c>
      <c r="R33" s="153">
        <v>185898.00331008711</v>
      </c>
      <c r="S33" s="153">
        <v>189388.91368826467</v>
      </c>
      <c r="T33" s="153">
        <v>191673.57330299131</v>
      </c>
      <c r="U33" s="153">
        <v>193356.36978533893</v>
      </c>
      <c r="V33" s="153">
        <v>194987.47548541895</v>
      </c>
      <c r="W33" s="153">
        <v>196908.51014891555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3536.0888889661951</v>
      </c>
      <c r="C3" s="126">
        <f t="shared" si="0"/>
        <v>3875.2632380877726</v>
      </c>
      <c r="D3" s="126">
        <f t="shared" si="0"/>
        <v>3828.0537538022863</v>
      </c>
      <c r="E3" s="126">
        <f t="shared" si="0"/>
        <v>3803.2779764755878</v>
      </c>
      <c r="F3" s="126">
        <f t="shared" si="0"/>
        <v>3534.3586453855655</v>
      </c>
      <c r="G3" s="126">
        <f t="shared" si="0"/>
        <v>3062.3957333342687</v>
      </c>
      <c r="H3" s="126">
        <f t="shared" si="0"/>
        <v>3081.858453651681</v>
      </c>
      <c r="I3" s="126">
        <f t="shared" si="0"/>
        <v>3132.4900827662814</v>
      </c>
      <c r="J3" s="126">
        <f t="shared" si="0"/>
        <v>3062.7212316584587</v>
      </c>
      <c r="K3" s="126">
        <f t="shared" si="0"/>
        <v>2918.3745825417773</v>
      </c>
      <c r="L3" s="126">
        <f t="shared" si="0"/>
        <v>3193.5348372802691</v>
      </c>
      <c r="M3" s="126">
        <f t="shared" si="0"/>
        <v>2741.1105435626814</v>
      </c>
      <c r="N3" s="126">
        <f t="shared" si="0"/>
        <v>2909.3338834428114</v>
      </c>
      <c r="O3" s="126">
        <f t="shared" si="0"/>
        <v>2797.0882057614249</v>
      </c>
      <c r="P3" s="126">
        <f t="shared" si="0"/>
        <v>2774.3755721078401</v>
      </c>
      <c r="Q3" s="126">
        <f t="shared" si="0"/>
        <v>2798.8802953792729</v>
      </c>
      <c r="R3" s="126">
        <f t="shared" ref="R3:W3" si="1">SUM(R4,R16,R19,R29)</f>
        <v>2965.7359410023032</v>
      </c>
      <c r="S3" s="126">
        <f t="shared" si="1"/>
        <v>2735.5846916225837</v>
      </c>
      <c r="T3" s="126">
        <f t="shared" si="1"/>
        <v>2839.8763844560526</v>
      </c>
      <c r="U3" s="126">
        <f t="shared" si="1"/>
        <v>2728.4314975546272</v>
      </c>
      <c r="V3" s="126">
        <f t="shared" si="1"/>
        <v>2570.979343678624</v>
      </c>
      <c r="W3" s="126">
        <f t="shared" si="1"/>
        <v>2803.0857975820127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2864.3786290832086</v>
      </c>
      <c r="C4" s="131">
        <f t="shared" si="2"/>
        <v>3191.5489875975627</v>
      </c>
      <c r="D4" s="131">
        <f t="shared" si="2"/>
        <v>3146.6106432254269</v>
      </c>
      <c r="E4" s="131">
        <f t="shared" si="2"/>
        <v>3123.4971947943518</v>
      </c>
      <c r="F4" s="131">
        <f t="shared" si="2"/>
        <v>2853.9012715528506</v>
      </c>
      <c r="G4" s="131">
        <f t="shared" si="2"/>
        <v>2386.6733470943832</v>
      </c>
      <c r="H4" s="131">
        <f t="shared" si="2"/>
        <v>2389.8426369818753</v>
      </c>
      <c r="I4" s="131">
        <f t="shared" si="2"/>
        <v>2422.4497766611826</v>
      </c>
      <c r="J4" s="131">
        <f t="shared" si="2"/>
        <v>2350.5291646746582</v>
      </c>
      <c r="K4" s="131">
        <f t="shared" si="2"/>
        <v>2210.9149095796843</v>
      </c>
      <c r="L4" s="131">
        <f t="shared" si="2"/>
        <v>2471.3533779584795</v>
      </c>
      <c r="M4" s="131">
        <f t="shared" si="2"/>
        <v>2016.0124670615962</v>
      </c>
      <c r="N4" s="131">
        <f t="shared" si="2"/>
        <v>2193.1622459687082</v>
      </c>
      <c r="O4" s="131">
        <f t="shared" si="2"/>
        <v>2073.9258262100179</v>
      </c>
      <c r="P4" s="131">
        <f t="shared" si="2"/>
        <v>2046.3664280195096</v>
      </c>
      <c r="Q4" s="131">
        <f t="shared" si="2"/>
        <v>2070.3400614969992</v>
      </c>
      <c r="R4" s="131">
        <f t="shared" ref="R4:W4" si="3">SUM(R5:R15)</f>
        <v>2232.8707019812518</v>
      </c>
      <c r="S4" s="131">
        <f t="shared" si="3"/>
        <v>2002.314422663399</v>
      </c>
      <c r="T4" s="131">
        <f t="shared" si="3"/>
        <v>2103.4457055942898</v>
      </c>
      <c r="U4" s="131">
        <f t="shared" si="3"/>
        <v>1989.9732264456211</v>
      </c>
      <c r="V4" s="131">
        <f t="shared" si="3"/>
        <v>1859.1583723151207</v>
      </c>
      <c r="W4" s="131">
        <f t="shared" si="3"/>
        <v>2081.5565885478541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925.38511336395322</v>
      </c>
      <c r="C7" s="133">
        <v>934.17155798525312</v>
      </c>
      <c r="D7" s="133">
        <v>909.6901000398999</v>
      </c>
      <c r="E7" s="133">
        <v>947.72825820562616</v>
      </c>
      <c r="F7" s="133">
        <v>696.07042905548735</v>
      </c>
      <c r="G7" s="133">
        <v>346.44441926465936</v>
      </c>
      <c r="H7" s="133">
        <v>302.71621811635794</v>
      </c>
      <c r="I7" s="133">
        <v>297.62167461685669</v>
      </c>
      <c r="J7" s="133">
        <v>255.24543980652174</v>
      </c>
      <c r="K7" s="133">
        <v>269.61460566838161</v>
      </c>
      <c r="L7" s="133">
        <v>281.95817783542725</v>
      </c>
      <c r="M7" s="133">
        <v>263.86825366438336</v>
      </c>
      <c r="N7" s="133">
        <v>255.65841310936818</v>
      </c>
      <c r="O7" s="133">
        <v>227.02369288769549</v>
      </c>
      <c r="P7" s="133">
        <v>229.66087453403617</v>
      </c>
      <c r="Q7" s="133">
        <v>222.50002474092628</v>
      </c>
      <c r="R7" s="133">
        <v>219.39330663703086</v>
      </c>
      <c r="S7" s="133">
        <v>226.9652832736646</v>
      </c>
      <c r="T7" s="133">
        <v>230.7214252003252</v>
      </c>
      <c r="U7" s="133">
        <v>222.83423903284523</v>
      </c>
      <c r="V7" s="133">
        <v>222.75546508849621</v>
      </c>
      <c r="W7" s="133">
        <v>199.74692434101752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24.398195504543835</v>
      </c>
      <c r="C9" s="133">
        <v>22.887478512032779</v>
      </c>
      <c r="D9" s="133">
        <v>53.088348011391041</v>
      </c>
      <c r="E9" s="133">
        <v>75.583475789465325</v>
      </c>
      <c r="F9" s="133">
        <v>75.816493644704394</v>
      </c>
      <c r="G9" s="133">
        <v>80.343948157366583</v>
      </c>
      <c r="H9" s="133">
        <v>80.897514773277848</v>
      </c>
      <c r="I9" s="133">
        <v>82.788650144525235</v>
      </c>
      <c r="J9" s="133">
        <v>86.527093693414855</v>
      </c>
      <c r="K9" s="133">
        <v>41.5154083000673</v>
      </c>
      <c r="L9" s="133">
        <v>93.300611357580195</v>
      </c>
      <c r="M9" s="133">
        <v>80.800894692569898</v>
      </c>
      <c r="N9" s="133">
        <v>108.43771541404837</v>
      </c>
      <c r="O9" s="133">
        <v>92.700303704098673</v>
      </c>
      <c r="P9" s="133">
        <v>86.852682231890967</v>
      </c>
      <c r="Q9" s="133">
        <v>81.909212927517487</v>
      </c>
      <c r="R9" s="133">
        <v>82.353010727476061</v>
      </c>
      <c r="S9" s="133">
        <v>46.379246052395658</v>
      </c>
      <c r="T9" s="133">
        <v>67.628813540914635</v>
      </c>
      <c r="U9" s="133">
        <v>87.06400336029391</v>
      </c>
      <c r="V9" s="133">
        <v>81.657643326815716</v>
      </c>
      <c r="W9" s="133">
        <v>79.128151768800848</v>
      </c>
      <c r="DA9" s="157" t="s">
        <v>278</v>
      </c>
    </row>
    <row r="10" spans="1:105" ht="12" customHeight="1" x14ac:dyDescent="0.25">
      <c r="A10" s="132" t="s">
        <v>128</v>
      </c>
      <c r="B10" s="133">
        <v>12.99320722269991</v>
      </c>
      <c r="C10" s="133">
        <v>34.393809114359399</v>
      </c>
      <c r="D10" s="133">
        <v>25.795356835769567</v>
      </c>
      <c r="E10" s="133">
        <v>23.884608770421316</v>
      </c>
      <c r="F10" s="133">
        <v>54.337403267411865</v>
      </c>
      <c r="G10" s="133">
        <v>59.711435941530532</v>
      </c>
      <c r="H10" s="133">
        <v>42.562338779019775</v>
      </c>
      <c r="I10" s="133">
        <v>44.019260533104031</v>
      </c>
      <c r="J10" s="133">
        <v>45.07024935511609</v>
      </c>
      <c r="K10" s="133">
        <v>45.070249355116118</v>
      </c>
      <c r="L10" s="133">
        <v>45.070249355116076</v>
      </c>
      <c r="M10" s="133">
        <v>40.603783319002545</v>
      </c>
      <c r="N10" s="133">
        <v>52.020636285468569</v>
      </c>
      <c r="O10" s="133">
        <v>28.900343938091137</v>
      </c>
      <c r="P10" s="133">
        <v>39.815649183147002</v>
      </c>
      <c r="Q10" s="133">
        <v>40.31719690455715</v>
      </c>
      <c r="R10" s="133">
        <v>65.65872742906285</v>
      </c>
      <c r="S10" s="133">
        <v>65.348237317282866</v>
      </c>
      <c r="T10" s="133">
        <v>66.733533963886558</v>
      </c>
      <c r="U10" s="133">
        <v>37.666036113499501</v>
      </c>
      <c r="V10" s="133">
        <v>35.373086844367982</v>
      </c>
      <c r="W10" s="133">
        <v>38.645227858985336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989.95364087714108</v>
      </c>
      <c r="C12" s="133">
        <v>1105.9688552726764</v>
      </c>
      <c r="D12" s="133">
        <v>1114.9545927139466</v>
      </c>
      <c r="E12" s="133">
        <v>1136.9444457703494</v>
      </c>
      <c r="F12" s="133">
        <v>1100.3353390162547</v>
      </c>
      <c r="G12" s="133">
        <v>1125.3137108057513</v>
      </c>
      <c r="H12" s="133">
        <v>1099.7564539036159</v>
      </c>
      <c r="I12" s="133">
        <v>1040.4978317705502</v>
      </c>
      <c r="J12" s="133">
        <v>1065.4230158674704</v>
      </c>
      <c r="K12" s="133">
        <v>1126.9728402456665</v>
      </c>
      <c r="L12" s="133">
        <v>1289.4595159820806</v>
      </c>
      <c r="M12" s="133">
        <v>1076.575518677218</v>
      </c>
      <c r="N12" s="133">
        <v>1179.011506073989</v>
      </c>
      <c r="O12" s="133">
        <v>1173.936934462449</v>
      </c>
      <c r="P12" s="133">
        <v>1099.5010734713878</v>
      </c>
      <c r="Q12" s="133">
        <v>1055.8849140222944</v>
      </c>
      <c r="R12" s="133">
        <v>1127.9449566273158</v>
      </c>
      <c r="S12" s="133">
        <v>1057.5518899149606</v>
      </c>
      <c r="T12" s="133">
        <v>1097.9214333614034</v>
      </c>
      <c r="U12" s="133">
        <v>1066.3611967050465</v>
      </c>
      <c r="V12" s="133">
        <v>930.0950694143271</v>
      </c>
      <c r="W12" s="133">
        <v>1110.8473600252375</v>
      </c>
      <c r="DA12" s="157" t="s">
        <v>281</v>
      </c>
    </row>
    <row r="13" spans="1:105" ht="12" customHeight="1" x14ac:dyDescent="0.25">
      <c r="A13" s="132" t="s">
        <v>77</v>
      </c>
      <c r="B13" s="133">
        <v>5.9688218308366991</v>
      </c>
      <c r="C13" s="133">
        <v>10.249192410580225</v>
      </c>
      <c r="D13" s="133">
        <v>13.760714454876004</v>
      </c>
      <c r="E13" s="133">
        <v>16.450799998614169</v>
      </c>
      <c r="F13" s="133">
        <v>23.179171106542626</v>
      </c>
      <c r="G13" s="133">
        <v>25.820075357560224</v>
      </c>
      <c r="H13" s="133">
        <v>35.669264406588525</v>
      </c>
      <c r="I13" s="133">
        <v>45.435240916273578</v>
      </c>
      <c r="J13" s="133">
        <v>48.420621227361664</v>
      </c>
      <c r="K13" s="133">
        <v>51.522340663797671</v>
      </c>
      <c r="L13" s="133">
        <v>54.217786859675215</v>
      </c>
      <c r="M13" s="133">
        <v>58.008288971928387</v>
      </c>
      <c r="N13" s="133">
        <v>61.131802116919978</v>
      </c>
      <c r="O13" s="133">
        <v>63.560116144337272</v>
      </c>
      <c r="P13" s="133">
        <v>63.087118039644366</v>
      </c>
      <c r="Q13" s="133">
        <v>62.706766848174979</v>
      </c>
      <c r="R13" s="133">
        <v>71.651327781878848</v>
      </c>
      <c r="S13" s="133">
        <v>69.674538225965222</v>
      </c>
      <c r="T13" s="133">
        <v>71.55291672090847</v>
      </c>
      <c r="U13" s="133">
        <v>70.230012903571591</v>
      </c>
      <c r="V13" s="133">
        <v>74.654989325060683</v>
      </c>
      <c r="W13" s="133">
        <v>74.909838686791304</v>
      </c>
      <c r="DA13" s="157" t="s">
        <v>282</v>
      </c>
    </row>
    <row r="14" spans="1:105" ht="12" customHeight="1" x14ac:dyDescent="0.25">
      <c r="A14" s="60" t="s">
        <v>76</v>
      </c>
      <c r="B14" s="65">
        <v>893.33633005071306</v>
      </c>
      <c r="C14" s="65">
        <v>1071.1300587709093</v>
      </c>
      <c r="D14" s="65">
        <v>1016.6222473649543</v>
      </c>
      <c r="E14" s="65">
        <v>909.74373104190624</v>
      </c>
      <c r="F14" s="65">
        <v>893.2928647878017</v>
      </c>
      <c r="G14" s="65">
        <v>741.05656397712823</v>
      </c>
      <c r="H14" s="65">
        <v>820.88348179523462</v>
      </c>
      <c r="I14" s="65">
        <v>905.04225157502083</v>
      </c>
      <c r="J14" s="65">
        <v>843.08559882982706</v>
      </c>
      <c r="K14" s="65">
        <v>669.63435914143156</v>
      </c>
      <c r="L14" s="65">
        <v>699.51564576587828</v>
      </c>
      <c r="M14" s="65">
        <v>489.23822017091913</v>
      </c>
      <c r="N14" s="65">
        <v>529.26928685626842</v>
      </c>
      <c r="O14" s="65">
        <v>480.63105542909648</v>
      </c>
      <c r="P14" s="65">
        <v>520.55190598296008</v>
      </c>
      <c r="Q14" s="65">
        <v>600.41353222698217</v>
      </c>
      <c r="R14" s="65">
        <v>658.93668056546289</v>
      </c>
      <c r="S14" s="65">
        <v>529.93863584054918</v>
      </c>
      <c r="T14" s="65">
        <v>561.97434033462594</v>
      </c>
      <c r="U14" s="65">
        <v>498.95486846142109</v>
      </c>
      <c r="V14" s="65">
        <v>508.23559197117385</v>
      </c>
      <c r="W14" s="65">
        <v>571.54359654336349</v>
      </c>
      <c r="DA14" s="109" t="s">
        <v>283</v>
      </c>
    </row>
    <row r="15" spans="1:105" ht="12" customHeight="1" x14ac:dyDescent="0.25">
      <c r="A15" s="134" t="s">
        <v>80</v>
      </c>
      <c r="B15" s="135">
        <v>12.343320233320904</v>
      </c>
      <c r="C15" s="135">
        <v>12.748035531751526</v>
      </c>
      <c r="D15" s="135">
        <v>12.699283804589328</v>
      </c>
      <c r="E15" s="135">
        <v>13.16187521796925</v>
      </c>
      <c r="F15" s="135">
        <v>10.86957067464798</v>
      </c>
      <c r="G15" s="135">
        <v>7.9831935903871951</v>
      </c>
      <c r="H15" s="135">
        <v>7.3573652077808838</v>
      </c>
      <c r="I15" s="135">
        <v>7.0448671048520799</v>
      </c>
      <c r="J15" s="135">
        <v>6.7571458949464906</v>
      </c>
      <c r="K15" s="135">
        <v>6.585106205223715</v>
      </c>
      <c r="L15" s="135">
        <v>7.83139080272203</v>
      </c>
      <c r="M15" s="135">
        <v>6.9175075655751064</v>
      </c>
      <c r="N15" s="135">
        <v>7.6328861126460161</v>
      </c>
      <c r="O15" s="135">
        <v>7.1733796442498488</v>
      </c>
      <c r="P15" s="135">
        <v>6.8971245764432858</v>
      </c>
      <c r="Q15" s="135">
        <v>6.6084138265466184</v>
      </c>
      <c r="R15" s="135">
        <v>6.9326922130245192</v>
      </c>
      <c r="S15" s="135">
        <v>6.4565920385807711</v>
      </c>
      <c r="T15" s="135">
        <v>6.9132424722256207</v>
      </c>
      <c r="U15" s="135">
        <v>6.8628698689433296</v>
      </c>
      <c r="V15" s="135">
        <v>6.3865263448791154</v>
      </c>
      <c r="W15" s="135">
        <v>6.7354893236580331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43.650326837978632</v>
      </c>
      <c r="C16" s="131">
        <f t="shared" si="4"/>
        <v>43.169009322612887</v>
      </c>
      <c r="D16" s="131">
        <f t="shared" si="4"/>
        <v>42.708687300100443</v>
      </c>
      <c r="E16" s="131">
        <f t="shared" si="4"/>
        <v>41.742775519913721</v>
      </c>
      <c r="F16" s="131">
        <f t="shared" si="4"/>
        <v>41.108190368267358</v>
      </c>
      <c r="G16" s="131">
        <f t="shared" si="4"/>
        <v>40.112272027826499</v>
      </c>
      <c r="H16" s="131">
        <f t="shared" si="4"/>
        <v>39.02127996419869</v>
      </c>
      <c r="I16" s="131">
        <f t="shared" si="4"/>
        <v>38.016972034977563</v>
      </c>
      <c r="J16" s="131">
        <f t="shared" si="4"/>
        <v>36.82691178503827</v>
      </c>
      <c r="K16" s="131">
        <f t="shared" si="4"/>
        <v>37.221951259329231</v>
      </c>
      <c r="L16" s="131">
        <f t="shared" si="4"/>
        <v>38.078440540807627</v>
      </c>
      <c r="M16" s="131">
        <f t="shared" si="4"/>
        <v>36.984601388807384</v>
      </c>
      <c r="N16" s="131">
        <f t="shared" si="4"/>
        <v>36.438056033881651</v>
      </c>
      <c r="O16" s="131">
        <f t="shared" si="4"/>
        <v>36.091792439610273</v>
      </c>
      <c r="P16" s="131">
        <f t="shared" si="4"/>
        <v>35.806359874934124</v>
      </c>
      <c r="Q16" s="131">
        <f t="shared" si="4"/>
        <v>34.622461206865353</v>
      </c>
      <c r="R16" s="131">
        <f t="shared" ref="R16:W16" si="5">SUM(R17:R18)</f>
        <v>34.280020071779795</v>
      </c>
      <c r="S16" s="131">
        <f t="shared" si="5"/>
        <v>34.046233561645074</v>
      </c>
      <c r="T16" s="131">
        <f t="shared" si="5"/>
        <v>33.803878851324697</v>
      </c>
      <c r="U16" s="131">
        <f t="shared" si="5"/>
        <v>33.255482611373175</v>
      </c>
      <c r="V16" s="131">
        <f t="shared" si="5"/>
        <v>32.262620985453459</v>
      </c>
      <c r="W16" s="131">
        <f t="shared" si="5"/>
        <v>32.575482113046746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43.650326837978632</v>
      </c>
      <c r="C18" s="133">
        <v>43.169009322612887</v>
      </c>
      <c r="D18" s="133">
        <v>42.708687300100443</v>
      </c>
      <c r="E18" s="133">
        <v>41.742775519913721</v>
      </c>
      <c r="F18" s="133">
        <v>41.108190368267358</v>
      </c>
      <c r="G18" s="133">
        <v>40.112272027826499</v>
      </c>
      <c r="H18" s="133">
        <v>39.02127996419869</v>
      </c>
      <c r="I18" s="133">
        <v>38.016972034977563</v>
      </c>
      <c r="J18" s="133">
        <v>36.82691178503827</v>
      </c>
      <c r="K18" s="133">
        <v>37.221951259329231</v>
      </c>
      <c r="L18" s="133">
        <v>38.078440540807627</v>
      </c>
      <c r="M18" s="133">
        <v>36.984601388807384</v>
      </c>
      <c r="N18" s="133">
        <v>36.438056033881651</v>
      </c>
      <c r="O18" s="133">
        <v>36.091792439610273</v>
      </c>
      <c r="P18" s="133">
        <v>35.806359874934124</v>
      </c>
      <c r="Q18" s="133">
        <v>34.622461206865353</v>
      </c>
      <c r="R18" s="133">
        <v>34.280020071779795</v>
      </c>
      <c r="S18" s="133">
        <v>34.046233561645074</v>
      </c>
      <c r="T18" s="133">
        <v>33.803878851324697</v>
      </c>
      <c r="U18" s="133">
        <v>33.255482611373175</v>
      </c>
      <c r="V18" s="133">
        <v>32.262620985453459</v>
      </c>
      <c r="W18" s="133">
        <v>32.575482113046746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363.44200800210336</v>
      </c>
      <c r="C19" s="131">
        <f t="shared" si="6"/>
        <v>363.61635521015614</v>
      </c>
      <c r="D19" s="131">
        <f t="shared" si="6"/>
        <v>362.63629205679297</v>
      </c>
      <c r="E19" s="131">
        <f t="shared" si="6"/>
        <v>362.60108475380764</v>
      </c>
      <c r="F19" s="131">
        <f t="shared" si="6"/>
        <v>359.92735287891389</v>
      </c>
      <c r="G19" s="131">
        <f t="shared" si="6"/>
        <v>353.46649733958475</v>
      </c>
      <c r="H19" s="131">
        <f t="shared" si="6"/>
        <v>355.24700852374872</v>
      </c>
      <c r="I19" s="131">
        <f t="shared" si="6"/>
        <v>358.63229283226667</v>
      </c>
      <c r="J19" s="131">
        <f t="shared" si="6"/>
        <v>360.26325375765111</v>
      </c>
      <c r="K19" s="131">
        <f t="shared" si="6"/>
        <v>358.15257457636642</v>
      </c>
      <c r="L19" s="131">
        <f t="shared" si="6"/>
        <v>358.64865810801103</v>
      </c>
      <c r="M19" s="131">
        <f t="shared" si="6"/>
        <v>359.72596256211727</v>
      </c>
      <c r="N19" s="131">
        <f t="shared" si="6"/>
        <v>364.14761975170825</v>
      </c>
      <c r="O19" s="131">
        <f t="shared" si="6"/>
        <v>367.5854835640971</v>
      </c>
      <c r="P19" s="131">
        <f t="shared" si="6"/>
        <v>368.88972622837298</v>
      </c>
      <c r="Q19" s="131">
        <f t="shared" si="6"/>
        <v>373.64605301819415</v>
      </c>
      <c r="R19" s="131">
        <f t="shared" ref="R19:W19" si="7">SUM(R20:R27)</f>
        <v>372.29750761611371</v>
      </c>
      <c r="S19" s="131">
        <f t="shared" si="7"/>
        <v>369.89446936544277</v>
      </c>
      <c r="T19" s="131">
        <f t="shared" si="7"/>
        <v>370.95666960376957</v>
      </c>
      <c r="U19" s="131">
        <f t="shared" si="7"/>
        <v>368.37432449632814</v>
      </c>
      <c r="V19" s="131">
        <f t="shared" si="7"/>
        <v>357.57929210219737</v>
      </c>
      <c r="W19" s="131">
        <f t="shared" si="7"/>
        <v>363.1530128380241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91.888231433983179</v>
      </c>
      <c r="C22" s="133">
        <v>90.128613983792576</v>
      </c>
      <c r="D22" s="133">
        <v>86.292531086497391</v>
      </c>
      <c r="E22" s="133">
        <v>83.551019524382525</v>
      </c>
      <c r="F22" s="133">
        <v>75.115211529207443</v>
      </c>
      <c r="G22" s="133">
        <v>49.687824931385286</v>
      </c>
      <c r="H22" s="133">
        <v>50.269078530245501</v>
      </c>
      <c r="I22" s="133">
        <v>42.015470696986966</v>
      </c>
      <c r="J22" s="133">
        <v>37.437105335352697</v>
      </c>
      <c r="K22" s="133">
        <v>21.699409808832549</v>
      </c>
      <c r="L22" s="133">
        <v>19.896078398450754</v>
      </c>
      <c r="M22" s="133">
        <v>21.151694744902983</v>
      </c>
      <c r="N22" s="133">
        <v>30.371079581947178</v>
      </c>
      <c r="O22" s="133">
        <v>32.881982090808521</v>
      </c>
      <c r="P22" s="133">
        <v>24.414103969833192</v>
      </c>
      <c r="Q22" s="133">
        <v>36.366097357096287</v>
      </c>
      <c r="R22" s="133">
        <v>37.135756131670618</v>
      </c>
      <c r="S22" s="133">
        <v>38.907459632612152</v>
      </c>
      <c r="T22" s="133">
        <v>39.878574799674851</v>
      </c>
      <c r="U22" s="133">
        <v>38.340567501978512</v>
      </c>
      <c r="V22" s="133">
        <v>37.643159159139195</v>
      </c>
      <c r="W22" s="133">
        <v>33.328312116420264</v>
      </c>
      <c r="DA22" s="157" t="s">
        <v>289</v>
      </c>
    </row>
    <row r="23" spans="1:105" ht="12" customHeight="1" x14ac:dyDescent="0.25">
      <c r="A23" s="132" t="s">
        <v>153</v>
      </c>
      <c r="B23" s="133">
        <v>2.1644377730347011</v>
      </c>
      <c r="C23" s="133">
        <v>2.0353699151746065</v>
      </c>
      <c r="D23" s="133">
        <v>2.6607049888254042</v>
      </c>
      <c r="E23" s="133">
        <v>3.2289833275625384</v>
      </c>
      <c r="F23" s="133">
        <v>3.2645784557727922</v>
      </c>
      <c r="G23" s="133">
        <v>3.8082102728252187</v>
      </c>
      <c r="H23" s="133">
        <v>4.8382466629435159</v>
      </c>
      <c r="I23" s="133">
        <v>4.8186099093894894</v>
      </c>
      <c r="J23" s="133">
        <v>5.2743324907429328</v>
      </c>
      <c r="K23" s="133">
        <v>5.2655607912067071</v>
      </c>
      <c r="L23" s="133">
        <v>5.5454946470183435</v>
      </c>
      <c r="M23" s="133">
        <v>5.5133300552308544</v>
      </c>
      <c r="N23" s="133">
        <v>5.6389732817550948</v>
      </c>
      <c r="O23" s="133">
        <v>5.7919504604653396</v>
      </c>
      <c r="P23" s="133">
        <v>6.1828200208922492</v>
      </c>
      <c r="Q23" s="133">
        <v>6.0765192622878752</v>
      </c>
      <c r="R23" s="133">
        <v>6.2132197034571686</v>
      </c>
      <c r="S23" s="133">
        <v>3.5490111968839577</v>
      </c>
      <c r="T23" s="133">
        <v>4.7588371211000196</v>
      </c>
      <c r="U23" s="133">
        <v>6.5918139876581305</v>
      </c>
      <c r="V23" s="133">
        <v>6.3688668805245712</v>
      </c>
      <c r="W23" s="133">
        <v>6.3350840448844785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128.25117425613496</v>
      </c>
      <c r="C25" s="133">
        <v>126.8581438674786</v>
      </c>
      <c r="D25" s="133">
        <v>127.42623273747228</v>
      </c>
      <c r="E25" s="133">
        <v>129.58367116860143</v>
      </c>
      <c r="F25" s="133">
        <v>138.51057671891297</v>
      </c>
      <c r="G25" s="133">
        <v>148.97691688126454</v>
      </c>
      <c r="H25" s="133">
        <v>156.71628900266163</v>
      </c>
      <c r="I25" s="133">
        <v>155.09305387003474</v>
      </c>
      <c r="J25" s="133">
        <v>158.80553099409477</v>
      </c>
      <c r="K25" s="133">
        <v>160.04831194693753</v>
      </c>
      <c r="L25" s="133">
        <v>162.1741899508514</v>
      </c>
      <c r="M25" s="133">
        <v>166.56962319724511</v>
      </c>
      <c r="N25" s="133">
        <v>171.78144319514195</v>
      </c>
      <c r="O25" s="133">
        <v>172.8911824765018</v>
      </c>
      <c r="P25" s="133">
        <v>174.40743899636905</v>
      </c>
      <c r="Q25" s="133">
        <v>175.22239466214324</v>
      </c>
      <c r="R25" s="133">
        <v>187.52271319211545</v>
      </c>
      <c r="S25" s="133">
        <v>178.47562513232944</v>
      </c>
      <c r="T25" s="133">
        <v>186.95010576155519</v>
      </c>
      <c r="U25" s="133">
        <v>184.88076374207267</v>
      </c>
      <c r="V25" s="133">
        <v>161.38291854783864</v>
      </c>
      <c r="W25" s="133">
        <v>198.95969070562791</v>
      </c>
      <c r="DA25" s="157" t="s">
        <v>292</v>
      </c>
    </row>
    <row r="26" spans="1:105" ht="12" customHeight="1" x14ac:dyDescent="0.25">
      <c r="A26" s="132" t="s">
        <v>24</v>
      </c>
      <c r="B26" s="65">
        <v>141.13816453895052</v>
      </c>
      <c r="C26" s="65">
        <v>144.59422744371031</v>
      </c>
      <c r="D26" s="65">
        <v>146.25682324399787</v>
      </c>
      <c r="E26" s="65">
        <v>146.23741073326116</v>
      </c>
      <c r="F26" s="65">
        <v>143.03698617502064</v>
      </c>
      <c r="G26" s="65">
        <v>150.99354525410968</v>
      </c>
      <c r="H26" s="65">
        <v>143.42339432789811</v>
      </c>
      <c r="I26" s="65">
        <v>156.7051583558555</v>
      </c>
      <c r="J26" s="65">
        <v>158.7462849374607</v>
      </c>
      <c r="K26" s="65">
        <v>171.13929202938962</v>
      </c>
      <c r="L26" s="65">
        <v>171.03289511169055</v>
      </c>
      <c r="M26" s="65">
        <v>166.4913145647383</v>
      </c>
      <c r="N26" s="65">
        <v>156.356123692864</v>
      </c>
      <c r="O26" s="65">
        <v>156.02036853632146</v>
      </c>
      <c r="P26" s="65">
        <v>163.8853632412785</v>
      </c>
      <c r="Q26" s="65">
        <v>155.98104173666673</v>
      </c>
      <c r="R26" s="65">
        <v>141.42581858887047</v>
      </c>
      <c r="S26" s="65">
        <v>148.96237340361722</v>
      </c>
      <c r="T26" s="65">
        <v>139.36915192143951</v>
      </c>
      <c r="U26" s="65">
        <v>138.56117926461883</v>
      </c>
      <c r="V26" s="65">
        <v>152.18434751469496</v>
      </c>
      <c r="W26" s="65">
        <v>124.52992597109142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264.61792504290446</v>
      </c>
      <c r="C29" s="131">
        <f t="shared" si="8"/>
        <v>276.92888595744074</v>
      </c>
      <c r="D29" s="131">
        <f t="shared" si="8"/>
        <v>276.09813121996609</v>
      </c>
      <c r="E29" s="131">
        <f t="shared" si="8"/>
        <v>275.43692140751477</v>
      </c>
      <c r="F29" s="131">
        <f t="shared" si="8"/>
        <v>279.42183058553348</v>
      </c>
      <c r="G29" s="131">
        <f t="shared" si="8"/>
        <v>282.1436168724743</v>
      </c>
      <c r="H29" s="131">
        <f t="shared" si="8"/>
        <v>297.7475281818584</v>
      </c>
      <c r="I29" s="131">
        <f t="shared" si="8"/>
        <v>313.39104123785432</v>
      </c>
      <c r="J29" s="131">
        <f t="shared" si="8"/>
        <v>315.10190144111141</v>
      </c>
      <c r="K29" s="131">
        <f t="shared" si="8"/>
        <v>312.08514712639703</v>
      </c>
      <c r="L29" s="131">
        <f t="shared" si="8"/>
        <v>325.45436067297061</v>
      </c>
      <c r="M29" s="131">
        <f t="shared" si="8"/>
        <v>328.3875125501603</v>
      </c>
      <c r="N29" s="131">
        <f t="shared" si="8"/>
        <v>315.58596168851312</v>
      </c>
      <c r="O29" s="131">
        <f t="shared" si="8"/>
        <v>319.48510354769934</v>
      </c>
      <c r="P29" s="131">
        <f t="shared" si="8"/>
        <v>323.31305798502297</v>
      </c>
      <c r="Q29" s="131">
        <f t="shared" si="8"/>
        <v>320.27171965721402</v>
      </c>
      <c r="R29" s="131">
        <f t="shared" ref="R29:W29" si="9">SUM(R30:R33)</f>
        <v>326.2877113331578</v>
      </c>
      <c r="S29" s="131">
        <f t="shared" si="9"/>
        <v>329.32956603209692</v>
      </c>
      <c r="T29" s="131">
        <f t="shared" si="9"/>
        <v>331.67013040666853</v>
      </c>
      <c r="U29" s="131">
        <f t="shared" si="9"/>
        <v>336.82846400130478</v>
      </c>
      <c r="V29" s="131">
        <f t="shared" si="9"/>
        <v>321.97905827585259</v>
      </c>
      <c r="W29" s="131">
        <f t="shared" si="9"/>
        <v>325.80071408308794</v>
      </c>
      <c r="DA29" s="156" t="s">
        <v>216</v>
      </c>
    </row>
    <row r="30" spans="1:105" ht="12" customHeight="1" x14ac:dyDescent="0.25">
      <c r="A30" s="132" t="s">
        <v>52</v>
      </c>
      <c r="B30" s="133">
        <v>41.80042992261393</v>
      </c>
      <c r="C30" s="133">
        <v>56.487016337059316</v>
      </c>
      <c r="D30" s="133">
        <v>46.319346517626819</v>
      </c>
      <c r="E30" s="133">
        <v>36.151676698194315</v>
      </c>
      <c r="F30" s="133">
        <v>31.632760103181432</v>
      </c>
      <c r="G30" s="133">
        <v>32.165950128976782</v>
      </c>
      <c r="H30" s="133">
        <v>63.347979363714529</v>
      </c>
      <c r="I30" s="133">
        <v>95.408856405846919</v>
      </c>
      <c r="J30" s="133">
        <v>87.55270851246776</v>
      </c>
      <c r="K30" s="133">
        <v>57.381771281169414</v>
      </c>
      <c r="L30" s="133">
        <v>90.503525365434172</v>
      </c>
      <c r="M30" s="133">
        <v>83.608770421324181</v>
      </c>
      <c r="N30" s="133">
        <v>22.580137575236463</v>
      </c>
      <c r="O30" s="133">
        <v>24.551504729148743</v>
      </c>
      <c r="P30" s="133">
        <v>26.681083404987096</v>
      </c>
      <c r="Q30" s="133">
        <v>12.084866723989675</v>
      </c>
      <c r="R30" s="133">
        <v>12.860963026655204</v>
      </c>
      <c r="S30" s="133">
        <v>12.437000000000001</v>
      </c>
      <c r="T30" s="133">
        <v>12.014703353396392</v>
      </c>
      <c r="U30" s="133">
        <v>12.014703353396389</v>
      </c>
      <c r="V30" s="133">
        <v>12.014703353396387</v>
      </c>
      <c r="W30" s="133">
        <v>12.014703353396394</v>
      </c>
      <c r="DA30" s="157" t="s">
        <v>295</v>
      </c>
    </row>
    <row r="31" spans="1:105" ht="12" customHeight="1" x14ac:dyDescent="0.25">
      <c r="A31" s="132" t="s">
        <v>153</v>
      </c>
      <c r="B31" s="133">
        <v>9.3788972469270604</v>
      </c>
      <c r="C31" s="133">
        <v>8.8905651583472096</v>
      </c>
      <c r="D31" s="133">
        <v>9.9001301468171032</v>
      </c>
      <c r="E31" s="133">
        <v>10.869398148664311</v>
      </c>
      <c r="F31" s="133">
        <v>10.944723256358579</v>
      </c>
      <c r="G31" s="133">
        <v>11.075700555190783</v>
      </c>
      <c r="H31" s="133">
        <v>11.125803482093367</v>
      </c>
      <c r="I31" s="133">
        <v>11.016987581510913</v>
      </c>
      <c r="J31" s="133">
        <v>10.928582414294452</v>
      </c>
      <c r="K31" s="133">
        <v>9.7323585097578036</v>
      </c>
      <c r="L31" s="133">
        <v>8.2476171252379942</v>
      </c>
      <c r="M31" s="133">
        <v>7.9033160948475913</v>
      </c>
      <c r="N31" s="133">
        <v>7.5269226541535437</v>
      </c>
      <c r="O31" s="133">
        <v>7.354693384877053</v>
      </c>
      <c r="P31" s="133">
        <v>7.5233971453250428</v>
      </c>
      <c r="Q31" s="133">
        <v>7.0056693579161333</v>
      </c>
      <c r="R31" s="133">
        <v>7.1990318218612623</v>
      </c>
      <c r="S31" s="133">
        <v>4.0501606355010846</v>
      </c>
      <c r="T31" s="133">
        <v>5.6218076354917184</v>
      </c>
      <c r="U31" s="133">
        <v>7.9941396597866534</v>
      </c>
      <c r="V31" s="133">
        <v>7.1949859233560645</v>
      </c>
      <c r="W31" s="133">
        <v>7.8549929051452612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213.43859787336345</v>
      </c>
      <c r="C33" s="68">
        <v>211.55130446203421</v>
      </c>
      <c r="D33" s="68">
        <v>219.87865455552216</v>
      </c>
      <c r="E33" s="68">
        <v>228.41584656065612</v>
      </c>
      <c r="F33" s="68">
        <v>236.84434722599346</v>
      </c>
      <c r="G33" s="68">
        <v>238.90196618830674</v>
      </c>
      <c r="H33" s="68">
        <v>223.2737453360505</v>
      </c>
      <c r="I33" s="68">
        <v>206.96519725049652</v>
      </c>
      <c r="J33" s="68">
        <v>216.62061051434918</v>
      </c>
      <c r="K33" s="68">
        <v>244.97101733546978</v>
      </c>
      <c r="L33" s="68">
        <v>226.70321818229843</v>
      </c>
      <c r="M33" s="68">
        <v>236.8754260339885</v>
      </c>
      <c r="N33" s="68">
        <v>285.47890145912311</v>
      </c>
      <c r="O33" s="68">
        <v>287.57890543367353</v>
      </c>
      <c r="P33" s="68">
        <v>289.10857743471081</v>
      </c>
      <c r="Q33" s="68">
        <v>301.18118357530818</v>
      </c>
      <c r="R33" s="68">
        <v>306.22771648464135</v>
      </c>
      <c r="S33" s="68">
        <v>312.84240539659584</v>
      </c>
      <c r="T33" s="68">
        <v>314.03361941778041</v>
      </c>
      <c r="U33" s="68">
        <v>316.81962098812176</v>
      </c>
      <c r="V33" s="68">
        <v>302.76936899910015</v>
      </c>
      <c r="W33" s="68">
        <v>305.9310178245463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2338.6803832005467</v>
      </c>
      <c r="C3" s="126">
        <f t="shared" si="0"/>
        <v>2587.2611569004698</v>
      </c>
      <c r="D3" s="126">
        <f t="shared" si="0"/>
        <v>2578.6439587281811</v>
      </c>
      <c r="E3" s="126">
        <f t="shared" si="0"/>
        <v>2570.0413297900668</v>
      </c>
      <c r="F3" s="126">
        <f t="shared" si="0"/>
        <v>2459.2255555738789</v>
      </c>
      <c r="G3" s="126">
        <f t="shared" si="0"/>
        <v>2238.1009839869207</v>
      </c>
      <c r="H3" s="126">
        <f t="shared" si="0"/>
        <v>2285.2001250852945</v>
      </c>
      <c r="I3" s="126">
        <f t="shared" si="0"/>
        <v>2340.6712344073217</v>
      </c>
      <c r="J3" s="126">
        <f t="shared" si="0"/>
        <v>2325.7504333726001</v>
      </c>
      <c r="K3" s="126">
        <f t="shared" si="0"/>
        <v>2257.2351305034763</v>
      </c>
      <c r="L3" s="126">
        <f t="shared" si="0"/>
        <v>2480.5455203609945</v>
      </c>
      <c r="M3" s="126">
        <f t="shared" si="0"/>
        <v>2176.8990268193866</v>
      </c>
      <c r="N3" s="126">
        <f t="shared" si="0"/>
        <v>2346.2028192327439</v>
      </c>
      <c r="O3" s="126">
        <f t="shared" si="0"/>
        <v>2307.7781605131536</v>
      </c>
      <c r="P3" s="126">
        <f t="shared" si="0"/>
        <v>2299.546508577469</v>
      </c>
      <c r="Q3" s="126">
        <f t="shared" si="0"/>
        <v>2335.5090259976514</v>
      </c>
      <c r="R3" s="126">
        <f t="shared" ref="R3:W3" si="1">SUM(R4,R16,R19,R29)</f>
        <v>2503.0685717449282</v>
      </c>
      <c r="S3" s="126">
        <f t="shared" si="1"/>
        <v>2354.4768241555807</v>
      </c>
      <c r="T3" s="126">
        <f t="shared" si="1"/>
        <v>2469.3062685266245</v>
      </c>
      <c r="U3" s="126">
        <f t="shared" si="1"/>
        <v>2414.0479654473997</v>
      </c>
      <c r="V3" s="126">
        <f t="shared" si="1"/>
        <v>2323.9477471124742</v>
      </c>
      <c r="W3" s="126">
        <f t="shared" si="1"/>
        <v>2555.3648658015159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1813.2347415894587</v>
      </c>
      <c r="C4" s="131">
        <f t="shared" si="2"/>
        <v>2051.1735654380109</v>
      </c>
      <c r="D4" s="131">
        <f t="shared" si="2"/>
        <v>2037.7740676968183</v>
      </c>
      <c r="E4" s="131">
        <f t="shared" si="2"/>
        <v>2024.4121747892555</v>
      </c>
      <c r="F4" s="131">
        <f t="shared" si="2"/>
        <v>1904.4170525567397</v>
      </c>
      <c r="G4" s="131">
        <f t="shared" si="2"/>
        <v>1676.4777590882034</v>
      </c>
      <c r="H4" s="131">
        <f t="shared" si="2"/>
        <v>1710.6194493960797</v>
      </c>
      <c r="I4" s="131">
        <f t="shared" si="2"/>
        <v>1750.9478840440552</v>
      </c>
      <c r="J4" s="131">
        <f t="shared" si="2"/>
        <v>1725.0542139544818</v>
      </c>
      <c r="K4" s="131">
        <f t="shared" si="2"/>
        <v>1646.6899038389984</v>
      </c>
      <c r="L4" s="131">
        <f t="shared" si="2"/>
        <v>1857.5053744252266</v>
      </c>
      <c r="M4" s="131">
        <f t="shared" si="2"/>
        <v>1546.4925087996548</v>
      </c>
      <c r="N4" s="131">
        <f t="shared" si="2"/>
        <v>1706.4626555941081</v>
      </c>
      <c r="O4" s="131">
        <f t="shared" si="2"/>
        <v>1656.5487761257691</v>
      </c>
      <c r="P4" s="131">
        <f t="shared" si="2"/>
        <v>1638.3975794087125</v>
      </c>
      <c r="Q4" s="131">
        <f t="shared" si="2"/>
        <v>1668.3215000468508</v>
      </c>
      <c r="R4" s="131">
        <f t="shared" ref="R4:W4" si="3">SUM(R5:R15)</f>
        <v>1823.6011914971723</v>
      </c>
      <c r="S4" s="131">
        <f t="shared" si="3"/>
        <v>1665.7317009669591</v>
      </c>
      <c r="T4" s="131">
        <f t="shared" si="3"/>
        <v>1769.0618654004604</v>
      </c>
      <c r="U4" s="131">
        <f t="shared" si="3"/>
        <v>1705.1379339734397</v>
      </c>
      <c r="V4" s="131">
        <f t="shared" si="3"/>
        <v>1632.1706103323393</v>
      </c>
      <c r="W4" s="131">
        <f t="shared" si="3"/>
        <v>1841.5476909470763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413.35477603464852</v>
      </c>
      <c r="C7" s="133">
        <v>419.37849193409363</v>
      </c>
      <c r="D7" s="133">
        <v>412.05391923367682</v>
      </c>
      <c r="E7" s="133">
        <v>430.93139439742515</v>
      </c>
      <c r="F7" s="133">
        <v>317.0438171026575</v>
      </c>
      <c r="G7" s="133">
        <v>157.89039872885908</v>
      </c>
      <c r="H7" s="133">
        <v>137.96147873166123</v>
      </c>
      <c r="I7" s="133">
        <v>135.63966472702205</v>
      </c>
      <c r="J7" s="133">
        <v>116.32689696752686</v>
      </c>
      <c r="K7" s="133">
        <v>124.70104597960633</v>
      </c>
      <c r="L7" s="133">
        <v>137.99895638232374</v>
      </c>
      <c r="M7" s="133">
        <v>137.81894513840862</v>
      </c>
      <c r="N7" s="133">
        <v>142.29697288962856</v>
      </c>
      <c r="O7" s="133">
        <v>134.09947447357112</v>
      </c>
      <c r="P7" s="133">
        <v>135.66218963110012</v>
      </c>
      <c r="Q7" s="133">
        <v>131.8734629916446</v>
      </c>
      <c r="R7" s="133">
        <v>131.70783392992851</v>
      </c>
      <c r="S7" s="133">
        <v>139.84466510326092</v>
      </c>
      <c r="T7" s="133">
        <v>145.11130247357789</v>
      </c>
      <c r="U7" s="133">
        <v>141.76439968573973</v>
      </c>
      <c r="V7" s="133">
        <v>143.10283817587484</v>
      </c>
      <c r="W7" s="133">
        <v>128.84091103868244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11.979529348909734</v>
      </c>
      <c r="C9" s="133">
        <v>11.771582597309028</v>
      </c>
      <c r="D9" s="133">
        <v>29.101080385285975</v>
      </c>
      <c r="E9" s="133">
        <v>42.643169236897201</v>
      </c>
      <c r="F9" s="133">
        <v>43.510599459987688</v>
      </c>
      <c r="G9" s="133">
        <v>46.695651605664231</v>
      </c>
      <c r="H9" s="133">
        <v>47.414050330288056</v>
      </c>
      <c r="I9" s="133">
        <v>48.72780947478801</v>
      </c>
      <c r="J9" s="133">
        <v>51.162630944436785</v>
      </c>
      <c r="K9" s="133">
        <v>24.764929241236288</v>
      </c>
      <c r="L9" s="133">
        <v>56.404656382655716</v>
      </c>
      <c r="M9" s="133">
        <v>49.735470136970932</v>
      </c>
      <c r="N9" s="133">
        <v>68.045663720793442</v>
      </c>
      <c r="O9" s="133">
        <v>58.705169692413754</v>
      </c>
      <c r="P9" s="133">
        <v>55.297149589463473</v>
      </c>
      <c r="Q9" s="133">
        <v>52.368636136954855</v>
      </c>
      <c r="R9" s="133">
        <v>52.942495920228957</v>
      </c>
      <c r="S9" s="133">
        <v>30.498456112230297</v>
      </c>
      <c r="T9" s="133">
        <v>45.664370510749102</v>
      </c>
      <c r="U9" s="133">
        <v>60.552110452951204</v>
      </c>
      <c r="V9" s="133">
        <v>57.870960396334048</v>
      </c>
      <c r="W9" s="133">
        <v>56.782187735798423</v>
      </c>
      <c r="DA9" s="157" t="s">
        <v>306</v>
      </c>
    </row>
    <row r="10" spans="1:105" ht="12" customHeight="1" x14ac:dyDescent="0.25">
      <c r="A10" s="132" t="s">
        <v>128</v>
      </c>
      <c r="B10" s="133">
        <v>5.7294596300878018</v>
      </c>
      <c r="C10" s="133">
        <v>16.053653684049191</v>
      </c>
      <c r="D10" s="133">
        <v>12.351980620502511</v>
      </c>
      <c r="E10" s="133">
        <v>11.854832343266423</v>
      </c>
      <c r="F10" s="133">
        <v>27.757374157329604</v>
      </c>
      <c r="G10" s="133">
        <v>30.863735801732478</v>
      </c>
      <c r="H10" s="133">
        <v>22.132726754186628</v>
      </c>
      <c r="I10" s="133">
        <v>22.997630134989308</v>
      </c>
      <c r="J10" s="133">
        <v>23.668988102724089</v>
      </c>
      <c r="K10" s="133">
        <v>23.815264816565715</v>
      </c>
      <c r="L10" s="133">
        <v>23.951939862783998</v>
      </c>
      <c r="M10" s="133">
        <v>21.699932531226136</v>
      </c>
      <c r="N10" s="133">
        <v>27.958727453889715</v>
      </c>
      <c r="O10" s="133">
        <v>15.602720540963404</v>
      </c>
      <c r="P10" s="133">
        <v>21.502789820231332</v>
      </c>
      <c r="Q10" s="133">
        <v>21.787723179565241</v>
      </c>
      <c r="R10" s="133">
        <v>35.502374098522523</v>
      </c>
      <c r="S10" s="133">
        <v>35.358134390146596</v>
      </c>
      <c r="T10" s="133">
        <v>36.131469415221765</v>
      </c>
      <c r="U10" s="133">
        <v>20.404505660685679</v>
      </c>
      <c r="V10" s="133">
        <v>19.169626486546981</v>
      </c>
      <c r="W10" s="133">
        <v>20.949567517595874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755.86790586977247</v>
      </c>
      <c r="C12" s="133">
        <v>847.03622369813229</v>
      </c>
      <c r="D12" s="133">
        <v>856.8873947128825</v>
      </c>
      <c r="E12" s="133">
        <v>877.23071716946083</v>
      </c>
      <c r="F12" s="133">
        <v>852.62930150741124</v>
      </c>
      <c r="G12" s="133">
        <v>875.69299262990376</v>
      </c>
      <c r="H12" s="133">
        <v>858.53988062666917</v>
      </c>
      <c r="I12" s="133">
        <v>814.81264683979634</v>
      </c>
      <c r="J12" s="133">
        <v>837.33226651645953</v>
      </c>
      <c r="K12" s="133">
        <v>889.38617250488073</v>
      </c>
      <c r="L12" s="133">
        <v>1021.8781249812458</v>
      </c>
      <c r="M12" s="133">
        <v>856.57249165594442</v>
      </c>
      <c r="N12" s="133">
        <v>941.94657883892717</v>
      </c>
      <c r="O12" s="133">
        <v>941.78536573601332</v>
      </c>
      <c r="P12" s="133">
        <v>883.05617306954662</v>
      </c>
      <c r="Q12" s="133">
        <v>849.58364842788546</v>
      </c>
      <c r="R12" s="133">
        <v>910.44812915066996</v>
      </c>
      <c r="S12" s="133">
        <v>857.73680387144941</v>
      </c>
      <c r="T12" s="133">
        <v>894.95394711627443</v>
      </c>
      <c r="U12" s="133">
        <v>873.79869025233006</v>
      </c>
      <c r="V12" s="133">
        <v>765.88515742852235</v>
      </c>
      <c r="W12" s="133">
        <v>919.79911682616489</v>
      </c>
      <c r="DA12" s="157" t="s">
        <v>309</v>
      </c>
    </row>
    <row r="13" spans="1:105" ht="12" customHeight="1" x14ac:dyDescent="0.25">
      <c r="A13" s="132" t="s">
        <v>77</v>
      </c>
      <c r="B13" s="133">
        <v>7.9236083928021275</v>
      </c>
      <c r="C13" s="133">
        <v>13.772751619614832</v>
      </c>
      <c r="D13" s="133">
        <v>19.193345997400627</v>
      </c>
      <c r="E13" s="133">
        <v>24.00281257570817</v>
      </c>
      <c r="F13" s="133">
        <v>35.761144129797515</v>
      </c>
      <c r="G13" s="133">
        <v>42.069057760182481</v>
      </c>
      <c r="H13" s="133">
        <v>61.241436333077864</v>
      </c>
      <c r="I13" s="133">
        <v>81.621934536486364</v>
      </c>
      <c r="J13" s="133">
        <v>90.041233928835894</v>
      </c>
      <c r="K13" s="133">
        <v>99.248061308025427</v>
      </c>
      <c r="L13" s="133">
        <v>107.61888374044047</v>
      </c>
      <c r="M13" s="133">
        <v>120.45343600546239</v>
      </c>
      <c r="N13" s="133">
        <v>131.41488251244874</v>
      </c>
      <c r="O13" s="133">
        <v>142.11345406351174</v>
      </c>
      <c r="P13" s="133">
        <v>145.77405699063334</v>
      </c>
      <c r="Q13" s="133">
        <v>150.90616839589654</v>
      </c>
      <c r="R13" s="133">
        <v>180.915195365714</v>
      </c>
      <c r="S13" s="133">
        <v>185.36671363439166</v>
      </c>
      <c r="T13" s="133">
        <v>199.95085696166501</v>
      </c>
      <c r="U13" s="133">
        <v>205.385739472789</v>
      </c>
      <c r="V13" s="133">
        <v>228.21510583408903</v>
      </c>
      <c r="W13" s="133">
        <v>237.04870369109068</v>
      </c>
      <c r="DA13" s="157" t="s">
        <v>310</v>
      </c>
    </row>
    <row r="14" spans="1:105" ht="12" customHeight="1" x14ac:dyDescent="0.25">
      <c r="A14" s="60" t="s">
        <v>76</v>
      </c>
      <c r="B14" s="65">
        <v>606.03614207991723</v>
      </c>
      <c r="C14" s="65">
        <v>730.41282637306006</v>
      </c>
      <c r="D14" s="65">
        <v>695.48706294248029</v>
      </c>
      <c r="E14" s="65">
        <v>624.58737384852816</v>
      </c>
      <c r="F14" s="65">
        <v>616.84524552490814</v>
      </c>
      <c r="G14" s="65">
        <v>515.28272897147417</v>
      </c>
      <c r="H14" s="65">
        <v>575.97251141241577</v>
      </c>
      <c r="I14" s="65">
        <v>640.10333122612121</v>
      </c>
      <c r="J14" s="65">
        <v>599.76505159955229</v>
      </c>
      <c r="K14" s="65">
        <v>478.18932378346011</v>
      </c>
      <c r="L14" s="65">
        <v>501.82142227305491</v>
      </c>
      <c r="M14" s="65">
        <v>353.29472576606719</v>
      </c>
      <c r="N14" s="65">
        <v>387.16694406577449</v>
      </c>
      <c r="O14" s="65">
        <v>357.06921197504602</v>
      </c>
      <c r="P14" s="65">
        <v>390.20809573129424</v>
      </c>
      <c r="Q14" s="65">
        <v>455.19344708835729</v>
      </c>
      <c r="R14" s="65">
        <v>505.15247081908376</v>
      </c>
      <c r="S14" s="65">
        <v>410.47033581689936</v>
      </c>
      <c r="T14" s="65">
        <v>440.33667645074661</v>
      </c>
      <c r="U14" s="65">
        <v>396.36961858000063</v>
      </c>
      <c r="V14" s="65">
        <v>411.54039566609288</v>
      </c>
      <c r="W14" s="65">
        <v>471.39171481408596</v>
      </c>
      <c r="DA14" s="109" t="s">
        <v>311</v>
      </c>
    </row>
    <row r="15" spans="1:105" ht="12" customHeight="1" x14ac:dyDescent="0.25">
      <c r="A15" s="134" t="s">
        <v>80</v>
      </c>
      <c r="B15" s="135">
        <v>12.343320233320904</v>
      </c>
      <c r="C15" s="135">
        <v>12.748035531751526</v>
      </c>
      <c r="D15" s="135">
        <v>12.699283804589328</v>
      </c>
      <c r="E15" s="135">
        <v>13.16187521796925</v>
      </c>
      <c r="F15" s="135">
        <v>10.86957067464798</v>
      </c>
      <c r="G15" s="135">
        <v>7.9831935903871951</v>
      </c>
      <c r="H15" s="135">
        <v>7.3573652077808838</v>
      </c>
      <c r="I15" s="135">
        <v>7.0448671048520799</v>
      </c>
      <c r="J15" s="135">
        <v>6.7571458949464906</v>
      </c>
      <c r="K15" s="135">
        <v>6.585106205223715</v>
      </c>
      <c r="L15" s="135">
        <v>7.83139080272203</v>
      </c>
      <c r="M15" s="135">
        <v>6.9175075655751064</v>
      </c>
      <c r="N15" s="135">
        <v>7.6328861126460161</v>
      </c>
      <c r="O15" s="135">
        <v>7.1733796442498488</v>
      </c>
      <c r="P15" s="135">
        <v>6.8971245764432858</v>
      </c>
      <c r="Q15" s="135">
        <v>6.6084138265466184</v>
      </c>
      <c r="R15" s="135">
        <v>6.9326922130245192</v>
      </c>
      <c r="S15" s="135">
        <v>6.4565920385807711</v>
      </c>
      <c r="T15" s="135">
        <v>6.9132424722256207</v>
      </c>
      <c r="U15" s="135">
        <v>6.8628698689433296</v>
      </c>
      <c r="V15" s="135">
        <v>6.3865263448791154</v>
      </c>
      <c r="W15" s="135">
        <v>6.7354893236580331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84.829272369143879</v>
      </c>
      <c r="C16" s="131">
        <f t="shared" si="4"/>
        <v>86.844203387991868</v>
      </c>
      <c r="D16" s="131">
        <f t="shared" si="4"/>
        <v>89.388384184735457</v>
      </c>
      <c r="E16" s="131">
        <f t="shared" si="4"/>
        <v>90.993633267215117</v>
      </c>
      <c r="F16" s="131">
        <f t="shared" si="4"/>
        <v>93.964414019541294</v>
      </c>
      <c r="G16" s="131">
        <f t="shared" si="4"/>
        <v>96.409271220529476</v>
      </c>
      <c r="H16" s="131">
        <f t="shared" si="4"/>
        <v>99.143200188279792</v>
      </c>
      <c r="I16" s="131">
        <f t="shared" si="4"/>
        <v>102.86870926297007</v>
      </c>
      <c r="J16" s="131">
        <f t="shared" si="4"/>
        <v>106.84990372794495</v>
      </c>
      <c r="K16" s="131">
        <f t="shared" si="4"/>
        <v>109.61434553153714</v>
      </c>
      <c r="L16" s="131">
        <f t="shared" si="4"/>
        <v>114.68606452655355</v>
      </c>
      <c r="M16" s="131">
        <f t="shared" si="4"/>
        <v>114.96712415442107</v>
      </c>
      <c r="N16" s="131">
        <f t="shared" si="4"/>
        <v>117.04336416312157</v>
      </c>
      <c r="O16" s="131">
        <f t="shared" si="4"/>
        <v>120.02550318213599</v>
      </c>
      <c r="P16" s="131">
        <f t="shared" si="4"/>
        <v>123.51893631330684</v>
      </c>
      <c r="Q16" s="131">
        <f t="shared" si="4"/>
        <v>124.03331142214351</v>
      </c>
      <c r="R16" s="131">
        <f t="shared" ref="R16:W16" si="5">SUM(R17:R18)</f>
        <v>127.66351425432163</v>
      </c>
      <c r="S16" s="131">
        <f t="shared" si="5"/>
        <v>131.59672939523054</v>
      </c>
      <c r="T16" s="131">
        <f t="shared" si="5"/>
        <v>134.73213747115705</v>
      </c>
      <c r="U16" s="131">
        <f t="shared" si="5"/>
        <v>135.83972716910912</v>
      </c>
      <c r="V16" s="131">
        <f t="shared" si="5"/>
        <v>135.09046250833967</v>
      </c>
      <c r="W16" s="131">
        <f t="shared" si="5"/>
        <v>140.04320715364261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84.829272369143879</v>
      </c>
      <c r="C18" s="133">
        <v>86.844203387991868</v>
      </c>
      <c r="D18" s="133">
        <v>89.388384184735457</v>
      </c>
      <c r="E18" s="133">
        <v>90.993633267215117</v>
      </c>
      <c r="F18" s="133">
        <v>93.964414019541294</v>
      </c>
      <c r="G18" s="133">
        <v>96.409271220529476</v>
      </c>
      <c r="H18" s="133">
        <v>99.143200188279792</v>
      </c>
      <c r="I18" s="133">
        <v>102.86870926297007</v>
      </c>
      <c r="J18" s="133">
        <v>106.84990372794495</v>
      </c>
      <c r="K18" s="133">
        <v>109.61434553153714</v>
      </c>
      <c r="L18" s="133">
        <v>114.68606452655355</v>
      </c>
      <c r="M18" s="133">
        <v>114.96712415442107</v>
      </c>
      <c r="N18" s="133">
        <v>117.04336416312157</v>
      </c>
      <c r="O18" s="133">
        <v>120.02550318213599</v>
      </c>
      <c r="P18" s="133">
        <v>123.51893631330684</v>
      </c>
      <c r="Q18" s="133">
        <v>124.03331142214351</v>
      </c>
      <c r="R18" s="133">
        <v>127.66351425432163</v>
      </c>
      <c r="S18" s="133">
        <v>131.59672939523054</v>
      </c>
      <c r="T18" s="133">
        <v>134.73213747115705</v>
      </c>
      <c r="U18" s="133">
        <v>135.83972716910912</v>
      </c>
      <c r="V18" s="133">
        <v>135.09046250833967</v>
      </c>
      <c r="W18" s="133">
        <v>140.04320715364261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234.25346027620594</v>
      </c>
      <c r="C19" s="131">
        <f t="shared" si="6"/>
        <v>235.15841207416224</v>
      </c>
      <c r="D19" s="131">
        <f t="shared" si="6"/>
        <v>235.84084187464643</v>
      </c>
      <c r="E19" s="131">
        <f t="shared" si="6"/>
        <v>237.23908193122162</v>
      </c>
      <c r="F19" s="131">
        <f t="shared" si="6"/>
        <v>238.78081664709839</v>
      </c>
      <c r="G19" s="131">
        <f t="shared" si="6"/>
        <v>240.54006685128604</v>
      </c>
      <c r="H19" s="131">
        <f t="shared" si="6"/>
        <v>243.58211979419607</v>
      </c>
      <c r="I19" s="131">
        <f t="shared" si="6"/>
        <v>247.85652593802354</v>
      </c>
      <c r="J19" s="131">
        <f t="shared" si="6"/>
        <v>251.19775642761013</v>
      </c>
      <c r="K19" s="131">
        <f t="shared" si="6"/>
        <v>253.66732664838787</v>
      </c>
      <c r="L19" s="131">
        <f t="shared" si="6"/>
        <v>255.8482008860899</v>
      </c>
      <c r="M19" s="131">
        <f t="shared" si="6"/>
        <v>258.74005108883972</v>
      </c>
      <c r="N19" s="131">
        <f t="shared" si="6"/>
        <v>263.55241361983178</v>
      </c>
      <c r="O19" s="131">
        <f t="shared" si="6"/>
        <v>268.5536872912478</v>
      </c>
      <c r="P19" s="131">
        <f t="shared" si="6"/>
        <v>271.59436684359792</v>
      </c>
      <c r="Q19" s="131">
        <f t="shared" si="6"/>
        <v>275.67901629950381</v>
      </c>
      <c r="R19" s="131">
        <f t="shared" ref="R19:W19" si="7">SUM(R20:R27)</f>
        <v>278.50517733466569</v>
      </c>
      <c r="S19" s="131">
        <f t="shared" si="7"/>
        <v>279.32024998448753</v>
      </c>
      <c r="T19" s="131">
        <f t="shared" si="7"/>
        <v>284.47420838175606</v>
      </c>
      <c r="U19" s="131">
        <f t="shared" si="7"/>
        <v>286.24438681568301</v>
      </c>
      <c r="V19" s="131">
        <f t="shared" si="7"/>
        <v>280.35942231027389</v>
      </c>
      <c r="W19" s="131">
        <f t="shared" si="7"/>
        <v>291.88585446303262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45.986416009799257</v>
      </c>
      <c r="C22" s="133">
        <v>45.211262312884962</v>
      </c>
      <c r="D22" s="133">
        <v>43.370883307128366</v>
      </c>
      <c r="E22" s="133">
        <v>42.035056395702824</v>
      </c>
      <c r="F22" s="133">
        <v>37.809608200755363</v>
      </c>
      <c r="G22" s="133">
        <v>25.02243286992999</v>
      </c>
      <c r="H22" s="133">
        <v>25.317505692753812</v>
      </c>
      <c r="I22" s="133">
        <v>21.164034961002677</v>
      </c>
      <c r="J22" s="133">
        <v>18.861148218755698</v>
      </c>
      <c r="K22" s="133">
        <v>10.937339270161269</v>
      </c>
      <c r="L22" s="133">
        <v>10.034466053140102</v>
      </c>
      <c r="M22" s="133">
        <v>11.069173690725655</v>
      </c>
      <c r="N22" s="133">
        <v>16.801214435843931</v>
      </c>
      <c r="O22" s="133">
        <v>19.118977802719037</v>
      </c>
      <c r="P22" s="133">
        <v>14.265789784150577</v>
      </c>
      <c r="Q22" s="133">
        <v>21.837312732882221</v>
      </c>
      <c r="R22" s="133">
        <v>22.903855470825039</v>
      </c>
      <c r="S22" s="133">
        <v>24.732498326995952</v>
      </c>
      <c r="T22" s="133">
        <v>25.76453704453278</v>
      </c>
      <c r="U22" s="133">
        <v>24.916860559982723</v>
      </c>
      <c r="V22" s="133">
        <v>24.561570436954486</v>
      </c>
      <c r="W22" s="133">
        <v>21.80990723656118</v>
      </c>
      <c r="DA22" s="157" t="s">
        <v>319</v>
      </c>
    </row>
    <row r="23" spans="1:105" ht="12" customHeight="1" x14ac:dyDescent="0.25">
      <c r="A23" s="132" t="s">
        <v>153</v>
      </c>
      <c r="B23" s="133">
        <v>1.1066388049681752</v>
      </c>
      <c r="C23" s="133">
        <v>1.05472144624009</v>
      </c>
      <c r="D23" s="133">
        <v>1.4131976172103018</v>
      </c>
      <c r="E23" s="133">
        <v>1.747755430701752</v>
      </c>
      <c r="F23" s="133">
        <v>1.7962401934825094</v>
      </c>
      <c r="G23" s="133">
        <v>2.1288077082306605</v>
      </c>
      <c r="H23" s="133">
        <v>2.7455757048310314</v>
      </c>
      <c r="I23" s="133">
        <v>2.7643916145757741</v>
      </c>
      <c r="J23" s="133">
        <v>3.0578113307363712</v>
      </c>
      <c r="K23" s="133">
        <v>3.0801911939415634</v>
      </c>
      <c r="L23" s="133">
        <v>3.2771885138396315</v>
      </c>
      <c r="M23" s="133">
        <v>3.2929399516389068</v>
      </c>
      <c r="N23" s="133">
        <v>3.4157697351788383</v>
      </c>
      <c r="O23" s="133">
        <v>3.5672478870805668</v>
      </c>
      <c r="P23" s="133">
        <v>3.867767632910148</v>
      </c>
      <c r="Q23" s="133">
        <v>3.8385442734358226</v>
      </c>
      <c r="R23" s="133">
        <v>3.9652074271524569</v>
      </c>
      <c r="S23" s="133">
        <v>2.3188019715367623</v>
      </c>
      <c r="T23" s="133">
        <v>3.2083627604486202</v>
      </c>
      <c r="U23" s="133">
        <v>4.6775384775647932</v>
      </c>
      <c r="V23" s="133">
        <v>4.6860570465036906</v>
      </c>
      <c r="W23" s="133">
        <v>4.7766665887407269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98.154700603024239</v>
      </c>
      <c r="C25" s="133">
        <v>97.37797883033852</v>
      </c>
      <c r="D25" s="133">
        <v>98.143488015621259</v>
      </c>
      <c r="E25" s="133">
        <v>100.18522345065558</v>
      </c>
      <c r="F25" s="133">
        <v>107.57963390543597</v>
      </c>
      <c r="G25" s="133">
        <v>116.2184226539492</v>
      </c>
      <c r="H25" s="133">
        <v>122.76706093814495</v>
      </c>
      <c r="I25" s="133">
        <v>121.93536652129482</v>
      </c>
      <c r="J25" s="133">
        <v>125.29357772469029</v>
      </c>
      <c r="K25" s="133">
        <v>126.75294609910355</v>
      </c>
      <c r="L25" s="133">
        <v>128.98588997124929</v>
      </c>
      <c r="M25" s="133">
        <v>133.08835774633806</v>
      </c>
      <c r="N25" s="133">
        <v>137.94879292221381</v>
      </c>
      <c r="O25" s="133">
        <v>139.55900198277538</v>
      </c>
      <c r="P25" s="133">
        <v>141.12152298260463</v>
      </c>
      <c r="Q25" s="133">
        <v>142.27572105224689</v>
      </c>
      <c r="R25" s="133">
        <v>153.01218545220661</v>
      </c>
      <c r="S25" s="133">
        <v>146.42345441019251</v>
      </c>
      <c r="T25" s="133">
        <v>154.2547416581609</v>
      </c>
      <c r="U25" s="133">
        <v>153.45838221031707</v>
      </c>
      <c r="V25" s="133">
        <v>134.81321263825831</v>
      </c>
      <c r="W25" s="133">
        <v>167.16601418780249</v>
      </c>
      <c r="DA25" s="157" t="s">
        <v>322</v>
      </c>
    </row>
    <row r="26" spans="1:105" ht="12" customHeight="1" x14ac:dyDescent="0.25">
      <c r="A26" s="132" t="s">
        <v>24</v>
      </c>
      <c r="B26" s="65">
        <v>89.005704858414276</v>
      </c>
      <c r="C26" s="65">
        <v>91.514449484698673</v>
      </c>
      <c r="D26" s="65">
        <v>92.913272934686489</v>
      </c>
      <c r="E26" s="65">
        <v>93.271046654161466</v>
      </c>
      <c r="F26" s="65">
        <v>91.595334347424526</v>
      </c>
      <c r="G26" s="65">
        <v>97.170403619176199</v>
      </c>
      <c r="H26" s="65">
        <v>92.751977458466285</v>
      </c>
      <c r="I26" s="65">
        <v>101.99273284115024</v>
      </c>
      <c r="J26" s="65">
        <v>103.98521915342778</v>
      </c>
      <c r="K26" s="65">
        <v>112.89685008518148</v>
      </c>
      <c r="L26" s="65">
        <v>113.55065634786088</v>
      </c>
      <c r="M26" s="65">
        <v>111.28957970013708</v>
      </c>
      <c r="N26" s="65">
        <v>105.38663652659523</v>
      </c>
      <c r="O26" s="65">
        <v>106.30845961867283</v>
      </c>
      <c r="P26" s="65">
        <v>112.33928644393258</v>
      </c>
      <c r="Q26" s="65">
        <v>107.72743824093885</v>
      </c>
      <c r="R26" s="65">
        <v>98.623928984481566</v>
      </c>
      <c r="S26" s="65">
        <v>105.8454952757623</v>
      </c>
      <c r="T26" s="65">
        <v>101.24656691861378</v>
      </c>
      <c r="U26" s="65">
        <v>103.19160556781847</v>
      </c>
      <c r="V26" s="65">
        <v>116.29858218855742</v>
      </c>
      <c r="W26" s="65">
        <v>98.133266449928229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206.36290896573857</v>
      </c>
      <c r="C29" s="131">
        <f t="shared" si="8"/>
        <v>214.08497600030461</v>
      </c>
      <c r="D29" s="131">
        <f t="shared" si="8"/>
        <v>215.64066497198124</v>
      </c>
      <c r="E29" s="131">
        <f t="shared" si="8"/>
        <v>217.39643980237457</v>
      </c>
      <c r="F29" s="131">
        <f t="shared" si="8"/>
        <v>222.06327235049957</v>
      </c>
      <c r="G29" s="131">
        <f t="shared" si="8"/>
        <v>224.67388682690182</v>
      </c>
      <c r="H29" s="131">
        <f t="shared" si="8"/>
        <v>231.85535570673909</v>
      </c>
      <c r="I29" s="131">
        <f t="shared" si="8"/>
        <v>238.99811516227282</v>
      </c>
      <c r="J29" s="131">
        <f t="shared" si="8"/>
        <v>242.64855926256317</v>
      </c>
      <c r="K29" s="131">
        <f t="shared" si="8"/>
        <v>247.26355448455314</v>
      </c>
      <c r="L29" s="131">
        <f t="shared" si="8"/>
        <v>252.50588052312492</v>
      </c>
      <c r="M29" s="131">
        <f t="shared" si="8"/>
        <v>256.69934277647098</v>
      </c>
      <c r="N29" s="131">
        <f t="shared" si="8"/>
        <v>259.14438585568212</v>
      </c>
      <c r="O29" s="131">
        <f t="shared" si="8"/>
        <v>262.65019391400074</v>
      </c>
      <c r="P29" s="131">
        <f t="shared" si="8"/>
        <v>266.03562601185155</v>
      </c>
      <c r="Q29" s="131">
        <f t="shared" si="8"/>
        <v>267.47519822915297</v>
      </c>
      <c r="R29" s="131">
        <f t="shared" ref="R29:W29" si="9">SUM(R30:R33)</f>
        <v>273.2986886587687</v>
      </c>
      <c r="S29" s="131">
        <f t="shared" si="9"/>
        <v>277.82814380890358</v>
      </c>
      <c r="T29" s="131">
        <f t="shared" si="9"/>
        <v>281.03805727325113</v>
      </c>
      <c r="U29" s="131">
        <f t="shared" si="9"/>
        <v>286.82591748916769</v>
      </c>
      <c r="V29" s="131">
        <f t="shared" si="9"/>
        <v>276.32725196152148</v>
      </c>
      <c r="W29" s="131">
        <f t="shared" si="9"/>
        <v>281.88811323776434</v>
      </c>
      <c r="DA29" s="156" t="s">
        <v>325</v>
      </c>
    </row>
    <row r="30" spans="1:105" ht="12" customHeight="1" x14ac:dyDescent="0.25">
      <c r="A30" s="132" t="s">
        <v>52</v>
      </c>
      <c r="B30" s="133">
        <v>26.047978065057034</v>
      </c>
      <c r="C30" s="133">
        <v>35.23228711671247</v>
      </c>
      <c r="D30" s="133">
        <v>28.914761525212139</v>
      </c>
      <c r="E30" s="133">
        <v>22.572462266984363</v>
      </c>
      <c r="F30" s="133">
        <v>19.770565446453865</v>
      </c>
      <c r="G30" s="133">
        <v>20.168656959578048</v>
      </c>
      <c r="H30" s="133">
        <v>39.853095125944925</v>
      </c>
      <c r="I30" s="133">
        <v>60.139888259688</v>
      </c>
      <c r="J30" s="133">
        <v>55.251987098576151</v>
      </c>
      <c r="K30" s="133">
        <v>36.245210313208801</v>
      </c>
      <c r="L30" s="133">
        <v>57.208649300880325</v>
      </c>
      <c r="M30" s="133">
        <v>52.853392615792444</v>
      </c>
      <c r="N30" s="133">
        <v>14.274758785267919</v>
      </c>
      <c r="O30" s="133">
        <v>15.522092386272867</v>
      </c>
      <c r="P30" s="133">
        <v>16.86942331232612</v>
      </c>
      <c r="Q30" s="133">
        <v>7.6408265342522279</v>
      </c>
      <c r="R30" s="133">
        <v>8.1319516290692544</v>
      </c>
      <c r="S30" s="133">
        <v>7.8694372752075958</v>
      </c>
      <c r="T30" s="133">
        <v>7.6346888551702952</v>
      </c>
      <c r="U30" s="133">
        <v>7.6725713737203378</v>
      </c>
      <c r="V30" s="133">
        <v>7.6949749574641491</v>
      </c>
      <c r="W30" s="133">
        <v>7.6997313485005288</v>
      </c>
      <c r="DA30" s="157" t="s">
        <v>326</v>
      </c>
    </row>
    <row r="31" spans="1:105" ht="12" customHeight="1" x14ac:dyDescent="0.25">
      <c r="A31" s="132" t="s">
        <v>153</v>
      </c>
      <c r="B31" s="133">
        <v>5.8752933468887587</v>
      </c>
      <c r="C31" s="133">
        <v>5.5775658109455044</v>
      </c>
      <c r="D31" s="133">
        <v>6.2210874724370431</v>
      </c>
      <c r="E31" s="133">
        <v>6.8398377044164667</v>
      </c>
      <c r="F31" s="133">
        <v>6.8955355144524013</v>
      </c>
      <c r="G31" s="133">
        <v>6.9856147077321422</v>
      </c>
      <c r="H31" s="133">
        <v>7.0244413436782631</v>
      </c>
      <c r="I31" s="133">
        <v>6.9628912317817688</v>
      </c>
      <c r="J31" s="133">
        <v>6.9143138723729409</v>
      </c>
      <c r="K31" s="133">
        <v>6.1644864615887993</v>
      </c>
      <c r="L31" s="133">
        <v>5.2282662638341639</v>
      </c>
      <c r="M31" s="133">
        <v>5.0105256623330412</v>
      </c>
      <c r="N31" s="133">
        <v>4.7732255248875815</v>
      </c>
      <c r="O31" s="133">
        <v>4.6660885812493653</v>
      </c>
      <c r="P31" s="133">
        <v>4.7750770856568554</v>
      </c>
      <c r="Q31" s="133">
        <v>4.4477238677429867</v>
      </c>
      <c r="R31" s="133">
        <v>4.5718080318195753</v>
      </c>
      <c r="S31" s="133">
        <v>2.5731699117223132</v>
      </c>
      <c r="T31" s="133">
        <v>3.5741876611498178</v>
      </c>
      <c r="U31" s="133">
        <v>5.0903343763318745</v>
      </c>
      <c r="V31" s="133">
        <v>4.5877653983415074</v>
      </c>
      <c r="W31" s="133">
        <v>5.0130052127025193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174.43963755379278</v>
      </c>
      <c r="C33" s="68">
        <v>173.27512307264664</v>
      </c>
      <c r="D33" s="68">
        <v>180.50481597433205</v>
      </c>
      <c r="E33" s="68">
        <v>187.98413983097373</v>
      </c>
      <c r="F33" s="68">
        <v>195.3971713895933</v>
      </c>
      <c r="G33" s="68">
        <v>197.51961515959164</v>
      </c>
      <c r="H33" s="68">
        <v>184.97781923711591</v>
      </c>
      <c r="I33" s="68">
        <v>171.89533567080306</v>
      </c>
      <c r="J33" s="68">
        <v>180.48225829161407</v>
      </c>
      <c r="K33" s="68">
        <v>204.85385770975554</v>
      </c>
      <c r="L33" s="68">
        <v>190.06896495841042</v>
      </c>
      <c r="M33" s="68">
        <v>198.8354244983455</v>
      </c>
      <c r="N33" s="68">
        <v>240.09640154552662</v>
      </c>
      <c r="O33" s="68">
        <v>242.4620129464785</v>
      </c>
      <c r="P33" s="68">
        <v>244.39112561386858</v>
      </c>
      <c r="Q33" s="68">
        <v>255.38664782715773</v>
      </c>
      <c r="R33" s="68">
        <v>260.59492899787989</v>
      </c>
      <c r="S33" s="68">
        <v>267.38553662197364</v>
      </c>
      <c r="T33" s="68">
        <v>269.82918075693101</v>
      </c>
      <c r="U33" s="68">
        <v>274.0630117391155</v>
      </c>
      <c r="V33" s="68">
        <v>264.04451160571585</v>
      </c>
      <c r="W33" s="68">
        <v>269.17537667656131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0.66137488525755905</v>
      </c>
      <c r="C3" s="127">
        <f>IF(SER_hh_tes!C3=0,"",SER_hh_tes!C3/SER_hh_fec!C3)</f>
        <v>0.6676349445043479</v>
      </c>
      <c r="D3" s="127">
        <f>IF(SER_hh_tes!D3=0,"",SER_hh_tes!D3/SER_hh_fec!D3)</f>
        <v>0.6736174893487048</v>
      </c>
      <c r="E3" s="127">
        <f>IF(SER_hh_tes!E3=0,"",SER_hh_tes!E3/SER_hh_fec!E3)</f>
        <v>0.67574375201774395</v>
      </c>
      <c r="F3" s="127">
        <f>IF(SER_hh_tes!F3=0,"",SER_hh_tes!F3/SER_hh_fec!F3)</f>
        <v>0.69580532207296697</v>
      </c>
      <c r="G3" s="127">
        <f>IF(SER_hh_tes!G3=0,"",SER_hh_tes!G3/SER_hh_fec!G3)</f>
        <v>0.73083336670866039</v>
      </c>
      <c r="H3" s="127">
        <f>IF(SER_hh_tes!H3=0,"",SER_hh_tes!H3/SER_hh_fec!H3)</f>
        <v>0.7415006754698843</v>
      </c>
      <c r="I3" s="127">
        <f>IF(SER_hh_tes!I3=0,"",SER_hh_tes!I3/SER_hh_fec!I3)</f>
        <v>0.74722382914626506</v>
      </c>
      <c r="J3" s="127">
        <f>IF(SER_hh_tes!J3=0,"",SER_hh_tes!J3/SER_hh_fec!J3)</f>
        <v>0.75937385659915579</v>
      </c>
      <c r="K3" s="127">
        <f>IF(SER_hh_tes!K3=0,"",SER_hh_tes!K3/SER_hh_fec!K3)</f>
        <v>0.77345627391584626</v>
      </c>
      <c r="L3" s="127">
        <f>IF(SER_hh_tes!L3=0,"",SER_hh_tes!L3/SER_hh_fec!L3)</f>
        <v>0.77673977167993491</v>
      </c>
      <c r="M3" s="127">
        <f>IF(SER_hh_tes!M3=0,"",SER_hh_tes!M3/SER_hh_fec!M3)</f>
        <v>0.79416681386005805</v>
      </c>
      <c r="N3" s="127">
        <f>IF(SER_hh_tes!N3=0,"",SER_hh_tes!N3/SER_hh_fec!N3)</f>
        <v>0.80643986329142925</v>
      </c>
      <c r="O3" s="127">
        <f>IF(SER_hh_tes!O3=0,"",SER_hh_tes!O3/SER_hh_fec!O3)</f>
        <v>0.82506449233871371</v>
      </c>
      <c r="P3" s="127">
        <f>IF(SER_hh_tes!P3=0,"",SER_hh_tes!P3/SER_hh_fec!P3)</f>
        <v>0.82885191597559438</v>
      </c>
      <c r="Q3" s="127">
        <f>IF(SER_hh_tes!Q3=0,"",SER_hh_tes!Q3/SER_hh_fec!Q3)</f>
        <v>0.83444405602247074</v>
      </c>
      <c r="R3" s="127">
        <f>IF(SER_hh_tes!R3=0,"",SER_hh_tes!R3/SER_hh_fec!R3)</f>
        <v>0.84399576413367017</v>
      </c>
      <c r="S3" s="127">
        <f>IF(SER_hh_tes!S3=0,"",SER_hh_tes!S3/SER_hh_fec!S3)</f>
        <v>0.86068504161684256</v>
      </c>
      <c r="T3" s="127">
        <f>IF(SER_hh_tes!T3=0,"",SER_hh_tes!T3/SER_hh_fec!T3)</f>
        <v>0.86951188510960253</v>
      </c>
      <c r="U3" s="127">
        <f>IF(SER_hh_tes!U3=0,"",SER_hh_tes!U3/SER_hh_fec!U3)</f>
        <v>0.88477499530811177</v>
      </c>
      <c r="V3" s="127">
        <f>IF(SER_hh_tes!V3=0,"",SER_hh_tes!V3/SER_hh_fec!V3)</f>
        <v>0.90391537093694008</v>
      </c>
      <c r="W3" s="127">
        <f>IF(SER_hh_tes!W3=0,"",SER_hh_tes!W3/SER_hh_fec!W3)</f>
        <v>0.91162563343791159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0.63302900083771896</v>
      </c>
      <c r="C4" s="136">
        <f>IF(SER_hh_tes!C4=0,"",SER_hh_tes!C4/SER_hh_fec!C4)</f>
        <v>0.64268904328553988</v>
      </c>
      <c r="D4" s="136">
        <f>IF(SER_hh_tes!D4=0,"",SER_hh_tes!D4/SER_hh_fec!D4)</f>
        <v>0.64760922107858954</v>
      </c>
      <c r="E4" s="136">
        <f>IF(SER_hh_tes!E4=0,"",SER_hh_tes!E4/SER_hh_fec!E4)</f>
        <v>0.6481235770479189</v>
      </c>
      <c r="F4" s="136">
        <f>IF(SER_hh_tes!F4=0,"",SER_hh_tes!F4/SER_hh_fec!F4)</f>
        <v>0.66730306038951293</v>
      </c>
      <c r="G4" s="136">
        <f>IF(SER_hh_tes!G4=0,"",SER_hh_tes!G4/SER_hh_fec!G4)</f>
        <v>0.70243284910740045</v>
      </c>
      <c r="H4" s="136">
        <f>IF(SER_hh_tes!H4=0,"",SER_hh_tes!H4/SER_hh_fec!H4)</f>
        <v>0.71578748446651519</v>
      </c>
      <c r="I4" s="136">
        <f>IF(SER_hh_tes!I4=0,"",SER_hh_tes!I4/SER_hh_fec!I4)</f>
        <v>0.72280048936963059</v>
      </c>
      <c r="J4" s="136">
        <f>IF(SER_hh_tes!J4=0,"",SER_hh_tes!J4/SER_hh_fec!J4)</f>
        <v>0.73390036587495411</v>
      </c>
      <c r="K4" s="136">
        <f>IF(SER_hh_tes!K4=0,"",SER_hh_tes!K4/SER_hh_fec!K4)</f>
        <v>0.74480021673563623</v>
      </c>
      <c r="L4" s="136">
        <f>IF(SER_hh_tes!L4=0,"",SER_hh_tes!L4/SER_hh_fec!L4)</f>
        <v>0.7516146379518025</v>
      </c>
      <c r="M4" s="136">
        <f>IF(SER_hh_tes!M4=0,"",SER_hh_tes!M4/SER_hh_fec!M4)</f>
        <v>0.76710463554509556</v>
      </c>
      <c r="N4" s="136">
        <f>IF(SER_hh_tes!N4=0,"",SER_hh_tes!N4/SER_hh_fec!N4)</f>
        <v>0.7780831804536068</v>
      </c>
      <c r="O4" s="136">
        <f>IF(SER_hh_tes!O4=0,"",SER_hh_tes!O4/SER_hh_fec!O4)</f>
        <v>0.79875025190896931</v>
      </c>
      <c r="P4" s="136">
        <f>IF(SER_hh_tes!P4=0,"",SER_hh_tes!P4/SER_hh_fec!P4)</f>
        <v>0.8006374405752773</v>
      </c>
      <c r="Q4" s="136">
        <f>IF(SER_hh_tes!Q4=0,"",SER_hh_tes!Q4/SER_hh_fec!Q4)</f>
        <v>0.80582003462780838</v>
      </c>
      <c r="R4" s="136">
        <f>IF(SER_hh_tes!R4=0,"",SER_hh_tes!R4/SER_hh_fec!R4)</f>
        <v>0.81670702646555848</v>
      </c>
      <c r="S4" s="136">
        <f>IF(SER_hh_tes!S4=0,"",SER_hh_tes!S4/SER_hh_fec!S4)</f>
        <v>0.83190316271670717</v>
      </c>
      <c r="T4" s="136">
        <f>IF(SER_hh_tes!T4=0,"",SER_hh_tes!T4/SER_hh_fec!T4)</f>
        <v>0.84103043910070618</v>
      </c>
      <c r="U4" s="136">
        <f>IF(SER_hh_tes!U4=0,"",SER_hh_tes!U4/SER_hh_fec!U4)</f>
        <v>0.85686476145162094</v>
      </c>
      <c r="V4" s="136">
        <f>IF(SER_hh_tes!V4=0,"",SER_hh_tes!V4/SER_hh_fec!V4)</f>
        <v>0.8779083238077644</v>
      </c>
      <c r="W4" s="136">
        <f>IF(SER_hh_tes!W4=0,"",SER_hh_tes!W4/SER_hh_fec!W4)</f>
        <v>0.88469739476637821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0.446684056254184</v>
      </c>
      <c r="C7" s="137">
        <f>IF(SER_hh_tes!C7=0,"",SER_hh_tes!C7/SER_hh_fec!C7)</f>
        <v>0.44893091461548645</v>
      </c>
      <c r="D7" s="137">
        <f>IF(SER_hh_tes!D7=0,"",SER_hh_tes!D7/SER_hh_fec!D7)</f>
        <v>0.45296076017052811</v>
      </c>
      <c r="E7" s="137">
        <f>IF(SER_hh_tes!E7=0,"",SER_hh_tes!E7/SER_hh_fec!E7)</f>
        <v>0.4546993198380786</v>
      </c>
      <c r="F7" s="137">
        <f>IF(SER_hh_tes!F7=0,"",SER_hh_tes!F7/SER_hh_fec!F7)</f>
        <v>0.45547663550779044</v>
      </c>
      <c r="G7" s="137">
        <f>IF(SER_hh_tes!G7=0,"",SER_hh_tes!G7/SER_hh_fec!G7)</f>
        <v>0.45574525075042943</v>
      </c>
      <c r="H7" s="137">
        <f>IF(SER_hh_tes!H7=0,"",SER_hh_tes!H7/SER_hh_fec!H7)</f>
        <v>0.45574525075042943</v>
      </c>
      <c r="I7" s="137">
        <f>IF(SER_hh_tes!I7=0,"",SER_hh_tes!I7/SER_hh_fec!I7)</f>
        <v>0.45574525075042938</v>
      </c>
      <c r="J7" s="137">
        <f>IF(SER_hh_tes!J7=0,"",SER_hh_tes!J7/SER_hh_fec!J7)</f>
        <v>0.45574525075042932</v>
      </c>
      <c r="K7" s="137">
        <f>IF(SER_hh_tes!K7=0,"",SER_hh_tes!K7/SER_hh_fec!K7)</f>
        <v>0.46251591478313719</v>
      </c>
      <c r="L7" s="137">
        <f>IF(SER_hh_tes!L7=0,"",SER_hh_tes!L7/SER_hh_fec!L7)</f>
        <v>0.48943058662717942</v>
      </c>
      <c r="M7" s="137">
        <f>IF(SER_hh_tes!M7=0,"",SER_hh_tes!M7/SER_hh_fec!M7)</f>
        <v>0.52230210805768962</v>
      </c>
      <c r="N7" s="137">
        <f>IF(SER_hh_tes!N7=0,"",SER_hh_tes!N7/SER_hh_fec!N7)</f>
        <v>0.5565902219253599</v>
      </c>
      <c r="O7" s="137">
        <f>IF(SER_hh_tes!O7=0,"",SER_hh_tes!O7/SER_hh_fec!O7)</f>
        <v>0.59068493146179113</v>
      </c>
      <c r="P7" s="137">
        <f>IF(SER_hh_tes!P7=0,"",SER_hh_tes!P7/SER_hh_fec!P7)</f>
        <v>0.59070657945698424</v>
      </c>
      <c r="Q7" s="137">
        <f>IF(SER_hh_tes!Q7=0,"",SER_hh_tes!Q7/SER_hh_fec!Q7)</f>
        <v>0.59268965540653273</v>
      </c>
      <c r="R7" s="137">
        <f>IF(SER_hh_tes!R7=0,"",SER_hh_tes!R7/SER_hh_fec!R7)</f>
        <v>0.6003274938001133</v>
      </c>
      <c r="S7" s="137">
        <f>IF(SER_hh_tes!S7=0,"",SER_hh_tes!S7/SER_hh_fec!S7)</f>
        <v>0.61615002561710053</v>
      </c>
      <c r="T7" s="137">
        <f>IF(SER_hh_tes!T7=0,"",SER_hh_tes!T7/SER_hh_fec!T7)</f>
        <v>0.62894593489782824</v>
      </c>
      <c r="U7" s="137">
        <f>IF(SER_hh_tes!U7=0,"",SER_hh_tes!U7/SER_hh_fec!U7)</f>
        <v>0.6361876895625721</v>
      </c>
      <c r="V7" s="137">
        <f>IF(SER_hh_tes!V7=0,"",SER_hh_tes!V7/SER_hh_fec!V7)</f>
        <v>0.64242122238851918</v>
      </c>
      <c r="W7" s="137">
        <f>IF(SER_hh_tes!W7=0,"",SER_hh_tes!W7/SER_hh_fec!W7)</f>
        <v>0.64502075045080076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0.49100062939813349</v>
      </c>
      <c r="C9" s="137">
        <f>IF(SER_hh_tes!C9=0,"",SER_hh_tes!C9/SER_hh_fec!C9)</f>
        <v>0.51432413540531685</v>
      </c>
      <c r="D9" s="137">
        <f>IF(SER_hh_tes!D9=0,"",SER_hh_tes!D9/SER_hh_fec!D9)</f>
        <v>0.54816323120549593</v>
      </c>
      <c r="E9" s="137">
        <f>IF(SER_hh_tes!E9=0,"",SER_hh_tes!E9/SER_hh_fec!E9)</f>
        <v>0.56418640174312706</v>
      </c>
      <c r="F9" s="137">
        <f>IF(SER_hh_tes!F9=0,"",SER_hh_tes!F9/SER_hh_fec!F9)</f>
        <v>0.57389358658406908</v>
      </c>
      <c r="G9" s="137">
        <f>IF(SER_hh_tes!G9=0,"",SER_hh_tes!G9/SER_hh_fec!G9)</f>
        <v>0.58119687514239737</v>
      </c>
      <c r="H9" s="137">
        <f>IF(SER_hh_tes!H9=0,"",SER_hh_tes!H9/SER_hh_fec!H9)</f>
        <v>0.58610020917416261</v>
      </c>
      <c r="I9" s="137">
        <f>IF(SER_hh_tes!I9=0,"",SER_hh_tes!I9/SER_hh_fec!I9)</f>
        <v>0.58858079446546396</v>
      </c>
      <c r="J9" s="137">
        <f>IF(SER_hh_tes!J9=0,"",SER_hh_tes!J9/SER_hh_fec!J9)</f>
        <v>0.59129029718388104</v>
      </c>
      <c r="K9" s="137">
        <f>IF(SER_hh_tes!K9=0,"",SER_hh_tes!K9/SER_hh_fec!K9)</f>
        <v>0.59652380297548813</v>
      </c>
      <c r="L9" s="137">
        <f>IF(SER_hh_tes!L9=0,"",SER_hh_tes!L9/SER_hh_fec!L9)</f>
        <v>0.60454755399706317</v>
      </c>
      <c r="M9" s="137">
        <f>IF(SER_hh_tes!M9=0,"",SER_hh_tes!M9/SER_hh_fec!M9)</f>
        <v>0.61553118101233584</v>
      </c>
      <c r="N9" s="137">
        <f>IF(SER_hh_tes!N9=0,"",SER_hh_tes!N9/SER_hh_fec!N9)</f>
        <v>0.62750919697057694</v>
      </c>
      <c r="O9" s="137">
        <f>IF(SER_hh_tes!O9=0,"",SER_hh_tes!O9/SER_hh_fec!O9)</f>
        <v>0.63327915170377325</v>
      </c>
      <c r="P9" s="137">
        <f>IF(SER_hh_tes!P9=0,"",SER_hh_tes!P9/SER_hh_fec!P9)</f>
        <v>0.63667751148805873</v>
      </c>
      <c r="Q9" s="137">
        <f>IF(SER_hh_tes!Q9=0,"",SER_hh_tes!Q9/SER_hh_fec!Q9)</f>
        <v>0.63934976622588879</v>
      </c>
      <c r="R9" s="137">
        <f>IF(SER_hh_tes!R9=0,"",SER_hh_tes!R9/SER_hh_fec!R9)</f>
        <v>0.64287262180889948</v>
      </c>
      <c r="S9" s="137">
        <f>IF(SER_hh_tes!S9=0,"",SER_hh_tes!S9/SER_hh_fec!S9)</f>
        <v>0.6575884411267815</v>
      </c>
      <c r="T9" s="137">
        <f>IF(SER_hh_tes!T9=0,"",SER_hh_tes!T9/SER_hh_fec!T9)</f>
        <v>0.67522063629169982</v>
      </c>
      <c r="U9" s="137">
        <f>IF(SER_hh_tes!U9=0,"",SER_hh_tes!U9/SER_hh_fec!U9)</f>
        <v>0.69548961816481758</v>
      </c>
      <c r="V9" s="137">
        <f>IF(SER_hh_tes!V9=0,"",SER_hh_tes!V9/SER_hh_fec!V9)</f>
        <v>0.70870230928314937</v>
      </c>
      <c r="W9" s="137">
        <f>IF(SER_hh_tes!W9=0,"",SER_hh_tes!W9/SER_hh_fec!W9)</f>
        <v>0.7175978013704456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0.44095807385247371</v>
      </c>
      <c r="C10" s="137">
        <f>IF(SER_hh_tes!C10=0,"",SER_hh_tes!C10/SER_hh_fec!C10)</f>
        <v>0.46675998086373044</v>
      </c>
      <c r="D10" s="137">
        <f>IF(SER_hh_tes!D10=0,"",SER_hh_tes!D10/SER_hh_fec!D10)</f>
        <v>0.47884511538814722</v>
      </c>
      <c r="E10" s="137">
        <f>IF(SER_hh_tes!E10=0,"",SER_hh_tes!E10/SER_hh_fec!E10)</f>
        <v>0.4963377234777</v>
      </c>
      <c r="F10" s="137">
        <f>IF(SER_hh_tes!F10=0,"",SER_hh_tes!F10/SER_hh_fec!F10)</f>
        <v>0.51083365211117326</v>
      </c>
      <c r="G10" s="137">
        <f>IF(SER_hh_tes!G10=0,"",SER_hh_tes!G10/SER_hh_fec!G10)</f>
        <v>0.5168814870229258</v>
      </c>
      <c r="H10" s="137">
        <f>IF(SER_hh_tes!H10=0,"",SER_hh_tes!H10/SER_hh_fec!H10)</f>
        <v>0.52000729727513229</v>
      </c>
      <c r="I10" s="137">
        <f>IF(SER_hh_tes!I10=0,"",SER_hh_tes!I10/SER_hh_fec!I10)</f>
        <v>0.52244471752755328</v>
      </c>
      <c r="J10" s="137">
        <f>IF(SER_hh_tes!J10=0,"",SER_hh_tes!J10/SER_hh_fec!J10)</f>
        <v>0.52515769141262436</v>
      </c>
      <c r="K10" s="137">
        <f>IF(SER_hh_tes!K10=0,"",SER_hh_tes!K10/SER_hh_fec!K10)</f>
        <v>0.52840321847170657</v>
      </c>
      <c r="L10" s="137">
        <f>IF(SER_hh_tes!L10=0,"",SER_hh_tes!L10/SER_hh_fec!L10)</f>
        <v>0.53143570771181303</v>
      </c>
      <c r="M10" s="137">
        <f>IF(SER_hh_tes!M10=0,"",SER_hh_tes!M10/SER_hh_fec!M10)</f>
        <v>0.53443129574259596</v>
      </c>
      <c r="N10" s="137">
        <f>IF(SER_hh_tes!N10=0,"",SER_hh_tes!N10/SER_hh_fec!N10)</f>
        <v>0.53745454593179776</v>
      </c>
      <c r="O10" s="137">
        <f>IF(SER_hh_tes!O10=0,"",SER_hh_tes!O10/SER_hh_fec!O10)</f>
        <v>0.53988009881082266</v>
      </c>
      <c r="P10" s="137">
        <f>IF(SER_hh_tes!P10=0,"",SER_hh_tes!P10/SER_hh_fec!P10)</f>
        <v>0.54005875230920364</v>
      </c>
      <c r="Q10" s="137">
        <f>IF(SER_hh_tes!Q10=0,"",SER_hh_tes!Q10/SER_hh_fec!Q10)</f>
        <v>0.54040768834061781</v>
      </c>
      <c r="R10" s="137">
        <f>IF(SER_hh_tes!R10=0,"",SER_hh_tes!R10/SER_hh_fec!R10)</f>
        <v>0.54071066389276268</v>
      </c>
      <c r="S10" s="137">
        <f>IF(SER_hh_tes!S10=0,"",SER_hh_tes!S10/SER_hh_fec!S10)</f>
        <v>0.54107250389132244</v>
      </c>
      <c r="T10" s="137">
        <f>IF(SER_hh_tes!T10=0,"",SER_hh_tes!T10/SER_hh_fec!T10)</f>
        <v>0.54142898283754359</v>
      </c>
      <c r="U10" s="137">
        <f>IF(SER_hh_tes!U10=0,"",SER_hh_tes!U10/SER_hh_fec!U10)</f>
        <v>0.54172160827331406</v>
      </c>
      <c r="V10" s="137">
        <f>IF(SER_hh_tes!V10=0,"",SER_hh_tes!V10/SER_hh_fec!V10)</f>
        <v>0.541926877088453</v>
      </c>
      <c r="W10" s="137">
        <f>IF(SER_hh_tes!W10=0,"",SER_hh_tes!W10/SER_hh_fec!W10)</f>
        <v>0.54209972817445617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0.76353868975121031</v>
      </c>
      <c r="C12" s="137">
        <f>IF(SER_hh_tes!C12=0,"",SER_hh_tes!C12/SER_hh_fec!C12)</f>
        <v>0.76587710373570661</v>
      </c>
      <c r="D12" s="137">
        <f>IF(SER_hh_tes!D12=0,"",SER_hh_tes!D12/SER_hh_fec!D12)</f>
        <v>0.76854017222988924</v>
      </c>
      <c r="E12" s="137">
        <f>IF(SER_hh_tes!E12=0,"",SER_hh_tes!E12/SER_hh_fec!E12)</f>
        <v>0.77156867288716413</v>
      </c>
      <c r="F12" s="137">
        <f>IF(SER_hh_tes!F12=0,"",SER_hh_tes!F12/SER_hh_fec!F12)</f>
        <v>0.77488132142488231</v>
      </c>
      <c r="G12" s="137">
        <f>IF(SER_hh_tes!G12=0,"",SER_hh_tes!G12/SER_hh_fec!G12)</f>
        <v>0.77817677348202474</v>
      </c>
      <c r="H12" s="137">
        <f>IF(SER_hh_tes!H12=0,"",SER_hh_tes!H12/SER_hh_fec!H12)</f>
        <v>0.78066364382701114</v>
      </c>
      <c r="I12" s="137">
        <f>IF(SER_hh_tes!I12=0,"",SER_hh_tes!I12/SER_hh_fec!I12)</f>
        <v>0.7830988416893484</v>
      </c>
      <c r="J12" s="137">
        <f>IF(SER_hh_tes!J12=0,"",SER_hh_tes!J12/SER_hh_fec!J12)</f>
        <v>0.78591531630720524</v>
      </c>
      <c r="K12" s="137">
        <f>IF(SER_hh_tes!K12=0,"",SER_hh_tes!K12/SER_hh_fec!K12)</f>
        <v>0.78918154967337573</v>
      </c>
      <c r="L12" s="137">
        <f>IF(SER_hh_tes!L12=0,"",SER_hh_tes!L12/SER_hh_fec!L12)</f>
        <v>0.79248562077031248</v>
      </c>
      <c r="M12" s="137">
        <f>IF(SER_hh_tes!M12=0,"",SER_hh_tes!M12/SER_hh_fec!M12)</f>
        <v>0.79564552304552671</v>
      </c>
      <c r="N12" s="137">
        <f>IF(SER_hh_tes!N12=0,"",SER_hh_tes!N12/SER_hh_fec!N12)</f>
        <v>0.79892908083274905</v>
      </c>
      <c r="O12" s="137">
        <f>IF(SER_hh_tes!O12=0,"",SER_hh_tes!O12/SER_hh_fec!O12)</f>
        <v>0.8022452808908862</v>
      </c>
      <c r="P12" s="137">
        <f>IF(SER_hh_tes!P12=0,"",SER_hh_tes!P12/SER_hh_fec!P12)</f>
        <v>0.80314262020820693</v>
      </c>
      <c r="Q12" s="137">
        <f>IF(SER_hh_tes!Q12=0,"",SER_hh_tes!Q12/SER_hh_fec!Q12)</f>
        <v>0.80461765969501009</v>
      </c>
      <c r="R12" s="137">
        <f>IF(SER_hh_tes!R12=0,"",SER_hh_tes!R12/SER_hh_fec!R12)</f>
        <v>0.80717425420564293</v>
      </c>
      <c r="S12" s="137">
        <f>IF(SER_hh_tes!S12=0,"",SER_hh_tes!S12/SER_hh_fec!S12)</f>
        <v>0.81105883508034893</v>
      </c>
      <c r="T12" s="137">
        <f>IF(SER_hh_tes!T12=0,"",SER_hh_tes!T12/SER_hh_fec!T12)</f>
        <v>0.81513478097998104</v>
      </c>
      <c r="U12" s="137">
        <f>IF(SER_hh_tes!U12=0,"",SER_hh_tes!U12/SER_hh_fec!U12)</f>
        <v>0.81942093631340296</v>
      </c>
      <c r="V12" s="137">
        <f>IF(SER_hh_tes!V12=0,"",SER_hh_tes!V12/SER_hh_fec!V12)</f>
        <v>0.82344825019962065</v>
      </c>
      <c r="W12" s="137">
        <f>IF(SER_hh_tes!W12=0,"",SER_hh_tes!W12/SER_hh_fec!W12)</f>
        <v>0.82801575619288303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1.3274995664749822</v>
      </c>
      <c r="C13" s="137">
        <f>IF(SER_hh_tes!C13=0,"",SER_hh_tes!C13/SER_hh_fec!C13)</f>
        <v>1.3437889609133733</v>
      </c>
      <c r="D13" s="137">
        <f>IF(SER_hh_tes!D13=0,"",SER_hh_tes!D13/SER_hh_fec!D13)</f>
        <v>1.3947928401784118</v>
      </c>
      <c r="E13" s="137">
        <f>IF(SER_hh_tes!E13=0,"",SER_hh_tes!E13/SER_hh_fec!E13)</f>
        <v>1.4590665850736857</v>
      </c>
      <c r="F13" s="137">
        <f>IF(SER_hh_tes!F13=0,"",SER_hh_tes!F13/SER_hh_fec!F13)</f>
        <v>1.5428137600530272</v>
      </c>
      <c r="G13" s="137">
        <f>IF(SER_hh_tes!G13=0,"",SER_hh_tes!G13/SER_hh_fec!G13)</f>
        <v>1.6293158396171949</v>
      </c>
      <c r="H13" s="137">
        <f>IF(SER_hh_tes!H13=0,"",SER_hh_tes!H13/SER_hh_fec!H13)</f>
        <v>1.7169245666239719</v>
      </c>
      <c r="I13" s="137">
        <f>IF(SER_hh_tes!I13=0,"",SER_hh_tes!I13/SER_hh_fec!I13)</f>
        <v>1.7964455099268939</v>
      </c>
      <c r="J13" s="137">
        <f>IF(SER_hh_tes!J13=0,"",SER_hh_tes!J13/SER_hh_fec!J13)</f>
        <v>1.8595637901059214</v>
      </c>
      <c r="K13" s="137">
        <f>IF(SER_hh_tes!K13=0,"",SER_hh_tes!K13/SER_hh_fec!K13)</f>
        <v>1.9263111890753515</v>
      </c>
      <c r="L13" s="137">
        <f>IF(SER_hh_tes!L13=0,"",SER_hh_tes!L13/SER_hh_fec!L13)</f>
        <v>1.9849368624908337</v>
      </c>
      <c r="M13" s="137">
        <f>IF(SER_hh_tes!M13=0,"",SER_hh_tes!M13/SER_hh_fec!M13)</f>
        <v>2.0764866218300755</v>
      </c>
      <c r="N13" s="137">
        <f>IF(SER_hh_tes!N13=0,"",SER_hh_tes!N13/SER_hh_fec!N13)</f>
        <v>2.1496975054179845</v>
      </c>
      <c r="O13" s="137">
        <f>IF(SER_hh_tes!O13=0,"",SER_hh_tes!O13/SER_hh_fec!O13)</f>
        <v>2.2358904087083387</v>
      </c>
      <c r="P13" s="137">
        <f>IF(SER_hh_tes!P13=0,"",SER_hh_tes!P13/SER_hh_fec!P13)</f>
        <v>2.3106786539056667</v>
      </c>
      <c r="Q13" s="137">
        <f>IF(SER_hh_tes!Q13=0,"",SER_hh_tes!Q13/SER_hh_fec!Q13)</f>
        <v>2.4065372204768445</v>
      </c>
      <c r="R13" s="137">
        <f>IF(SER_hh_tes!R13=0,"",SER_hh_tes!R13/SER_hh_fec!R13)</f>
        <v>2.5249384898554355</v>
      </c>
      <c r="S13" s="137">
        <f>IF(SER_hh_tes!S13=0,"",SER_hh_tes!S13/SER_hh_fec!S13)</f>
        <v>2.6604656213611197</v>
      </c>
      <c r="T13" s="137">
        <f>IF(SER_hh_tes!T13=0,"",SER_hh_tes!T13/SER_hh_fec!T13)</f>
        <v>2.7944473282839271</v>
      </c>
      <c r="U13" s="137">
        <f>IF(SER_hh_tes!U13=0,"",SER_hh_tes!U13/SER_hh_fec!U13)</f>
        <v>2.9244724723999584</v>
      </c>
      <c r="V13" s="137">
        <f>IF(SER_hh_tes!V13=0,"",SER_hh_tes!V13/SER_hh_fec!V13)</f>
        <v>3.0569303926948694</v>
      </c>
      <c r="W13" s="137">
        <f>IF(SER_hh_tes!W13=0,"",SER_hh_tes!W13/SER_hh_fec!W13)</f>
        <v>3.1644535330295538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0.67839639080335357</v>
      </c>
      <c r="C14" s="138">
        <f>IF(SER_hh_tes!C14=0,"",SER_hh_tes!C14/SER_hh_fec!C14)</f>
        <v>0.68190862574726696</v>
      </c>
      <c r="D14" s="138">
        <f>IF(SER_hh_tes!D14=0,"",SER_hh_tes!D14/SER_hh_fec!D14)</f>
        <v>0.684115525452208</v>
      </c>
      <c r="E14" s="138">
        <f>IF(SER_hh_tes!E14=0,"",SER_hh_tes!E14/SER_hh_fec!E14)</f>
        <v>0.68655309460962621</v>
      </c>
      <c r="F14" s="138">
        <f>IF(SER_hh_tes!F14=0,"",SER_hh_tes!F14/SER_hh_fec!F14)</f>
        <v>0.69052969058634239</v>
      </c>
      <c r="G14" s="138">
        <f>IF(SER_hh_tes!G14=0,"",SER_hh_tes!G14/SER_hh_fec!G14)</f>
        <v>0.69533522003507642</v>
      </c>
      <c r="H14" s="138">
        <f>IF(SER_hh_tes!H14=0,"",SER_hh_tes!H14/SER_hh_fec!H14)</f>
        <v>0.70164953271174402</v>
      </c>
      <c r="I14" s="138">
        <f>IF(SER_hh_tes!I14=0,"",SER_hh_tes!I14/SER_hh_fec!I14)</f>
        <v>0.70726347870739348</v>
      </c>
      <c r="J14" s="138">
        <f>IF(SER_hh_tes!J14=0,"",SER_hh_tes!J14/SER_hh_fec!J14)</f>
        <v>0.71139283179786839</v>
      </c>
      <c r="K14" s="138">
        <f>IF(SER_hh_tes!K14=0,"",SER_hh_tes!K14/SER_hh_fec!K14)</f>
        <v>0.71410511909300511</v>
      </c>
      <c r="L14" s="138">
        <f>IF(SER_hh_tes!L14=0,"",SER_hh_tes!L14/SER_hh_fec!L14)</f>
        <v>0.71738412901919579</v>
      </c>
      <c r="M14" s="138">
        <f>IF(SER_hh_tes!M14=0,"",SER_hh_tes!M14/SER_hh_fec!M14)</f>
        <v>0.7221323093740325</v>
      </c>
      <c r="N14" s="138">
        <f>IF(SER_hh_tes!N14=0,"",SER_hh_tes!N14/SER_hh_fec!N14)</f>
        <v>0.73151220688706975</v>
      </c>
      <c r="O14" s="138">
        <f>IF(SER_hh_tes!O14=0,"",SER_hh_tes!O14/SER_hh_fec!O14)</f>
        <v>0.742917478888797</v>
      </c>
      <c r="P14" s="138">
        <f>IF(SER_hh_tes!P14=0,"",SER_hh_tes!P14/SER_hh_fec!P14)</f>
        <v>0.74960458553016507</v>
      </c>
      <c r="Q14" s="138">
        <f>IF(SER_hh_tes!Q14=0,"",SER_hh_tes!Q14/SER_hh_fec!Q14)</f>
        <v>0.7581332242796196</v>
      </c>
      <c r="R14" s="138">
        <f>IF(SER_hh_tes!R14=0,"",SER_hh_tes!R14/SER_hh_fec!R14)</f>
        <v>0.76661762156811475</v>
      </c>
      <c r="S14" s="138">
        <f>IF(SER_hh_tes!S14=0,"",SER_hh_tes!S14/SER_hh_fec!S14)</f>
        <v>0.77456201162959537</v>
      </c>
      <c r="T14" s="138">
        <f>IF(SER_hh_tes!T14=0,"",SER_hh_tes!T14/SER_hh_fec!T14)</f>
        <v>0.78355299316433102</v>
      </c>
      <c r="U14" s="138">
        <f>IF(SER_hh_tes!U14=0,"",SER_hh_tes!U14/SER_hh_fec!U14)</f>
        <v>0.794399741608389</v>
      </c>
      <c r="V14" s="138">
        <f>IF(SER_hh_tes!V14=0,"",SER_hh_tes!V14/SER_hh_fec!V14)</f>
        <v>0.80974335951157606</v>
      </c>
      <c r="W14" s="138">
        <f>IF(SER_hh_tes!W14=0,"",SER_hh_tes!W14/SER_hh_fec!W14)</f>
        <v>0.82476947981748772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1.9433822954868891</v>
      </c>
      <c r="C16" s="136">
        <f>IF(SER_hh_tes!C16=0,"",SER_hh_tes!C16/SER_hh_fec!C16)</f>
        <v>2.0117256511258632</v>
      </c>
      <c r="D16" s="136">
        <f>IF(SER_hh_tes!D16=0,"",SER_hh_tes!D16/SER_hh_fec!D16)</f>
        <v>2.0929789660036033</v>
      </c>
      <c r="E16" s="136">
        <f>IF(SER_hh_tes!E16=0,"",SER_hh_tes!E16/SER_hh_fec!E16)</f>
        <v>2.1798654290203077</v>
      </c>
      <c r="F16" s="136">
        <f>IF(SER_hh_tes!F16=0,"",SER_hh_tes!F16/SER_hh_fec!F16)</f>
        <v>2.285783275249091</v>
      </c>
      <c r="G16" s="136">
        <f>IF(SER_hh_tes!G16=0,"",SER_hh_tes!G16/SER_hh_fec!G16)</f>
        <v>2.4034856752479361</v>
      </c>
      <c r="H16" s="136">
        <f>IF(SER_hh_tes!H16=0,"",SER_hh_tes!H16/SER_hh_fec!H16)</f>
        <v>2.5407470046918466</v>
      </c>
      <c r="I16" s="136">
        <f>IF(SER_hh_tes!I16=0,"",SER_hh_tes!I16/SER_hh_fec!I16)</f>
        <v>2.7058627701418616</v>
      </c>
      <c r="J16" s="136">
        <f>IF(SER_hh_tes!J16=0,"",SER_hh_tes!J16/SER_hh_fec!J16)</f>
        <v>2.901408197125968</v>
      </c>
      <c r="K16" s="136">
        <f>IF(SER_hh_tes!K16=0,"",SER_hh_tes!K16/SER_hh_fec!K16)</f>
        <v>2.9448844518612827</v>
      </c>
      <c r="L16" s="136">
        <f>IF(SER_hh_tes!L16=0,"",SER_hh_tes!L16/SER_hh_fec!L16)</f>
        <v>3.0118372206878488</v>
      </c>
      <c r="M16" s="136">
        <f>IF(SER_hh_tes!M16=0,"",SER_hh_tes!M16/SER_hh_fec!M16)</f>
        <v>3.1085132686927772</v>
      </c>
      <c r="N16" s="136">
        <f>IF(SER_hh_tes!N16=0,"",SER_hh_tes!N16/SER_hh_fec!N16)</f>
        <v>3.2121187819210135</v>
      </c>
      <c r="O16" s="136">
        <f>IF(SER_hh_tes!O16=0,"",SER_hh_tes!O16/SER_hh_fec!O16)</f>
        <v>3.3255622696757383</v>
      </c>
      <c r="P16" s="136">
        <f>IF(SER_hh_tes!P16=0,"",SER_hh_tes!P16/SER_hh_fec!P16)</f>
        <v>3.4496367892390816</v>
      </c>
      <c r="Q16" s="136">
        <f>IF(SER_hh_tes!Q16=0,"",SER_hh_tes!Q16/SER_hh_fec!Q16)</f>
        <v>3.5824521740686857</v>
      </c>
      <c r="R16" s="136">
        <f>IF(SER_hh_tes!R16=0,"",SER_hh_tes!R16/SER_hh_fec!R16)</f>
        <v>3.724137675153159</v>
      </c>
      <c r="S16" s="136">
        <f>IF(SER_hh_tes!S16=0,"",SER_hh_tes!S16/SER_hh_fec!S16)</f>
        <v>3.8652360519397182</v>
      </c>
      <c r="T16" s="136">
        <f>IF(SER_hh_tes!T16=0,"",SER_hh_tes!T16/SER_hh_fec!T16)</f>
        <v>3.9857005186810746</v>
      </c>
      <c r="U16" s="136">
        <f>IF(SER_hh_tes!U16=0,"",SER_hh_tes!U16/SER_hh_fec!U16)</f>
        <v>4.0847317946500876</v>
      </c>
      <c r="V16" s="136">
        <f>IF(SER_hh_tes!V16=0,"",SER_hh_tes!V16/SER_hh_fec!V16)</f>
        <v>4.1872128916385662</v>
      </c>
      <c r="W16" s="136">
        <f>IF(SER_hh_tes!W16=0,"",SER_hh_tes!W16/SER_hh_fec!W16)</f>
        <v>4.2990371306754707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1.9433822954868891</v>
      </c>
      <c r="C18" s="137">
        <f>IF(SER_hh_tes!C18=0,"",SER_hh_tes!C18/SER_hh_fec!C18)</f>
        <v>2.0117256511258632</v>
      </c>
      <c r="D18" s="137">
        <f>IF(SER_hh_tes!D18=0,"",SER_hh_tes!D18/SER_hh_fec!D18)</f>
        <v>2.0929789660036033</v>
      </c>
      <c r="E18" s="137">
        <f>IF(SER_hh_tes!E18=0,"",SER_hh_tes!E18/SER_hh_fec!E18)</f>
        <v>2.1798654290203077</v>
      </c>
      <c r="F18" s="137">
        <f>IF(SER_hh_tes!F18=0,"",SER_hh_tes!F18/SER_hh_fec!F18)</f>
        <v>2.285783275249091</v>
      </c>
      <c r="G18" s="137">
        <f>IF(SER_hh_tes!G18=0,"",SER_hh_tes!G18/SER_hh_fec!G18)</f>
        <v>2.4034856752479361</v>
      </c>
      <c r="H18" s="137">
        <f>IF(SER_hh_tes!H18=0,"",SER_hh_tes!H18/SER_hh_fec!H18)</f>
        <v>2.5407470046918466</v>
      </c>
      <c r="I18" s="137">
        <f>IF(SER_hh_tes!I18=0,"",SER_hh_tes!I18/SER_hh_fec!I18)</f>
        <v>2.7058627701418616</v>
      </c>
      <c r="J18" s="137">
        <f>IF(SER_hh_tes!J18=0,"",SER_hh_tes!J18/SER_hh_fec!J18)</f>
        <v>2.901408197125968</v>
      </c>
      <c r="K18" s="137">
        <f>IF(SER_hh_tes!K18=0,"",SER_hh_tes!K18/SER_hh_fec!K18)</f>
        <v>2.9448844518612827</v>
      </c>
      <c r="L18" s="137">
        <f>IF(SER_hh_tes!L18=0,"",SER_hh_tes!L18/SER_hh_fec!L18)</f>
        <v>3.0118372206878488</v>
      </c>
      <c r="M18" s="137">
        <f>IF(SER_hh_tes!M18=0,"",SER_hh_tes!M18/SER_hh_fec!M18)</f>
        <v>3.1085132686927772</v>
      </c>
      <c r="N18" s="137">
        <f>IF(SER_hh_tes!N18=0,"",SER_hh_tes!N18/SER_hh_fec!N18)</f>
        <v>3.2121187819210135</v>
      </c>
      <c r="O18" s="137">
        <f>IF(SER_hh_tes!O18=0,"",SER_hh_tes!O18/SER_hh_fec!O18)</f>
        <v>3.3255622696757383</v>
      </c>
      <c r="P18" s="137">
        <f>IF(SER_hh_tes!P18=0,"",SER_hh_tes!P18/SER_hh_fec!P18)</f>
        <v>3.4496367892390816</v>
      </c>
      <c r="Q18" s="137">
        <f>IF(SER_hh_tes!Q18=0,"",SER_hh_tes!Q18/SER_hh_fec!Q18)</f>
        <v>3.5824521740686857</v>
      </c>
      <c r="R18" s="137">
        <f>IF(SER_hh_tes!R18=0,"",SER_hh_tes!R18/SER_hh_fec!R18)</f>
        <v>3.724137675153159</v>
      </c>
      <c r="S18" s="137">
        <f>IF(SER_hh_tes!S18=0,"",SER_hh_tes!S18/SER_hh_fec!S18)</f>
        <v>3.8652360519397182</v>
      </c>
      <c r="T18" s="137">
        <f>IF(SER_hh_tes!T18=0,"",SER_hh_tes!T18/SER_hh_fec!T18)</f>
        <v>3.9857005186810746</v>
      </c>
      <c r="U18" s="137">
        <f>IF(SER_hh_tes!U18=0,"",SER_hh_tes!U18/SER_hh_fec!U18)</f>
        <v>4.0847317946500876</v>
      </c>
      <c r="V18" s="137">
        <f>IF(SER_hh_tes!V18=0,"",SER_hh_tes!V18/SER_hh_fec!V18)</f>
        <v>4.1872128916385662</v>
      </c>
      <c r="W18" s="137">
        <f>IF(SER_hh_tes!W18=0,"",SER_hh_tes!W18/SER_hh_fec!W18)</f>
        <v>4.2990371306754707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0.64454150901249208</v>
      </c>
      <c r="C19" s="136">
        <f>IF(SER_hh_tes!C19=0,"",SER_hh_tes!C19/SER_hh_fec!C19)</f>
        <v>0.64672121785679804</v>
      </c>
      <c r="D19" s="136">
        <f>IF(SER_hh_tes!D19=0,"",SER_hh_tes!D19/SER_hh_fec!D19)</f>
        <v>0.65035090817030272</v>
      </c>
      <c r="E19" s="136">
        <f>IF(SER_hh_tes!E19=0,"",SER_hh_tes!E19/SER_hh_fec!E19)</f>
        <v>0.65427019362696592</v>
      </c>
      <c r="F19" s="136">
        <f>IF(SER_hh_tes!F19=0,"",SER_hh_tes!F19/SER_hh_fec!F19)</f>
        <v>0.66341392155163215</v>
      </c>
      <c r="G19" s="136">
        <f>IF(SER_hh_tes!G19=0,"",SER_hh_tes!G19/SER_hh_fec!G19)</f>
        <v>0.68051730124847654</v>
      </c>
      <c r="H19" s="136">
        <f>IF(SER_hh_tes!H19=0,"",SER_hh_tes!H19/SER_hh_fec!H19)</f>
        <v>0.68566972824462868</v>
      </c>
      <c r="I19" s="136">
        <f>IF(SER_hh_tes!I19=0,"",SER_hh_tes!I19/SER_hh_fec!I19)</f>
        <v>0.69111602856674914</v>
      </c>
      <c r="J19" s="136">
        <f>IF(SER_hh_tes!J19=0,"",SER_hh_tes!J19/SER_hh_fec!J19)</f>
        <v>0.69726166576120119</v>
      </c>
      <c r="K19" s="136">
        <f>IF(SER_hh_tes!K19=0,"",SER_hh_tes!K19/SER_hh_fec!K19)</f>
        <v>0.70826609845938748</v>
      </c>
      <c r="L19" s="136">
        <f>IF(SER_hh_tes!L19=0,"",SER_hh_tes!L19/SER_hh_fec!L19)</f>
        <v>0.71336723309038108</v>
      </c>
      <c r="M19" s="136">
        <f>IF(SER_hh_tes!M19=0,"",SER_hh_tes!M19/SER_hh_fec!M19)</f>
        <v>0.71926988323552166</v>
      </c>
      <c r="N19" s="136">
        <f>IF(SER_hh_tes!N19=0,"",SER_hh_tes!N19/SER_hh_fec!N19)</f>
        <v>0.72375157580196003</v>
      </c>
      <c r="O19" s="136">
        <f>IF(SER_hh_tes!O19=0,"",SER_hh_tes!O19/SER_hh_fec!O19)</f>
        <v>0.73058839181395252</v>
      </c>
      <c r="P19" s="136">
        <f>IF(SER_hh_tes!P19=0,"",SER_hh_tes!P19/SER_hh_fec!P19)</f>
        <v>0.73624811842945914</v>
      </c>
      <c r="Q19" s="136">
        <f>IF(SER_hh_tes!Q19=0,"",SER_hh_tes!Q19/SER_hh_fec!Q19)</f>
        <v>0.73780791760720144</v>
      </c>
      <c r="R19" s="136">
        <f>IF(SER_hh_tes!R19=0,"",SER_hh_tes!R19/SER_hh_fec!R19)</f>
        <v>0.74807156007565889</v>
      </c>
      <c r="S19" s="136">
        <f>IF(SER_hh_tes!S19=0,"",SER_hh_tes!S19/SER_hh_fec!S19)</f>
        <v>0.75513497258735418</v>
      </c>
      <c r="T19" s="136">
        <f>IF(SER_hh_tes!T19=0,"",SER_hh_tes!T19/SER_hh_fec!T19)</f>
        <v>0.76686640702703057</v>
      </c>
      <c r="U19" s="136">
        <f>IF(SER_hh_tes!U19=0,"",SER_hh_tes!U19/SER_hh_fec!U19)</f>
        <v>0.77704760560351216</v>
      </c>
      <c r="V19" s="136">
        <f>IF(SER_hh_tes!V19=0,"",SER_hh_tes!V19/SER_hh_fec!V19)</f>
        <v>0.78404826146964413</v>
      </c>
      <c r="W19" s="136">
        <f>IF(SER_hh_tes!W19=0,"",SER_hh_tes!W19/SER_hh_fec!W19)</f>
        <v>0.8037544620157715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0.50046034505341475</v>
      </c>
      <c r="C22" s="137">
        <f>IF(SER_hh_tes!C22=0,"",SER_hh_tes!C22/SER_hh_fec!C22)</f>
        <v>0.5016305068334358</v>
      </c>
      <c r="D22" s="137">
        <f>IF(SER_hh_tes!D22=0,"",SER_hh_tes!D22/SER_hh_fec!D22)</f>
        <v>0.50260298036286033</v>
      </c>
      <c r="E22" s="137">
        <f>IF(SER_hh_tes!E22=0,"",SER_hh_tes!E22/SER_hh_fec!E22)</f>
        <v>0.50310644484039857</v>
      </c>
      <c r="F22" s="137">
        <f>IF(SER_hh_tes!F22=0,"",SER_hh_tes!F22/SER_hh_fec!F22)</f>
        <v>0.50335487887235275</v>
      </c>
      <c r="G22" s="137">
        <f>IF(SER_hh_tes!G22=0,"",SER_hh_tes!G22/SER_hh_fec!G22)</f>
        <v>0.5035928399861308</v>
      </c>
      <c r="H22" s="137">
        <f>IF(SER_hh_tes!H22=0,"",SER_hh_tes!H22/SER_hh_fec!H22)</f>
        <v>0.50363974102928855</v>
      </c>
      <c r="I22" s="137">
        <f>IF(SER_hh_tes!I22=0,"",SER_hh_tes!I22/SER_hh_fec!I22)</f>
        <v>0.5037200490656506</v>
      </c>
      <c r="J22" s="137">
        <f>IF(SER_hh_tes!J22=0,"",SER_hh_tes!J22/SER_hh_fec!J22)</f>
        <v>0.50380893634275437</v>
      </c>
      <c r="K22" s="137">
        <f>IF(SER_hh_tes!K22=0,"",SER_hh_tes!K22/SER_hh_fec!K22)</f>
        <v>0.50403855987407198</v>
      </c>
      <c r="L22" s="137">
        <f>IF(SER_hh_tes!L22=0,"",SER_hh_tes!L22/SER_hh_fec!L22)</f>
        <v>0.50434391402083811</v>
      </c>
      <c r="M22" s="137">
        <f>IF(SER_hh_tes!M22=0,"",SER_hh_tes!M22/SER_hh_fec!M22)</f>
        <v>0.52332325254424561</v>
      </c>
      <c r="N22" s="137">
        <f>IF(SER_hh_tes!N22=0,"",SER_hh_tes!N22/SER_hh_fec!N22)</f>
        <v>0.55319780090500015</v>
      </c>
      <c r="O22" s="137">
        <f>IF(SER_hh_tes!O22=0,"",SER_hh_tes!O22/SER_hh_fec!O22)</f>
        <v>0.58144237625089368</v>
      </c>
      <c r="P22" s="137">
        <f>IF(SER_hh_tes!P22=0,"",SER_hh_tes!P22/SER_hh_fec!P22)</f>
        <v>0.58432575702052469</v>
      </c>
      <c r="Q22" s="137">
        <f>IF(SER_hh_tes!Q22=0,"",SER_hh_tes!Q22/SER_hh_fec!Q22)</f>
        <v>0.60048546090747912</v>
      </c>
      <c r="R22" s="137">
        <f>IF(SER_hh_tes!R22=0,"",SER_hh_tes!R22/SER_hh_fec!R22)</f>
        <v>0.61676017554660378</v>
      </c>
      <c r="S22" s="137">
        <f>IF(SER_hh_tes!S22=0,"",SER_hh_tes!S22/SER_hh_fec!S22)</f>
        <v>0.63567497237124226</v>
      </c>
      <c r="T22" s="137">
        <f>IF(SER_hh_tes!T22=0,"",SER_hh_tes!T22/SER_hh_fec!T22)</f>
        <v>0.64607466976836014</v>
      </c>
      <c r="U22" s="137">
        <f>IF(SER_hh_tes!U22=0,"",SER_hh_tes!U22/SER_hh_fec!U22)</f>
        <v>0.64988241393915003</v>
      </c>
      <c r="V22" s="137">
        <f>IF(SER_hh_tes!V22=0,"",SER_hh_tes!V22/SER_hh_fec!V22)</f>
        <v>0.65248430221062637</v>
      </c>
      <c r="W22" s="137">
        <f>IF(SER_hh_tes!W22=0,"",SER_hh_tes!W22/SER_hh_fec!W22)</f>
        <v>0.654395792993544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0.51128233796095057</v>
      </c>
      <c r="C23" s="137">
        <f>IF(SER_hh_tes!C23=0,"",SER_hh_tes!C23/SER_hh_fec!C23)</f>
        <v>0.51819644103838958</v>
      </c>
      <c r="D23" s="137">
        <f>IF(SER_hh_tes!D23=0,"",SER_hh_tes!D23/SER_hh_fec!D23)</f>
        <v>0.53113653078621559</v>
      </c>
      <c r="E23" s="137">
        <f>IF(SER_hh_tes!E23=0,"",SER_hh_tes!E23/SER_hh_fec!E23)</f>
        <v>0.54127112264189969</v>
      </c>
      <c r="F23" s="137">
        <f>IF(SER_hh_tes!F23=0,"",SER_hh_tes!F23/SER_hh_fec!F23)</f>
        <v>0.5502211748981547</v>
      </c>
      <c r="G23" s="137">
        <f>IF(SER_hh_tes!G23=0,"",SER_hh_tes!G23/SER_hh_fec!G23)</f>
        <v>0.55900477014662053</v>
      </c>
      <c r="H23" s="137">
        <f>IF(SER_hh_tes!H23=0,"",SER_hh_tes!H23/SER_hh_fec!H23)</f>
        <v>0.56747328032272437</v>
      </c>
      <c r="I23" s="137">
        <f>IF(SER_hh_tes!I23=0,"",SER_hh_tes!I23/SER_hh_fec!I23)</f>
        <v>0.57369068394374723</v>
      </c>
      <c r="J23" s="137">
        <f>IF(SER_hh_tes!J23=0,"",SER_hh_tes!J23/SER_hh_fec!J23)</f>
        <v>0.57975323628216191</v>
      </c>
      <c r="K23" s="137">
        <f>IF(SER_hh_tes!K23=0,"",SER_hh_tes!K23/SER_hh_fec!K23)</f>
        <v>0.58496925894111207</v>
      </c>
      <c r="L23" s="137">
        <f>IF(SER_hh_tes!L23=0,"",SER_hh_tes!L23/SER_hh_fec!L23)</f>
        <v>0.59096414701286992</v>
      </c>
      <c r="M23" s="137">
        <f>IF(SER_hh_tes!M23=0,"",SER_hh_tes!M23/SER_hh_fec!M23)</f>
        <v>0.5972687864958639</v>
      </c>
      <c r="N23" s="137">
        <f>IF(SER_hh_tes!N23=0,"",SER_hh_tes!N23/SER_hh_fec!N23)</f>
        <v>0.60574320261998149</v>
      </c>
      <c r="O23" s="137">
        <f>IF(SER_hh_tes!O23=0,"",SER_hh_tes!O23/SER_hh_fec!O23)</f>
        <v>0.61589751352845057</v>
      </c>
      <c r="P23" s="137">
        <f>IF(SER_hh_tes!P23=0,"",SER_hh_tes!P23/SER_hh_fec!P23)</f>
        <v>0.62556691280688237</v>
      </c>
      <c r="Q23" s="137">
        <f>IF(SER_hh_tes!Q23=0,"",SER_hh_tes!Q23/SER_hh_fec!Q23)</f>
        <v>0.63170116110033847</v>
      </c>
      <c r="R23" s="137">
        <f>IF(SER_hh_tes!R23=0,"",SER_hh_tes!R23/SER_hh_fec!R23)</f>
        <v>0.63818883226455525</v>
      </c>
      <c r="S23" s="137">
        <f>IF(SER_hh_tes!S23=0,"",SER_hh_tes!S23/SER_hh_fec!S23)</f>
        <v>0.65336563986404927</v>
      </c>
      <c r="T23" s="137">
        <f>IF(SER_hh_tes!T23=0,"",SER_hh_tes!T23/SER_hh_fec!T23)</f>
        <v>0.67419049629229533</v>
      </c>
      <c r="U23" s="137">
        <f>IF(SER_hh_tes!U23=0,"",SER_hh_tes!U23/SER_hh_fec!U23)</f>
        <v>0.70959806910852763</v>
      </c>
      <c r="V23" s="137">
        <f>IF(SER_hh_tes!V23=0,"",SER_hh_tes!V23/SER_hh_fec!V23)</f>
        <v>0.73577563080070596</v>
      </c>
      <c r="W23" s="137">
        <f>IF(SER_hh_tes!W23=0,"",SER_hh_tes!W23/SER_hh_fec!W23)</f>
        <v>0.75400208661759438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0.76533178875224961</v>
      </c>
      <c r="C25" s="137">
        <f>IF(SER_hh_tes!C25=0,"",SER_hh_tes!C25/SER_hh_fec!C25)</f>
        <v>0.76761314537333669</v>
      </c>
      <c r="D25" s="137">
        <f>IF(SER_hh_tes!D25=0,"",SER_hh_tes!D25/SER_hh_fec!D25)</f>
        <v>0.77019845841177548</v>
      </c>
      <c r="E25" s="137">
        <f>IF(SER_hh_tes!E25=0,"",SER_hh_tes!E25/SER_hh_fec!E25)</f>
        <v>0.77313154155282804</v>
      </c>
      <c r="F25" s="137">
        <f>IF(SER_hh_tes!F25=0,"",SER_hh_tes!F25/SER_hh_fec!F25)</f>
        <v>0.77668894646040754</v>
      </c>
      <c r="G25" s="137">
        <f>IF(SER_hh_tes!G25=0,"",SER_hh_tes!G25/SER_hh_fec!G25)</f>
        <v>0.78011026867052136</v>
      </c>
      <c r="H25" s="137">
        <f>IF(SER_hh_tes!H25=0,"",SER_hh_tes!H25/SER_hh_fec!H25)</f>
        <v>0.78337141416142075</v>
      </c>
      <c r="I25" s="137">
        <f>IF(SER_hh_tes!I25=0,"",SER_hh_tes!I25/SER_hh_fec!I25)</f>
        <v>0.78620778609127473</v>
      </c>
      <c r="J25" s="137">
        <f>IF(SER_hh_tes!J25=0,"",SER_hh_tes!J25/SER_hh_fec!J25)</f>
        <v>0.78897489867244852</v>
      </c>
      <c r="K25" s="137">
        <f>IF(SER_hh_tes!K25=0,"",SER_hh_tes!K25/SER_hh_fec!K25)</f>
        <v>0.7919667790131224</v>
      </c>
      <c r="L25" s="137">
        <f>IF(SER_hh_tes!L25=0,"",SER_hh_tes!L25/SER_hh_fec!L25)</f>
        <v>0.79535399566564713</v>
      </c>
      <c r="M25" s="137">
        <f>IF(SER_hh_tes!M25=0,"",SER_hh_tes!M25/SER_hh_fec!M25)</f>
        <v>0.79899537017466948</v>
      </c>
      <c r="N25" s="137">
        <f>IF(SER_hh_tes!N25=0,"",SER_hh_tes!N25/SER_hh_fec!N25)</f>
        <v>0.80304828249408411</v>
      </c>
      <c r="O25" s="137">
        <f>IF(SER_hh_tes!O25=0,"",SER_hh_tes!O25/SER_hh_fec!O25)</f>
        <v>0.80720716917847046</v>
      </c>
      <c r="P25" s="137">
        <f>IF(SER_hh_tes!P25=0,"",SER_hh_tes!P25/SER_hh_fec!P25)</f>
        <v>0.80914853055976932</v>
      </c>
      <c r="Q25" s="137">
        <f>IF(SER_hh_tes!Q25=0,"",SER_hh_tes!Q25/SER_hh_fec!Q25)</f>
        <v>0.81197224433884263</v>
      </c>
      <c r="R25" s="137">
        <f>IF(SER_hh_tes!R25=0,"",SER_hh_tes!R25/SER_hh_fec!R25)</f>
        <v>0.81596614536739831</v>
      </c>
      <c r="S25" s="137">
        <f>IF(SER_hh_tes!S25=0,"",SER_hh_tes!S25/SER_hh_fec!S25)</f>
        <v>0.82041149485610665</v>
      </c>
      <c r="T25" s="137">
        <f>IF(SER_hh_tes!T25=0,"",SER_hh_tes!T25/SER_hh_fec!T25)</f>
        <v>0.82511181809602463</v>
      </c>
      <c r="U25" s="137">
        <f>IF(SER_hh_tes!U25=0,"",SER_hh_tes!U25/SER_hh_fec!U25)</f>
        <v>0.83003974618152809</v>
      </c>
      <c r="V25" s="137">
        <f>IF(SER_hh_tes!V25=0,"",SER_hh_tes!V25/SER_hh_fec!V25)</f>
        <v>0.83536234101687601</v>
      </c>
      <c r="W25" s="137">
        <f>IF(SER_hh_tes!W25=0,"",SER_hh_tes!W25/SER_hh_fec!W25)</f>
        <v>0.84020041242994314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0.63062818727425762</v>
      </c>
      <c r="C26" s="138">
        <f>IF(SER_hh_tes!C26=0,"",SER_hh_tes!C26/SER_hh_fec!C26)</f>
        <v>0.6329052763902675</v>
      </c>
      <c r="D26" s="138">
        <f>IF(SER_hh_tes!D26=0,"",SER_hh_tes!D26/SER_hh_fec!D26)</f>
        <v>0.63527479179334279</v>
      </c>
      <c r="E26" s="138">
        <f>IF(SER_hh_tes!E26=0,"",SER_hh_tes!E26/SER_hh_fec!E26)</f>
        <v>0.63780564895455516</v>
      </c>
      <c r="F26" s="138">
        <f>IF(SER_hh_tes!F26=0,"",SER_hh_tes!F26/SER_hh_fec!F26)</f>
        <v>0.64036118766755967</v>
      </c>
      <c r="G26" s="138">
        <f>IF(SER_hh_tes!G26=0,"",SER_hh_tes!G26/SER_hh_fec!G26)</f>
        <v>0.64354011594102534</v>
      </c>
      <c r="H26" s="138">
        <f>IF(SER_hh_tes!H26=0,"",SER_hh_tes!H26/SER_hh_fec!H26)</f>
        <v>0.64670047653742191</v>
      </c>
      <c r="I26" s="138">
        <f>IF(SER_hh_tes!I26=0,"",SER_hh_tes!I26/SER_hh_fec!I26)</f>
        <v>0.65085753341660268</v>
      </c>
      <c r="J26" s="138">
        <f>IF(SER_hh_tes!J26=0,"",SER_hh_tes!J26/SER_hh_fec!J26)</f>
        <v>0.65504033177465248</v>
      </c>
      <c r="K26" s="138">
        <f>IF(SER_hh_tes!K26=0,"",SER_hh_tes!K26/SER_hh_fec!K26)</f>
        <v>0.65967814139253178</v>
      </c>
      <c r="L26" s="138">
        <f>IF(SER_hh_tes!L26=0,"",SER_hh_tes!L26/SER_hh_fec!L26)</f>
        <v>0.66391121002604947</v>
      </c>
      <c r="M26" s="138">
        <f>IF(SER_hh_tes!M26=0,"",SER_hh_tes!M26/SER_hh_fec!M26)</f>
        <v>0.66844075314729623</v>
      </c>
      <c r="N26" s="138">
        <f>IF(SER_hh_tes!N26=0,"",SER_hh_tes!N26/SER_hh_fec!N26)</f>
        <v>0.67401668727481379</v>
      </c>
      <c r="O26" s="138">
        <f>IF(SER_hh_tes!O26=0,"",SER_hh_tes!O26/SER_hh_fec!O26)</f>
        <v>0.68137551920936701</v>
      </c>
      <c r="P26" s="138">
        <f>IF(SER_hh_tes!P26=0,"",SER_hh_tes!P26/SER_hh_fec!P26)</f>
        <v>0.68547479910418996</v>
      </c>
      <c r="Q26" s="138">
        <f>IF(SER_hh_tes!Q26=0,"",SER_hh_tes!Q26/SER_hh_fec!Q26)</f>
        <v>0.69064443371783935</v>
      </c>
      <c r="R26" s="138">
        <f>IF(SER_hh_tes!R26=0,"",SER_hh_tes!R26/SER_hh_fec!R26)</f>
        <v>0.69735448568400782</v>
      </c>
      <c r="S26" s="138">
        <f>IF(SER_hh_tes!S26=0,"",SER_hh_tes!S26/SER_hh_fec!S26)</f>
        <v>0.71055188540109604</v>
      </c>
      <c r="T26" s="138">
        <f>IF(SER_hh_tes!T26=0,"",SER_hh_tes!T26/SER_hh_fec!T26)</f>
        <v>0.72646324902432557</v>
      </c>
      <c r="U26" s="138">
        <f>IF(SER_hh_tes!U26=0,"",SER_hh_tes!U26/SER_hh_fec!U26)</f>
        <v>0.7447367734273328</v>
      </c>
      <c r="V26" s="138">
        <f>IF(SER_hh_tes!V26=0,"",SER_hh_tes!V26/SER_hh_fec!V26)</f>
        <v>0.76419542540225827</v>
      </c>
      <c r="W26" s="138">
        <f>IF(SER_hh_tes!W26=0,"",SER_hh_tes!W26/SER_hh_fec!W26)</f>
        <v>0.78802958955190461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 t="str">
        <f>IF(SER_hh_tes!L27=0,"",SER_hh_tes!L27/SER_hh_fec!L27)</f>
        <v/>
      </c>
      <c r="M27" s="154" t="str">
        <f>IF(SER_hh_tes!M27=0,"",SER_hh_tes!M27/SER_hh_fec!M27)</f>
        <v/>
      </c>
      <c r="N27" s="154" t="str">
        <f>IF(SER_hh_tes!N27=0,"",SER_hh_tes!N27/SER_hh_fec!N27)</f>
        <v/>
      </c>
      <c r="O27" s="154" t="str">
        <f>IF(SER_hh_tes!O27=0,"",SER_hh_tes!O27/SER_hh_fec!O27)</f>
        <v/>
      </c>
      <c r="P27" s="154" t="str">
        <f>IF(SER_hh_tes!P27=0,"",SER_hh_tes!P27/SER_hh_fec!P27)</f>
        <v/>
      </c>
      <c r="Q27" s="154" t="str">
        <f>IF(SER_hh_tes!Q27=0,"",SER_hh_tes!Q27/SER_hh_fec!Q27)</f>
        <v/>
      </c>
      <c r="R27" s="154" t="str">
        <f>IF(SER_hh_tes!R27=0,"",SER_hh_tes!R27/SER_hh_fec!R27)</f>
        <v/>
      </c>
      <c r="S27" s="154" t="str">
        <f>IF(SER_hh_tes!S27=0,"",SER_hh_tes!S27/SER_hh_fec!S27)</f>
        <v/>
      </c>
      <c r="T27" s="154" t="str">
        <f>IF(SER_hh_tes!T27=0,"",SER_hh_tes!T27/SER_hh_fec!T27)</f>
        <v/>
      </c>
      <c r="U27" s="154" t="str">
        <f>IF(SER_hh_tes!U27=0,"",SER_hh_tes!U27/SER_hh_fec!U27)</f>
        <v/>
      </c>
      <c r="V27" s="154" t="str">
        <f>IF(SER_hh_tes!V27=0,"",SER_hh_tes!V27/SER_hh_fec!V27)</f>
        <v/>
      </c>
      <c r="W27" s="154" t="str">
        <f>IF(SER_hh_tes!W27=0,"",SER_hh_tes!W27/SER_hh_fec!W27)</f>
        <v/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0.77985234345813659</v>
      </c>
      <c r="C29" s="136">
        <f>IF(SER_hh_tes!C29=0,"",SER_hh_tes!C29/SER_hh_fec!C29)</f>
        <v>0.77306841884745037</v>
      </c>
      <c r="D29" s="136">
        <f>IF(SER_hh_tes!D29=0,"",SER_hh_tes!D29/SER_hh_fec!D29)</f>
        <v>0.78102906390257787</v>
      </c>
      <c r="E29" s="136">
        <f>IF(SER_hh_tes!E29=0,"",SER_hh_tes!E29/SER_hh_fec!E29)</f>
        <v>0.78927849865389665</v>
      </c>
      <c r="F29" s="136">
        <f>IF(SER_hh_tes!F29=0,"",SER_hh_tes!F29/SER_hh_fec!F29)</f>
        <v>0.79472413406340503</v>
      </c>
      <c r="G29" s="136">
        <f>IF(SER_hh_tes!G29=0,"",SER_hh_tes!G29/SER_hh_fec!G29)</f>
        <v>0.7963103660376335</v>
      </c>
      <c r="H29" s="136">
        <f>IF(SER_hh_tes!H29=0,"",SER_hh_tes!H29/SER_hh_fec!H29)</f>
        <v>0.77869783545315063</v>
      </c>
      <c r="I29" s="136">
        <f>IF(SER_hh_tes!I29=0,"",SER_hh_tes!I29/SER_hh_fec!I29)</f>
        <v>0.76261948720123263</v>
      </c>
      <c r="J29" s="136">
        <f>IF(SER_hh_tes!J29=0,"",SER_hh_tes!J29/SER_hh_fec!J29)</f>
        <v>0.77006377350569921</v>
      </c>
      <c r="K29" s="136">
        <f>IF(SER_hh_tes!K29=0,"",SER_hh_tes!K29/SER_hh_fec!K29)</f>
        <v>0.79229516931931843</v>
      </c>
      <c r="L29" s="136">
        <f>IF(SER_hh_tes!L29=0,"",SER_hh_tes!L29/SER_hh_fec!L29)</f>
        <v>0.77585649797715506</v>
      </c>
      <c r="M29" s="136">
        <f>IF(SER_hh_tes!M29=0,"",SER_hh_tes!M29/SER_hh_fec!M29)</f>
        <v>0.78169641952283697</v>
      </c>
      <c r="N29" s="136">
        <f>IF(SER_hh_tes!N29=0,"",SER_hh_tes!N29/SER_hh_fec!N29)</f>
        <v>0.82115308446913915</v>
      </c>
      <c r="O29" s="136">
        <f>IF(SER_hh_tes!O29=0,"",SER_hh_tes!O29/SER_hh_fec!O29)</f>
        <v>0.82210466465390897</v>
      </c>
      <c r="P29" s="136">
        <f>IF(SER_hh_tes!P29=0,"",SER_hh_tes!P29/SER_hh_fec!P29)</f>
        <v>0.82284219409466375</v>
      </c>
      <c r="Q29" s="136">
        <f>IF(SER_hh_tes!Q29=0,"",SER_hh_tes!Q29/SER_hh_fec!Q29)</f>
        <v>0.83515084789700123</v>
      </c>
      <c r="R29" s="136">
        <f>IF(SER_hh_tes!R29=0,"",SER_hh_tes!R29/SER_hh_fec!R29)</f>
        <v>0.83760031152296632</v>
      </c>
      <c r="S29" s="136">
        <f>IF(SER_hh_tes!S29=0,"",SER_hh_tes!S29/SER_hh_fec!S29)</f>
        <v>0.84361737440186602</v>
      </c>
      <c r="T29" s="136">
        <f>IF(SER_hh_tes!T29=0,"",SER_hh_tes!T29/SER_hh_fec!T29)</f>
        <v>0.84734207728824951</v>
      </c>
      <c r="U29" s="136">
        <f>IF(SER_hh_tes!U29=0,"",SER_hh_tes!U29/SER_hh_fec!U29)</f>
        <v>0.85154892814538563</v>
      </c>
      <c r="V29" s="136">
        <f>IF(SER_hh_tes!V29=0,"",SER_hh_tes!V29/SER_hh_fec!V29)</f>
        <v>0.85821498280419417</v>
      </c>
      <c r="W29" s="136">
        <f>IF(SER_hh_tes!W29=0,"",SER_hh_tes!W29/SER_hh_fec!W29)</f>
        <v>0.86521637630872505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0.62315096072648624</v>
      </c>
      <c r="C30" s="137">
        <f>IF(SER_hh_tes!C30=0,"",SER_hh_tes!C30/SER_hh_fec!C30)</f>
        <v>0.62372363423269883</v>
      </c>
      <c r="D30" s="137">
        <f>IF(SER_hh_tes!D30=0,"",SER_hh_tes!D30/SER_hh_fec!D30)</f>
        <v>0.6242480453433995</v>
      </c>
      <c r="E30" s="137">
        <f>IF(SER_hh_tes!E30=0,"",SER_hh_tes!E30/SER_hh_fec!E30)</f>
        <v>0.62438216781551936</v>
      </c>
      <c r="F30" s="137">
        <f>IF(SER_hh_tes!F30=0,"",SER_hh_tes!F30/SER_hh_fec!F30)</f>
        <v>0.62500285722665916</v>
      </c>
      <c r="G30" s="137">
        <f>IF(SER_hh_tes!G30=0,"",SER_hh_tes!G30/SER_hh_fec!G30)</f>
        <v>0.62701884690821119</v>
      </c>
      <c r="H30" s="137">
        <f>IF(SER_hh_tes!H30=0,"",SER_hh_tes!H30/SER_hh_fec!H30)</f>
        <v>0.62911391217590473</v>
      </c>
      <c r="I30" s="137">
        <f>IF(SER_hh_tes!I30=0,"",SER_hh_tes!I30/SER_hh_fec!I30)</f>
        <v>0.63033863443312854</v>
      </c>
      <c r="J30" s="137">
        <f>IF(SER_hh_tes!J30=0,"",SER_hh_tes!J30/SER_hh_fec!J30)</f>
        <v>0.63107113460354125</v>
      </c>
      <c r="K30" s="137">
        <f>IF(SER_hh_tes!K30=0,"",SER_hh_tes!K30/SER_hh_fec!K30)</f>
        <v>0.63165025240521189</v>
      </c>
      <c r="L30" s="137">
        <f>IF(SER_hh_tes!L30=0,"",SER_hh_tes!L30/SER_hh_fec!L30)</f>
        <v>0.63211514766837917</v>
      </c>
      <c r="M30" s="137">
        <f>IF(SER_hh_tes!M30=0,"",SER_hh_tes!M30/SER_hh_fec!M30)</f>
        <v>0.63215129644236867</v>
      </c>
      <c r="N30" s="137">
        <f>IF(SER_hh_tes!N30=0,"",SER_hh_tes!N30/SER_hh_fec!N30)</f>
        <v>0.63218209976377571</v>
      </c>
      <c r="O30" s="137">
        <f>IF(SER_hh_tes!O30=0,"",SER_hh_tes!O30/SER_hh_fec!O30)</f>
        <v>0.63222570500309427</v>
      </c>
      <c r="P30" s="137">
        <f>IF(SER_hh_tes!P30=0,"",SER_hh_tes!P30/SER_hh_fec!P30)</f>
        <v>0.63226155610956081</v>
      </c>
      <c r="Q30" s="137">
        <f>IF(SER_hh_tes!Q30=0,"",SER_hh_tes!Q30/SER_hh_fec!Q30)</f>
        <v>0.63226402977903096</v>
      </c>
      <c r="R30" s="137">
        <f>IF(SER_hh_tes!R30=0,"",SER_hh_tes!R30/SER_hh_fec!R30)</f>
        <v>0.63229725582876195</v>
      </c>
      <c r="S30" s="137">
        <f>IF(SER_hh_tes!S30=0,"",SER_hh_tes!S30/SER_hh_fec!S30)</f>
        <v>0.63274401183626239</v>
      </c>
      <c r="T30" s="137">
        <f>IF(SER_hh_tes!T30=0,"",SER_hh_tes!T30/SER_hh_fec!T30)</f>
        <v>0.63544547298473864</v>
      </c>
      <c r="U30" s="137">
        <f>IF(SER_hh_tes!U30=0,"",SER_hh_tes!U30/SER_hh_fec!U30)</f>
        <v>0.6385984862082682</v>
      </c>
      <c r="V30" s="137">
        <f>IF(SER_hh_tes!V30=0,"",SER_hh_tes!V30/SER_hh_fec!V30)</f>
        <v>0.64046316676548565</v>
      </c>
      <c r="W30" s="137">
        <f>IF(SER_hh_tes!W30=0,"",SER_hh_tes!W30/SER_hh_fec!W30)</f>
        <v>0.64085904762050738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0.62643754294394938</v>
      </c>
      <c r="C31" s="137">
        <f>IF(SER_hh_tes!C31=0,"",SER_hh_tes!C31/SER_hh_fec!C31)</f>
        <v>0.62735784639166803</v>
      </c>
      <c r="D31" s="137">
        <f>IF(SER_hh_tes!D31=0,"",SER_hh_tes!D31/SER_hh_fec!D31)</f>
        <v>0.62838441315209637</v>
      </c>
      <c r="E31" s="137">
        <f>IF(SER_hh_tes!E31=0,"",SER_hh_tes!E31/SER_hh_fec!E31)</f>
        <v>0.62927474096226588</v>
      </c>
      <c r="F31" s="137">
        <f>IF(SER_hh_tes!F31=0,"",SER_hh_tes!F31/SER_hh_fec!F31)</f>
        <v>0.63003288004073454</v>
      </c>
      <c r="G31" s="137">
        <f>IF(SER_hh_tes!G31=0,"",SER_hh_tes!G31/SER_hh_fec!G31)</f>
        <v>0.6307153821035939</v>
      </c>
      <c r="H31" s="137">
        <f>IF(SER_hh_tes!H31=0,"",SER_hh_tes!H31/SER_hh_fec!H31)</f>
        <v>0.63136485872538395</v>
      </c>
      <c r="I31" s="137">
        <f>IF(SER_hh_tes!I31=0,"",SER_hh_tes!I31/SER_hh_fec!I31)</f>
        <v>0.63201407646743035</v>
      </c>
      <c r="J31" s="137">
        <f>IF(SER_hh_tes!J31=0,"",SER_hh_tes!J31/SER_hh_fec!J31)</f>
        <v>0.63268167912876816</v>
      </c>
      <c r="K31" s="137">
        <f>IF(SER_hh_tes!K31=0,"",SER_hh_tes!K31/SER_hh_fec!K31)</f>
        <v>0.63340108725014554</v>
      </c>
      <c r="L31" s="137">
        <f>IF(SER_hh_tes!L31=0,"",SER_hh_tes!L31/SER_hh_fec!L31)</f>
        <v>0.63391233909676625</v>
      </c>
      <c r="M31" s="137">
        <f>IF(SER_hh_tes!M31=0,"",SER_hh_tes!M31/SER_hh_fec!M31)</f>
        <v>0.63397763700727505</v>
      </c>
      <c r="N31" s="137">
        <f>IF(SER_hh_tes!N31=0,"",SER_hh_tes!N31/SER_hh_fec!N31)</f>
        <v>0.63415365670771129</v>
      </c>
      <c r="O31" s="137">
        <f>IF(SER_hh_tes!O31=0,"",SER_hh_tes!O31/SER_hh_fec!O31)</f>
        <v>0.63443686052826076</v>
      </c>
      <c r="P31" s="137">
        <f>IF(SER_hh_tes!P31=0,"",SER_hh_tes!P31/SER_hh_fec!P31)</f>
        <v>0.63469693190715537</v>
      </c>
      <c r="Q31" s="137">
        <f>IF(SER_hh_tes!Q31=0,"",SER_hh_tes!Q31/SER_hh_fec!Q31)</f>
        <v>0.63487493350185475</v>
      </c>
      <c r="R31" s="137">
        <f>IF(SER_hh_tes!R31=0,"",SER_hh_tes!R31/SER_hh_fec!R31)</f>
        <v>0.63505873358364517</v>
      </c>
      <c r="S31" s="137">
        <f>IF(SER_hh_tes!S31=0,"",SER_hh_tes!S31/SER_hh_fec!S31)</f>
        <v>0.63532539652071396</v>
      </c>
      <c r="T31" s="137">
        <f>IF(SER_hh_tes!T31=0,"",SER_hh_tes!T31/SER_hh_fec!T31)</f>
        <v>0.63577196035402894</v>
      </c>
      <c r="U31" s="137">
        <f>IF(SER_hh_tes!U31=0,"",SER_hh_tes!U31/SER_hh_fec!U31)</f>
        <v>0.63675824953847815</v>
      </c>
      <c r="V31" s="137">
        <f>IF(SER_hh_tes!V31=0,"",SER_hh_tes!V31/SER_hh_fec!V31)</f>
        <v>0.63763368646057994</v>
      </c>
      <c r="W31" s="137">
        <f>IF(SER_hh_tes!W31=0,"",SER_hh_tes!W31/SER_hh_fec!W31)</f>
        <v>0.63819347429567341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0.81728253133151962</v>
      </c>
      <c r="C33" s="150">
        <f>IF(SER_hh_tes!C33=0,"",SER_hh_tes!C33/SER_hh_fec!C33)</f>
        <v>0.81906903629489669</v>
      </c>
      <c r="D33" s="150">
        <f>IF(SER_hh_tes!D33=0,"",SER_hh_tes!D33/SER_hh_fec!D33)</f>
        <v>0.82092923635182735</v>
      </c>
      <c r="E33" s="150">
        <f>IF(SER_hh_tes!E33=0,"",SER_hh_tes!E33/SER_hh_fec!E33)</f>
        <v>0.82299079797449304</v>
      </c>
      <c r="F33" s="150">
        <f>IF(SER_hh_tes!F33=0,"",SER_hh_tes!F33/SER_hh_fec!F33)</f>
        <v>0.82500246967324975</v>
      </c>
      <c r="G33" s="150">
        <f>IF(SER_hh_tes!G33=0,"",SER_hh_tes!G33/SER_hh_fec!G33)</f>
        <v>0.82678103621760568</v>
      </c>
      <c r="H33" s="150">
        <f>IF(SER_hh_tes!H33=0,"",SER_hh_tes!H33/SER_hh_fec!H33)</f>
        <v>0.82847994043681583</v>
      </c>
      <c r="I33" s="150">
        <f>IF(SER_hh_tes!I33=0,"",SER_hh_tes!I33/SER_hh_fec!I33)</f>
        <v>0.83055188966265048</v>
      </c>
      <c r="J33" s="150">
        <f>IF(SER_hh_tes!J33=0,"",SER_hh_tes!J33/SER_hh_fec!J33)</f>
        <v>0.83317214305265164</v>
      </c>
      <c r="K33" s="150">
        <f>IF(SER_hh_tes!K33=0,"",SER_hh_tes!K33/SER_hh_fec!K33)</f>
        <v>0.83623711873320616</v>
      </c>
      <c r="L33" s="150">
        <f>IF(SER_hh_tes!L33=0,"",SER_hh_tes!L33/SER_hh_fec!L33)</f>
        <v>0.83840435297910343</v>
      </c>
      <c r="M33" s="150">
        <f>IF(SER_hh_tes!M33=0,"",SER_hh_tes!M33/SER_hh_fec!M33)</f>
        <v>0.839409253325481</v>
      </c>
      <c r="N33" s="150">
        <f>IF(SER_hh_tes!N33=0,"",SER_hh_tes!N33/SER_hh_fec!N33)</f>
        <v>0.84103028391366186</v>
      </c>
      <c r="O33" s="150">
        <f>IF(SER_hh_tes!O33=0,"",SER_hh_tes!O33/SER_hh_fec!O33)</f>
        <v>0.84311473604380671</v>
      </c>
      <c r="P33" s="150">
        <f>IF(SER_hh_tes!P33=0,"",SER_hh_tes!P33/SER_hh_fec!P33)</f>
        <v>0.84532644372704324</v>
      </c>
      <c r="Q33" s="150">
        <f>IF(SER_hh_tes!Q33=0,"",SER_hh_tes!Q33/SER_hh_fec!Q33)</f>
        <v>0.84795020988852754</v>
      </c>
      <c r="R33" s="150">
        <f>IF(SER_hh_tes!R33=0,"",SER_hh_tes!R33/SER_hh_fec!R33)</f>
        <v>0.85098413686845309</v>
      </c>
      <c r="S33" s="150">
        <f>IF(SER_hh_tes!S33=0,"",SER_hh_tes!S33/SER_hh_fec!S33)</f>
        <v>0.85469722777193291</v>
      </c>
      <c r="T33" s="150">
        <f>IF(SER_hh_tes!T33=0,"",SER_hh_tes!T33/SER_hh_fec!T33)</f>
        <v>0.85923660421198023</v>
      </c>
      <c r="U33" s="150">
        <f>IF(SER_hh_tes!U33=0,"",SER_hh_tes!U33/SER_hh_fec!U33)</f>
        <v>0.8650443141253259</v>
      </c>
      <c r="V33" s="150">
        <f>IF(SER_hh_tes!V33=0,"",SER_hh_tes!V33/SER_hh_fec!V33)</f>
        <v>0.87209783631216875</v>
      </c>
      <c r="W33" s="150">
        <f>IF(SER_hh_tes!W33=0,"",SER_hh_tes!W33/SER_hh_fec!W33)</f>
        <v>0.87985644146398845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3357.1379861999999</v>
      </c>
      <c r="C3" s="126">
        <f t="shared" si="0"/>
        <v>3406.2525241200005</v>
      </c>
      <c r="D3" s="126">
        <f t="shared" si="0"/>
        <v>3369.9590056800002</v>
      </c>
      <c r="E3" s="126">
        <f t="shared" si="0"/>
        <v>3512.4602356800001</v>
      </c>
      <c r="F3" s="126">
        <f t="shared" si="0"/>
        <v>2690.2597075200001</v>
      </c>
      <c r="G3" s="126">
        <f t="shared" si="0"/>
        <v>1515.0228850799995</v>
      </c>
      <c r="H3" s="126">
        <f t="shared" si="0"/>
        <v>1459.9620586799992</v>
      </c>
      <c r="I3" s="126">
        <f t="shared" si="0"/>
        <v>1501.3992258000007</v>
      </c>
      <c r="J3" s="126">
        <f t="shared" si="0"/>
        <v>1339.1486391599997</v>
      </c>
      <c r="K3" s="126">
        <f t="shared" si="0"/>
        <v>1143.0836564400001</v>
      </c>
      <c r="L3" s="126">
        <f t="shared" si="0"/>
        <v>1380.0584584799997</v>
      </c>
      <c r="M3" s="126">
        <f t="shared" si="0"/>
        <v>1275.6788089200004</v>
      </c>
      <c r="N3" s="126">
        <f t="shared" si="0"/>
        <v>1173.4774696799996</v>
      </c>
      <c r="O3" s="126">
        <f t="shared" si="0"/>
        <v>1050.2111570400004</v>
      </c>
      <c r="P3" s="126">
        <f t="shared" si="0"/>
        <v>1006.6840516799999</v>
      </c>
      <c r="Q3" s="126">
        <f t="shared" si="0"/>
        <v>955.55723760000092</v>
      </c>
      <c r="R3" s="126">
        <f t="shared" ref="R3:W3" si="1">SUM(R4,R16,R19,R29)</f>
        <v>929.28082535999954</v>
      </c>
      <c r="S3" s="126">
        <f t="shared" si="1"/>
        <v>828.94792629959954</v>
      </c>
      <c r="T3" s="126">
        <f t="shared" si="1"/>
        <v>873.93664799999988</v>
      </c>
      <c r="U3" s="126">
        <f t="shared" si="1"/>
        <v>905.98398048000047</v>
      </c>
      <c r="V3" s="126">
        <f t="shared" si="1"/>
        <v>880.22639735999974</v>
      </c>
      <c r="W3" s="126">
        <f t="shared" si="1"/>
        <v>791.76956436000035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2934.2861871775108</v>
      </c>
      <c r="C4" s="131">
        <f t="shared" si="2"/>
        <v>2952.1535971860089</v>
      </c>
      <c r="D4" s="131">
        <f t="shared" si="2"/>
        <v>2950.2295897925956</v>
      </c>
      <c r="E4" s="131">
        <f t="shared" si="2"/>
        <v>3124.2013011494041</v>
      </c>
      <c r="F4" s="131">
        <f t="shared" si="2"/>
        <v>2340.1327615203504</v>
      </c>
      <c r="G4" s="131">
        <f t="shared" si="2"/>
        <v>1243.8816835193379</v>
      </c>
      <c r="H4" s="131">
        <f t="shared" si="2"/>
        <v>1103.5093751437653</v>
      </c>
      <c r="I4" s="131">
        <f t="shared" si="2"/>
        <v>1086.3306364509847</v>
      </c>
      <c r="J4" s="131">
        <f t="shared" si="2"/>
        <v>959.02820700106315</v>
      </c>
      <c r="K4" s="131">
        <f t="shared" si="2"/>
        <v>892.78927710021264</v>
      </c>
      <c r="L4" s="131">
        <f t="shared" si="2"/>
        <v>1050.0749198959718</v>
      </c>
      <c r="M4" s="131">
        <f t="shared" si="2"/>
        <v>961.42737080549693</v>
      </c>
      <c r="N4" s="131">
        <f t="shared" si="2"/>
        <v>994.95986034059842</v>
      </c>
      <c r="O4" s="131">
        <f t="shared" si="2"/>
        <v>861.2622231313195</v>
      </c>
      <c r="P4" s="131">
        <f t="shared" si="2"/>
        <v>836.7395061038244</v>
      </c>
      <c r="Q4" s="131">
        <f t="shared" si="2"/>
        <v>794.49323741774663</v>
      </c>
      <c r="R4" s="131">
        <f t="shared" ref="R4:W4" si="3">SUM(R5:R15)</f>
        <v>766.75671703763737</v>
      </c>
      <c r="S4" s="131">
        <f t="shared" si="3"/>
        <v>680.29663393042767</v>
      </c>
      <c r="T4" s="131">
        <f t="shared" si="3"/>
        <v>720.700745978236</v>
      </c>
      <c r="U4" s="131">
        <f t="shared" si="3"/>
        <v>746.69340829404155</v>
      </c>
      <c r="V4" s="131">
        <f t="shared" si="3"/>
        <v>726.30122413257141</v>
      </c>
      <c r="W4" s="131">
        <f t="shared" si="3"/>
        <v>649.36151375201212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2877.9662677295282</v>
      </c>
      <c r="C7" s="133">
        <v>2899.5288793759164</v>
      </c>
      <c r="D7" s="133">
        <v>2826.745121917334</v>
      </c>
      <c r="E7" s="133">
        <v>2948.0911682964661</v>
      </c>
      <c r="F7" s="133">
        <v>2163.713689260162</v>
      </c>
      <c r="G7" s="133">
        <v>1058.3063526534172</v>
      </c>
      <c r="H7" s="133">
        <v>916.5757946078653</v>
      </c>
      <c r="I7" s="133">
        <v>893.68913196098663</v>
      </c>
      <c r="J7" s="133">
        <v>758.08206610485138</v>
      </c>
      <c r="K7" s="133">
        <v>797.18102801669738</v>
      </c>
      <c r="L7" s="133">
        <v>832.82073005652683</v>
      </c>
      <c r="M7" s="133">
        <v>771.64264951624114</v>
      </c>
      <c r="N7" s="133">
        <v>740.26191825220178</v>
      </c>
      <c r="O7" s="133">
        <v>643.52823183271175</v>
      </c>
      <c r="P7" s="133">
        <v>632.74037771150654</v>
      </c>
      <c r="Q7" s="133">
        <v>602.10530402150073</v>
      </c>
      <c r="R7" s="133">
        <v>573.32639367659738</v>
      </c>
      <c r="S7" s="133">
        <v>571.36130197464024</v>
      </c>
      <c r="T7" s="133">
        <v>561.85454040316608</v>
      </c>
      <c r="U7" s="133">
        <v>542.1979299342006</v>
      </c>
      <c r="V7" s="133">
        <v>534.50417610629188</v>
      </c>
      <c r="W7" s="133">
        <v>463.50572234384185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56.319919447982386</v>
      </c>
      <c r="C9" s="133">
        <v>52.624717810092427</v>
      </c>
      <c r="D9" s="133">
        <v>123.48446787526159</v>
      </c>
      <c r="E9" s="133">
        <v>176.11013285293788</v>
      </c>
      <c r="F9" s="133">
        <v>176.41907226018847</v>
      </c>
      <c r="G9" s="133">
        <v>185.57533086592079</v>
      </c>
      <c r="H9" s="133">
        <v>186.93358053590009</v>
      </c>
      <c r="I9" s="133">
        <v>192.64150448999803</v>
      </c>
      <c r="J9" s="133">
        <v>200.94614089621177</v>
      </c>
      <c r="K9" s="133">
        <v>95.608249083515275</v>
      </c>
      <c r="L9" s="133">
        <v>217.25418983944502</v>
      </c>
      <c r="M9" s="133">
        <v>189.7847212892558</v>
      </c>
      <c r="N9" s="133">
        <v>254.6979420883967</v>
      </c>
      <c r="O9" s="133">
        <v>217.73399129860772</v>
      </c>
      <c r="P9" s="133">
        <v>203.99912839231791</v>
      </c>
      <c r="Q9" s="133">
        <v>192.38793339624587</v>
      </c>
      <c r="R9" s="133">
        <v>193.43032336104002</v>
      </c>
      <c r="S9" s="133">
        <v>108.93533195578746</v>
      </c>
      <c r="T9" s="133">
        <v>158.84620557506989</v>
      </c>
      <c r="U9" s="133">
        <v>204.49547835984089</v>
      </c>
      <c r="V9" s="133">
        <v>191.79704802627947</v>
      </c>
      <c r="W9" s="133">
        <v>185.85579140817026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290.77055375699297</v>
      </c>
      <c r="C19" s="131">
        <f t="shared" si="6"/>
        <v>284.42563070622197</v>
      </c>
      <c r="D19" s="131">
        <f t="shared" si="6"/>
        <v>274.33180316164294</v>
      </c>
      <c r="E19" s="131">
        <f t="shared" si="6"/>
        <v>267.42508659297118</v>
      </c>
      <c r="F19" s="131">
        <f t="shared" si="6"/>
        <v>241.08976267473562</v>
      </c>
      <c r="G19" s="131">
        <f t="shared" si="6"/>
        <v>160.58069420249171</v>
      </c>
      <c r="H19" s="131">
        <f t="shared" si="6"/>
        <v>163.38660459278779</v>
      </c>
      <c r="I19" s="131">
        <f t="shared" si="6"/>
        <v>137.37521003748009</v>
      </c>
      <c r="J19" s="131">
        <f t="shared" si="6"/>
        <v>123.43750167375579</v>
      </c>
      <c r="K19" s="131">
        <f t="shared" si="6"/>
        <v>76.285938712449081</v>
      </c>
      <c r="L19" s="131">
        <f t="shared" si="6"/>
        <v>71.680012633832206</v>
      </c>
      <c r="M19" s="131">
        <f t="shared" si="6"/>
        <v>74.804601168169029</v>
      </c>
      <c r="N19" s="131">
        <f t="shared" si="6"/>
        <v>101.18460642932305</v>
      </c>
      <c r="O19" s="131">
        <f t="shared" si="6"/>
        <v>106.81236489068741</v>
      </c>
      <c r="P19" s="131">
        <f t="shared" si="6"/>
        <v>81.785654322901195</v>
      </c>
      <c r="Q19" s="131">
        <f t="shared" si="6"/>
        <v>112.68246390386145</v>
      </c>
      <c r="R19" s="131">
        <f t="shared" ref="R19:W19" si="7">SUM(R20:R27)</f>
        <v>111.63805713413986</v>
      </c>
      <c r="S19" s="131">
        <f t="shared" si="7"/>
        <v>106.28134898974224</v>
      </c>
      <c r="T19" s="131">
        <f t="shared" si="7"/>
        <v>108.29013552092059</v>
      </c>
      <c r="U19" s="131">
        <f t="shared" si="7"/>
        <v>108.77268456257823</v>
      </c>
      <c r="V19" s="131">
        <f t="shared" si="7"/>
        <v>105.2843337445764</v>
      </c>
      <c r="W19" s="131">
        <f t="shared" si="7"/>
        <v>92.216990158346093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285.77424323047137</v>
      </c>
      <c r="C22" s="133">
        <v>279.74574570408407</v>
      </c>
      <c r="D22" s="133">
        <v>268.14295472266605</v>
      </c>
      <c r="E22" s="133">
        <v>259.9015283435341</v>
      </c>
      <c r="F22" s="133">
        <v>233.49334301983825</v>
      </c>
      <c r="G22" s="133">
        <v>151.78463802658246</v>
      </c>
      <c r="H22" s="133">
        <v>152.20664715213408</v>
      </c>
      <c r="I22" s="133">
        <v>126.16275203901385</v>
      </c>
      <c r="J22" s="133">
        <v>111.18865897514846</v>
      </c>
      <c r="K22" s="133">
        <v>64.159572423302734</v>
      </c>
      <c r="L22" s="133">
        <v>58.767107463473238</v>
      </c>
      <c r="M22" s="133">
        <v>61.854920203759079</v>
      </c>
      <c r="N22" s="133">
        <v>87.939815307797744</v>
      </c>
      <c r="O22" s="133">
        <v>93.208261767288803</v>
      </c>
      <c r="P22" s="133">
        <v>67.263478808493588</v>
      </c>
      <c r="Q22" s="133">
        <v>98.409967058499845</v>
      </c>
      <c r="R22" s="133">
        <v>97.044479003402117</v>
      </c>
      <c r="S22" s="133">
        <v>97.945449945359428</v>
      </c>
      <c r="T22" s="133">
        <v>97.112603636833882</v>
      </c>
      <c r="U22" s="133">
        <v>93.28986614579955</v>
      </c>
      <c r="V22" s="133">
        <v>90.325172333708068</v>
      </c>
      <c r="W22" s="133">
        <v>77.337177696158463</v>
      </c>
      <c r="DA22" s="157" t="s">
        <v>372</v>
      </c>
    </row>
    <row r="23" spans="1:105" ht="12" customHeight="1" x14ac:dyDescent="0.25">
      <c r="A23" s="132" t="s">
        <v>153</v>
      </c>
      <c r="B23" s="133">
        <v>4.9963105265216168</v>
      </c>
      <c r="C23" s="133">
        <v>4.6798850021378904</v>
      </c>
      <c r="D23" s="133">
        <v>6.1888484389768808</v>
      </c>
      <c r="E23" s="133">
        <v>7.5235582494370856</v>
      </c>
      <c r="F23" s="133">
        <v>7.596419654897379</v>
      </c>
      <c r="G23" s="133">
        <v>8.7960561759092695</v>
      </c>
      <c r="H23" s="133">
        <v>11.179957440653716</v>
      </c>
      <c r="I23" s="133">
        <v>11.212457998466229</v>
      </c>
      <c r="J23" s="133">
        <v>12.248842698607332</v>
      </c>
      <c r="K23" s="133">
        <v>12.126366289146349</v>
      </c>
      <c r="L23" s="133">
        <v>12.912905170358961</v>
      </c>
      <c r="M23" s="133">
        <v>12.949680964409945</v>
      </c>
      <c r="N23" s="133">
        <v>13.244791121525303</v>
      </c>
      <c r="O23" s="133">
        <v>13.604103123398597</v>
      </c>
      <c r="P23" s="133">
        <v>14.522175514407609</v>
      </c>
      <c r="Q23" s="133">
        <v>14.2724968453616</v>
      </c>
      <c r="R23" s="133">
        <v>14.593578130737741</v>
      </c>
      <c r="S23" s="133">
        <v>8.3358990443828169</v>
      </c>
      <c r="T23" s="133">
        <v>11.177531884086697</v>
      </c>
      <c r="U23" s="133">
        <v>15.482818416778683</v>
      </c>
      <c r="V23" s="133">
        <v>14.959161410868337</v>
      </c>
      <c r="W23" s="133">
        <v>14.879812462187632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132.08124526549605</v>
      </c>
      <c r="C29" s="131">
        <f t="shared" si="8"/>
        <v>169.67329622776967</v>
      </c>
      <c r="D29" s="131">
        <f t="shared" si="8"/>
        <v>145.39761272576158</v>
      </c>
      <c r="E29" s="131">
        <f t="shared" si="8"/>
        <v>120.83384793762499</v>
      </c>
      <c r="F29" s="131">
        <f t="shared" si="8"/>
        <v>109.0371833249142</v>
      </c>
      <c r="G29" s="131">
        <f t="shared" si="8"/>
        <v>110.56050735816987</v>
      </c>
      <c r="H29" s="131">
        <f t="shared" si="8"/>
        <v>193.06607894344631</v>
      </c>
      <c r="I29" s="131">
        <f t="shared" si="8"/>
        <v>277.69337931153575</v>
      </c>
      <c r="J29" s="131">
        <f t="shared" si="8"/>
        <v>256.68293048518086</v>
      </c>
      <c r="K29" s="131">
        <f t="shared" si="8"/>
        <v>174.00844062733847</v>
      </c>
      <c r="L29" s="131">
        <f t="shared" si="8"/>
        <v>258.30352595019571</v>
      </c>
      <c r="M29" s="131">
        <f t="shared" si="8"/>
        <v>239.44683694633443</v>
      </c>
      <c r="N29" s="131">
        <f t="shared" si="8"/>
        <v>77.333002910078079</v>
      </c>
      <c r="O29" s="131">
        <f t="shared" si="8"/>
        <v>82.136569017993594</v>
      </c>
      <c r="P29" s="131">
        <f t="shared" si="8"/>
        <v>88.158891253274305</v>
      </c>
      <c r="Q29" s="131">
        <f t="shared" si="8"/>
        <v>48.381536278392744</v>
      </c>
      <c r="R29" s="131">
        <f t="shared" ref="R29:W29" si="9">SUM(R30:R33)</f>
        <v>50.886051188222268</v>
      </c>
      <c r="S29" s="131">
        <f t="shared" si="9"/>
        <v>42.369943379429657</v>
      </c>
      <c r="T29" s="131">
        <f t="shared" si="9"/>
        <v>44.945766500843263</v>
      </c>
      <c r="U29" s="131">
        <f t="shared" si="9"/>
        <v>50.517887623380666</v>
      </c>
      <c r="V29" s="131">
        <f t="shared" si="9"/>
        <v>48.640839482851923</v>
      </c>
      <c r="W29" s="131">
        <f t="shared" si="9"/>
        <v>50.191060449642102</v>
      </c>
      <c r="DA29" s="156" t="s">
        <v>236</v>
      </c>
    </row>
    <row r="30" spans="1:105" ht="12" customHeight="1" x14ac:dyDescent="0.25">
      <c r="A30" s="132" t="s">
        <v>52</v>
      </c>
      <c r="B30" s="133">
        <v>110.43133524000002</v>
      </c>
      <c r="C30" s="133">
        <v>149.23139903999999</v>
      </c>
      <c r="D30" s="133">
        <v>122.36972904</v>
      </c>
      <c r="E30" s="133">
        <v>95.508059039999992</v>
      </c>
      <c r="F30" s="133">
        <v>83.56966524000002</v>
      </c>
      <c r="G30" s="133">
        <v>84.978284400000007</v>
      </c>
      <c r="H30" s="133">
        <v>167.35717692000003</v>
      </c>
      <c r="I30" s="133">
        <v>252.05787179999996</v>
      </c>
      <c r="J30" s="133">
        <v>231.30294408000006</v>
      </c>
      <c r="K30" s="133">
        <v>151.59522600000008</v>
      </c>
      <c r="L30" s="133">
        <v>239.09862095999989</v>
      </c>
      <c r="M30" s="133">
        <v>220.8835692000001</v>
      </c>
      <c r="N30" s="133">
        <v>59.653806120000027</v>
      </c>
      <c r="O30" s="133">
        <v>64.861903439999978</v>
      </c>
      <c r="P30" s="133">
        <v>70.487975159999991</v>
      </c>
      <c r="Q30" s="133">
        <v>31.926656519999987</v>
      </c>
      <c r="R30" s="133">
        <v>33.977002680000005</v>
      </c>
      <c r="S30" s="133">
        <v>32.85694713960001</v>
      </c>
      <c r="T30" s="133">
        <v>31.741293960000014</v>
      </c>
      <c r="U30" s="133">
        <v>31.741293960000004</v>
      </c>
      <c r="V30" s="133">
        <v>31.74129396</v>
      </c>
      <c r="W30" s="133">
        <v>31.741293960000018</v>
      </c>
      <c r="DA30" s="157" t="s">
        <v>378</v>
      </c>
    </row>
    <row r="31" spans="1:105" ht="12" customHeight="1" x14ac:dyDescent="0.25">
      <c r="A31" s="132" t="s">
        <v>153</v>
      </c>
      <c r="B31" s="133">
        <v>21.64991002549603</v>
      </c>
      <c r="C31" s="133">
        <v>20.441897187769673</v>
      </c>
      <c r="D31" s="133">
        <v>23.027883685761587</v>
      </c>
      <c r="E31" s="133">
        <v>25.325788897625003</v>
      </c>
      <c r="F31" s="133">
        <v>25.467518084914168</v>
      </c>
      <c r="G31" s="133">
        <v>25.582222958169858</v>
      </c>
      <c r="H31" s="133">
        <v>25.708902023446282</v>
      </c>
      <c r="I31" s="133">
        <v>25.635507511535813</v>
      </c>
      <c r="J31" s="133">
        <v>25.379986405180809</v>
      </c>
      <c r="K31" s="133">
        <v>22.41321462733838</v>
      </c>
      <c r="L31" s="133">
        <v>19.204904990195821</v>
      </c>
      <c r="M31" s="133">
        <v>18.563267746334333</v>
      </c>
      <c r="N31" s="133">
        <v>17.679196790078045</v>
      </c>
      <c r="O31" s="133">
        <v>17.274665577993623</v>
      </c>
      <c r="P31" s="133">
        <v>17.670916093274307</v>
      </c>
      <c r="Q31" s="133">
        <v>16.454879758392753</v>
      </c>
      <c r="R31" s="133">
        <v>16.909048508222263</v>
      </c>
      <c r="S31" s="133">
        <v>9.5129962398296435</v>
      </c>
      <c r="T31" s="133">
        <v>13.204472540843245</v>
      </c>
      <c r="U31" s="133">
        <v>18.776593663380662</v>
      </c>
      <c r="V31" s="133">
        <v>16.899545522851923</v>
      </c>
      <c r="W31" s="133">
        <v>18.449766489642084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252771.69070953078</v>
      </c>
      <c r="C3" s="126">
        <f>IF(SER_hh_fec!C3=0,0,11630*1000*SER_hh_fec!C3/SER_hh_num!C3)</f>
        <v>273570.0167346751</v>
      </c>
      <c r="D3" s="126">
        <f>IF(SER_hh_fec!D3=0,0,11630*1000*SER_hh_fec!D3/SER_hh_num!D3)</f>
        <v>267260.3576739761</v>
      </c>
      <c r="E3" s="126">
        <f>IF(SER_hh_fec!E3=0,0,11630*1000*SER_hh_fec!E3/SER_hh_num!E3)</f>
        <v>263057.16969580669</v>
      </c>
      <c r="F3" s="126">
        <f>IF(SER_hh_fec!F3=0,0,11630*1000*SER_hh_fec!F3/SER_hh_num!F3)</f>
        <v>241449.93818303969</v>
      </c>
      <c r="G3" s="126">
        <f>IF(SER_hh_fec!G3=0,0,11630*1000*SER_hh_fec!G3/SER_hh_num!G3)</f>
        <v>206969.09415644899</v>
      </c>
      <c r="H3" s="126">
        <f>IF(SER_hh_fec!H3=0,0,11630*1000*SER_hh_fec!H3/SER_hh_num!H3)</f>
        <v>205221.62203470798</v>
      </c>
      <c r="I3" s="126">
        <f>IF(SER_hh_fec!I3=0,0,11630*1000*SER_hh_fec!I3/SER_hh_num!I3)</f>
        <v>205693.51520755884</v>
      </c>
      <c r="J3" s="126">
        <f>IF(SER_hh_fec!J3=0,0,11630*1000*SER_hh_fec!J3/SER_hh_num!J3)</f>
        <v>199425.44428801842</v>
      </c>
      <c r="K3" s="126">
        <f>IF(SER_hh_fec!K3=0,0,11630*1000*SER_hh_fec!K3/SER_hh_num!K3)</f>
        <v>188186.235095418</v>
      </c>
      <c r="L3" s="126">
        <f>IF(SER_hh_fec!L3=0,0,11630*1000*SER_hh_fec!L3/SER_hh_num!L3)</f>
        <v>203467.99881709032</v>
      </c>
      <c r="M3" s="126">
        <f>IF(SER_hh_fec!M3=0,0,11630*1000*SER_hh_fec!M3/SER_hh_num!M3)</f>
        <v>173048.46814425339</v>
      </c>
      <c r="N3" s="126">
        <f>IF(SER_hh_fec!N3=0,0,11630*1000*SER_hh_fec!N3/SER_hh_num!N3)</f>
        <v>182270.51948885332</v>
      </c>
      <c r="O3" s="126">
        <f>IF(SER_hh_fec!O3=0,0,11630*1000*SER_hh_fec!O3/SER_hh_num!O3)</f>
        <v>172777.47942340194</v>
      </c>
      <c r="P3" s="126">
        <f>IF(SER_hh_fec!P3=0,0,11630*1000*SER_hh_fec!P3/SER_hh_num!P3)</f>
        <v>169595.87997885712</v>
      </c>
      <c r="Q3" s="126">
        <f>IF(SER_hh_fec!Q3=0,0,11630*1000*SER_hh_fec!Q3/SER_hh_num!Q3)</f>
        <v>168841.02058257576</v>
      </c>
      <c r="R3" s="126">
        <f>IF(SER_hh_fec!R3=0,0,11630*1000*SER_hh_fec!R3/SER_hh_num!R3)</f>
        <v>176788.89420341427</v>
      </c>
      <c r="S3" s="126">
        <f>IF(SER_hh_fec!S3=0,0,11630*1000*SER_hh_fec!S3/SER_hh_num!S3)</f>
        <v>160891.55589964034</v>
      </c>
      <c r="T3" s="126">
        <f>IF(SER_hh_fec!T3=0,0,11630*1000*SER_hh_fec!T3/SER_hh_num!T3)</f>
        <v>165169.73593901069</v>
      </c>
      <c r="U3" s="126">
        <f>IF(SER_hh_fec!U3=0,0,11630*1000*SER_hh_fec!U3/SER_hh_num!U3)</f>
        <v>157060.05745333378</v>
      </c>
      <c r="V3" s="126">
        <f>IF(SER_hh_fec!V3=0,0,11630*1000*SER_hh_fec!V3/SER_hh_num!V3)</f>
        <v>146502.34053544945</v>
      </c>
      <c r="W3" s="126">
        <f>IF(SER_hh_fec!W3=0,0,11630*1000*SER_hh_fec!W3/SER_hh_num!W3)</f>
        <v>158151.66369705059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204755.55101706958</v>
      </c>
      <c r="C4" s="131">
        <f>IF(SER_hh_fec!C4=0,0,11630*1000*SER_hh_fec!C4/SER_hh_num!C4)</f>
        <v>225303.94873960433</v>
      </c>
      <c r="D4" s="131">
        <f>IF(SER_hh_fec!D4=0,0,11630*1000*SER_hh_fec!D4/SER_hh_num!D4)</f>
        <v>219684.55514342347</v>
      </c>
      <c r="E4" s="131">
        <f>IF(SER_hh_fec!E4=0,0,11630*1000*SER_hh_fec!E4/SER_hh_num!E4)</f>
        <v>216039.51556988381</v>
      </c>
      <c r="F4" s="131">
        <f>IF(SER_hh_fec!F4=0,0,11630*1000*SER_hh_fec!F4/SER_hh_num!F4)</f>
        <v>194964.44892387613</v>
      </c>
      <c r="G4" s="131">
        <f>IF(SER_hh_fec!G4=0,0,11630*1000*SER_hh_fec!G4/SER_hh_num!G4)</f>
        <v>161301.04131174571</v>
      </c>
      <c r="H4" s="131">
        <f>IF(SER_hh_fec!H4=0,0,11630*1000*SER_hh_fec!H4/SER_hh_num!H4)</f>
        <v>159140.13889508625</v>
      </c>
      <c r="I4" s="131">
        <f>IF(SER_hh_fec!I4=0,0,11630*1000*SER_hh_fec!I4/SER_hh_num!I4)</f>
        <v>159069.04628894298</v>
      </c>
      <c r="J4" s="131">
        <f>IF(SER_hh_fec!J4=0,0,11630*1000*SER_hh_fec!J4/SER_hh_num!J4)</f>
        <v>153051.90630208229</v>
      </c>
      <c r="K4" s="131">
        <f>IF(SER_hh_fec!K4=0,0,11630*1000*SER_hh_fec!K4/SER_hh_num!K4)</f>
        <v>142566.94649106829</v>
      </c>
      <c r="L4" s="131">
        <f>IF(SER_hh_fec!L4=0,0,11630*1000*SER_hh_fec!L4/SER_hh_num!L4)</f>
        <v>157456.032830162</v>
      </c>
      <c r="M4" s="131">
        <f>IF(SER_hh_fec!M4=0,0,11630*1000*SER_hh_fec!M4/SER_hh_num!M4)</f>
        <v>127272.45532071653</v>
      </c>
      <c r="N4" s="131">
        <f>IF(SER_hh_fec!N4=0,0,11630*1000*SER_hh_fec!N4/SER_hh_num!N4)</f>
        <v>137402.18136221854</v>
      </c>
      <c r="O4" s="131">
        <f>IF(SER_hh_fec!O4=0,0,11630*1000*SER_hh_fec!O4/SER_hh_num!O4)</f>
        <v>128107.39254685717</v>
      </c>
      <c r="P4" s="131">
        <f>IF(SER_hh_fec!P4=0,0,11630*1000*SER_hh_fec!P4/SER_hh_num!P4)</f>
        <v>125093.12675914422</v>
      </c>
      <c r="Q4" s="131">
        <f>IF(SER_hh_fec!Q4=0,0,11630*1000*SER_hh_fec!Q4/SER_hh_num!Q4)</f>
        <v>124892.20404075115</v>
      </c>
      <c r="R4" s="131">
        <f>IF(SER_hh_fec!R4=0,0,11630*1000*SER_hh_fec!R4/SER_hh_num!R4)</f>
        <v>133102.4575873258</v>
      </c>
      <c r="S4" s="131">
        <f>IF(SER_hh_fec!S4=0,0,11630*1000*SER_hh_fec!S4/SER_hh_num!S4)</f>
        <v>117764.76299533652</v>
      </c>
      <c r="T4" s="131">
        <f>IF(SER_hh_fec!T4=0,0,11630*1000*SER_hh_fec!T4/SER_hh_num!T4)</f>
        <v>122338.27277013696</v>
      </c>
      <c r="U4" s="131">
        <f>IF(SER_hh_fec!U4=0,0,11630*1000*SER_hh_fec!U4/SER_hh_num!U4)</f>
        <v>114551.27590935151</v>
      </c>
      <c r="V4" s="131">
        <f>IF(SER_hh_fec!V4=0,0,11630*1000*SER_hh_fec!V4/SER_hh_num!V4)</f>
        <v>105940.58394126425</v>
      </c>
      <c r="W4" s="131">
        <f>IF(SER_hh_fec!W4=0,0,11630*1000*SER_hh_fec!W4/SER_hh_num!W4)</f>
        <v>117442.58339947168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293503.83889807493</v>
      </c>
      <c r="C7" s="133">
        <f>IF(SER_hh_fec!C7=0,0,11630*1000*SER_hh_fec!C7/SER_hh_num!C7)</f>
        <v>308544.95315998368</v>
      </c>
      <c r="D7" s="133">
        <f>IF(SER_hh_fec!D7=0,0,11630*1000*SER_hh_fec!D7/SER_hh_num!D7)</f>
        <v>306092.03272968077</v>
      </c>
      <c r="E7" s="133">
        <f>IF(SER_hh_fec!E7=0,0,11630*1000*SER_hh_fec!E7/SER_hh_num!E7)</f>
        <v>341131.04840641684</v>
      </c>
      <c r="F7" s="133">
        <f>IF(SER_hh_fec!F7=0,0,11630*1000*SER_hh_fec!F7/SER_hh_num!F7)</f>
        <v>299752.15644989611</v>
      </c>
      <c r="G7" s="133">
        <f>IF(SER_hh_fec!G7=0,0,11630*1000*SER_hh_fec!G7/SER_hh_num!G7)</f>
        <v>198636.93216133537</v>
      </c>
      <c r="H7" s="133">
        <f>IF(SER_hh_fec!H7=0,0,11630*1000*SER_hh_fec!H7/SER_hh_num!H7)</f>
        <v>220870.39737439813</v>
      </c>
      <c r="I7" s="133">
        <f>IF(SER_hh_fec!I7=0,0,11630*1000*SER_hh_fec!I7/SER_hh_num!I7)</f>
        <v>248258.6380973554</v>
      </c>
      <c r="J7" s="133">
        <f>IF(SER_hh_fec!J7=0,0,11630*1000*SER_hh_fec!J7/SER_hh_num!J7)</f>
        <v>223442.60735482894</v>
      </c>
      <c r="K7" s="133">
        <f>IF(SER_hh_fec!K7=0,0,11630*1000*SER_hh_fec!K7/SER_hh_num!K7)</f>
        <v>226701.19047268195</v>
      </c>
      <c r="L7" s="133">
        <f>IF(SER_hh_fec!L7=0,0,11630*1000*SER_hh_fec!L7/SER_hh_num!L7)</f>
        <v>227205.23648277583</v>
      </c>
      <c r="M7" s="133">
        <f>IF(SER_hh_fec!M7=0,0,11630*1000*SER_hh_fec!M7/SER_hh_num!M7)</f>
        <v>197716.06814524584</v>
      </c>
      <c r="N7" s="133">
        <f>IF(SER_hh_fec!N7=0,0,11630*1000*SER_hh_fec!N7/SER_hh_num!N7)</f>
        <v>189240.0882602357</v>
      </c>
      <c r="O7" s="133">
        <f>IF(SER_hh_fec!O7=0,0,11630*1000*SER_hh_fec!O7/SER_hh_num!O7)</f>
        <v>167486.87124599275</v>
      </c>
      <c r="P7" s="133">
        <f>IF(SER_hh_fec!P7=0,0,11630*1000*SER_hh_fec!P7/SER_hh_num!P7)</f>
        <v>171155.17182361646</v>
      </c>
      <c r="Q7" s="133">
        <f>IF(SER_hh_fec!Q7=0,0,11630*1000*SER_hh_fec!Q7/SER_hh_num!Q7)</f>
        <v>166983.86691202113</v>
      </c>
      <c r="R7" s="133">
        <f>IF(SER_hh_fec!R7=0,0,11630*1000*SER_hh_fec!R7/SER_hh_num!R7)</f>
        <v>164975.29660929265</v>
      </c>
      <c r="S7" s="133">
        <f>IF(SER_hh_fec!S7=0,0,11630*1000*SER_hh_fec!S7/SER_hh_num!S7)</f>
        <v>162945.06038957584</v>
      </c>
      <c r="T7" s="133">
        <f>IF(SER_hh_fec!T7=0,0,11630*1000*SER_hh_fec!T7/SER_hh_num!T7)</f>
        <v>160655.04756299322</v>
      </c>
      <c r="U7" s="133">
        <f>IF(SER_hh_fec!U7=0,0,11630*1000*SER_hh_fec!U7/SER_hh_num!U7)</f>
        <v>152931.31027537497</v>
      </c>
      <c r="V7" s="133">
        <f>IF(SER_hh_fec!V7=0,0,11630*1000*SER_hh_fec!V7/SER_hh_num!V7)</f>
        <v>152236.43025785696</v>
      </c>
      <c r="W7" s="133">
        <f>IF(SER_hh_fec!W7=0,0,11630*1000*SER_hh_fec!W7/SER_hh_num!W7)</f>
        <v>146788.23219762655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269662.27952721663</v>
      </c>
      <c r="C9" s="133">
        <f>IF(SER_hh_fec!C9=0,0,11630*1000*SER_hh_fec!C9/SER_hh_num!C9)</f>
        <v>195401.45296588843</v>
      </c>
      <c r="D9" s="133">
        <f>IF(SER_hh_fec!D9=0,0,11630*1000*SER_hh_fec!D9/SER_hh_num!D9)</f>
        <v>258318.80079451684</v>
      </c>
      <c r="E9" s="133">
        <f>IF(SER_hh_fec!E9=0,0,11630*1000*SER_hh_fec!E9/SER_hh_num!E9)</f>
        <v>265965.17047043802</v>
      </c>
      <c r="F9" s="133">
        <f>IF(SER_hh_fec!F9=0,0,11630*1000*SER_hh_fec!F9/SER_hh_num!F9)</f>
        <v>219473.02773011904</v>
      </c>
      <c r="G9" s="133">
        <f>IF(SER_hh_fec!G9=0,0,11630*1000*SER_hh_fec!G9/SER_hh_num!G9)</f>
        <v>203471.12356883878</v>
      </c>
      <c r="H9" s="133">
        <f>IF(SER_hh_fec!H9=0,0,11630*1000*SER_hh_fec!H9/SER_hh_num!H9)</f>
        <v>192587.44864768587</v>
      </c>
      <c r="I9" s="133">
        <f>IF(SER_hh_fec!I9=0,0,11630*1000*SER_hh_fec!I9/SER_hh_num!I9)</f>
        <v>199198.10427242293</v>
      </c>
      <c r="J9" s="133">
        <f>IF(SER_hh_fec!J9=0,0,11630*1000*SER_hh_fec!J9/SER_hh_num!J9)</f>
        <v>211096.14995750194</v>
      </c>
      <c r="K9" s="133">
        <f>IF(SER_hh_fec!K9=0,0,11630*1000*SER_hh_fec!K9/SER_hh_num!K9)</f>
        <v>98279.092248031739</v>
      </c>
      <c r="L9" s="133">
        <f>IF(SER_hh_fec!L9=0,0,11630*1000*SER_hh_fec!L9/SER_hh_num!L9)</f>
        <v>204621.25079396792</v>
      </c>
      <c r="M9" s="133">
        <f>IF(SER_hh_fec!M9=0,0,11630*1000*SER_hh_fec!M9/SER_hh_num!M9)</f>
        <v>156716.6188156151</v>
      </c>
      <c r="N9" s="133">
        <f>IF(SER_hh_fec!N9=0,0,11630*1000*SER_hh_fec!N9/SER_hh_num!N9)</f>
        <v>185794.82198977325</v>
      </c>
      <c r="O9" s="133">
        <f>IF(SER_hh_fec!O9=0,0,11630*1000*SER_hh_fec!O9/SER_hh_num!O9)</f>
        <v>159941.85720295247</v>
      </c>
      <c r="P9" s="133">
        <f>IF(SER_hh_fec!P9=0,0,11630*1000*SER_hh_fec!P9/SER_hh_num!P9)</f>
        <v>154802.23519691208</v>
      </c>
      <c r="Q9" s="133">
        <f>IF(SER_hh_fec!Q9=0,0,11630*1000*SER_hh_fec!Q9/SER_hh_num!Q9)</f>
        <v>159765.22605505137</v>
      </c>
      <c r="R9" s="133">
        <f>IF(SER_hh_fec!R9=0,0,11630*1000*SER_hh_fec!R9/SER_hh_num!R9)</f>
        <v>175893.32899714002</v>
      </c>
      <c r="S9" s="133">
        <f>IF(SER_hh_fec!S9=0,0,11630*1000*SER_hh_fec!S9/SER_hh_num!S9)</f>
        <v>97798.125541337213</v>
      </c>
      <c r="T9" s="133">
        <f>IF(SER_hh_fec!T9=0,0,11630*1000*SER_hh_fec!T9/SER_hh_num!T9)</f>
        <v>140395.07711540832</v>
      </c>
      <c r="U9" s="133">
        <f>IF(SER_hh_fec!U9=0,0,11630*1000*SER_hh_fec!U9/SER_hh_num!U9)</f>
        <v>162041.01904392507</v>
      </c>
      <c r="V9" s="133">
        <f>IF(SER_hh_fec!V9=0,0,11630*1000*SER_hh_fec!V9/SER_hh_num!V9)</f>
        <v>143610.66972313885</v>
      </c>
      <c r="W9" s="133">
        <f>IF(SER_hh_fec!W9=0,0,11630*1000*SER_hh_fec!W9/SER_hh_num!W9)</f>
        <v>136226.3113238099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193693.46875919742</v>
      </c>
      <c r="C10" s="133">
        <f>IF(SER_hh_fec!C10=0,0,11630*1000*SER_hh_fec!C10/SER_hh_num!C10)</f>
        <v>386223.42791633506</v>
      </c>
      <c r="D10" s="133">
        <f>IF(SER_hh_fec!D10=0,0,11630*1000*SER_hh_fec!D10/SER_hh_num!D10)</f>
        <v>256562.25777555973</v>
      </c>
      <c r="E10" s="133">
        <f>IF(SER_hh_fec!E10=0,0,11630*1000*SER_hh_fec!E10/SER_hh_num!E10)</f>
        <v>178898.90203551782</v>
      </c>
      <c r="F10" s="133">
        <f>IF(SER_hh_fec!F10=0,0,11630*1000*SER_hh_fec!F10/SER_hh_num!F10)</f>
        <v>291108.45630136644</v>
      </c>
      <c r="G10" s="133">
        <f>IF(SER_hh_fec!G10=0,0,11630*1000*SER_hh_fec!G10/SER_hh_num!G10)</f>
        <v>280958.62275570806</v>
      </c>
      <c r="H10" s="133">
        <f>IF(SER_hh_fec!H10=0,0,11630*1000*SER_hh_fec!H10/SER_hh_num!H10)</f>
        <v>196481.09861877258</v>
      </c>
      <c r="I10" s="133">
        <f>IF(SER_hh_fec!I10=0,0,11630*1000*SER_hh_fec!I10/SER_hh_num!I10)</f>
        <v>207068.61560545213</v>
      </c>
      <c r="J10" s="133">
        <f>IF(SER_hh_fec!J10=0,0,11630*1000*SER_hh_fec!J10/SER_hh_num!J10)</f>
        <v>213977.60787743138</v>
      </c>
      <c r="K10" s="133">
        <f>IF(SER_hh_fec!K10=0,0,11630*1000*SER_hh_fec!K10/SER_hh_num!K10)</f>
        <v>208270.5079288444</v>
      </c>
      <c r="L10" s="133">
        <f>IF(SER_hh_fec!L10=0,0,11630*1000*SER_hh_fec!L10/SER_hh_num!L10)</f>
        <v>205491.37089764583</v>
      </c>
      <c r="M10" s="133">
        <f>IF(SER_hh_fec!M10=0,0,11630*1000*SER_hh_fec!M10/SER_hh_num!M10)</f>
        <v>183564.01445186709</v>
      </c>
      <c r="N10" s="133">
        <f>IF(SER_hh_fec!N10=0,0,11630*1000*SER_hh_fec!N10/SER_hh_num!N10)</f>
        <v>233178.91855732695</v>
      </c>
      <c r="O10" s="133">
        <f>IF(SER_hh_fec!O10=0,0,11630*1000*SER_hh_fec!O10/SER_hh_num!O10)</f>
        <v>131998.94575865145</v>
      </c>
      <c r="P10" s="133">
        <f>IF(SER_hh_fec!P10=0,0,11630*1000*SER_hh_fec!P10/SER_hh_num!P10)</f>
        <v>180744.77887990908</v>
      </c>
      <c r="Q10" s="133">
        <f>IF(SER_hh_fec!Q10=0,0,11630*1000*SER_hh_fec!Q10/SER_hh_num!Q10)</f>
        <v>168224.98645528447</v>
      </c>
      <c r="R10" s="133">
        <f>IF(SER_hh_fec!R10=0,0,11630*1000*SER_hh_fec!R10/SER_hh_num!R10)</f>
        <v>267881.27564151853</v>
      </c>
      <c r="S10" s="133">
        <f>IF(SER_hh_fec!S10=0,0,11630*1000*SER_hh_fec!S10/SER_hh_num!S10)</f>
        <v>263796.86713235226</v>
      </c>
      <c r="T10" s="133">
        <f>IF(SER_hh_fec!T10=0,0,11630*1000*SER_hh_fec!T10/SER_hh_num!T10)</f>
        <v>267057.2351172613</v>
      </c>
      <c r="U10" s="133">
        <f>IF(SER_hh_fec!U10=0,0,11630*1000*SER_hh_fec!U10/SER_hh_num!U10)</f>
        <v>159796.15714426347</v>
      </c>
      <c r="V10" s="133">
        <f>IF(SER_hh_fec!V10=0,0,11630*1000*SER_hh_fec!V10/SER_hh_num!V10)</f>
        <v>170839.42949157662</v>
      </c>
      <c r="W10" s="133">
        <f>IF(SER_hh_fec!W10=0,0,11630*1000*SER_hh_fec!W10/SER_hh_num!W10)</f>
        <v>188778.23784908411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170451.01606823158</v>
      </c>
      <c r="C12" s="133">
        <f>IF(SER_hh_fec!C12=0,0,11630*1000*SER_hh_fec!C12/SER_hh_num!C12)</f>
        <v>186757.87520932688</v>
      </c>
      <c r="D12" s="133">
        <f>IF(SER_hh_fec!D12=0,0,11630*1000*SER_hh_fec!D12/SER_hh_num!D12)</f>
        <v>182589.48390391227</v>
      </c>
      <c r="E12" s="133">
        <f>IF(SER_hh_fec!E12=0,0,11630*1000*SER_hh_fec!E12/SER_hh_num!E12)</f>
        <v>177772.71122214696</v>
      </c>
      <c r="F12" s="133">
        <f>IF(SER_hh_fec!F12=0,0,11630*1000*SER_hh_fec!F12/SER_hh_num!F12)</f>
        <v>161686.53764329836</v>
      </c>
      <c r="G12" s="133">
        <f>IF(SER_hh_fec!G12=0,0,11630*1000*SER_hh_fec!G12/SER_hh_num!G12)</f>
        <v>154909.97110539381</v>
      </c>
      <c r="H12" s="133">
        <f>IF(SER_hh_fec!H12=0,0,11630*1000*SER_hh_fec!H12/SER_hh_num!H12)</f>
        <v>148267.0842017023</v>
      </c>
      <c r="I12" s="133">
        <f>IF(SER_hh_fec!I12=0,0,11630*1000*SER_hh_fec!I12/SER_hh_num!I12)</f>
        <v>138580.4910271327</v>
      </c>
      <c r="J12" s="133">
        <f>IF(SER_hh_fec!J12=0,0,11630*1000*SER_hh_fec!J12/SER_hh_num!J12)</f>
        <v>137990.70860345449</v>
      </c>
      <c r="K12" s="133">
        <f>IF(SER_hh_fec!K12=0,0,11630*1000*SER_hh_fec!K12/SER_hh_num!K12)</f>
        <v>138560.59892478344</v>
      </c>
      <c r="L12" s="133">
        <f>IF(SER_hh_fec!L12=0,0,11630*1000*SER_hh_fec!L12/SER_hh_num!L12)</f>
        <v>150600.60243301452</v>
      </c>
      <c r="M12" s="133">
        <f>IF(SER_hh_fec!M12=0,0,11630*1000*SER_hh_fec!M12/SER_hh_num!M12)</f>
        <v>122391.78309383788</v>
      </c>
      <c r="N12" s="133">
        <f>IF(SER_hh_fec!N12=0,0,11630*1000*SER_hh_fec!N12/SER_hh_num!N12)</f>
        <v>132959.60267344912</v>
      </c>
      <c r="O12" s="133">
        <f>IF(SER_hh_fec!O12=0,0,11630*1000*SER_hh_fec!O12/SER_hh_num!O12)</f>
        <v>131082.08953606093</v>
      </c>
      <c r="P12" s="133">
        <f>IF(SER_hh_fec!P12=0,0,11630*1000*SER_hh_fec!P12/SER_hh_num!P12)</f>
        <v>124964.33828299986</v>
      </c>
      <c r="Q12" s="133">
        <f>IF(SER_hh_fec!Q12=0,0,11630*1000*SER_hh_fec!Q12/SER_hh_num!Q12)</f>
        <v>122006.18561370159</v>
      </c>
      <c r="R12" s="133">
        <f>IF(SER_hh_fec!R12=0,0,11630*1000*SER_hh_fec!R12/SER_hh_num!R12)</f>
        <v>130715.20319638855</v>
      </c>
      <c r="S12" s="133">
        <f>IF(SER_hh_fec!S12=0,0,11630*1000*SER_hh_fec!S12/SER_hh_num!S12)</f>
        <v>121108.75208534591</v>
      </c>
      <c r="T12" s="133">
        <f>IF(SER_hh_fec!T12=0,0,11630*1000*SER_hh_fec!T12/SER_hh_num!T12)</f>
        <v>125121.85041642956</v>
      </c>
      <c r="U12" s="133">
        <f>IF(SER_hh_fec!U12=0,0,11630*1000*SER_hh_fec!U12/SER_hh_num!U12)</f>
        <v>121464.99655575919</v>
      </c>
      <c r="V12" s="133">
        <f>IF(SER_hh_fec!V12=0,0,11630*1000*SER_hh_fec!V12/SER_hh_num!V12)</f>
        <v>107724.19921383965</v>
      </c>
      <c r="W12" s="133">
        <f>IF(SER_hh_fec!W12=0,0,11630*1000*SER_hh_fec!W12/SER_hh_num!W12)</f>
        <v>128363.06027963698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82374.740615141287</v>
      </c>
      <c r="C13" s="133">
        <f>IF(SER_hh_fec!C13=0,0,11630*1000*SER_hh_fec!C13/SER_hh_num!C13)</f>
        <v>106134.82135021564</v>
      </c>
      <c r="D13" s="133">
        <f>IF(SER_hh_fec!D13=0,0,11630*1000*SER_hh_fec!D13/SER_hh_num!D13)</f>
        <v>97682.589415499897</v>
      </c>
      <c r="E13" s="133">
        <f>IF(SER_hh_fec!E13=0,0,11630*1000*SER_hh_fec!E13/SER_hh_num!E13)</f>
        <v>83436.157777462038</v>
      </c>
      <c r="F13" s="133">
        <f>IF(SER_hh_fec!F13=0,0,11630*1000*SER_hh_fec!F13/SER_hh_num!F13)</f>
        <v>81118.458632264694</v>
      </c>
      <c r="G13" s="133">
        <f>IF(SER_hh_fec!G13=0,0,11630*1000*SER_hh_fec!G13/SER_hh_num!G13)</f>
        <v>64688.19831310719</v>
      </c>
      <c r="H13" s="133">
        <f>IF(SER_hh_fec!H13=0,0,11630*1000*SER_hh_fec!H13/SER_hh_num!H13)</f>
        <v>66184.85300681596</v>
      </c>
      <c r="I13" s="133">
        <f>IF(SER_hh_fec!I13=0,0,11630*1000*SER_hh_fec!I13/SER_hh_num!I13)</f>
        <v>66581.395014584457</v>
      </c>
      <c r="J13" s="133">
        <f>IF(SER_hh_fec!J13=0,0,11630*1000*SER_hh_fec!J13/SER_hh_num!J13)</f>
        <v>60963.621891398368</v>
      </c>
      <c r="K13" s="133">
        <f>IF(SER_hh_fec!K13=0,0,11630*1000*SER_hh_fec!K13/SER_hh_num!K13)</f>
        <v>56591.467487525653</v>
      </c>
      <c r="L13" s="133">
        <f>IF(SER_hh_fec!L13=0,0,11630*1000*SER_hh_fec!L13/SER_hh_num!L13)</f>
        <v>54190.468415459291</v>
      </c>
      <c r="M13" s="133">
        <f>IF(SER_hh_fec!M13=0,0,11630*1000*SER_hh_fec!M13/SER_hh_num!M13)</f>
        <v>50286.749788631503</v>
      </c>
      <c r="N13" s="133">
        <f>IF(SER_hh_fec!N13=0,0,11630*1000*SER_hh_fec!N13/SER_hh_num!N13)</f>
        <v>48801.380357801128</v>
      </c>
      <c r="O13" s="133">
        <f>IF(SER_hh_fec!O13=0,0,11630*1000*SER_hh_fec!O13/SER_hh_num!O13)</f>
        <v>46537.699113610055</v>
      </c>
      <c r="P13" s="133">
        <f>IF(SER_hh_fec!P13=0,0,11630*1000*SER_hh_fec!P13/SER_hh_num!P13)</f>
        <v>43531.495067135191</v>
      </c>
      <c r="Q13" s="133">
        <f>IF(SER_hh_fec!Q13=0,0,11630*1000*SER_hh_fec!Q13/SER_hh_num!Q13)</f>
        <v>40405.904086509407</v>
      </c>
      <c r="R13" s="133">
        <f>IF(SER_hh_fec!R13=0,0,11630*1000*SER_hh_fec!R13/SER_hh_num!R13)</f>
        <v>42546.194642163166</v>
      </c>
      <c r="S13" s="133">
        <f>IF(SER_hh_fec!S13=0,0,11630*1000*SER_hh_fec!S13/SER_hh_num!S13)</f>
        <v>37912.664079361799</v>
      </c>
      <c r="T13" s="133">
        <f>IF(SER_hh_fec!T13=0,0,11630*1000*SER_hh_fec!T13/SER_hh_num!T13)</f>
        <v>36024.979944487175</v>
      </c>
      <c r="U13" s="133">
        <f>IF(SER_hh_fec!U13=0,0,11630*1000*SER_hh_fec!U13/SER_hh_num!U13)</f>
        <v>32914.188478464406</v>
      </c>
      <c r="V13" s="133">
        <f>IF(SER_hh_fec!V13=0,0,11630*1000*SER_hh_fec!V13/SER_hh_num!V13)</f>
        <v>32177.262429858536</v>
      </c>
      <c r="W13" s="133">
        <f>IF(SER_hh_fec!W13=0,0,11630*1000*SER_hh_fec!W13/SER_hh_num!W13)</f>
        <v>30898.612341342567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186169.7253152928</v>
      </c>
      <c r="C14" s="65">
        <f>IF(SER_hh_fec!C14=0,0,11630*1000*SER_hh_fec!C14/SER_hh_num!C14)</f>
        <v>218012.04373340154</v>
      </c>
      <c r="D14" s="65">
        <f>IF(SER_hh_fec!D14=0,0,11630*1000*SER_hh_fec!D14/SER_hh_num!D14)</f>
        <v>211880.68447048141</v>
      </c>
      <c r="E14" s="65">
        <f>IF(SER_hh_fec!E14=0,0,11630*1000*SER_hh_fec!E14/SER_hh_num!E14)</f>
        <v>194829.28336672985</v>
      </c>
      <c r="F14" s="65">
        <f>IF(SER_hh_fec!F14=0,0,11630*1000*SER_hh_fec!F14/SER_hh_num!F14)</f>
        <v>190358.15109975854</v>
      </c>
      <c r="G14" s="65">
        <f>IF(SER_hh_fec!G14=0,0,11630*1000*SER_hh_fec!G14/SER_hh_num!G14)</f>
        <v>154986.25336617164</v>
      </c>
      <c r="H14" s="65">
        <f>IF(SER_hh_fec!H14=0,0,11630*1000*SER_hh_fec!H14/SER_hh_num!H14)</f>
        <v>162433.89921765195</v>
      </c>
      <c r="I14" s="65">
        <f>IF(SER_hh_fec!I14=0,0,11630*1000*SER_hh_fec!I14/SER_hh_num!I14)</f>
        <v>173671.43704555009</v>
      </c>
      <c r="J14" s="65">
        <f>IF(SER_hh_fec!J14=0,0,11630*1000*SER_hh_fec!J14/SER_hh_num!J14)</f>
        <v>165973.53743805122</v>
      </c>
      <c r="K14" s="65">
        <f>IF(SER_hh_fec!K14=0,0,11630*1000*SER_hh_fec!K14/SER_hh_num!K14)</f>
        <v>144444.43981523029</v>
      </c>
      <c r="L14" s="65">
        <f>IF(SER_hh_fec!L14=0,0,11630*1000*SER_hh_fec!L14/SER_hh_num!L14)</f>
        <v>165895.07144737474</v>
      </c>
      <c r="M14" s="65">
        <f>IF(SER_hh_fec!M14=0,0,11630*1000*SER_hh_fec!M14/SER_hh_num!M14)</f>
        <v>128103.85543500008</v>
      </c>
      <c r="N14" s="65">
        <f>IF(SER_hh_fec!N14=0,0,11630*1000*SER_hh_fec!N14/SER_hh_num!N14)</f>
        <v>143674.43562534649</v>
      </c>
      <c r="O14" s="65">
        <f>IF(SER_hh_fec!O14=0,0,11630*1000*SER_hh_fec!O14/SER_hh_num!O14)</f>
        <v>129429.9824345378</v>
      </c>
      <c r="P14" s="65">
        <f>IF(SER_hh_fec!P14=0,0,11630*1000*SER_hh_fec!P14/SER_hh_num!P14)</f>
        <v>130535.28871937525</v>
      </c>
      <c r="Q14" s="65">
        <f>IF(SER_hh_fec!Q14=0,0,11630*1000*SER_hh_fec!Q14/SER_hh_num!Q14)</f>
        <v>140089.50269478851</v>
      </c>
      <c r="R14" s="65">
        <f>IF(SER_hh_fec!R14=0,0,11630*1000*SER_hh_fec!R14/SER_hh_num!R14)</f>
        <v>149103.94850527245</v>
      </c>
      <c r="S14" s="65">
        <f>IF(SER_hh_fec!S14=0,0,11630*1000*SER_hh_fec!S14/SER_hh_num!S14)</f>
        <v>122733.57815227416</v>
      </c>
      <c r="T14" s="65">
        <f>IF(SER_hh_fec!T14=0,0,11630*1000*SER_hh_fec!T14/SER_hh_num!T14)</f>
        <v>131765.85656532439</v>
      </c>
      <c r="U14" s="65">
        <f>IF(SER_hh_fec!U14=0,0,11630*1000*SER_hh_fec!U14/SER_hh_num!U14)</f>
        <v>117986.69748575082</v>
      </c>
      <c r="V14" s="65">
        <f>IF(SER_hh_fec!V14=0,0,11630*1000*SER_hh_fec!V14/SER_hh_num!V14)</f>
        <v>116674.01142152309</v>
      </c>
      <c r="W14" s="65">
        <f>IF(SER_hh_fec!W14=0,0,11630*1000*SER_hh_fec!W14/SER_hh_num!W14)</f>
        <v>127027.79898406228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1353.6872023709886</v>
      </c>
      <c r="C15" s="135">
        <f>IF(SER_hh_fec!C15=0,0,11630*1000*SER_hh_fec!C15/SER_hh_num!C15)</f>
        <v>1392.3469710519785</v>
      </c>
      <c r="D15" s="135">
        <f>IF(SER_hh_fec!D15=0,0,11630*1000*SER_hh_fec!D15/SER_hh_num!D15)</f>
        <v>1353.2402214367567</v>
      </c>
      <c r="E15" s="135">
        <f>IF(SER_hh_fec!E15=0,0,11630*1000*SER_hh_fec!E15/SER_hh_num!E15)</f>
        <v>1372.2603520202651</v>
      </c>
      <c r="F15" s="135">
        <f>IF(SER_hh_fec!F15=0,0,11630*1000*SER_hh_fec!F15/SER_hh_num!F15)</f>
        <v>1125.2586792800948</v>
      </c>
      <c r="G15" s="135">
        <f>IF(SER_hh_fec!G15=0,0,11630*1000*SER_hh_fec!G15/SER_hh_num!G15)</f>
        <v>830.21534590258818</v>
      </c>
      <c r="H15" s="135">
        <f>IF(SER_hh_fec!H15=0,0,11630*1000*SER_hh_fec!H15/SER_hh_num!H15)</f>
        <v>780.65206273615922</v>
      </c>
      <c r="I15" s="135">
        <f>IF(SER_hh_fec!I15=0,0,11630*1000*SER_hh_fec!I15/SER_hh_num!I15)</f>
        <v>754.64931151703729</v>
      </c>
      <c r="J15" s="135">
        <f>IF(SER_hh_fec!J15=0,0,11630*1000*SER_hh_fec!J15/SER_hh_num!J15)</f>
        <v>712.49106297100695</v>
      </c>
      <c r="K15" s="135">
        <f>IF(SER_hh_fec!K15=0,0,11630*1000*SER_hh_fec!K15/SER_hh_num!K15)</f>
        <v>661.05233667599123</v>
      </c>
      <c r="L15" s="135">
        <f>IF(SER_hh_fec!L15=0,0,11630*1000*SER_hh_fec!L15/SER_hh_num!L15)</f>
        <v>747.38457928442722</v>
      </c>
      <c r="M15" s="135">
        <f>IF(SER_hh_fec!M15=0,0,11630*1000*SER_hh_fec!M15/SER_hh_num!M15)</f>
        <v>636.5312435553999</v>
      </c>
      <c r="N15" s="135">
        <f>IF(SER_hh_fec!N15=0,0,11630*1000*SER_hh_fec!N15/SER_hh_num!N15)</f>
        <v>692.31579319940306</v>
      </c>
      <c r="O15" s="135">
        <f>IF(SER_hh_fec!O15=0,0,11630*1000*SER_hh_fec!O15/SER_hh_num!O15)</f>
        <v>645.68375941698287</v>
      </c>
      <c r="P15" s="135">
        <f>IF(SER_hh_fec!P15=0,0,11630*1000*SER_hh_fec!P15/SER_hh_num!P15)</f>
        <v>631.50711083435431</v>
      </c>
      <c r="Q15" s="135">
        <f>IF(SER_hh_fec!Q15=0,0,11630*1000*SER_hh_fec!Q15/SER_hh_num!Q15)</f>
        <v>615.35627690669764</v>
      </c>
      <c r="R15" s="135">
        <f>IF(SER_hh_fec!R15=0,0,11630*1000*SER_hh_fec!R15/SER_hh_num!R15)</f>
        <v>649.60385849394038</v>
      </c>
      <c r="S15" s="135">
        <f>IF(SER_hh_fec!S15=0,0,11630*1000*SER_hh_fec!S15/SER_hh_num!S15)</f>
        <v>595.23666095251394</v>
      </c>
      <c r="T15" s="135">
        <f>IF(SER_hh_fec!T15=0,0,11630*1000*SER_hh_fec!T15/SER_hh_num!T15)</f>
        <v>631.77702424240101</v>
      </c>
      <c r="U15" s="135">
        <f>IF(SER_hh_fec!U15=0,0,11630*1000*SER_hh_fec!U15/SER_hh_num!U15)</f>
        <v>623.37244977298212</v>
      </c>
      <c r="V15" s="135">
        <f>IF(SER_hh_fec!V15=0,0,11630*1000*SER_hh_fec!V15/SER_hh_num!V15)</f>
        <v>587.37915666660012</v>
      </c>
      <c r="W15" s="135">
        <f>IF(SER_hh_fec!W15=0,0,11630*1000*SER_hh_fec!W15/SER_hh_num!W15)</f>
        <v>623.63896904178989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11871.563164208348</v>
      </c>
      <c r="C16" s="131">
        <f>IF(SER_hh_fec!C16=0,0,11630*1000*SER_hh_fec!C16/SER_hh_num!C16)</f>
        <v>11492.664690108764</v>
      </c>
      <c r="D16" s="131">
        <f>IF(SER_hh_fec!D16=0,0,11630*1000*SER_hh_fec!D16/SER_hh_num!D16)</f>
        <v>11057.703319070535</v>
      </c>
      <c r="E16" s="131">
        <f>IF(SER_hh_fec!E16=0,0,11630*1000*SER_hh_fec!E16/SER_hh_num!E16)</f>
        <v>10637.687014435769</v>
      </c>
      <c r="F16" s="131">
        <f>IF(SER_hh_fec!F16=0,0,11630*1000*SER_hh_fec!F16/SER_hh_num!F16)</f>
        <v>10166.982255793002</v>
      </c>
      <c r="G16" s="131">
        <f>IF(SER_hh_fec!G16=0,0,11630*1000*SER_hh_fec!G16/SER_hh_num!G16)</f>
        <v>9694.9248417073813</v>
      </c>
      <c r="H16" s="131">
        <f>IF(SER_hh_fec!H16=0,0,11630*1000*SER_hh_fec!H16/SER_hh_num!H16)</f>
        <v>9194.3742165364365</v>
      </c>
      <c r="I16" s="131">
        <f>IF(SER_hh_fec!I16=0,0,11630*1000*SER_hh_fec!I16/SER_hh_num!I16)</f>
        <v>8656.5254309043703</v>
      </c>
      <c r="J16" s="131">
        <f>IF(SER_hh_fec!J16=0,0,11630*1000*SER_hh_fec!J16/SER_hh_num!J16)</f>
        <v>8167.2860708430835</v>
      </c>
      <c r="K16" s="131">
        <f>IF(SER_hh_fec!K16=0,0,11630*1000*SER_hh_fec!K16/SER_hh_num!K16)</f>
        <v>8060.959563364484</v>
      </c>
      <c r="L16" s="131">
        <f>IF(SER_hh_fec!L16=0,0,11630*1000*SER_hh_fec!L16/SER_hh_num!L16)</f>
        <v>8017.313019250465</v>
      </c>
      <c r="M16" s="131">
        <f>IF(SER_hh_fec!M16=0,0,11630*1000*SER_hh_fec!M16/SER_hh_num!M16)</f>
        <v>7663.4282776076561</v>
      </c>
      <c r="N16" s="131">
        <f>IF(SER_hh_fec!N16=0,0,11630*1000*SER_hh_fec!N16/SER_hh_num!N16)</f>
        <v>7432.1450805040286</v>
      </c>
      <c r="O16" s="131">
        <f>IF(SER_hh_fec!O16=0,0,11630*1000*SER_hh_fec!O16/SER_hh_num!O16)</f>
        <v>7193.2275654765253</v>
      </c>
      <c r="P16" s="131">
        <f>IF(SER_hh_fec!P16=0,0,11630*1000*SER_hh_fec!P16/SER_hh_num!P16)</f>
        <v>7043.9923717188231</v>
      </c>
      <c r="Q16" s="131">
        <f>IF(SER_hh_fec!Q16=0,0,11630*1000*SER_hh_fec!Q16/SER_hh_num!Q16)</f>
        <v>6710.9260421100071</v>
      </c>
      <c r="R16" s="131">
        <f>IF(SER_hh_fec!R16=0,0,11630*1000*SER_hh_fec!R16/SER_hh_num!R16)</f>
        <v>6500.915310922006</v>
      </c>
      <c r="S16" s="131">
        <f>IF(SER_hh_fec!S16=0,0,11630*1000*SER_hh_fec!S16/SER_hh_num!S16)</f>
        <v>6294.1927480374607</v>
      </c>
      <c r="T16" s="131">
        <f>IF(SER_hh_fec!T16=0,0,11630*1000*SER_hh_fec!T16/SER_hh_num!T16)</f>
        <v>6196.1342656671741</v>
      </c>
      <c r="U16" s="131">
        <f>IF(SER_hh_fec!U16=0,0,11630*1000*SER_hh_fec!U16/SER_hh_num!U16)</f>
        <v>6029.7449479061133</v>
      </c>
      <c r="V16" s="131">
        <f>IF(SER_hh_fec!V16=0,0,11630*1000*SER_hh_fec!V16/SER_hh_num!V16)</f>
        <v>5857.2297726374964</v>
      </c>
      <c r="W16" s="131">
        <f>IF(SER_hh_fec!W16=0,0,11630*1000*SER_hh_fec!W16/SER_hh_num!W16)</f>
        <v>5758.3908671607978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11871.563164208348</v>
      </c>
      <c r="C18" s="133">
        <f>IF(SER_hh_fec!C18=0,0,11630*1000*SER_hh_fec!C18/SER_hh_num!C18)</f>
        <v>11492.664690108764</v>
      </c>
      <c r="D18" s="133">
        <f>IF(SER_hh_fec!D18=0,0,11630*1000*SER_hh_fec!D18/SER_hh_num!D18)</f>
        <v>11057.703319070535</v>
      </c>
      <c r="E18" s="133">
        <f>IF(SER_hh_fec!E18=0,0,11630*1000*SER_hh_fec!E18/SER_hh_num!E18)</f>
        <v>10637.687014435769</v>
      </c>
      <c r="F18" s="133">
        <f>IF(SER_hh_fec!F18=0,0,11630*1000*SER_hh_fec!F18/SER_hh_num!F18)</f>
        <v>10166.982255793002</v>
      </c>
      <c r="G18" s="133">
        <f>IF(SER_hh_fec!G18=0,0,11630*1000*SER_hh_fec!G18/SER_hh_num!G18)</f>
        <v>9694.9248417073813</v>
      </c>
      <c r="H18" s="133">
        <f>IF(SER_hh_fec!H18=0,0,11630*1000*SER_hh_fec!H18/SER_hh_num!H18)</f>
        <v>9194.3742165364365</v>
      </c>
      <c r="I18" s="133">
        <f>IF(SER_hh_fec!I18=0,0,11630*1000*SER_hh_fec!I18/SER_hh_num!I18)</f>
        <v>8656.5254309043703</v>
      </c>
      <c r="J18" s="133">
        <f>IF(SER_hh_fec!J18=0,0,11630*1000*SER_hh_fec!J18/SER_hh_num!J18)</f>
        <v>8167.2860708430835</v>
      </c>
      <c r="K18" s="133">
        <f>IF(SER_hh_fec!K18=0,0,11630*1000*SER_hh_fec!K18/SER_hh_num!K18)</f>
        <v>8060.959563364484</v>
      </c>
      <c r="L18" s="133">
        <f>IF(SER_hh_fec!L18=0,0,11630*1000*SER_hh_fec!L18/SER_hh_num!L18)</f>
        <v>8017.313019250465</v>
      </c>
      <c r="M18" s="133">
        <f>IF(SER_hh_fec!M18=0,0,11630*1000*SER_hh_fec!M18/SER_hh_num!M18)</f>
        <v>7663.4282776076561</v>
      </c>
      <c r="N18" s="133">
        <f>IF(SER_hh_fec!N18=0,0,11630*1000*SER_hh_fec!N18/SER_hh_num!N18)</f>
        <v>7432.1450805040286</v>
      </c>
      <c r="O18" s="133">
        <f>IF(SER_hh_fec!O18=0,0,11630*1000*SER_hh_fec!O18/SER_hh_num!O18)</f>
        <v>7193.2275654765253</v>
      </c>
      <c r="P18" s="133">
        <f>IF(SER_hh_fec!P18=0,0,11630*1000*SER_hh_fec!P18/SER_hh_num!P18)</f>
        <v>7043.9923717188231</v>
      </c>
      <c r="Q18" s="133">
        <f>IF(SER_hh_fec!Q18=0,0,11630*1000*SER_hh_fec!Q18/SER_hh_num!Q18)</f>
        <v>6710.9260421100071</v>
      </c>
      <c r="R18" s="133">
        <f>IF(SER_hh_fec!R18=0,0,11630*1000*SER_hh_fec!R18/SER_hh_num!R18)</f>
        <v>6500.915310922006</v>
      </c>
      <c r="S18" s="133">
        <f>IF(SER_hh_fec!S18=0,0,11630*1000*SER_hh_fec!S18/SER_hh_num!S18)</f>
        <v>6294.1927480374607</v>
      </c>
      <c r="T18" s="133">
        <f>IF(SER_hh_fec!T18=0,0,11630*1000*SER_hh_fec!T18/SER_hh_num!T18)</f>
        <v>6196.1342656671741</v>
      </c>
      <c r="U18" s="133">
        <f>IF(SER_hh_fec!U18=0,0,11630*1000*SER_hh_fec!U18/SER_hh_num!U18)</f>
        <v>6029.7449479061133</v>
      </c>
      <c r="V18" s="133">
        <f>IF(SER_hh_fec!V18=0,0,11630*1000*SER_hh_fec!V18/SER_hh_num!V18)</f>
        <v>5857.2297726374964</v>
      </c>
      <c r="W18" s="133">
        <f>IF(SER_hh_fec!W18=0,0,11630*1000*SER_hh_fec!W18/SER_hh_num!W18)</f>
        <v>5758.3908671607978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25980.073952387778</v>
      </c>
      <c r="C19" s="131">
        <f>IF(SER_hh_fec!C19=0,0,11630*1000*SER_hh_fec!C19/SER_hh_num!C19)</f>
        <v>25669.10330172284</v>
      </c>
      <c r="D19" s="131">
        <f>IF(SER_hh_fec!D19=0,0,11630*1000*SER_hh_fec!D19/SER_hh_num!D19)</f>
        <v>25317.906004950171</v>
      </c>
      <c r="E19" s="131">
        <f>IF(SER_hh_fec!E19=0,0,11630*1000*SER_hh_fec!E19/SER_hh_num!E19)</f>
        <v>25079.632799377159</v>
      </c>
      <c r="F19" s="131">
        <f>IF(SER_hh_fec!F19=0,0,11630*1000*SER_hh_fec!F19/SER_hh_num!F19)</f>
        <v>24588.460261796212</v>
      </c>
      <c r="G19" s="131">
        <f>IF(SER_hh_fec!G19=0,0,11630*1000*SER_hh_fec!G19/SER_hh_num!G19)</f>
        <v>23888.696020803101</v>
      </c>
      <c r="H19" s="131">
        <f>IF(SER_hh_fec!H19=0,0,11630*1000*SER_hh_fec!H19/SER_hh_num!H19)</f>
        <v>23655.975252801556</v>
      </c>
      <c r="I19" s="131">
        <f>IF(SER_hh_fec!I19=0,0,11630*1000*SER_hh_fec!I19/SER_hh_num!I19)</f>
        <v>23549.423950441127</v>
      </c>
      <c r="J19" s="131">
        <f>IF(SER_hh_fec!J19=0,0,11630*1000*SER_hh_fec!J19/SER_hh_num!J19)</f>
        <v>23458.11257603826</v>
      </c>
      <c r="K19" s="131">
        <f>IF(SER_hh_fec!K19=0,0,11630*1000*SER_hh_fec!K19/SER_hh_num!K19)</f>
        <v>23094.836763742431</v>
      </c>
      <c r="L19" s="131">
        <f>IF(SER_hh_fec!L19=0,0,11630*1000*SER_hh_fec!L19/SER_hh_num!L19)</f>
        <v>22850.392578093419</v>
      </c>
      <c r="M19" s="131">
        <f>IF(SER_hh_fec!M19=0,0,11630*1000*SER_hh_fec!M19/SER_hh_num!M19)</f>
        <v>22709.783419454412</v>
      </c>
      <c r="N19" s="131">
        <f>IF(SER_hh_fec!N19=0,0,11630*1000*SER_hh_fec!N19/SER_hh_num!N19)</f>
        <v>22813.942463086834</v>
      </c>
      <c r="O19" s="131">
        <f>IF(SER_hh_fec!O19=0,0,11630*1000*SER_hh_fec!O19/SER_hh_num!O19)</f>
        <v>22705.931544103092</v>
      </c>
      <c r="P19" s="131">
        <f>IF(SER_hh_fec!P19=0,0,11630*1000*SER_hh_fec!P19/SER_hh_num!P19)</f>
        <v>22550.003093967847</v>
      </c>
      <c r="Q19" s="131">
        <f>IF(SER_hh_fec!Q19=0,0,11630*1000*SER_hh_fec!Q19/SER_hh_num!Q19)</f>
        <v>22540.006813579821</v>
      </c>
      <c r="R19" s="131">
        <f>IF(SER_hh_fec!R19=0,0,11630*1000*SER_hh_fec!R19/SER_hh_num!R19)</f>
        <v>22192.827006674102</v>
      </c>
      <c r="S19" s="131">
        <f>IF(SER_hh_fec!S19=0,0,11630*1000*SER_hh_fec!S19/SER_hh_num!S19)</f>
        <v>21755.092020045806</v>
      </c>
      <c r="T19" s="131">
        <f>IF(SER_hh_fec!T19=0,0,11630*1000*SER_hh_fec!T19/SER_hh_num!T19)</f>
        <v>21575.169785076811</v>
      </c>
      <c r="U19" s="131">
        <f>IF(SER_hh_fec!U19=0,0,11630*1000*SER_hh_fec!U19/SER_hh_num!U19)</f>
        <v>21205.184231885942</v>
      </c>
      <c r="V19" s="131">
        <f>IF(SER_hh_fec!V19=0,0,11630*1000*SER_hh_fec!V19/SER_hh_num!V19)</f>
        <v>20375.972039131801</v>
      </c>
      <c r="W19" s="131">
        <f>IF(SER_hh_fec!W19=0,0,11630*1000*SER_hh_fec!W19/SER_hh_num!W19)</f>
        <v>20489.295478030934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33552.487511339394</v>
      </c>
      <c r="C22" s="133">
        <f>IF(SER_hh_fec!C22=0,0,11630*1000*SER_hh_fec!C22/SER_hh_num!C22)</f>
        <v>33297.184369051232</v>
      </c>
      <c r="D22" s="133">
        <f>IF(SER_hh_fec!D22=0,0,11630*1000*SER_hh_fec!D22/SER_hh_num!D22)</f>
        <v>32973.05032014157</v>
      </c>
      <c r="E22" s="133">
        <f>IF(SER_hh_fec!E22=0,0,11630*1000*SER_hh_fec!E22/SER_hh_num!E22)</f>
        <v>34223.450370578808</v>
      </c>
      <c r="F22" s="133">
        <f>IF(SER_hh_fec!F22=0,0,11630*1000*SER_hh_fec!F22/SER_hh_num!F22)</f>
        <v>34666.074382535953</v>
      </c>
      <c r="G22" s="133">
        <f>IF(SER_hh_fec!G22=0,0,11630*1000*SER_hh_fec!G22/SER_hh_num!G22)</f>
        <v>27951.580853552899</v>
      </c>
      <c r="H22" s="133">
        <f>IF(SER_hh_fec!H22=0,0,11630*1000*SER_hh_fec!H22/SER_hh_num!H22)</f>
        <v>32655.793956146143</v>
      </c>
      <c r="I22" s="133">
        <f>IF(SER_hh_fec!I22=0,0,11630*1000*SER_hh_fec!I22/SER_hh_num!I22)</f>
        <v>32729.087345225136</v>
      </c>
      <c r="J22" s="133">
        <f>IF(SER_hh_fec!J22=0,0,11630*1000*SER_hh_fec!J22/SER_hh_num!J22)</f>
        <v>34899.77673328331</v>
      </c>
      <c r="K22" s="133">
        <f>IF(SER_hh_fec!K22=0,0,11630*1000*SER_hh_fec!K22/SER_hh_num!K22)</f>
        <v>26494.789835673288</v>
      </c>
      <c r="L22" s="133">
        <f>IF(SER_hh_fec!L22=0,0,11630*1000*SER_hh_fec!L22/SER_hh_num!L22)</f>
        <v>27159.671531199368</v>
      </c>
      <c r="M22" s="133">
        <f>IF(SER_hh_fec!M22=0,0,11630*1000*SER_hh_fec!M22/SER_hh_num!M22)</f>
        <v>27124.587088450444</v>
      </c>
      <c r="N22" s="133">
        <f>IF(SER_hh_fec!N22=0,0,11630*1000*SER_hh_fec!N22/SER_hh_num!N22)</f>
        <v>32993.196745922352</v>
      </c>
      <c r="O22" s="133">
        <f>IF(SER_hh_fec!O22=0,0,11630*1000*SER_hh_fec!O22/SER_hh_num!O22)</f>
        <v>31756.666815565884</v>
      </c>
      <c r="P22" s="133">
        <f>IF(SER_hh_fec!P22=0,0,11630*1000*SER_hh_fec!P22/SER_hh_num!P22)</f>
        <v>22678.390830350007</v>
      </c>
      <c r="Q22" s="133">
        <f>IF(SER_hh_fec!Q22=0,0,11630*1000*SER_hh_fec!Q22/SER_hh_num!Q22)</f>
        <v>29355.310858761783</v>
      </c>
      <c r="R22" s="133">
        <f>IF(SER_hh_fec!R22=0,0,11630*1000*SER_hh_fec!R22/SER_hh_num!R22)</f>
        <v>27360.961442323467</v>
      </c>
      <c r="S22" s="133">
        <f>IF(SER_hh_fec!S22=0,0,11630*1000*SER_hh_fec!S22/SER_hh_num!S22)</f>
        <v>26428.023535664961</v>
      </c>
      <c r="T22" s="133">
        <f>IF(SER_hh_fec!T22=0,0,11630*1000*SER_hh_fec!T22/SER_hh_num!T22)</f>
        <v>26264.628429747441</v>
      </c>
      <c r="U22" s="133">
        <f>IF(SER_hh_fec!U22=0,0,11630*1000*SER_hh_fec!U22/SER_hh_num!U22)</f>
        <v>25439.518901610321</v>
      </c>
      <c r="V22" s="133">
        <f>IF(SER_hh_fec!V22=0,0,11630*1000*SER_hh_fec!V22/SER_hh_num!V22)</f>
        <v>25463.254844843341</v>
      </c>
      <c r="W22" s="133">
        <f>IF(SER_hh_fec!W22=0,0,11630*1000*SER_hh_fec!W22/SER_hh_num!W22)</f>
        <v>23875.667002821516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33178.537131960984</v>
      </c>
      <c r="C23" s="133">
        <f>IF(SER_hh_fec!C23=0,0,11630*1000*SER_hh_fec!C23/SER_hh_num!C23)</f>
        <v>29182.597081420463</v>
      </c>
      <c r="D23" s="133">
        <f>IF(SER_hh_fec!D23=0,0,11630*1000*SER_hh_fec!D23/SER_hh_num!D23)</f>
        <v>30952.463472316231</v>
      </c>
      <c r="E23" s="133">
        <f>IF(SER_hh_fec!E23=0,0,11630*1000*SER_hh_fec!E23/SER_hh_num!E23)</f>
        <v>31893.554091027669</v>
      </c>
      <c r="F23" s="133">
        <f>IF(SER_hh_fec!F23=0,0,11630*1000*SER_hh_fec!F23/SER_hh_num!F23)</f>
        <v>27890.772328550509</v>
      </c>
      <c r="G23" s="133">
        <f>IF(SER_hh_fec!G23=0,0,11630*1000*SER_hh_fec!G23/SER_hh_num!G23)</f>
        <v>28023.487456992869</v>
      </c>
      <c r="H23" s="133">
        <f>IF(SER_hh_fec!H23=0,0,11630*1000*SER_hh_fec!H23/SER_hh_num!H23)</f>
        <v>30704.500912937019</v>
      </c>
      <c r="I23" s="133">
        <f>IF(SER_hh_fec!I23=0,0,11630*1000*SER_hh_fec!I23/SER_hh_num!I23)</f>
        <v>28160.901735810436</v>
      </c>
      <c r="J23" s="133">
        <f>IF(SER_hh_fec!J23=0,0,11630*1000*SER_hh_fec!J23/SER_hh_num!J23)</f>
        <v>28751.944220184083</v>
      </c>
      <c r="K23" s="133">
        <f>IF(SER_hh_fec!K23=0,0,11630*1000*SER_hh_fec!K23/SER_hh_num!K23)</f>
        <v>27703.876068513622</v>
      </c>
      <c r="L23" s="133">
        <f>IF(SER_hh_fec!L23=0,0,11630*1000*SER_hh_fec!L23/SER_hh_num!L23)</f>
        <v>28038.848817874408</v>
      </c>
      <c r="M23" s="133">
        <f>IF(SER_hh_fec!M23=0,0,11630*1000*SER_hh_fec!M23/SER_hh_num!M23)</f>
        <v>27219.290983693361</v>
      </c>
      <c r="N23" s="133">
        <f>IF(SER_hh_fec!N23=0,0,11630*1000*SER_hh_fec!N23/SER_hh_num!N23)</f>
        <v>26920.206188268068</v>
      </c>
      <c r="O23" s="133">
        <f>IF(SER_hh_fec!O23=0,0,11630*1000*SER_hh_fec!O23/SER_hh_num!O23)</f>
        <v>26664.955029578614</v>
      </c>
      <c r="P23" s="133">
        <f>IF(SER_hh_fec!P23=0,0,11630*1000*SER_hh_fec!P23/SER_hh_num!P23)</f>
        <v>27248.554332829517</v>
      </c>
      <c r="Q23" s="133">
        <f>IF(SER_hh_fec!Q23=0,0,11630*1000*SER_hh_fec!Q23/SER_hh_num!Q23)</f>
        <v>27339.432590765162</v>
      </c>
      <c r="R23" s="133">
        <f>IF(SER_hh_fec!R23=0,0,11630*1000*SER_hh_fec!R23/SER_hh_num!R23)</f>
        <v>29230.920424577038</v>
      </c>
      <c r="S23" s="133">
        <f>IF(SER_hh_fec!S23=0,0,11630*1000*SER_hh_fec!S23/SER_hh_num!S23)</f>
        <v>16770.862312148325</v>
      </c>
      <c r="T23" s="133">
        <f>IF(SER_hh_fec!T23=0,0,11630*1000*SER_hh_fec!T23/SER_hh_num!T23)</f>
        <v>22046.620923579172</v>
      </c>
      <c r="U23" s="133">
        <f>IF(SER_hh_fec!U23=0,0,11630*1000*SER_hh_fec!U23/SER_hh_num!U23)</f>
        <v>25919.560430879941</v>
      </c>
      <c r="V23" s="133">
        <f>IF(SER_hh_fec!V23=0,0,11630*1000*SER_hh_fec!V23/SER_hh_num!V23)</f>
        <v>22578.796244683057</v>
      </c>
      <c r="W23" s="133">
        <f>IF(SER_hh_fec!W23=0,0,11630*1000*SER_hh_fec!W23/SER_hh_num!W23)</f>
        <v>21731.134367078761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22095.877573390677</v>
      </c>
      <c r="C25" s="133">
        <f>IF(SER_hh_fec!C25=0,0,11630*1000*SER_hh_fec!C25/SER_hh_num!C25)</f>
        <v>21526.528175973697</v>
      </c>
      <c r="D25" s="133">
        <f>IF(SER_hh_fec!D25=0,0,11630*1000*SER_hh_fec!D25/SER_hh_num!D25)</f>
        <v>21129.513076433963</v>
      </c>
      <c r="E25" s="133">
        <f>IF(SER_hh_fec!E25=0,0,11630*1000*SER_hh_fec!E25/SER_hh_num!E25)</f>
        <v>20762.806599374675</v>
      </c>
      <c r="F25" s="133">
        <f>IF(SER_hh_fec!F25=0,0,11630*1000*SER_hh_fec!F25/SER_hh_num!F25)</f>
        <v>20860.836032355444</v>
      </c>
      <c r="G25" s="133">
        <f>IF(SER_hh_fec!G25=0,0,11630*1000*SER_hh_fec!G25/SER_hh_num!G25)</f>
        <v>21191.026522717661</v>
      </c>
      <c r="H25" s="133">
        <f>IF(SER_hh_fec!H25=0,0,11630*1000*SER_hh_fec!H25/SER_hh_num!H25)</f>
        <v>21215.371774284929</v>
      </c>
      <c r="I25" s="133">
        <f>IF(SER_hh_fec!I25=0,0,11630*1000*SER_hh_fec!I25/SER_hh_num!I25)</f>
        <v>20503.200959504575</v>
      </c>
      <c r="J25" s="133">
        <f>IF(SER_hh_fec!J25=0,0,11630*1000*SER_hh_fec!J25/SER_hh_num!J25)</f>
        <v>20741.406996401991</v>
      </c>
      <c r="K25" s="133">
        <f>IF(SER_hh_fec!K25=0,0,11630*1000*SER_hh_fec!K25/SER_hh_num!K25)</f>
        <v>20610.476664550628</v>
      </c>
      <c r="L25" s="133">
        <f>IF(SER_hh_fec!L25=0,0,11630*1000*SER_hh_fec!L25/SER_hh_num!L25)</f>
        <v>20369.173053839459</v>
      </c>
      <c r="M25" s="133">
        <f>IF(SER_hh_fec!M25=0,0,11630*1000*SER_hh_fec!M25/SER_hh_num!M25)</f>
        <v>20483.901371083459</v>
      </c>
      <c r="N25" s="133">
        <f>IF(SER_hh_fec!N25=0,0,11630*1000*SER_hh_fec!N25/SER_hh_num!N25)</f>
        <v>20794.316530989548</v>
      </c>
      <c r="O25" s="133">
        <f>IF(SER_hh_fec!O25=0,0,11630*1000*SER_hh_fec!O25/SER_hh_num!O25)</f>
        <v>20548.186047994135</v>
      </c>
      <c r="P25" s="133">
        <f>IF(SER_hh_fec!P25=0,0,11630*1000*SER_hh_fec!P25/SER_hh_num!P25)</f>
        <v>20424.730883260239</v>
      </c>
      <c r="Q25" s="133">
        <f>IF(SER_hh_fec!Q25=0,0,11630*1000*SER_hh_fec!Q25/SER_hh_num!Q25)</f>
        <v>20144.89869227539</v>
      </c>
      <c r="R25" s="133">
        <f>IF(SER_hh_fec!R25=0,0,11630*1000*SER_hh_fec!R25/SER_hh_num!R25)</f>
        <v>20936.681197975544</v>
      </c>
      <c r="S25" s="133">
        <f>IF(SER_hh_fec!S25=0,0,11630*1000*SER_hh_fec!S25/SER_hh_num!S25)</f>
        <v>19671.578520191273</v>
      </c>
      <c r="T25" s="133">
        <f>IF(SER_hh_fec!T25=0,0,11630*1000*SER_hh_fec!T25/SER_hh_num!T25)</f>
        <v>20434.208824942947</v>
      </c>
      <c r="U25" s="133">
        <f>IF(SER_hh_fec!U25=0,0,11630*1000*SER_hh_fec!U25/SER_hh_num!U25)</f>
        <v>20125.691480497586</v>
      </c>
      <c r="V25" s="133">
        <f>IF(SER_hh_fec!V25=0,0,11630*1000*SER_hh_fec!V25/SER_hh_num!V25)</f>
        <v>17430.459675333914</v>
      </c>
      <c r="W25" s="133">
        <f>IF(SER_hh_fec!W25=0,0,11630*1000*SER_hh_fec!W25/SER_hh_num!W25)</f>
        <v>21602.644915288663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26228.598242611777</v>
      </c>
      <c r="C26" s="65">
        <f>IF(SER_hh_fec!C26=0,0,11630*1000*SER_hh_fec!C26/SER_hh_num!C26)</f>
        <v>26309.573250237951</v>
      </c>
      <c r="D26" s="65">
        <f>IF(SER_hh_fec!D26=0,0,11630*1000*SER_hh_fec!D26/SER_hh_num!D26)</f>
        <v>26166.038479453342</v>
      </c>
      <c r="E26" s="65">
        <f>IF(SER_hh_fec!E26=0,0,11630*1000*SER_hh_fec!E26/SER_hh_num!E26)</f>
        <v>25772.043994479336</v>
      </c>
      <c r="F26" s="65">
        <f>IF(SER_hh_fec!F26=0,0,11630*1000*SER_hh_fec!F26/SER_hh_num!F26)</f>
        <v>25030.766858990359</v>
      </c>
      <c r="G26" s="65">
        <f>IF(SER_hh_fec!G26=0,0,11630*1000*SER_hh_fec!G26/SER_hh_num!G26)</f>
        <v>25799.087571282886</v>
      </c>
      <c r="H26" s="65">
        <f>IF(SER_hh_fec!H26=0,0,11630*1000*SER_hh_fec!H26/SER_hh_num!H26)</f>
        <v>24172.360714036782</v>
      </c>
      <c r="I26" s="65">
        <f>IF(SER_hh_fec!I26=0,0,11630*1000*SER_hh_fec!I26/SER_hh_num!I26)</f>
        <v>25235.375548779208</v>
      </c>
      <c r="J26" s="65">
        <f>IF(SER_hh_fec!J26=0,0,11630*1000*SER_hh_fec!J26/SER_hh_num!J26)</f>
        <v>24630.422981837772</v>
      </c>
      <c r="K26" s="65">
        <f>IF(SER_hh_fec!K26=0,0,11630*1000*SER_hh_fec!K26/SER_hh_num!K26)</f>
        <v>25416.293849865757</v>
      </c>
      <c r="L26" s="65">
        <f>IF(SER_hh_fec!L26=0,0,11630*1000*SER_hh_fec!L26/SER_hh_num!L26)</f>
        <v>25139.219155320799</v>
      </c>
      <c r="M26" s="65">
        <f>IF(SER_hh_fec!M26=0,0,11630*1000*SER_hh_fec!M26/SER_hh_num!M26)</f>
        <v>24753.214119036416</v>
      </c>
      <c r="N26" s="65">
        <f>IF(SER_hh_fec!N26=0,0,11630*1000*SER_hh_fec!N26/SER_hh_num!N26)</f>
        <v>23796.141818036354</v>
      </c>
      <c r="O26" s="65">
        <f>IF(SER_hh_fec!O26=0,0,11630*1000*SER_hh_fec!O26/SER_hh_num!O26)</f>
        <v>23920.785997173345</v>
      </c>
      <c r="P26" s="65">
        <f>IF(SER_hh_fec!P26=0,0,11630*1000*SER_hh_fec!P26/SER_hh_num!P26)</f>
        <v>25150.17606839053</v>
      </c>
      <c r="Q26" s="65">
        <f>IF(SER_hh_fec!Q26=0,0,11630*1000*SER_hh_fec!Q26/SER_hh_num!Q26)</f>
        <v>24304.341852998426</v>
      </c>
      <c r="R26" s="65">
        <f>IF(SER_hh_fec!R26=0,0,11630*1000*SER_hh_fec!R26/SER_hh_num!R26)</f>
        <v>22631.355080196703</v>
      </c>
      <c r="S26" s="65">
        <f>IF(SER_hh_fec!S26=0,0,11630*1000*SER_hh_fec!S26/SER_hh_num!S26)</f>
        <v>23848.962618636557</v>
      </c>
      <c r="T26" s="65">
        <f>IF(SER_hh_fec!T26=0,0,11630*1000*SER_hh_fec!T26/SER_hh_num!T26)</f>
        <v>22084.877313296151</v>
      </c>
      <c r="U26" s="65">
        <f>IF(SER_hh_fec!U26=0,0,11630*1000*SER_hh_fec!U26/SER_hh_num!U26)</f>
        <v>21568.800121594006</v>
      </c>
      <c r="V26" s="65">
        <f>IF(SER_hh_fec!V26=0,0,11630*1000*SER_hh_fec!V26/SER_hh_num!V26)</f>
        <v>23305.453631327295</v>
      </c>
      <c r="W26" s="65">
        <f>IF(SER_hh_fec!W26=0,0,11630*1000*SER_hh_fec!W26/SER_hh_num!W26)</f>
        <v>18241.773708705161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0</v>
      </c>
      <c r="M27" s="146">
        <f>IF(SER_hh_fec!M27=0,0,11630*1000*SER_hh_fec!M27/SER_hh_num!M19)</f>
        <v>0</v>
      </c>
      <c r="N27" s="146">
        <f>IF(SER_hh_fec!N27=0,0,11630*1000*SER_hh_fec!N27/SER_hh_num!N19)</f>
        <v>0</v>
      </c>
      <c r="O27" s="146">
        <f>IF(SER_hh_fec!O27=0,0,11630*1000*SER_hh_fec!O27/SER_hh_num!O19)</f>
        <v>0</v>
      </c>
      <c r="P27" s="146">
        <f>IF(SER_hh_fec!P27=0,0,11630*1000*SER_hh_fec!P27/SER_hh_num!P19)</f>
        <v>0</v>
      </c>
      <c r="Q27" s="146">
        <f>IF(SER_hh_fec!Q27=0,0,11630*1000*SER_hh_fec!Q27/SER_hh_num!Q19)</f>
        <v>0</v>
      </c>
      <c r="R27" s="146">
        <f>IF(SER_hh_fec!R27=0,0,11630*1000*SER_hh_fec!R27/SER_hh_num!R19)</f>
        <v>0</v>
      </c>
      <c r="S27" s="146">
        <f>IF(SER_hh_fec!S27=0,0,11630*1000*SER_hh_fec!S27/SER_hh_num!S19)</f>
        <v>0</v>
      </c>
      <c r="T27" s="146">
        <f>IF(SER_hh_fec!T27=0,0,11630*1000*SER_hh_fec!T27/SER_hh_num!T19)</f>
        <v>0</v>
      </c>
      <c r="U27" s="146">
        <f>IF(SER_hh_fec!U27=0,0,11630*1000*SER_hh_fec!U27/SER_hh_num!U19)</f>
        <v>0</v>
      </c>
      <c r="V27" s="146">
        <f>IF(SER_hh_fec!V27=0,0,11630*1000*SER_hh_fec!V27/SER_hh_num!V19)</f>
        <v>0</v>
      </c>
      <c r="W27" s="146">
        <f>IF(SER_hh_fec!W27=0,0,11630*1000*SER_hh_fec!W27/SER_hh_num!W19)</f>
        <v>0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0</v>
      </c>
      <c r="M28" s="147">
        <f>IF(SER_hh_fec!M27=0,0,11630*1000*SER_hh_fec!M27/SER_hh_num!M27)</f>
        <v>0</v>
      </c>
      <c r="N28" s="147">
        <f>IF(SER_hh_fec!N27=0,0,11630*1000*SER_hh_fec!N27/SER_hh_num!N27)</f>
        <v>0</v>
      </c>
      <c r="O28" s="147">
        <f>IF(SER_hh_fec!O27=0,0,11630*1000*SER_hh_fec!O27/SER_hh_num!O27)</f>
        <v>0</v>
      </c>
      <c r="P28" s="147">
        <f>IF(SER_hh_fec!P27=0,0,11630*1000*SER_hh_fec!P27/SER_hh_num!P27)</f>
        <v>0</v>
      </c>
      <c r="Q28" s="147">
        <f>IF(SER_hh_fec!Q27=0,0,11630*1000*SER_hh_fec!Q27/SER_hh_num!Q27)</f>
        <v>0</v>
      </c>
      <c r="R28" s="147">
        <f>IF(SER_hh_fec!R27=0,0,11630*1000*SER_hh_fec!R27/SER_hh_num!R27)</f>
        <v>0</v>
      </c>
      <c r="S28" s="147">
        <f>IF(SER_hh_fec!S27=0,0,11630*1000*SER_hh_fec!S27/SER_hh_num!S27)</f>
        <v>0</v>
      </c>
      <c r="T28" s="147">
        <f>IF(SER_hh_fec!T27=0,0,11630*1000*SER_hh_fec!T27/SER_hh_num!T27)</f>
        <v>0</v>
      </c>
      <c r="U28" s="147">
        <f>IF(SER_hh_fec!U27=0,0,11630*1000*SER_hh_fec!U27/SER_hh_num!U27)</f>
        <v>0</v>
      </c>
      <c r="V28" s="147">
        <f>IF(SER_hh_fec!V27=0,0,11630*1000*SER_hh_fec!V27/SER_hh_num!V27)</f>
        <v>0</v>
      </c>
      <c r="W28" s="147">
        <f>IF(SER_hh_fec!W27=0,0,11630*1000*SER_hh_fec!W27/SER_hh_num!W27)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18915.791544114181</v>
      </c>
      <c r="C29" s="131">
        <f>IF(SER_hh_fec!C29=0,0,11630*1000*SER_hh_fec!C29/SER_hh_num!C29)</f>
        <v>19549.49517263634</v>
      </c>
      <c r="D29" s="131">
        <f>IF(SER_hh_fec!D29=0,0,11630*1000*SER_hh_fec!D29/SER_hh_num!D29)</f>
        <v>19276.13613828467</v>
      </c>
      <c r="E29" s="131">
        <f>IF(SER_hh_fec!E29=0,0,11630*1000*SER_hh_fec!E29/SER_hh_num!E29)</f>
        <v>19050.844409308782</v>
      </c>
      <c r="F29" s="131">
        <f>IF(SER_hh_fec!F29=0,0,11630*1000*SER_hh_fec!F29/SER_hh_num!F29)</f>
        <v>19088.720328355048</v>
      </c>
      <c r="G29" s="131">
        <f>IF(SER_hh_fec!G29=0,0,11630*1000*SER_hh_fec!G29/SER_hh_num!G29)</f>
        <v>19068.407185423097</v>
      </c>
      <c r="H29" s="131">
        <f>IF(SER_hh_fec!H29=0,0,11630*1000*SER_hh_fec!H29/SER_hh_num!H29)</f>
        <v>19827.072401038968</v>
      </c>
      <c r="I29" s="131">
        <f>IF(SER_hh_fec!I29=0,0,11630*1000*SER_hh_fec!I29/SER_hh_num!I29)</f>
        <v>20578.67804958695</v>
      </c>
      <c r="J29" s="131">
        <f>IF(SER_hh_fec!J29=0,0,11630*1000*SER_hh_fec!J29/SER_hh_num!J29)</f>
        <v>20517.484922016756</v>
      </c>
      <c r="K29" s="131">
        <f>IF(SER_hh_fec!K29=0,0,11630*1000*SER_hh_fec!K29/SER_hh_num!K29)</f>
        <v>20124.259996729019</v>
      </c>
      <c r="L29" s="131">
        <f>IF(SER_hh_fec!L29=0,0,11630*1000*SER_hh_fec!L29/SER_hh_num!L29)</f>
        <v>20735.501833078437</v>
      </c>
      <c r="M29" s="131">
        <f>IF(SER_hh_fec!M29=0,0,11630*1000*SER_hh_fec!M29/SER_hh_num!M29)</f>
        <v>20731.362380828235</v>
      </c>
      <c r="N29" s="131">
        <f>IF(SER_hh_fec!N29=0,0,11630*1000*SER_hh_fec!N29/SER_hh_num!N29)</f>
        <v>19771.542038442487</v>
      </c>
      <c r="O29" s="131">
        <f>IF(SER_hh_fec!O29=0,0,11630*1000*SER_hh_fec!O29/SER_hh_num!O29)</f>
        <v>19734.748010661871</v>
      </c>
      <c r="P29" s="131">
        <f>IF(SER_hh_fec!P29=0,0,11630*1000*SER_hh_fec!P29/SER_hh_num!P29)</f>
        <v>19763.929270746135</v>
      </c>
      <c r="Q29" s="131">
        <f>IF(SER_hh_fec!Q29=0,0,11630*1000*SER_hh_fec!Q29/SER_hh_num!Q29)</f>
        <v>19320.227485231891</v>
      </c>
      <c r="R29" s="131">
        <f>IF(SER_hh_fec!R29=0,0,11630*1000*SER_hh_fec!R29/SER_hh_num!R29)</f>
        <v>19450.16172250887</v>
      </c>
      <c r="S29" s="131">
        <f>IF(SER_hh_fec!S29=0,0,11630*1000*SER_hh_fec!S29/SER_hh_num!S29)</f>
        <v>19369.294778159136</v>
      </c>
      <c r="T29" s="131">
        <f>IF(SER_hh_fec!T29=0,0,11630*1000*SER_hh_fec!T29/SER_hh_num!T29)</f>
        <v>19290.229729002629</v>
      </c>
      <c r="U29" s="131">
        <f>IF(SER_hh_fec!U29=0,0,11630*1000*SER_hh_fec!U29/SER_hh_num!U29)</f>
        <v>19389.271072180902</v>
      </c>
      <c r="V29" s="131">
        <f>IF(SER_hh_fec!V29=0,0,11630*1000*SER_hh_fec!V29/SER_hh_num!V29)</f>
        <v>18347.360805053831</v>
      </c>
      <c r="W29" s="131">
        <f>IF(SER_hh_fec!W29=0,0,11630*1000*SER_hh_fec!W29/SER_hh_num!W29)</f>
        <v>18381.857954677846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21389.348539614824</v>
      </c>
      <c r="C30" s="133">
        <f>IF(SER_hh_fec!C30=0,0,11630*1000*SER_hh_fec!C30/SER_hh_num!C30)</f>
        <v>29493.576671176572</v>
      </c>
      <c r="D30" s="133">
        <f>IF(SER_hh_fec!D30=0,0,11630*1000*SER_hh_fec!D30/SER_hh_num!D30)</f>
        <v>25151.583335048981</v>
      </c>
      <c r="E30" s="133">
        <f>IF(SER_hh_fec!E30=0,0,11630*1000*SER_hh_fec!E30/SER_hh_num!E30)</f>
        <v>22438.064568605987</v>
      </c>
      <c r="F30" s="133">
        <f>IF(SER_hh_fec!F30=0,0,11630*1000*SER_hh_fec!F30/SER_hh_num!F30)</f>
        <v>20576.032994432917</v>
      </c>
      <c r="G30" s="133">
        <f>IF(SER_hh_fec!G30=0,0,11630*1000*SER_hh_fec!G30/SER_hh_num!G30)</f>
        <v>17467.028050494933</v>
      </c>
      <c r="H30" s="133">
        <f>IF(SER_hh_fec!H30=0,0,11630*1000*SER_hh_fec!H30/SER_hh_num!H30)</f>
        <v>24895.072006999355</v>
      </c>
      <c r="I30" s="133">
        <f>IF(SER_hh_fec!I30=0,0,11630*1000*SER_hh_fec!I30/SER_hh_num!I30)</f>
        <v>30691.481300249266</v>
      </c>
      <c r="J30" s="133">
        <f>IF(SER_hh_fec!J30=0,0,11630*1000*SER_hh_fec!J30/SER_hh_num!J30)</f>
        <v>27075.901449943227</v>
      </c>
      <c r="K30" s="133">
        <f>IF(SER_hh_fec!K30=0,0,11630*1000*SER_hh_fec!K30/SER_hh_num!K30)</f>
        <v>18942.519463520224</v>
      </c>
      <c r="L30" s="133">
        <f>IF(SER_hh_fec!L30=0,0,11630*1000*SER_hh_fec!L30/SER_hh_num!L30)</f>
        <v>30503.654041287951</v>
      </c>
      <c r="M30" s="133">
        <f>IF(SER_hh_fec!M30=0,0,11630*1000*SER_hh_fec!M30/SER_hh_num!M30)</f>
        <v>33249.049003981716</v>
      </c>
      <c r="N30" s="133">
        <f>IF(SER_hh_fec!N30=0,0,11630*1000*SER_hh_fec!N30/SER_hh_num!N30)</f>
        <v>13646.395440600056</v>
      </c>
      <c r="O30" s="133">
        <f>IF(SER_hh_fec!O30=0,0,11630*1000*SER_hh_fec!O30/SER_hh_num!O30)</f>
        <v>21545.886006607619</v>
      </c>
      <c r="P30" s="133">
        <f>IF(SER_hh_fec!P30=0,0,11630*1000*SER_hh_fec!P30/SER_hh_num!P30)</f>
        <v>31807.908745785218</v>
      </c>
      <c r="Q30" s="133">
        <f>IF(SER_hh_fec!Q30=0,0,11630*1000*SER_hh_fec!Q30/SER_hh_num!Q30)</f>
        <v>18866.571968566637</v>
      </c>
      <c r="R30" s="133">
        <f>IF(SER_hh_fec!R30=0,0,11630*1000*SER_hh_fec!R30/SER_hh_num!R30)</f>
        <v>23766.91574152411</v>
      </c>
      <c r="S30" s="133">
        <f>IF(SER_hh_fec!S30=0,0,11630*1000*SER_hh_fec!S30/SER_hh_num!S30)</f>
        <v>25926.160953996936</v>
      </c>
      <c r="T30" s="133">
        <f>IF(SER_hh_fec!T30=0,0,11630*1000*SER_hh_fec!T30/SER_hh_num!T30)</f>
        <v>25300.500237660923</v>
      </c>
      <c r="U30" s="133">
        <f>IF(SER_hh_fec!U30=0,0,11630*1000*SER_hh_fec!U30/SER_hh_num!U30)</f>
        <v>25368.210501749913</v>
      </c>
      <c r="V30" s="133">
        <f>IF(SER_hh_fec!V30=0,0,11630*1000*SER_hh_fec!V30/SER_hh_num!V30)</f>
        <v>24949.468523588588</v>
      </c>
      <c r="W30" s="133">
        <f>IF(SER_hh_fec!W30=0,0,11630*1000*SER_hh_fec!W30/SER_hh_num!W30)</f>
        <v>24738.971732846527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25260.16047228792</v>
      </c>
      <c r="C31" s="133">
        <f>IF(SER_hh_fec!C31=0,0,11630*1000*SER_hh_fec!C31/SER_hh_num!C31)</f>
        <v>22955.884482035046</v>
      </c>
      <c r="D31" s="133">
        <f>IF(SER_hh_fec!D31=0,0,11630*1000*SER_hh_fec!D31/SER_hh_num!D31)</f>
        <v>23842.351874968743</v>
      </c>
      <c r="E31" s="133">
        <f>IF(SER_hh_fec!E31=0,0,11630*1000*SER_hh_fec!E31/SER_hh_num!E31)</f>
        <v>24799.453116241279</v>
      </c>
      <c r="F31" s="133">
        <f>IF(SER_hh_fec!F31=0,0,11630*1000*SER_hh_fec!F31/SER_hh_num!F31)</f>
        <v>24239.770802715684</v>
      </c>
      <c r="G31" s="133">
        <f>IF(SER_hh_fec!G31=0,0,11630*1000*SER_hh_fec!G31/SER_hh_num!G31)</f>
        <v>24304.950251862261</v>
      </c>
      <c r="H31" s="133">
        <f>IF(SER_hh_fec!H31=0,0,11630*1000*SER_hh_fec!H31/SER_hh_num!H31)</f>
        <v>24620.597027200474</v>
      </c>
      <c r="I31" s="133">
        <f>IF(SER_hh_fec!I31=0,0,11630*1000*SER_hh_fec!I31/SER_hh_num!I31)</f>
        <v>25003.518695992909</v>
      </c>
      <c r="J31" s="133">
        <f>IF(SER_hh_fec!J31=0,0,11630*1000*SER_hh_fec!J31/SER_hh_num!J31)</f>
        <v>26077.210607599824</v>
      </c>
      <c r="K31" s="133">
        <f>IF(SER_hh_fec!K31=0,0,11630*1000*SER_hh_fec!K31/SER_hh_num!K31)</f>
        <v>25447.086525712664</v>
      </c>
      <c r="L31" s="133">
        <f>IF(SER_hh_fec!L31=0,0,11630*1000*SER_hh_fec!L31/SER_hh_num!L31)</f>
        <v>24093.077838465353</v>
      </c>
      <c r="M31" s="133">
        <f>IF(SER_hh_fec!M31=0,0,11630*1000*SER_hh_fec!M31/SER_hh_num!M31)</f>
        <v>25098.068711547185</v>
      </c>
      <c r="N31" s="133">
        <f>IF(SER_hh_fec!N31=0,0,11630*1000*SER_hh_fec!N31/SER_hh_num!N31)</f>
        <v>25189.097408511065</v>
      </c>
      <c r="O31" s="133">
        <f>IF(SER_hh_fec!O31=0,0,11630*1000*SER_hh_fec!O31/SER_hh_num!O31)</f>
        <v>25270.160356680786</v>
      </c>
      <c r="P31" s="133">
        <f>IF(SER_hh_fec!P31=0,0,11630*1000*SER_hh_fec!P31/SER_hh_num!P31)</f>
        <v>26163.288594371035</v>
      </c>
      <c r="Q31" s="133">
        <f>IF(SER_hh_fec!Q31=0,0,11630*1000*SER_hh_fec!Q31/SER_hh_num!Q31)</f>
        <v>25984.554195503508</v>
      </c>
      <c r="R31" s="133">
        <f>IF(SER_hh_fec!R31=0,0,11630*1000*SER_hh_fec!R31/SER_hh_num!R31)</f>
        <v>28784.797427530899</v>
      </c>
      <c r="S31" s="133">
        <f>IF(SER_hh_fec!S31=0,0,11630*1000*SER_hh_fec!S31/SER_hh_num!S31)</f>
        <v>16986.235267158852</v>
      </c>
      <c r="T31" s="133">
        <f>IF(SER_hh_fec!T31=0,0,11630*1000*SER_hh_fec!T31/SER_hh_num!T31)</f>
        <v>23636.529823490473</v>
      </c>
      <c r="U31" s="133">
        <f>IF(SER_hh_fec!U31=0,0,11630*1000*SER_hh_fec!U31/SER_hh_num!U31)</f>
        <v>29322.140443618788</v>
      </c>
      <c r="V31" s="133">
        <f>IF(SER_hh_fec!V31=0,0,11630*1000*SER_hh_fec!V31/SER_hh_num!V31)</f>
        <v>23856.04128762443</v>
      </c>
      <c r="W31" s="133">
        <f>IF(SER_hh_fec!W31=0,0,11630*1000*SER_hh_fec!W31/SER_hh_num!W31)</f>
        <v>25561.911087754539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18299.383860606038</v>
      </c>
      <c r="C33" s="68">
        <f>IF(SER_hh_fec!C33=0,0,11630*1000*SER_hh_fec!C33/SER_hh_num!C33)</f>
        <v>17832.858401659421</v>
      </c>
      <c r="D33" s="68">
        <f>IF(SER_hh_fec!D33=0,0,11630*1000*SER_hh_fec!D33/SER_hh_num!D33)</f>
        <v>18222.281221527952</v>
      </c>
      <c r="E33" s="68">
        <f>IF(SER_hh_fec!E33=0,0,11630*1000*SER_hh_fec!E33/SER_hh_num!E33)</f>
        <v>18407.981629011032</v>
      </c>
      <c r="F33" s="68">
        <f>IF(SER_hh_fec!F33=0,0,11630*1000*SER_hh_fec!F33/SER_hh_num!F33)</f>
        <v>18724.08543827289</v>
      </c>
      <c r="G33" s="68">
        <f>IF(SER_hh_fec!G33=0,0,11630*1000*SER_hh_fec!G33/SER_hh_num!G33)</f>
        <v>19113.426124771264</v>
      </c>
      <c r="H33" s="68">
        <f>IF(SER_hh_fec!H33=0,0,11630*1000*SER_hh_fec!H33/SER_hh_num!H33)</f>
        <v>18574.056024771846</v>
      </c>
      <c r="I33" s="68">
        <f>IF(SER_hh_fec!I33=0,0,11630*1000*SER_hh_fec!I33/SER_hh_num!I33)</f>
        <v>17720.1395496123</v>
      </c>
      <c r="J33" s="68">
        <f>IF(SER_hh_fec!J33=0,0,11630*1000*SER_hh_fec!J33/SER_hh_num!J33)</f>
        <v>18506.614404553187</v>
      </c>
      <c r="K33" s="68">
        <f>IF(SER_hh_fec!K33=0,0,11630*1000*SER_hh_fec!K33/SER_hh_num!K33)</f>
        <v>20251.90810593791</v>
      </c>
      <c r="L33" s="68">
        <f>IF(SER_hh_fec!L33=0,0,11630*1000*SER_hh_fec!L33/SER_hh_num!L33)</f>
        <v>18302.860751729415</v>
      </c>
      <c r="M33" s="68">
        <f>IF(SER_hh_fec!M33=0,0,11630*1000*SER_hh_fec!M33/SER_hh_num!M33)</f>
        <v>18206.323236830474</v>
      </c>
      <c r="N33" s="68">
        <f>IF(SER_hh_fec!N33=0,0,11630*1000*SER_hh_fec!N33/SER_hh_num!N33)</f>
        <v>20379.486411014263</v>
      </c>
      <c r="O33" s="68">
        <f>IF(SER_hh_fec!O33=0,0,11630*1000*SER_hh_fec!O33/SER_hh_num!O33)</f>
        <v>19485.749173126187</v>
      </c>
      <c r="P33" s="68">
        <f>IF(SER_hh_fec!P33=0,0,11630*1000*SER_hh_fec!P33/SER_hh_num!P33)</f>
        <v>18979.882387268128</v>
      </c>
      <c r="Q33" s="68">
        <f>IF(SER_hh_fec!Q33=0,0,11630*1000*SER_hh_fec!Q33/SER_hh_num!Q33)</f>
        <v>19224.089789154023</v>
      </c>
      <c r="R33" s="68">
        <f>IF(SER_hh_fec!R33=0,0,11630*1000*SER_hh_fec!R33/SER_hh_num!R33)</f>
        <v>19157.969850680642</v>
      </c>
      <c r="S33" s="68">
        <f>IF(SER_hh_fec!S33=0,0,11630*1000*SER_hh_fec!S33/SER_hh_num!S33)</f>
        <v>19211.035661523292</v>
      </c>
      <c r="T33" s="68">
        <f>IF(SER_hh_fec!T33=0,0,11630*1000*SER_hh_fec!T33/SER_hh_num!T33)</f>
        <v>19054.327265321499</v>
      </c>
      <c r="U33" s="68">
        <f>IF(SER_hh_fec!U33=0,0,11630*1000*SER_hh_fec!U33/SER_hh_num!U33)</f>
        <v>19056.068316665504</v>
      </c>
      <c r="V33" s="68">
        <f>IF(SER_hh_fec!V33=0,0,11630*1000*SER_hh_fec!V33/SER_hh_num!V33)</f>
        <v>18058.635574892851</v>
      </c>
      <c r="W33" s="68">
        <f>IF(SER_hh_fec!W33=0,0,11630*1000*SER_hh_fec!W33/SER_hh_num!W33)</f>
        <v>18069.192309711194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167176.84793937512</v>
      </c>
      <c r="C3" s="126">
        <f>IF(SER_hh_tes!C3=0,0,11630*1000*SER_hh_tes!C3/SER_hh_num!C3)</f>
        <v>182644.90294070836</v>
      </c>
      <c r="D3" s="126">
        <f>IF(SER_hh_tes!D3=0,0,11630*1000*SER_hh_tes!D3/SER_hh_num!D3)</f>
        <v>180031.25113878064</v>
      </c>
      <c r="E3" s="126">
        <f>IF(SER_hh_tes!E3=0,0,11630*1000*SER_hh_tes!E3/SER_hh_num!E3)</f>
        <v>177759.23884541279</v>
      </c>
      <c r="F3" s="126">
        <f>IF(SER_hh_tes!F3=0,0,11630*1000*SER_hh_tes!F3/SER_hh_num!F3)</f>
        <v>168002.15200194789</v>
      </c>
      <c r="G3" s="126">
        <f>IF(SER_hh_tes!G3=0,0,11630*1000*SER_hh_tes!G3/SER_hh_num!G3)</f>
        <v>151259.91988699936</v>
      </c>
      <c r="H3" s="126">
        <f>IF(SER_hh_tes!H3=0,0,11630*1000*SER_hh_tes!H3/SER_hh_num!H3)</f>
        <v>152171.97135976126</v>
      </c>
      <c r="I3" s="126">
        <f>IF(SER_hh_tes!I3=0,0,11630*1000*SER_hh_tes!I3/SER_hh_num!I3)</f>
        <v>153699.09606394763</v>
      </c>
      <c r="J3" s="126">
        <f>IF(SER_hh_tes!J3=0,0,11630*1000*SER_hh_tes!J3/SER_hh_num!J3)</f>
        <v>151438.46873299262</v>
      </c>
      <c r="K3" s="126">
        <f>IF(SER_hh_tes!K3=0,0,11630*1000*SER_hh_tes!K3/SER_hh_num!K3)</f>
        <v>145553.82419915346</v>
      </c>
      <c r="L3" s="126">
        <f>IF(SER_hh_tes!L3=0,0,11630*1000*SER_hh_tes!L3/SER_hh_num!L3)</f>
        <v>158041.68694536004</v>
      </c>
      <c r="M3" s="126">
        <f>IF(SER_hh_tes!M3=0,0,11630*1000*SER_hh_tes!M3/SER_hh_num!M3)</f>
        <v>137429.35058948549</v>
      </c>
      <c r="N3" s="126">
        <f>IF(SER_hh_tes!N3=0,0,11630*1000*SER_hh_tes!N3/SER_hh_num!N3)</f>
        <v>146990.21281864867</v>
      </c>
      <c r="O3" s="126">
        <f>IF(SER_hh_tes!O3=0,0,11630*1000*SER_hh_tes!O3/SER_hh_num!O3)</f>
        <v>142552.56334803166</v>
      </c>
      <c r="P3" s="126">
        <f>IF(SER_hh_tes!P3=0,0,11630*1000*SER_hh_tes!P3/SER_hh_num!P3)</f>
        <v>140569.87006204267</v>
      </c>
      <c r="Q3" s="126">
        <f>IF(SER_hh_tes!Q3=0,0,11630*1000*SER_hh_tes!Q3/SER_hh_num!Q3)</f>
        <v>140888.38603789796</v>
      </c>
      <c r="R3" s="126">
        <f>IF(SER_hh_tes!R3=0,0,11630*1000*SER_hh_tes!R3/SER_hh_num!R3)</f>
        <v>149209.07785355719</v>
      </c>
      <c r="S3" s="126">
        <f>IF(SER_hh_tes!S3=0,0,11630*1000*SER_hh_tes!S3/SER_hh_num!S3)</f>
        <v>138476.95548528049</v>
      </c>
      <c r="T3" s="126">
        <f>IF(SER_hh_tes!T3=0,0,11630*1000*SER_hh_tes!T3/SER_hh_num!T3)</f>
        <v>143617.04845938444</v>
      </c>
      <c r="U3" s="126">
        <f>IF(SER_hh_tes!U3=0,0,11630*1000*SER_hh_tes!U3/SER_hh_num!U3)</f>
        <v>138962.81159636515</v>
      </c>
      <c r="V3" s="126">
        <f>IF(SER_hh_tes!V3=0,0,11630*1000*SER_hh_tes!V3/SER_hh_num!V3)</f>
        <v>132425.71748823073</v>
      </c>
      <c r="W3" s="126">
        <f>IF(SER_hh_tes!W3=0,0,11630*1000*SER_hh_tes!W3/SER_hh_num!W3)</f>
        <v>144175.11059708332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129616.20187631215</v>
      </c>
      <c r="C4" s="131">
        <f>IF(SER_hh_tes!C4=0,0,11630*1000*SER_hh_tes!C4/SER_hh_num!C4)</f>
        <v>144800.37926391064</v>
      </c>
      <c r="D4" s="131">
        <f>IF(SER_hh_tes!D4=0,0,11630*1000*SER_hh_tes!D4/SER_hh_num!D4)</f>
        <v>142269.74363942893</v>
      </c>
      <c r="E4" s="131">
        <f>IF(SER_hh_tes!E4=0,0,11630*1000*SER_hh_tes!E4/SER_hh_num!E4)</f>
        <v>140020.30361485266</v>
      </c>
      <c r="F4" s="131">
        <f>IF(SER_hh_tes!F4=0,0,11630*1000*SER_hh_tes!F4/SER_hh_num!F4)</f>
        <v>130100.37343405743</v>
      </c>
      <c r="G4" s="131">
        <f>IF(SER_hh_tes!G4=0,0,11630*1000*SER_hh_tes!G4/SER_hh_num!G4)</f>
        <v>113303.15001260005</v>
      </c>
      <c r="H4" s="131">
        <f>IF(SER_hh_tes!H4=0,0,11630*1000*SER_hh_tes!H4/SER_hh_num!H4)</f>
        <v>113910.51969736561</v>
      </c>
      <c r="I4" s="131">
        <f>IF(SER_hh_tes!I4=0,0,11630*1000*SER_hh_tes!I4/SER_hh_num!I4)</f>
        <v>114975.18450120842</v>
      </c>
      <c r="J4" s="131">
        <f>IF(SER_hh_tes!J4=0,0,11630*1000*SER_hh_tes!J4/SER_hh_num!J4)</f>
        <v>112324.85003295739</v>
      </c>
      <c r="K4" s="131">
        <f>IF(SER_hh_tes!K4=0,0,11630*1000*SER_hh_tes!K4/SER_hh_num!K4)</f>
        <v>106183.89264588551</v>
      </c>
      <c r="L4" s="131">
        <f>IF(SER_hh_tes!L4=0,0,11630*1000*SER_hh_tes!L4/SER_hh_num!L4)</f>
        <v>118346.25910896933</v>
      </c>
      <c r="M4" s="131">
        <f>IF(SER_hh_tes!M4=0,0,11630*1000*SER_hh_tes!M4/SER_hh_num!M4)</f>
        <v>97631.290453727706</v>
      </c>
      <c r="N4" s="131">
        <f>IF(SER_hh_tes!N4=0,0,11630*1000*SER_hh_tes!N4/SER_hh_num!N4)</f>
        <v>106910.32627557832</v>
      </c>
      <c r="O4" s="131">
        <f>IF(SER_hh_tes!O4=0,0,11630*1000*SER_hh_tes!O4/SER_hh_num!O4)</f>
        <v>102325.81206820336</v>
      </c>
      <c r="P4" s="131">
        <f>IF(SER_hh_tes!P4=0,0,11630*1000*SER_hh_tes!P4/SER_hh_num!P4)</f>
        <v>100154.24084199994</v>
      </c>
      <c r="Q4" s="131">
        <f>IF(SER_hh_tes!Q4=0,0,11630*1000*SER_hh_tes!Q4/SER_hh_num!Q4)</f>
        <v>100640.6401848614</v>
      </c>
      <c r="R4" s="131">
        <f>IF(SER_hh_tes!R4=0,0,11630*1000*SER_hh_tes!R4/SER_hh_num!R4)</f>
        <v>108705.71235140297</v>
      </c>
      <c r="S4" s="131">
        <f>IF(SER_hh_tes!S4=0,0,11630*1000*SER_hh_tes!S4/SER_hh_num!S4)</f>
        <v>97968.878792403892</v>
      </c>
      <c r="T4" s="131">
        <f>IF(SER_hh_tes!T4=0,0,11630*1000*SER_hh_tes!T4/SER_hh_num!T4)</f>
        <v>102890.21126669024</v>
      </c>
      <c r="U4" s="131">
        <f>IF(SER_hh_tes!U4=0,0,11630*1000*SER_hh_tes!U4/SER_hh_num!U4)</f>
        <v>98154.951706045293</v>
      </c>
      <c r="V4" s="131">
        <f>IF(SER_hh_tes!V4=0,0,11630*1000*SER_hh_tes!V4/SER_hh_num!V4)</f>
        <v>93006.120471091068</v>
      </c>
      <c r="W4" s="131">
        <f>IF(SER_hh_tes!W4=0,0,11630*1000*SER_hh_tes!W4/SER_hh_num!W4)</f>
        <v>103901.14756814569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131103.48528516668</v>
      </c>
      <c r="C7" s="133">
        <f>IF(SER_hh_tes!C7=0,0,11630*1000*SER_hh_tes!C7/SER_hh_num!C7)</f>
        <v>138515.36802210391</v>
      </c>
      <c r="D7" s="133">
        <f>IF(SER_hh_tes!D7=0,0,11630*1000*SER_hh_tes!D7/SER_hh_num!D7)</f>
        <v>138647.67982737839</v>
      </c>
      <c r="E7" s="133">
        <f>IF(SER_hh_tes!E7=0,0,11630*1000*SER_hh_tes!E7/SER_hh_num!E7)</f>
        <v>155112.05568604838</v>
      </c>
      <c r="F7" s="133">
        <f>IF(SER_hh_tes!F7=0,0,11630*1000*SER_hh_tes!F7/SER_hh_num!F7)</f>
        <v>136530.10370600349</v>
      </c>
      <c r="G7" s="133">
        <f>IF(SER_hh_tes!G7=0,0,11630*1000*SER_hh_tes!G7/SER_hh_num!G7)</f>
        <v>90527.838456163823</v>
      </c>
      <c r="H7" s="133">
        <f>IF(SER_hh_tes!H7=0,0,11630*1000*SER_hh_tes!H7/SER_hh_num!H7)</f>
        <v>100660.63463474206</v>
      </c>
      <c r="I7" s="133">
        <f>IF(SER_hh_tes!I7=0,0,11630*1000*SER_hh_tes!I7/SER_hh_num!I7)</f>
        <v>113142.69527063932</v>
      </c>
      <c r="J7" s="133">
        <f>IF(SER_hh_tes!J7=0,0,11630*1000*SER_hh_tes!J7/SER_hh_num!J7)</f>
        <v>101832.90711725624</v>
      </c>
      <c r="K7" s="133">
        <f>IF(SER_hh_tes!K7=0,0,11630*1000*SER_hh_tes!K7/SER_hh_num!K7)</f>
        <v>104852.90849389872</v>
      </c>
      <c r="L7" s="133">
        <f>IF(SER_hh_tes!L7=0,0,11630*1000*SER_hh_tes!L7/SER_hh_num!L7)</f>
        <v>111201.19217653201</v>
      </c>
      <c r="M7" s="133">
        <f>IF(SER_hh_tes!M7=0,0,11630*1000*SER_hh_tes!M7/SER_hh_num!M7)</f>
        <v>103267.51918913973</v>
      </c>
      <c r="N7" s="133">
        <f>IF(SER_hh_tes!N7=0,0,11630*1000*SER_hh_tes!N7/SER_hh_num!N7)</f>
        <v>105329.18272193927</v>
      </c>
      <c r="O7" s="133">
        <f>IF(SER_hh_tes!O7=0,0,11630*1000*SER_hh_tes!O7/SER_hh_num!O7)</f>
        <v>98931.971062689059</v>
      </c>
      <c r="P7" s="133">
        <f>IF(SER_hh_tes!P7=0,0,11630*1000*SER_hh_tes!P7/SER_hh_num!P7)</f>
        <v>101102.48610430089</v>
      </c>
      <c r="Q7" s="133">
        <f>IF(SER_hh_tes!Q7=0,0,11630*1000*SER_hh_tes!Q7/SER_hh_num!Q7)</f>
        <v>98969.610538536115</v>
      </c>
      <c r="R7" s="133">
        <f>IF(SER_hh_tes!R7=0,0,11630*1000*SER_hh_tes!R7/SER_hh_num!R7)</f>
        <v>99039.206352387017</v>
      </c>
      <c r="S7" s="133">
        <f>IF(SER_hh_tes!S7=0,0,11630*1000*SER_hh_tes!S7/SER_hh_num!S7)</f>
        <v>100398.60313321714</v>
      </c>
      <c r="T7" s="133">
        <f>IF(SER_hh_tes!T7=0,0,11630*1000*SER_hh_tes!T7/SER_hh_num!T7)</f>
        <v>101043.33908556183</v>
      </c>
      <c r="U7" s="133">
        <f>IF(SER_hh_tes!U7=0,0,11630*1000*SER_hh_tes!U7/SER_hh_num!U7)</f>
        <v>97293.016945867654</v>
      </c>
      <c r="V7" s="133">
        <f>IF(SER_hh_tes!V7=0,0,11630*1000*SER_hh_tes!V7/SER_hh_num!V7)</f>
        <v>97799.913618317005</v>
      </c>
      <c r="W7" s="133">
        <f>IF(SER_hh_tes!W7=0,0,11630*1000*SER_hh_tes!W7/SER_hh_num!W7)</f>
        <v>94681.455689459457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132404.34897279879</v>
      </c>
      <c r="C9" s="133">
        <f>IF(SER_hh_tes!C9=0,0,11630*1000*SER_hh_tes!C9/SER_hh_num!C9)</f>
        <v>100499.68335362326</v>
      </c>
      <c r="D9" s="133">
        <f>IF(SER_hh_tes!D9=0,0,11630*1000*SER_hh_tes!D9/SER_hh_num!D9)</f>
        <v>141600.86852465119</v>
      </c>
      <c r="E9" s="133">
        <f>IF(SER_hh_tes!E9=0,0,11630*1000*SER_hh_tes!E9/SER_hh_num!E9)</f>
        <v>150053.93251671383</v>
      </c>
      <c r="F9" s="133">
        <f>IF(SER_hh_tes!F9=0,0,11630*1000*SER_hh_tes!F9/SER_hh_num!F9)</f>
        <v>125954.16304250289</v>
      </c>
      <c r="G9" s="133">
        <f>IF(SER_hh_tes!G9=0,0,11630*1000*SER_hh_tes!G9/SER_hh_num!G9)</f>
        <v>118256.78119992169</v>
      </c>
      <c r="H9" s="133">
        <f>IF(SER_hh_tes!H9=0,0,11630*1000*SER_hh_tes!H9/SER_hh_num!H9)</f>
        <v>112875.54393672699</v>
      </c>
      <c r="I9" s="133">
        <f>IF(SER_hh_tes!I9=0,0,11630*1000*SER_hh_tes!I9/SER_hh_num!I9)</f>
        <v>117244.17846867704</v>
      </c>
      <c r="J9" s="133">
        <f>IF(SER_hh_tes!J9=0,0,11630*1000*SER_hh_tes!J9/SER_hh_num!J9)</f>
        <v>124819.10524274442</v>
      </c>
      <c r="K9" s="133">
        <f>IF(SER_hh_tes!K9=0,0,11630*1000*SER_hh_tes!K9/SER_hh_num!K9)</f>
        <v>58625.817860774703</v>
      </c>
      <c r="L9" s="133">
        <f>IF(SER_hh_tes!L9=0,0,11630*1000*SER_hh_tes!L9/SER_hh_num!L9)</f>
        <v>123703.27666331292</v>
      </c>
      <c r="M9" s="133">
        <f>IF(SER_hh_tes!M9=0,0,11630*1000*SER_hh_tes!M9/SER_hh_num!M9)</f>
        <v>96463.96546383563</v>
      </c>
      <c r="N9" s="133">
        <f>IF(SER_hh_tes!N9=0,0,11630*1000*SER_hh_tes!N9/SER_hh_num!N9)</f>
        <v>116587.95954809389</v>
      </c>
      <c r="O9" s="133">
        <f>IF(SER_hh_tes!O9=0,0,11630*1000*SER_hh_tes!O9/SER_hh_num!O9)</f>
        <v>101287.84365141176</v>
      </c>
      <c r="P9" s="133">
        <f>IF(SER_hh_tes!P9=0,0,11630*1000*SER_hh_tes!P9/SER_hh_num!P9)</f>
        <v>98559.101877959154</v>
      </c>
      <c r="Q9" s="133">
        <f>IF(SER_hh_tes!Q9=0,0,11630*1000*SER_hh_tes!Q9/SER_hh_num!Q9)</f>
        <v>102145.85992932337</v>
      </c>
      <c r="R9" s="133">
        <f>IF(SER_hh_tes!R9=0,0,11630*1000*SER_hh_tes!R9/SER_hh_num!R9)</f>
        <v>113077.00557108673</v>
      </c>
      <c r="S9" s="133">
        <f>IF(SER_hh_tes!S9=0,0,11630*1000*SER_hh_tes!S9/SER_hh_num!S9)</f>
        <v>64310.916919849209</v>
      </c>
      <c r="T9" s="133">
        <f>IF(SER_hh_tes!T9=0,0,11630*1000*SER_hh_tes!T9/SER_hh_num!T9)</f>
        <v>94797.653302088263</v>
      </c>
      <c r="U9" s="133">
        <f>IF(SER_hh_tes!U9=0,0,11630*1000*SER_hh_tes!U9/SER_hh_num!U9)</f>
        <v>112697.84646189738</v>
      </c>
      <c r="V9" s="133">
        <f>IF(SER_hh_tes!V9=0,0,11630*1000*SER_hh_tes!V9/SER_hh_num!V9)</f>
        <v>101777.21327048815</v>
      </c>
      <c r="W9" s="133">
        <f>IF(SER_hh_tes!W9=0,0,11630*1000*SER_hh_tes!W9/SER_hh_num!W9)</f>
        <v>97755.701494771813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85410.698901859985</v>
      </c>
      <c r="C10" s="133">
        <f>IF(SER_hh_tes!C10=0,0,11630*1000*SER_hh_tes!C10/SER_hh_num!C10)</f>
        <v>180273.63982335292</v>
      </c>
      <c r="D10" s="133">
        <f>IF(SER_hh_tes!D10=0,0,11630*1000*SER_hh_tes!D10/SER_hh_num!D10)</f>
        <v>122853.58392878147</v>
      </c>
      <c r="E10" s="133">
        <f>IF(SER_hh_tes!E10=0,0,11630*1000*SER_hh_tes!E10/SER_hh_num!E10)</f>
        <v>88794.273768968997</v>
      </c>
      <c r="F10" s="133">
        <f>IF(SER_hh_tes!F10=0,0,11630*1000*SER_hh_tes!F10/SER_hh_num!F10)</f>
        <v>148707.99589287292</v>
      </c>
      <c r="G10" s="133">
        <f>IF(SER_hh_tes!G10=0,0,11630*1000*SER_hh_tes!G10/SER_hh_num!G10)</f>
        <v>145222.31072188361</v>
      </c>
      <c r="H10" s="133">
        <f>IF(SER_hh_tes!H10=0,0,11630*1000*SER_hh_tes!H10/SER_hh_num!H10)</f>
        <v>102171.60505839667</v>
      </c>
      <c r="I10" s="133">
        <f>IF(SER_hh_tes!I10=0,0,11630*1000*SER_hh_tes!I10/SER_hh_num!I10)</f>
        <v>108181.90438881193</v>
      </c>
      <c r="J10" s="133">
        <f>IF(SER_hh_tes!J10=0,0,11630*1000*SER_hh_tes!J10/SER_hh_num!J10)</f>
        <v>112371.98656690765</v>
      </c>
      <c r="K10" s="133">
        <f>IF(SER_hh_tes!K10=0,0,11630*1000*SER_hh_tes!K10/SER_hh_num!K10)</f>
        <v>110050.80670233846</v>
      </c>
      <c r="L10" s="133">
        <f>IF(SER_hh_tes!L10=0,0,11630*1000*SER_hh_tes!L10/SER_hh_num!L10)</f>
        <v>109205.45212166107</v>
      </c>
      <c r="M10" s="133">
        <f>IF(SER_hh_tes!M10=0,0,11630*1000*SER_hh_tes!M10/SER_hh_num!M10)</f>
        <v>98102.354095223942</v>
      </c>
      <c r="N10" s="133">
        <f>IF(SER_hh_tes!N10=0,0,11630*1000*SER_hh_tes!N10/SER_hh_num!N10)</f>
        <v>125323.06979409582</v>
      </c>
      <c r="O10" s="133">
        <f>IF(SER_hh_tes!O10=0,0,11630*1000*SER_hh_tes!O10/SER_hh_num!O10)</f>
        <v>71263.603879105169</v>
      </c>
      <c r="P10" s="133">
        <f>IF(SER_hh_tes!P10=0,0,11630*1000*SER_hh_tes!P10/SER_hh_num!P10)</f>
        <v>97612.799768286583</v>
      </c>
      <c r="Q10" s="133">
        <f>IF(SER_hh_tes!Q10=0,0,11630*1000*SER_hh_tes!Q10/SER_hh_num!Q10)</f>
        <v>90910.076051432014</v>
      </c>
      <c r="R10" s="133">
        <f>IF(SER_hh_tes!R10=0,0,11630*1000*SER_hh_tes!R10/SER_hh_num!R10)</f>
        <v>144846.26239656564</v>
      </c>
      <c r="S10" s="133">
        <f>IF(SER_hh_tes!S10=0,0,11630*1000*SER_hh_tes!S10/SER_hh_num!S10)</f>
        <v>142733.23141798831</v>
      </c>
      <c r="T10" s="133">
        <f>IF(SER_hh_tes!T10=0,0,11630*1000*SER_hh_tes!T10/SER_hh_num!T10)</f>
        <v>144592.5271689455</v>
      </c>
      <c r="U10" s="133">
        <f>IF(SER_hh_tes!U10=0,0,11630*1000*SER_hh_tes!U10/SER_hh_num!U10)</f>
        <v>86565.031244085636</v>
      </c>
      <c r="V10" s="133">
        <f>IF(SER_hh_tes!V10=0,0,11630*1000*SER_hh_tes!V10/SER_hh_num!V10)</f>
        <v>92582.478507943088</v>
      </c>
      <c r="W10" s="133">
        <f>IF(SER_hh_tes!W10=0,0,11630*1000*SER_hh_tes!W10/SER_hh_num!W10)</f>
        <v>102336.63142324134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130145.94547550002</v>
      </c>
      <c r="C12" s="133">
        <f>IF(SER_hh_tes!C12=0,0,11630*1000*SER_hh_tes!C12/SER_hh_num!C12)</f>
        <v>143033.5805651538</v>
      </c>
      <c r="D12" s="133">
        <f>IF(SER_hh_tes!D12=0,0,11630*1000*SER_hh_tes!D12/SER_hh_num!D12)</f>
        <v>140327.35340687932</v>
      </c>
      <c r="E12" s="133">
        <f>IF(SER_hh_tes!E12=0,0,11630*1000*SER_hh_tes!E12/SER_hh_num!E12)</f>
        <v>137163.85487322501</v>
      </c>
      <c r="F12" s="133">
        <f>IF(SER_hh_tes!F12=0,0,11630*1000*SER_hh_tes!F12/SER_hh_num!F12)</f>
        <v>125287.877945653</v>
      </c>
      <c r="G12" s="133">
        <f>IF(SER_hh_tes!G12=0,0,11630*1000*SER_hh_tes!G12/SER_hh_num!G12)</f>
        <v>120547.34149498903</v>
      </c>
      <c r="H12" s="133">
        <f>IF(SER_hh_tes!H12=0,0,11630*1000*SER_hh_tes!H12/SER_hh_num!H12)</f>
        <v>115746.72221250717</v>
      </c>
      <c r="I12" s="133">
        <f>IF(SER_hh_tes!I12=0,0,11630*1000*SER_hh_tes!I12/SER_hh_num!I12)</f>
        <v>108522.22200408876</v>
      </c>
      <c r="J12" s="133">
        <f>IF(SER_hh_tes!J12=0,0,11630*1000*SER_hh_tes!J12/SER_hh_num!J12)</f>
        <v>108449.01139953932</v>
      </c>
      <c r="K12" s="133">
        <f>IF(SER_hh_tes!K12=0,0,11630*1000*SER_hh_tes!K12/SER_hh_num!K12)</f>
        <v>109349.46818313167</v>
      </c>
      <c r="L12" s="133">
        <f>IF(SER_hh_tes!L12=0,0,11630*1000*SER_hh_tes!L12/SER_hh_num!L12)</f>
        <v>119348.81190751055</v>
      </c>
      <c r="M12" s="133">
        <f>IF(SER_hh_tes!M12=0,0,11630*1000*SER_hh_tes!M12/SER_hh_num!M12)</f>
        <v>97380.474276171299</v>
      </c>
      <c r="N12" s="133">
        <f>IF(SER_hh_tes!N12=0,0,11630*1000*SER_hh_tes!N12/SER_hh_num!N12)</f>
        <v>106225.29315178622</v>
      </c>
      <c r="O12" s="133">
        <f>IF(SER_hh_tes!O12=0,0,11630*1000*SER_hh_tes!O12/SER_hh_num!O12)</f>
        <v>105159.98773962149</v>
      </c>
      <c r="P12" s="133">
        <f>IF(SER_hh_tes!P12=0,0,11630*1000*SER_hh_tes!P12/SER_hh_num!P12)</f>
        <v>100364.18608119324</v>
      </c>
      <c r="Q12" s="133">
        <f>IF(SER_hh_tes!Q12=0,0,11630*1000*SER_hh_tes!Q12/SER_hh_num!Q12)</f>
        <v>98168.331536811587</v>
      </c>
      <c r="R12" s="133">
        <f>IF(SER_hh_tes!R12=0,0,11630*1000*SER_hh_tes!R12/SER_hh_num!R12)</f>
        <v>105509.946653384</v>
      </c>
      <c r="S12" s="133">
        <f>IF(SER_hh_tes!S12=0,0,11630*1000*SER_hh_tes!S12/SER_hh_num!S12)</f>
        <v>98226.323384375428</v>
      </c>
      <c r="T12" s="133">
        <f>IF(SER_hh_tes!T12=0,0,11630*1000*SER_hh_tes!T12/SER_hh_num!T12)</f>
        <v>101991.17213500624</v>
      </c>
      <c r="U12" s="133">
        <f>IF(SER_hh_tes!U12=0,0,11630*1000*SER_hh_tes!U12/SER_hh_num!U12)</f>
        <v>99530.961207024462</v>
      </c>
      <c r="V12" s="133">
        <f>IF(SER_hh_tes!V12=0,0,11630*1000*SER_hh_tes!V12/SER_hh_num!V12)</f>
        <v>88705.30334679161</v>
      </c>
      <c r="W12" s="133">
        <f>IF(SER_hh_tes!W12=0,0,11630*1000*SER_hh_tes!W12/SER_hh_num!W12)</f>
        <v>106286.63642467624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109352.43245508915</v>
      </c>
      <c r="C13" s="133">
        <f>IF(SER_hh_tes!C13=0,0,11630*1000*SER_hh_tes!C13/SER_hh_num!C13)</f>
        <v>142622.80129893278</v>
      </c>
      <c r="D13" s="133">
        <f>IF(SER_hh_tes!D13=0,0,11630*1000*SER_hh_tes!D13/SER_hh_num!D13)</f>
        <v>136246.97632682676</v>
      </c>
      <c r="E13" s="133">
        <f>IF(SER_hh_tes!E13=0,0,11630*1000*SER_hh_tes!E13/SER_hh_num!E13)</f>
        <v>121738.90980003077</v>
      </c>
      <c r="F13" s="133">
        <f>IF(SER_hh_tes!F13=0,0,11630*1000*SER_hh_tes!F13/SER_hh_num!F13)</f>
        <v>125150.67417215022</v>
      </c>
      <c r="G13" s="133">
        <f>IF(SER_hh_tes!G13=0,0,11630*1000*SER_hh_tes!G13/SER_hh_num!G13)</f>
        <v>105397.50614784386</v>
      </c>
      <c r="H13" s="133">
        <f>IF(SER_hh_tes!H13=0,0,11630*1000*SER_hh_tes!H13/SER_hh_num!H13)</f>
        <v>113634.40006579878</v>
      </c>
      <c r="I13" s="133">
        <f>IF(SER_hh_tes!I13=0,0,11630*1000*SER_hh_tes!I13/SER_hh_num!I13)</f>
        <v>119609.84811861912</v>
      </c>
      <c r="J13" s="133">
        <f>IF(SER_hh_tes!J13=0,0,11630*1000*SER_hh_tes!J13/SER_hh_num!J13)</f>
        <v>113365.74378295307</v>
      </c>
      <c r="K13" s="133">
        <f>IF(SER_hh_tes!K13=0,0,11630*1000*SER_hh_tes!K13/SER_hh_num!K13)</f>
        <v>109012.77702741463</v>
      </c>
      <c r="L13" s="133">
        <f>IF(SER_hh_tes!L13=0,0,11630*1000*SER_hh_tes!L13/SER_hh_num!L13)</f>
        <v>107564.65835349038</v>
      </c>
      <c r="M13" s="133">
        <f>IF(SER_hh_tes!M13=0,0,11630*1000*SER_hh_tes!M13/SER_hh_num!M13)</f>
        <v>104419.76319140969</v>
      </c>
      <c r="N13" s="133">
        <f>IF(SER_hh_tes!N13=0,0,11630*1000*SER_hh_tes!N13/SER_hh_num!N13)</f>
        <v>104908.20561611932</v>
      </c>
      <c r="O13" s="133">
        <f>IF(SER_hh_tes!O13=0,0,11630*1000*SER_hh_tes!O13/SER_hh_num!O13)</f>
        <v>104053.19509147527</v>
      </c>
      <c r="P13" s="133">
        <f>IF(SER_hh_tes!P13=0,0,11630*1000*SER_hh_tes!P13/SER_hh_num!P13)</f>
        <v>100587.29642422911</v>
      </c>
      <c r="Q13" s="133">
        <f>IF(SER_hh_tes!Q13=0,0,11630*1000*SER_hh_tes!Q13/SER_hh_num!Q13)</f>
        <v>97238.312111202307</v>
      </c>
      <c r="R13" s="133">
        <f>IF(SER_hh_tes!R13=0,0,11630*1000*SER_hh_tes!R13/SER_hh_num!R13)</f>
        <v>107426.52444887889</v>
      </c>
      <c r="S13" s="133">
        <f>IF(SER_hh_tes!S13=0,0,11630*1000*SER_hh_tes!S13/SER_hh_num!S13)</f>
        <v>100865.33939735471</v>
      </c>
      <c r="T13" s="133">
        <f>IF(SER_hh_tes!T13=0,0,11630*1000*SER_hh_tes!T13/SER_hh_num!T13)</f>
        <v>100669.90895735424</v>
      </c>
      <c r="U13" s="133">
        <f>IF(SER_hh_tes!U13=0,0,11630*1000*SER_hh_tes!U13/SER_hh_num!U13)</f>
        <v>96256.638156653033</v>
      </c>
      <c r="V13" s="133">
        <f>IF(SER_hh_tes!V13=0,0,11630*1000*SER_hh_tes!V13/SER_hh_num!V13)</f>
        <v>98363.651475553314</v>
      </c>
      <c r="W13" s="133">
        <f>IF(SER_hh_tes!W13=0,0,11630*1000*SER_hh_tes!W13/SER_hh_num!W13)</f>
        <v>97777.22298927205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126296.86973074636</v>
      </c>
      <c r="C14" s="65">
        <f>IF(SER_hh_tes!C14=0,0,11630*1000*SER_hh_tes!C14/SER_hh_num!C14)</f>
        <v>148664.29313859693</v>
      </c>
      <c r="D14" s="65">
        <f>IF(SER_hh_tes!D14=0,0,11630*1000*SER_hh_tes!D14/SER_hh_num!D14)</f>
        <v>144950.86578969689</v>
      </c>
      <c r="E14" s="65">
        <f>IF(SER_hh_tes!E14=0,0,11630*1000*SER_hh_tes!E14/SER_hh_num!E14)</f>
        <v>133760.64741600413</v>
      </c>
      <c r="F14" s="65">
        <f>IF(SER_hh_tes!F14=0,0,11630*1000*SER_hh_tes!F14/SER_hh_num!F14)</f>
        <v>131447.9551795045</v>
      </c>
      <c r="G14" s="65">
        <f>IF(SER_hh_tes!G14=0,0,11630*1000*SER_hh_tes!G14/SER_hh_num!G14)</f>
        <v>107767.40058677907</v>
      </c>
      <c r="H14" s="65">
        <f>IF(SER_hh_tes!H14=0,0,11630*1000*SER_hh_tes!H14/SER_hh_num!H14)</f>
        <v>113971.66948261202</v>
      </c>
      <c r="I14" s="65">
        <f>IF(SER_hh_tes!I14=0,0,11630*1000*SER_hh_tes!I14/SER_hh_num!I14)</f>
        <v>122831.46471694786</v>
      </c>
      <c r="J14" s="65">
        <f>IF(SER_hh_tes!J14=0,0,11630*1000*SER_hh_tes!J14/SER_hh_num!J14)</f>
        <v>118072.38480156478</v>
      </c>
      <c r="K14" s="65">
        <f>IF(SER_hh_tes!K14=0,0,11630*1000*SER_hh_tes!K14/SER_hh_num!K14)</f>
        <v>103148.51389657744</v>
      </c>
      <c r="L14" s="65">
        <f>IF(SER_hh_tes!L14=0,0,11630*1000*SER_hh_tes!L14/SER_hh_num!L14)</f>
        <v>119010.4913388522</v>
      </c>
      <c r="M14" s="65">
        <f>IF(SER_hh_tes!M14=0,0,11630*1000*SER_hh_tes!M14/SER_hh_num!M14)</f>
        <v>92507.932964993815</v>
      </c>
      <c r="N14" s="65">
        <f>IF(SER_hh_tes!N14=0,0,11630*1000*SER_hh_tes!N14/SER_hh_num!N14)</f>
        <v>105099.60347755146</v>
      </c>
      <c r="O14" s="65">
        <f>IF(SER_hh_tes!O14=0,0,11630*1000*SER_hh_tes!O14/SER_hh_num!O14)</f>
        <v>96155.796242888115</v>
      </c>
      <c r="P14" s="65">
        <f>IF(SER_hh_tes!P14=0,0,11630*1000*SER_hh_tes!P14/SER_hh_num!P14)</f>
        <v>97849.850997547721</v>
      </c>
      <c r="Q14" s="65">
        <f>IF(SER_hh_tes!Q14=0,0,11630*1000*SER_hh_tes!Q14/SER_hh_num!Q14)</f>
        <v>106206.50636572848</v>
      </c>
      <c r="R14" s="65">
        <f>IF(SER_hh_tes!R14=0,0,11630*1000*SER_hh_tes!R14/SER_hh_num!R14)</f>
        <v>114305.71436952663</v>
      </c>
      <c r="S14" s="65">
        <f>IF(SER_hh_tes!S14=0,0,11630*1000*SER_hh_tes!S14/SER_hh_num!S14)</f>
        <v>95064.767188123631</v>
      </c>
      <c r="T14" s="65">
        <f>IF(SER_hh_tes!T14=0,0,11630*1000*SER_hh_tes!T14/SER_hh_num!T14)</f>
        <v>103245.53130862184</v>
      </c>
      <c r="U14" s="65">
        <f>IF(SER_hh_tes!U14=0,0,11630*1000*SER_hh_tes!U14/SER_hh_num!U14)</f>
        <v>93728.601995907593</v>
      </c>
      <c r="V14" s="65">
        <f>IF(SER_hh_tes!V14=0,0,11630*1000*SER_hh_tes!V14/SER_hh_num!V14)</f>
        <v>94476.005976156099</v>
      </c>
      <c r="W14" s="65">
        <f>IF(SER_hh_tes!W14=0,0,11630*1000*SER_hh_tes!W14/SER_hh_num!W14)</f>
        <v>104768.65169044543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1353.6872023709886</v>
      </c>
      <c r="C15" s="135">
        <f>IF(SER_hh_tes!C15=0,0,11630*1000*SER_hh_tes!C15/SER_hh_num!C15)</f>
        <v>1392.3469710519785</v>
      </c>
      <c r="D15" s="135">
        <f>IF(SER_hh_tes!D15=0,0,11630*1000*SER_hh_tes!D15/SER_hh_num!D15)</f>
        <v>1353.2402214367567</v>
      </c>
      <c r="E15" s="135">
        <f>IF(SER_hh_tes!E15=0,0,11630*1000*SER_hh_tes!E15/SER_hh_num!E15)</f>
        <v>1372.2603520202651</v>
      </c>
      <c r="F15" s="135">
        <f>IF(SER_hh_tes!F15=0,0,11630*1000*SER_hh_tes!F15/SER_hh_num!F15)</f>
        <v>1125.2586792800948</v>
      </c>
      <c r="G15" s="135">
        <f>IF(SER_hh_tes!G15=0,0,11630*1000*SER_hh_tes!G15/SER_hh_num!G15)</f>
        <v>830.21534590258818</v>
      </c>
      <c r="H15" s="135">
        <f>IF(SER_hh_tes!H15=0,0,11630*1000*SER_hh_tes!H15/SER_hh_num!H15)</f>
        <v>780.65206273615922</v>
      </c>
      <c r="I15" s="135">
        <f>IF(SER_hh_tes!I15=0,0,11630*1000*SER_hh_tes!I15/SER_hh_num!I15)</f>
        <v>754.64931151703729</v>
      </c>
      <c r="J15" s="135">
        <f>IF(SER_hh_tes!J15=0,0,11630*1000*SER_hh_tes!J15/SER_hh_num!J15)</f>
        <v>712.49106297100695</v>
      </c>
      <c r="K15" s="135">
        <f>IF(SER_hh_tes!K15=0,0,11630*1000*SER_hh_tes!K15/SER_hh_num!K15)</f>
        <v>661.05233667599123</v>
      </c>
      <c r="L15" s="135">
        <f>IF(SER_hh_tes!L15=0,0,11630*1000*SER_hh_tes!L15/SER_hh_num!L15)</f>
        <v>747.38457928442722</v>
      </c>
      <c r="M15" s="135">
        <f>IF(SER_hh_tes!M15=0,0,11630*1000*SER_hh_tes!M15/SER_hh_num!M15)</f>
        <v>636.5312435553999</v>
      </c>
      <c r="N15" s="135">
        <f>IF(SER_hh_tes!N15=0,0,11630*1000*SER_hh_tes!N15/SER_hh_num!N15)</f>
        <v>692.31579319940306</v>
      </c>
      <c r="O15" s="135">
        <f>IF(SER_hh_tes!O15=0,0,11630*1000*SER_hh_tes!O15/SER_hh_num!O15)</f>
        <v>645.68375941698287</v>
      </c>
      <c r="P15" s="135">
        <f>IF(SER_hh_tes!P15=0,0,11630*1000*SER_hh_tes!P15/SER_hh_num!P15)</f>
        <v>631.50711083435431</v>
      </c>
      <c r="Q15" s="135">
        <f>IF(SER_hh_tes!Q15=0,0,11630*1000*SER_hh_tes!Q15/SER_hh_num!Q15)</f>
        <v>615.35627690669764</v>
      </c>
      <c r="R15" s="135">
        <f>IF(SER_hh_tes!R15=0,0,11630*1000*SER_hh_tes!R15/SER_hh_num!R15)</f>
        <v>649.60385849394038</v>
      </c>
      <c r="S15" s="135">
        <f>IF(SER_hh_tes!S15=0,0,11630*1000*SER_hh_tes!S15/SER_hh_num!S15)</f>
        <v>595.23666095251394</v>
      </c>
      <c r="T15" s="135">
        <f>IF(SER_hh_tes!T15=0,0,11630*1000*SER_hh_tes!T15/SER_hh_num!T15)</f>
        <v>631.77702424240101</v>
      </c>
      <c r="U15" s="135">
        <f>IF(SER_hh_tes!U15=0,0,11630*1000*SER_hh_tes!U15/SER_hh_num!U15)</f>
        <v>623.37244977298212</v>
      </c>
      <c r="V15" s="135">
        <f>IF(SER_hh_tes!V15=0,0,11630*1000*SER_hh_tes!V15/SER_hh_num!V15)</f>
        <v>587.37915666660012</v>
      </c>
      <c r="W15" s="135">
        <f>IF(SER_hh_tes!W15=0,0,11630*1000*SER_hh_tes!W15/SER_hh_num!W15)</f>
        <v>623.63896904178989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23070.985673076815</v>
      </c>
      <c r="C16" s="131">
        <f>IF(SER_hh_tes!C16=0,0,11630*1000*SER_hh_tes!C16/SER_hh_num!C16)</f>
        <v>23120.088356880271</v>
      </c>
      <c r="D16" s="131">
        <f>IF(SER_hh_tes!D16=0,0,11630*1000*SER_hh_tes!D16/SER_hh_num!D16)</f>
        <v>23143.540459122862</v>
      </c>
      <c r="E16" s="131">
        <f>IF(SER_hh_tes!E16=0,0,11630*1000*SER_hh_tes!E16/SER_hh_num!E16)</f>
        <v>23188.726167506778</v>
      </c>
      <c r="F16" s="131">
        <f>IF(SER_hh_tes!F16=0,0,11630*1000*SER_hh_tes!F16/SER_hh_num!F16)</f>
        <v>23239.518000045919</v>
      </c>
      <c r="G16" s="131">
        <f>IF(SER_hh_tes!G16=0,0,11630*1000*SER_hh_tes!G16/SER_hh_num!G16)</f>
        <v>23301.612979649057</v>
      </c>
      <c r="H16" s="131">
        <f>IF(SER_hh_tes!H16=0,0,11630*1000*SER_hh_tes!H16/SER_hh_num!H16)</f>
        <v>23360.578750680896</v>
      </c>
      <c r="I16" s="131">
        <f>IF(SER_hh_tes!I16=0,0,11630*1000*SER_hh_tes!I16/SER_hh_num!I16)</f>
        <v>23423.36988227037</v>
      </c>
      <c r="J16" s="131">
        <f>IF(SER_hh_tes!J16=0,0,11630*1000*SER_hh_tes!J16/SER_hh_num!J16)</f>
        <v>23696.630754216862</v>
      </c>
      <c r="K16" s="131">
        <f>IF(SER_hh_tes!K16=0,0,11630*1000*SER_hh_tes!K16/SER_hh_num!K16)</f>
        <v>23738.594485234582</v>
      </c>
      <c r="L16" s="131">
        <f>IF(SER_hh_tes!L16=0,0,11630*1000*SER_hh_tes!L16/SER_hh_num!L16)</f>
        <v>24146.841761283828</v>
      </c>
      <c r="M16" s="131">
        <f>IF(SER_hh_tes!M16=0,0,11630*1000*SER_hh_tes!M16/SER_hh_num!M16)</f>
        <v>23821.868484618837</v>
      </c>
      <c r="N16" s="131">
        <f>IF(SER_hh_tes!N16=0,0,11630*1000*SER_hh_tes!N16/SER_hh_num!N16)</f>
        <v>23872.93280304885</v>
      </c>
      <c r="O16" s="131">
        <f>IF(SER_hh_tes!O16=0,0,11630*1000*SER_hh_tes!O16/SER_hh_num!O16)</f>
        <v>23921.526188940199</v>
      </c>
      <c r="P16" s="131">
        <f>IF(SER_hh_tes!P16=0,0,11630*1000*SER_hh_tes!P16/SER_hh_num!P16)</f>
        <v>24299.215228600708</v>
      </c>
      <c r="Q16" s="131">
        <f>IF(SER_hh_tes!Q16=0,0,11630*1000*SER_hh_tes!Q16/SER_hh_num!Q16)</f>
        <v>24041.571589571158</v>
      </c>
      <c r="R16" s="131">
        <f>IF(SER_hh_tes!R16=0,0,11630*1000*SER_hh_tes!R16/SER_hh_num!R16)</f>
        <v>24210.303632384654</v>
      </c>
      <c r="S16" s="131">
        <f>IF(SER_hh_tes!S16=0,0,11630*1000*SER_hh_tes!S16/SER_hh_num!S16)</f>
        <v>24328.540727571919</v>
      </c>
      <c r="T16" s="131">
        <f>IF(SER_hh_tes!T16=0,0,11630*1000*SER_hh_tes!T16/SER_hh_num!T16)</f>
        <v>24695.935556487231</v>
      </c>
      <c r="U16" s="131">
        <f>IF(SER_hh_tes!U16=0,0,11630*1000*SER_hh_tes!U16/SER_hh_num!U16)</f>
        <v>24629.890902342835</v>
      </c>
      <c r="V16" s="131">
        <f>IF(SER_hh_tes!V16=0,0,11630*1000*SER_hh_tes!V16/SER_hh_num!V16)</f>
        <v>24525.468013276954</v>
      </c>
      <c r="W16" s="131">
        <f>IF(SER_hh_tes!W16=0,0,11630*1000*SER_hh_tes!W16/SER_hh_num!W16)</f>
        <v>24755.536150866796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23070.985673076815</v>
      </c>
      <c r="C18" s="133">
        <f>IF(SER_hh_tes!C18=0,0,11630*1000*SER_hh_tes!C18/SER_hh_num!C18)</f>
        <v>23120.088356880271</v>
      </c>
      <c r="D18" s="133">
        <f>IF(SER_hh_tes!D18=0,0,11630*1000*SER_hh_tes!D18/SER_hh_num!D18)</f>
        <v>23143.540459122862</v>
      </c>
      <c r="E18" s="133">
        <f>IF(SER_hh_tes!E18=0,0,11630*1000*SER_hh_tes!E18/SER_hh_num!E18)</f>
        <v>23188.726167506778</v>
      </c>
      <c r="F18" s="133">
        <f>IF(SER_hh_tes!F18=0,0,11630*1000*SER_hh_tes!F18/SER_hh_num!F18)</f>
        <v>23239.518000045919</v>
      </c>
      <c r="G18" s="133">
        <f>IF(SER_hh_tes!G18=0,0,11630*1000*SER_hh_tes!G18/SER_hh_num!G18)</f>
        <v>23301.612979649057</v>
      </c>
      <c r="H18" s="133">
        <f>IF(SER_hh_tes!H18=0,0,11630*1000*SER_hh_tes!H18/SER_hh_num!H18)</f>
        <v>23360.578750680896</v>
      </c>
      <c r="I18" s="133">
        <f>IF(SER_hh_tes!I18=0,0,11630*1000*SER_hh_tes!I18/SER_hh_num!I18)</f>
        <v>23423.36988227037</v>
      </c>
      <c r="J18" s="133">
        <f>IF(SER_hh_tes!J18=0,0,11630*1000*SER_hh_tes!J18/SER_hh_num!J18)</f>
        <v>23696.630754216862</v>
      </c>
      <c r="K18" s="133">
        <f>IF(SER_hh_tes!K18=0,0,11630*1000*SER_hh_tes!K18/SER_hh_num!K18)</f>
        <v>23738.594485234582</v>
      </c>
      <c r="L18" s="133">
        <f>IF(SER_hh_tes!L18=0,0,11630*1000*SER_hh_tes!L18/SER_hh_num!L18)</f>
        <v>24146.841761283828</v>
      </c>
      <c r="M18" s="133">
        <f>IF(SER_hh_tes!M18=0,0,11630*1000*SER_hh_tes!M18/SER_hh_num!M18)</f>
        <v>23821.868484618837</v>
      </c>
      <c r="N18" s="133">
        <f>IF(SER_hh_tes!N18=0,0,11630*1000*SER_hh_tes!N18/SER_hh_num!N18)</f>
        <v>23872.93280304885</v>
      </c>
      <c r="O18" s="133">
        <f>IF(SER_hh_tes!O18=0,0,11630*1000*SER_hh_tes!O18/SER_hh_num!O18)</f>
        <v>23921.526188940199</v>
      </c>
      <c r="P18" s="133">
        <f>IF(SER_hh_tes!P18=0,0,11630*1000*SER_hh_tes!P18/SER_hh_num!P18)</f>
        <v>24299.215228600708</v>
      </c>
      <c r="Q18" s="133">
        <f>IF(SER_hh_tes!Q18=0,0,11630*1000*SER_hh_tes!Q18/SER_hh_num!Q18)</f>
        <v>24041.571589571158</v>
      </c>
      <c r="R18" s="133">
        <f>IF(SER_hh_tes!R18=0,0,11630*1000*SER_hh_tes!R18/SER_hh_num!R18)</f>
        <v>24210.303632384654</v>
      </c>
      <c r="S18" s="133">
        <f>IF(SER_hh_tes!S18=0,0,11630*1000*SER_hh_tes!S18/SER_hh_num!S18)</f>
        <v>24328.540727571919</v>
      </c>
      <c r="T18" s="133">
        <f>IF(SER_hh_tes!T18=0,0,11630*1000*SER_hh_tes!T18/SER_hh_num!T18)</f>
        <v>24695.935556487231</v>
      </c>
      <c r="U18" s="133">
        <f>IF(SER_hh_tes!U18=0,0,11630*1000*SER_hh_tes!U18/SER_hh_num!U18)</f>
        <v>24629.890902342835</v>
      </c>
      <c r="V18" s="133">
        <f>IF(SER_hh_tes!V18=0,0,11630*1000*SER_hh_tes!V18/SER_hh_num!V18)</f>
        <v>24525.468013276954</v>
      </c>
      <c r="W18" s="133">
        <f>IF(SER_hh_tes!W18=0,0,11630*1000*SER_hh_tes!W18/SER_hh_num!W18)</f>
        <v>24755.536150866796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16745.23606952816</v>
      </c>
      <c r="C19" s="131">
        <f>IF(SER_hh_tes!C19=0,0,11630*1000*SER_hh_tes!C19/SER_hh_num!C19)</f>
        <v>16600.753748582149</v>
      </c>
      <c r="D19" s="131">
        <f>IF(SER_hh_tes!D19=0,0,11630*1000*SER_hh_tes!D19/SER_hh_num!D19)</f>
        <v>16465.523163289708</v>
      </c>
      <c r="E19" s="131">
        <f>IF(SER_hh_tes!E19=0,0,11630*1000*SER_hh_tes!E19/SER_hh_num!E19)</f>
        <v>16408.856207741701</v>
      </c>
      <c r="F19" s="131">
        <f>IF(SER_hh_tes!F19=0,0,11630*1000*SER_hh_tes!F19/SER_hh_num!F19)</f>
        <v>16312.326847194698</v>
      </c>
      <c r="G19" s="131">
        <f>IF(SER_hh_tes!G19=0,0,11630*1000*SER_hh_tes!G19/SER_hh_num!G19)</f>
        <v>16256.670946422149</v>
      </c>
      <c r="H19" s="131">
        <f>IF(SER_hh_tes!H19=0,0,11630*1000*SER_hh_tes!H19/SER_hh_num!H19)</f>
        <v>16220.186122950105</v>
      </c>
      <c r="I19" s="131">
        <f>IF(SER_hh_tes!I19=0,0,11630*1000*SER_hh_tes!I19/SER_hh_num!I19)</f>
        <v>16275.384355663555</v>
      </c>
      <c r="J19" s="131">
        <f>IF(SER_hh_tes!J19=0,0,11630*1000*SER_hh_tes!J19/SER_hh_num!J19)</f>
        <v>16356.44265038222</v>
      </c>
      <c r="K19" s="131">
        <f>IF(SER_hh_tes!K19=0,0,11630*1000*SER_hh_tes!K19/SER_hh_num!K19)</f>
        <v>16357.28992921228</v>
      </c>
      <c r="L19" s="131">
        <f>IF(SER_hh_tes!L19=0,0,11630*1000*SER_hh_tes!L19/SER_hh_num!L19)</f>
        <v>16300.721328463482</v>
      </c>
      <c r="M19" s="131">
        <f>IF(SER_hh_tes!M19=0,0,11630*1000*SER_hh_tes!M19/SER_hh_num!M19)</f>
        <v>16334.463268414962</v>
      </c>
      <c r="N19" s="131">
        <f>IF(SER_hh_tes!N19=0,0,11630*1000*SER_hh_tes!N19/SER_hh_num!N19)</f>
        <v>16511.626807914345</v>
      </c>
      <c r="O19" s="131">
        <f>IF(SER_hh_tes!O19=0,0,11630*1000*SER_hh_tes!O19/SER_hh_num!O19)</f>
        <v>16588.690011443974</v>
      </c>
      <c r="P19" s="131">
        <f>IF(SER_hh_tes!P19=0,0,11630*1000*SER_hh_tes!P19/SER_hh_num!P19)</f>
        <v>16602.39734851231</v>
      </c>
      <c r="Q19" s="131">
        <f>IF(SER_hh_tes!Q19=0,0,11630*1000*SER_hh_tes!Q19/SER_hh_num!Q19)</f>
        <v>16630.195489979462</v>
      </c>
      <c r="R19" s="131">
        <f>IF(SER_hh_tes!R19=0,0,11630*1000*SER_hh_tes!R19/SER_hh_num!R19)</f>
        <v>16601.822721371911</v>
      </c>
      <c r="S19" s="131">
        <f>IF(SER_hh_tes!S19=0,0,11630*1000*SER_hh_tes!S19/SER_hh_num!S19)</f>
        <v>16428.030816192655</v>
      </c>
      <c r="T19" s="131">
        <f>IF(SER_hh_tes!T19=0,0,11630*1000*SER_hh_tes!T19/SER_hh_num!T19)</f>
        <v>16545.272934080007</v>
      </c>
      <c r="U19" s="131">
        <f>IF(SER_hh_tes!U19=0,0,11630*1000*SER_hh_tes!U19/SER_hh_num!U19)</f>
        <v>16477.437633768321</v>
      </c>
      <c r="V19" s="131">
        <f>IF(SER_hh_tes!V19=0,0,11630*1000*SER_hh_tes!V19/SER_hh_num!V19)</f>
        <v>15975.745453035368</v>
      </c>
      <c r="W19" s="131">
        <f>IF(SER_hh_tes!W19=0,0,11630*1000*SER_hh_tes!W19/SER_hh_num!W19)</f>
        <v>16468.362664026932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16791.689477325304</v>
      </c>
      <c r="C22" s="133">
        <f>IF(SER_hh_tes!C22=0,0,11630*1000*SER_hh_tes!C22/SER_hh_num!C22)</f>
        <v>16702.883471173529</v>
      </c>
      <c r="D22" s="133">
        <f>IF(SER_hh_tes!D22=0,0,11630*1000*SER_hh_tes!D22/SER_hh_num!D22)</f>
        <v>16572.353362557722</v>
      </c>
      <c r="E22" s="133">
        <f>IF(SER_hh_tes!E22=0,0,11630*1000*SER_hh_tes!E22/SER_hh_num!E22)</f>
        <v>17218.038446113726</v>
      </c>
      <c r="F22" s="133">
        <f>IF(SER_hh_tes!F22=0,0,11630*1000*SER_hh_tes!F22/SER_hh_num!F22)</f>
        <v>17449.337671801353</v>
      </c>
      <c r="G22" s="133">
        <f>IF(SER_hh_tes!G22=0,0,11630*1000*SER_hh_tes!G22/SER_hh_num!G22)</f>
        <v>14076.21598414266</v>
      </c>
      <c r="H22" s="133">
        <f>IF(SER_hh_tes!H22=0,0,11630*1000*SER_hh_tes!H22/SER_hh_num!H22)</f>
        <v>16446.755611179251</v>
      </c>
      <c r="I22" s="133">
        <f>IF(SER_hh_tes!I22=0,0,11630*1000*SER_hh_tes!I22/SER_hh_num!I22)</f>
        <v>16486.29748341077</v>
      </c>
      <c r="J22" s="133">
        <f>IF(SER_hh_tes!J22=0,0,11630*1000*SER_hh_tes!J22/SER_hh_num!J22)</f>
        <v>17582.81939459507</v>
      </c>
      <c r="K22" s="133">
        <f>IF(SER_hh_tes!K22=0,0,11630*1000*SER_hh_tes!K22/SER_hh_num!K22)</f>
        <v>13354.395712938966</v>
      </c>
      <c r="L22" s="133">
        <f>IF(SER_hh_tes!L22=0,0,11630*1000*SER_hh_tes!L22/SER_hh_num!L22)</f>
        <v>13697.815043565419</v>
      </c>
      <c r="M22" s="133">
        <f>IF(SER_hh_tes!M22=0,0,11630*1000*SER_hh_tes!M22/SER_hh_num!M22)</f>
        <v>14194.927139047533</v>
      </c>
      <c r="N22" s="133">
        <f>IF(SER_hh_tes!N22=0,0,11630*1000*SER_hh_tes!N22/SER_hh_num!N22)</f>
        <v>18251.763884670254</v>
      </c>
      <c r="O22" s="133">
        <f>IF(SER_hh_tes!O22=0,0,11630*1000*SER_hh_tes!O22/SER_hh_num!O22)</f>
        <v>18464.671815050529</v>
      </c>
      <c r="P22" s="133">
        <f>IF(SER_hh_tes!P22=0,0,11630*1000*SER_hh_tes!P22/SER_hh_num!P22)</f>
        <v>13251.567889951595</v>
      </c>
      <c r="Q22" s="133">
        <f>IF(SER_hh_tes!Q22=0,0,11630*1000*SER_hh_tes!Q22/SER_hh_num!Q22)</f>
        <v>17627.437371105898</v>
      </c>
      <c r="R22" s="133">
        <f>IF(SER_hh_tes!R22=0,0,11630*1000*SER_hh_tes!R22/SER_hh_num!R22)</f>
        <v>16875.151382291278</v>
      </c>
      <c r="S22" s="133">
        <f>IF(SER_hh_tes!S22=0,0,11630*1000*SER_hh_tes!S22/SER_hh_num!S22)</f>
        <v>16799.633130860362</v>
      </c>
      <c r="T22" s="133">
        <f>IF(SER_hh_tes!T22=0,0,11630*1000*SER_hh_tes!T22/SER_hh_num!T22)</f>
        <v>16968.911139337761</v>
      </c>
      <c r="U22" s="133">
        <f>IF(SER_hh_tes!U22=0,0,11630*1000*SER_hh_tes!U22/SER_hh_num!U22)</f>
        <v>16532.695953229151</v>
      </c>
      <c r="V22" s="133">
        <f>IF(SER_hh_tes!V22=0,0,11630*1000*SER_hh_tes!V22/SER_hh_num!V22)</f>
        <v>16614.374069448961</v>
      </c>
      <c r="W22" s="133">
        <f>IF(SER_hh_tes!W22=0,0,11630*1000*SER_hh_tes!W22/SER_hh_num!W22)</f>
        <v>15624.136041561178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16963.600034953222</v>
      </c>
      <c r="C23" s="133">
        <f>IF(SER_hh_tes!C23=0,0,11630*1000*SER_hh_tes!C23/SER_hh_num!C23)</f>
        <v>15122.31794784938</v>
      </c>
      <c r="D23" s="133">
        <f>IF(SER_hh_tes!D23=0,0,11630*1000*SER_hh_tes!D23/SER_hh_num!D23)</f>
        <v>16439.984067973106</v>
      </c>
      <c r="E23" s="133">
        <f>IF(SER_hh_tes!E23=0,0,11630*1000*SER_hh_tes!E23/SER_hh_num!E23)</f>
        <v>17263.059827890698</v>
      </c>
      <c r="F23" s="133">
        <f>IF(SER_hh_tes!F23=0,0,11630*1000*SER_hh_tes!F23/SER_hh_num!F23)</f>
        <v>15346.093519432006</v>
      </c>
      <c r="G23" s="133">
        <f>IF(SER_hh_tes!G23=0,0,11630*1000*SER_hh_tes!G23/SER_hh_num!G23)</f>
        <v>15665.263164603004</v>
      </c>
      <c r="H23" s="133">
        <f>IF(SER_hh_tes!H23=0,0,11630*1000*SER_hh_tes!H23/SER_hh_num!H23)</f>
        <v>17423.983853736452</v>
      </c>
      <c r="I23" s="133">
        <f>IF(SER_hh_tes!I23=0,0,11630*1000*SER_hh_tes!I23/SER_hh_num!I23)</f>
        <v>16155.646977289747</v>
      </c>
      <c r="J23" s="133">
        <f>IF(SER_hh_tes!J23=0,0,11630*1000*SER_hh_tes!J23/SER_hh_num!J23)</f>
        <v>16669.032711055923</v>
      </c>
      <c r="K23" s="133">
        <f>IF(SER_hh_tes!K23=0,0,11630*1000*SER_hh_tes!K23/SER_hh_num!K23)</f>
        <v>16205.915853594825</v>
      </c>
      <c r="L23" s="133">
        <f>IF(SER_hh_tes!L23=0,0,11630*1000*SER_hh_tes!L23/SER_hh_num!L23)</f>
        <v>16569.954374877969</v>
      </c>
      <c r="M23" s="133">
        <f>IF(SER_hh_tes!M23=0,0,11630*1000*SER_hh_tes!M23/SER_hh_num!M23)</f>
        <v>16257.232895108344</v>
      </c>
      <c r="N23" s="133">
        <f>IF(SER_hh_tes!N23=0,0,11630*1000*SER_hh_tes!N23/SER_hh_num!N23)</f>
        <v>16306.731911671744</v>
      </c>
      <c r="O23" s="133">
        <f>IF(SER_hh_tes!O23=0,0,11630*1000*SER_hh_tes!O23/SER_hh_num!O23)</f>
        <v>16422.879501065421</v>
      </c>
      <c r="P23" s="133">
        <f>IF(SER_hh_tes!P23=0,0,11630*1000*SER_hh_tes!P23/SER_hh_num!P23)</f>
        <v>17045.794012438761</v>
      </c>
      <c r="Q23" s="133">
        <f>IF(SER_hh_tes!Q23=0,0,11630*1000*SER_hh_tes!Q23/SER_hh_num!Q23)</f>
        <v>17270.351311410788</v>
      </c>
      <c r="R23" s="133">
        <f>IF(SER_hh_tes!R23=0,0,11630*1000*SER_hh_tes!R23/SER_hh_num!R23)</f>
        <v>18654.846971778959</v>
      </c>
      <c r="S23" s="133">
        <f>IF(SER_hh_tes!S23=0,0,11630*1000*SER_hh_tes!S23/SER_hh_num!S23)</f>
        <v>10957.505185648659</v>
      </c>
      <c r="T23" s="133">
        <f>IF(SER_hh_tes!T23=0,0,11630*1000*SER_hh_tes!T23/SER_hh_num!T23)</f>
        <v>14863.622302035945</v>
      </c>
      <c r="U23" s="133">
        <f>IF(SER_hh_tes!U23=0,0,11630*1000*SER_hh_tes!U23/SER_hh_num!U23)</f>
        <v>18392.470033894206</v>
      </c>
      <c r="V23" s="133">
        <f>IF(SER_hh_tes!V23=0,0,11630*1000*SER_hh_tes!V23/SER_hh_num!V23)</f>
        <v>16612.928049652288</v>
      </c>
      <c r="W23" s="133">
        <f>IF(SER_hh_tes!W23=0,0,11630*1000*SER_hh_tes!W23/SER_hh_num!W23)</f>
        <v>16385.320657344702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16910.677507293804</v>
      </c>
      <c r="C25" s="133">
        <f>IF(SER_hh_tes!C25=0,0,11630*1000*SER_hh_tes!C25/SER_hh_num!C25)</f>
        <v>16524.046002126928</v>
      </c>
      <c r="D25" s="133">
        <f>IF(SER_hh_tes!D25=0,0,11630*1000*SER_hh_tes!D25/SER_hh_num!D25)</f>
        <v>16273.91839846089</v>
      </c>
      <c r="E25" s="133">
        <f>IF(SER_hh_tes!E25=0,0,11630*1000*SER_hh_tes!E25/SER_hh_num!E25)</f>
        <v>16052.380673137775</v>
      </c>
      <c r="F25" s="133">
        <f>IF(SER_hh_tes!F25=0,0,11630*1000*SER_hh_tes!F25/SER_hh_num!F25)</f>
        <v>16202.380760253456</v>
      </c>
      <c r="G25" s="133">
        <f>IF(SER_hh_tes!G25=0,0,11630*1000*SER_hh_tes!G25/SER_hh_num!G25)</f>
        <v>16531.33739404142</v>
      </c>
      <c r="H25" s="133">
        <f>IF(SER_hh_tes!H25=0,0,11630*1000*SER_hh_tes!H25/SER_hh_num!H25)</f>
        <v>16619.515788781875</v>
      </c>
      <c r="I25" s="133">
        <f>IF(SER_hh_tes!I25=0,0,11630*1000*SER_hh_tes!I25/SER_hh_num!I25)</f>
        <v>16119.77623415659</v>
      </c>
      <c r="J25" s="133">
        <f>IF(SER_hh_tes!J25=0,0,11630*1000*SER_hh_tes!J25/SER_hh_num!J25)</f>
        <v>16364.449483310273</v>
      </c>
      <c r="K25" s="133">
        <f>IF(SER_hh_tes!K25=0,0,11630*1000*SER_hh_tes!K25/SER_hh_num!K25)</f>
        <v>16322.812817949283</v>
      </c>
      <c r="L25" s="133">
        <f>IF(SER_hh_tes!L25=0,0,11630*1000*SER_hh_tes!L25/SER_hh_num!L25)</f>
        <v>16200.703176776246</v>
      </c>
      <c r="M25" s="133">
        <f>IF(SER_hh_tes!M25=0,0,11630*1000*SER_hh_tes!M25/SER_hh_num!M25)</f>
        <v>16366.542358610246</v>
      </c>
      <c r="N25" s="133">
        <f>IF(SER_hh_tes!N25=0,0,11630*1000*SER_hh_tes!N25/SER_hh_num!N25)</f>
        <v>16698.840175849495</v>
      </c>
      <c r="O25" s="133">
        <f>IF(SER_hh_tes!O25=0,0,11630*1000*SER_hh_tes!O25/SER_hh_num!O25)</f>
        <v>16586.643091553888</v>
      </c>
      <c r="P25" s="133">
        <f>IF(SER_hh_tes!P25=0,0,11630*1000*SER_hh_tes!P25/SER_hh_num!P25)</f>
        <v>16526.64098126876</v>
      </c>
      <c r="Q25" s="133">
        <f>IF(SER_hh_tes!Q25=0,0,11630*1000*SER_hh_tes!Q25/SER_hh_num!Q25)</f>
        <v>16357.098603145467</v>
      </c>
      <c r="R25" s="133">
        <f>IF(SER_hh_tes!R25=0,0,11630*1000*SER_hh_tes!R25/SER_hh_num!R25)</f>
        <v>17083.623053898187</v>
      </c>
      <c r="S25" s="133">
        <f>IF(SER_hh_tes!S25=0,0,11630*1000*SER_hh_tes!S25/SER_hh_num!S25)</f>
        <v>16138.789139929399</v>
      </c>
      <c r="T25" s="133">
        <f>IF(SER_hh_tes!T25=0,0,11630*1000*SER_hh_tes!T25/SER_hh_num!T25)</f>
        <v>16860.507194902504</v>
      </c>
      <c r="U25" s="133">
        <f>IF(SER_hh_tes!U25=0,0,11630*1000*SER_hh_tes!U25/SER_hh_num!U25)</f>
        <v>16705.123848199957</v>
      </c>
      <c r="V25" s="133">
        <f>IF(SER_hh_tes!V25=0,0,11630*1000*SER_hh_tes!V25/SER_hh_num!V25)</f>
        <v>14560.749599387194</v>
      </c>
      <c r="W25" s="133">
        <f>IF(SER_hh_tes!W25=0,0,11630*1000*SER_hh_tes!W25/SER_hh_num!W25)</f>
        <v>18150.551167403148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16540.493364483045</v>
      </c>
      <c r="C26" s="65">
        <f>IF(SER_hh_tes!C26=0,0,11630*1000*SER_hh_tes!C26/SER_hh_num!C26)</f>
        <v>16651.467729651838</v>
      </c>
      <c r="D26" s="65">
        <f>IF(SER_hh_tes!D26=0,0,11630*1000*SER_hh_tes!D26/SER_hh_num!D26)</f>
        <v>16622.624647091321</v>
      </c>
      <c r="E26" s="65">
        <f>IF(SER_hh_tes!E26=0,0,11630*1000*SER_hh_tes!E26/SER_hh_num!E26)</f>
        <v>16437.555244784238</v>
      </c>
      <c r="F26" s="65">
        <f>IF(SER_hh_tes!F26=0,0,11630*1000*SER_hh_tes!F26/SER_hh_num!F26)</f>
        <v>16028.731594052857</v>
      </c>
      <c r="G26" s="65">
        <f>IF(SER_hh_tes!G26=0,0,11630*1000*SER_hh_tes!G26/SER_hh_num!G26)</f>
        <v>16602.747806796055</v>
      </c>
      <c r="H26" s="65">
        <f>IF(SER_hh_tes!H26=0,0,11630*1000*SER_hh_tes!H26/SER_hh_num!H26)</f>
        <v>15632.277192802045</v>
      </c>
      <c r="I26" s="65">
        <f>IF(SER_hh_tes!I26=0,0,11630*1000*SER_hh_tes!I26/SER_hh_num!I26)</f>
        <v>16424.634284520082</v>
      </c>
      <c r="J26" s="65">
        <f>IF(SER_hh_tes!J26=0,0,11630*1000*SER_hh_tes!J26/SER_hh_num!J26)</f>
        <v>16133.920441773038</v>
      </c>
      <c r="K26" s="65">
        <f>IF(SER_hh_tes!K26=0,0,11630*1000*SER_hh_tes!K26/SER_hh_num!K26)</f>
        <v>16766.573487965881</v>
      </c>
      <c r="L26" s="65">
        <f>IF(SER_hh_tes!L26=0,0,11630*1000*SER_hh_tes!L26/SER_hh_num!L26)</f>
        <v>16690.209408519077</v>
      </c>
      <c r="M26" s="65">
        <f>IF(SER_hh_tes!M26=0,0,11630*1000*SER_hh_tes!M26/SER_hh_num!M26)</f>
        <v>16546.057088544989</v>
      </c>
      <c r="N26" s="65">
        <f>IF(SER_hh_tes!N26=0,0,11630*1000*SER_hh_tes!N26/SER_hh_num!N26)</f>
        <v>16038.996678114529</v>
      </c>
      <c r="O26" s="65">
        <f>IF(SER_hh_tes!O26=0,0,11630*1000*SER_hh_tes!O26/SER_hh_num!O26)</f>
        <v>16299.037978720145</v>
      </c>
      <c r="P26" s="65">
        <f>IF(SER_hh_tes!P26=0,0,11630*1000*SER_hh_tes!P26/SER_hh_num!P26)</f>
        <v>17239.811887915006</v>
      </c>
      <c r="Q26" s="65">
        <f>IF(SER_hh_tes!Q26=0,0,11630*1000*SER_hh_tes!Q26/SER_hh_num!Q26)</f>
        <v>16785.658415948878</v>
      </c>
      <c r="R26" s="65">
        <f>IF(SER_hh_tes!R26=0,0,11630*1000*SER_hh_tes!R26/SER_hh_num!R26)</f>
        <v>15782.076982282733</v>
      </c>
      <c r="S26" s="65">
        <f>IF(SER_hh_tes!S26=0,0,11630*1000*SER_hh_tes!S26/SER_hh_num!S26)</f>
        <v>16945.925353532468</v>
      </c>
      <c r="T26" s="65">
        <f>IF(SER_hh_tes!T26=0,0,11630*1000*SER_hh_tes!T26/SER_hh_num!T26)</f>
        <v>16043.85172732074</v>
      </c>
      <c r="U26" s="65">
        <f>IF(SER_hh_tes!U26=0,0,11630*1000*SER_hh_tes!U26/SER_hh_num!U26)</f>
        <v>16063.078609254981</v>
      </c>
      <c r="V26" s="65">
        <f>IF(SER_hh_tes!V26=0,0,11630*1000*SER_hh_tes!V26/SER_hh_num!V26)</f>
        <v>17809.921051984766</v>
      </c>
      <c r="W26" s="65">
        <f>IF(SER_hh_tes!W26=0,0,11630*1000*SER_hh_tes!W26/SER_hh_num!W26)</f>
        <v>14375.057448369649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0</v>
      </c>
      <c r="M27" s="146">
        <f>IF(SER_hh_tes!M27=0,0,11630*1000*SER_hh_tes!M27/SER_hh_num!M19)</f>
        <v>0</v>
      </c>
      <c r="N27" s="146">
        <f>IF(SER_hh_tes!N27=0,0,11630*1000*SER_hh_tes!N27/SER_hh_num!N19)</f>
        <v>0</v>
      </c>
      <c r="O27" s="146">
        <f>IF(SER_hh_tes!O27=0,0,11630*1000*SER_hh_tes!O27/SER_hh_num!O19)</f>
        <v>0</v>
      </c>
      <c r="P27" s="146">
        <f>IF(SER_hh_tes!P27=0,0,11630*1000*SER_hh_tes!P27/SER_hh_num!P19)</f>
        <v>0</v>
      </c>
      <c r="Q27" s="146">
        <f>IF(SER_hh_tes!Q27=0,0,11630*1000*SER_hh_tes!Q27/SER_hh_num!Q19)</f>
        <v>0</v>
      </c>
      <c r="R27" s="146">
        <f>IF(SER_hh_tes!R27=0,0,11630*1000*SER_hh_tes!R27/SER_hh_num!R19)</f>
        <v>0</v>
      </c>
      <c r="S27" s="146">
        <f>IF(SER_hh_tes!S27=0,0,11630*1000*SER_hh_tes!S27/SER_hh_num!S19)</f>
        <v>0</v>
      </c>
      <c r="T27" s="146">
        <f>IF(SER_hh_tes!T27=0,0,11630*1000*SER_hh_tes!T27/SER_hh_num!T19)</f>
        <v>0</v>
      </c>
      <c r="U27" s="146">
        <f>IF(SER_hh_tes!U27=0,0,11630*1000*SER_hh_tes!U27/SER_hh_num!U19)</f>
        <v>0</v>
      </c>
      <c r="V27" s="146">
        <f>IF(SER_hh_tes!V27=0,0,11630*1000*SER_hh_tes!V27/SER_hh_num!V19)</f>
        <v>0</v>
      </c>
      <c r="W27" s="146">
        <f>IF(SER_hh_tes!W27=0,0,11630*1000*SER_hh_tes!W27/SER_hh_num!W19)</f>
        <v>0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0</v>
      </c>
      <c r="M28" s="147">
        <f>IF(SER_hh_tes!M27=0,0,11630*1000*SER_hh_tes!M27/SER_hh_num!M27)</f>
        <v>0</v>
      </c>
      <c r="N28" s="147">
        <f>IF(SER_hh_tes!N27=0,0,11630*1000*SER_hh_tes!N27/SER_hh_num!N27)</f>
        <v>0</v>
      </c>
      <c r="O28" s="147">
        <f>IF(SER_hh_tes!O27=0,0,11630*1000*SER_hh_tes!O27/SER_hh_num!O27)</f>
        <v>0</v>
      </c>
      <c r="P28" s="147">
        <f>IF(SER_hh_tes!P27=0,0,11630*1000*SER_hh_tes!P27/SER_hh_num!P27)</f>
        <v>0</v>
      </c>
      <c r="Q28" s="147">
        <f>IF(SER_hh_tes!Q27=0,0,11630*1000*SER_hh_tes!Q27/SER_hh_num!Q27)</f>
        <v>0</v>
      </c>
      <c r="R28" s="147">
        <f>IF(SER_hh_tes!R27=0,0,11630*1000*SER_hh_tes!R27/SER_hh_num!R27)</f>
        <v>0</v>
      </c>
      <c r="S28" s="147">
        <f>IF(SER_hh_tes!S27=0,0,11630*1000*SER_hh_tes!S27/SER_hh_num!S27)</f>
        <v>0</v>
      </c>
      <c r="T28" s="147">
        <f>IF(SER_hh_tes!T27=0,0,11630*1000*SER_hh_tes!T27/SER_hh_num!T27)</f>
        <v>0</v>
      </c>
      <c r="U28" s="147">
        <f>IF(SER_hh_tes!U27=0,0,11630*1000*SER_hh_tes!U27/SER_hh_num!U27)</f>
        <v>0</v>
      </c>
      <c r="V28" s="147">
        <f>IF(SER_hh_tes!V27=0,0,11630*1000*SER_hh_tes!V27/SER_hh_num!V27)</f>
        <v>0</v>
      </c>
      <c r="W28" s="147">
        <f>IF(SER_hh_tes!W27=0,0,11630*1000*SER_hh_tes!W27/SER_hh_num!W27)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14751.524364043049</v>
      </c>
      <c r="C29" s="131">
        <f>IF(SER_hh_tes!C29=0,0,11630*1000*SER_hh_tes!C29/SER_hh_num!C29)</f>
        <v>15113.097322375839</v>
      </c>
      <c r="D29" s="131">
        <f>IF(SER_hh_tes!D29=0,0,11630*1000*SER_hh_tes!D29/SER_hh_num!D29)</f>
        <v>15055.222563743127</v>
      </c>
      <c r="E29" s="131">
        <f>IF(SER_hh_tes!E29=0,0,11630*1000*SER_hh_tes!E29/SER_hh_num!E29)</f>
        <v>15036.421873468216</v>
      </c>
      <c r="F29" s="131">
        <f>IF(SER_hh_tes!F29=0,0,11630*1000*SER_hh_tes!F29/SER_hh_num!F29)</f>
        <v>15170.266733330482</v>
      </c>
      <c r="G29" s="131">
        <f>IF(SER_hh_tes!G29=0,0,11630*1000*SER_hh_tes!G29/SER_hh_num!G29)</f>
        <v>15184.370305578905</v>
      </c>
      <c r="H29" s="131">
        <f>IF(SER_hh_tes!H29=0,0,11630*1000*SER_hh_tes!H29/SER_hh_num!H29)</f>
        <v>15439.298362061947</v>
      </c>
      <c r="I29" s="131">
        <f>IF(SER_hh_tes!I29=0,0,11630*1000*SER_hh_tes!I29/SER_hh_num!I29)</f>
        <v>15693.700901455264</v>
      </c>
      <c r="J29" s="131">
        <f>IF(SER_hh_tes!J29=0,0,11630*1000*SER_hh_tes!J29/SER_hh_num!J29)</f>
        <v>15799.771861894509</v>
      </c>
      <c r="K29" s="131">
        <f>IF(SER_hh_tes!K29=0,0,11630*1000*SER_hh_tes!K29/SER_hh_num!K29)</f>
        <v>15944.353981534405</v>
      </c>
      <c r="L29" s="131">
        <f>IF(SER_hh_tes!L29=0,0,11630*1000*SER_hh_tes!L29/SER_hh_num!L29)</f>
        <v>16087.773836011116</v>
      </c>
      <c r="M29" s="131">
        <f>IF(SER_hh_tes!M29=0,0,11630*1000*SER_hh_tes!M29/SER_hh_num!M29)</f>
        <v>16205.631744923869</v>
      </c>
      <c r="N29" s="131">
        <f>IF(SER_hh_tes!N29=0,0,11630*1000*SER_hh_tes!N29/SER_hh_num!N29)</f>
        <v>16235.462729578298</v>
      </c>
      <c r="O29" s="131">
        <f>IF(SER_hh_tes!O29=0,0,11630*1000*SER_hh_tes!O29/SER_hh_num!O29)</f>
        <v>16224.028395334573</v>
      </c>
      <c r="P29" s="131">
        <f>IF(SER_hh_tes!P29=0,0,11630*1000*SER_hh_tes!P29/SER_hh_num!P29)</f>
        <v>16262.594925072499</v>
      </c>
      <c r="Q29" s="131">
        <f>IF(SER_hh_tes!Q29=0,0,11630*1000*SER_hh_tes!Q29/SER_hh_num!Q29)</f>
        <v>16135.304365854361</v>
      </c>
      <c r="R29" s="131">
        <f>IF(SER_hh_tes!R29=0,0,11630*1000*SER_hh_tes!R29/SER_hh_num!R29)</f>
        <v>16291.461517945509</v>
      </c>
      <c r="S29" s="131">
        <f>IF(SER_hh_tes!S29=0,0,11630*1000*SER_hh_tes!S29/SER_hh_num!S29)</f>
        <v>16340.273604766386</v>
      </c>
      <c r="T29" s="131">
        <f>IF(SER_hh_tes!T29=0,0,11630*1000*SER_hh_tes!T29/SER_hh_num!T29)</f>
        <v>16345.423329940633</v>
      </c>
      <c r="U29" s="131">
        <f>IF(SER_hh_tes!U29=0,0,11630*1000*SER_hh_tes!U29/SER_hh_num!U29)</f>
        <v>16510.912999035976</v>
      </c>
      <c r="V29" s="131">
        <f>IF(SER_hh_tes!V29=0,0,11630*1000*SER_hh_tes!V29/SER_hh_num!V29)</f>
        <v>15745.97993781162</v>
      </c>
      <c r="W29" s="131">
        <f>IF(SER_hh_tes!W29=0,0,11630*1000*SER_hh_tes!W29/SER_hh_num!W29)</f>
        <v>15904.284529368078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13328.793091774643</v>
      </c>
      <c r="C30" s="133">
        <f>IF(SER_hh_tes!C30=0,0,11630*1000*SER_hh_tes!C30/SER_hh_num!C30)</f>
        <v>18395.840827866996</v>
      </c>
      <c r="D30" s="133">
        <f>IF(SER_hh_tes!D30=0,0,11630*1000*SER_hh_tes!D30/SER_hh_num!D30)</f>
        <v>15700.826734195947</v>
      </c>
      <c r="E30" s="133">
        <f>IF(SER_hh_tes!E30=0,0,11630*1000*SER_hh_tes!E30/SER_hh_num!E30)</f>
        <v>14009.927396930803</v>
      </c>
      <c r="F30" s="133">
        <f>IF(SER_hh_tes!F30=0,0,11630*1000*SER_hh_tes!F30/SER_hh_num!F30)</f>
        <v>12860.079411910585</v>
      </c>
      <c r="G30" s="133">
        <f>IF(SER_hh_tes!G30=0,0,11630*1000*SER_hh_tes!G30/SER_hh_num!G30)</f>
        <v>10952.155787134712</v>
      </c>
      <c r="H30" s="133">
        <f>IF(SER_hh_tes!H30=0,0,11630*1000*SER_hh_tes!H30/SER_hh_num!H30)</f>
        <v>15661.836144224215</v>
      </c>
      <c r="I30" s="133">
        <f>IF(SER_hh_tes!I30=0,0,11630*1000*SER_hh_tes!I30/SER_hh_num!I30)</f>
        <v>19346.026411529023</v>
      </c>
      <c r="J30" s="133">
        <f>IF(SER_hh_tes!J30=0,0,11630*1000*SER_hh_tes!J30/SER_hh_num!J30)</f>
        <v>17086.819848429343</v>
      </c>
      <c r="K30" s="133">
        <f>IF(SER_hh_tes!K30=0,0,11630*1000*SER_hh_tes!K30/SER_hh_num!K30)</f>
        <v>11965.04720032319</v>
      </c>
      <c r="L30" s="133">
        <f>IF(SER_hh_tes!L30=0,0,11630*1000*SER_hh_tes!L30/SER_hh_num!L30)</f>
        <v>19281.821778733884</v>
      </c>
      <c r="M30" s="133">
        <f>IF(SER_hh_tes!M30=0,0,11630*1000*SER_hh_tes!M30/SER_hh_num!M30)</f>
        <v>21018.429433342884</v>
      </c>
      <c r="N30" s="133">
        <f>IF(SER_hh_tes!N30=0,0,11630*1000*SER_hh_tes!N30/SER_hh_num!N30)</f>
        <v>8627.006923845358</v>
      </c>
      <c r="O30" s="133">
        <f>IF(SER_hh_tes!O30=0,0,11630*1000*SER_hh_tes!O30/SER_hh_num!O30)</f>
        <v>13621.862970443804</v>
      </c>
      <c r="P30" s="133">
        <f>IF(SER_hh_tes!P30=0,0,11630*1000*SER_hh_tes!P30/SER_hh_num!P30)</f>
        <v>20110.917880201072</v>
      </c>
      <c r="Q30" s="133">
        <f>IF(SER_hh_tes!Q30=0,0,11630*1000*SER_hh_tes!Q30/SER_hh_num!Q30)</f>
        <v>11928.654820962045</v>
      </c>
      <c r="R30" s="133">
        <f>IF(SER_hh_tes!R30=0,0,11630*1000*SER_hh_tes!R30/SER_hh_num!R30)</f>
        <v>15027.755602879099</v>
      </c>
      <c r="S30" s="133">
        <f>IF(SER_hh_tes!S30=0,0,11630*1000*SER_hh_tes!S30/SER_hh_num!S30)</f>
        <v>16404.623093544684</v>
      </c>
      <c r="T30" s="133">
        <f>IF(SER_hh_tes!T30=0,0,11630*1000*SER_hh_tes!T30/SER_hh_num!T30)</f>
        <v>16077.088340270937</v>
      </c>
      <c r="U30" s="133">
        <f>IF(SER_hh_tes!U30=0,0,11630*1000*SER_hh_tes!U30/SER_hh_num!U30)</f>
        <v>16200.100824230187</v>
      </c>
      <c r="V30" s="133">
        <f>IF(SER_hh_tes!V30=0,0,11630*1000*SER_hh_tes!V30/SER_hh_num!V30)</f>
        <v>15979.215619733352</v>
      </c>
      <c r="W30" s="133">
        <f>IF(SER_hh_tes!W30=0,0,11630*1000*SER_hh_tes!W30/SER_hh_num!W30)</f>
        <v>15854.193863822677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15823.912860629915</v>
      </c>
      <c r="C31" s="133">
        <f>IF(SER_hh_tes!C31=0,0,11630*1000*SER_hh_tes!C31/SER_hh_num!C31)</f>
        <v>14401.554250665418</v>
      </c>
      <c r="D31" s="133">
        <f>IF(SER_hh_tes!D31=0,0,11630*1000*SER_hh_tes!D31/SER_hh_num!D31)</f>
        <v>14982.162291118018</v>
      </c>
      <c r="E31" s="133">
        <f>IF(SER_hh_tes!E31=0,0,11630*1000*SER_hh_tes!E31/SER_hh_num!E31)</f>
        <v>15605.669435728587</v>
      </c>
      <c r="F31" s="133">
        <f>IF(SER_hh_tes!F31=0,0,11630*1000*SER_hh_tes!F31/SER_hh_num!F31)</f>
        <v>15271.852610362268</v>
      </c>
      <c r="G31" s="133">
        <f>IF(SER_hh_tes!G31=0,0,11630*1000*SER_hh_tes!G31/SER_hh_num!G31)</f>
        <v>15329.505985112146</v>
      </c>
      <c r="H31" s="133">
        <f>IF(SER_hh_tes!H31=0,0,11630*1000*SER_hh_tes!H31/SER_hh_num!H31)</f>
        <v>15544.579763813035</v>
      </c>
      <c r="I31" s="133">
        <f>IF(SER_hh_tes!I31=0,0,11630*1000*SER_hh_tes!I31/SER_hh_num!I31)</f>
        <v>15802.575777084086</v>
      </c>
      <c r="J31" s="133">
        <f>IF(SER_hh_tes!J31=0,0,11630*1000*SER_hh_tes!J31/SER_hh_num!J31)</f>
        <v>16498.573394210784</v>
      </c>
      <c r="K31" s="133">
        <f>IF(SER_hh_tes!K31=0,0,11630*1000*SER_hh_tes!K31/SER_hh_num!K31)</f>
        <v>16118.212272734931</v>
      </c>
      <c r="L31" s="133">
        <f>IF(SER_hh_tes!L31=0,0,11630*1000*SER_hh_tes!L31/SER_hh_num!L31)</f>
        <v>15272.899328622036</v>
      </c>
      <c r="M31" s="133">
        <f>IF(SER_hh_tes!M31=0,0,11630*1000*SER_hh_tes!M31/SER_hh_num!M31)</f>
        <v>15911.614295192909</v>
      </c>
      <c r="N31" s="133">
        <f>IF(SER_hh_tes!N31=0,0,11630*1000*SER_hh_tes!N31/SER_hh_num!N31)</f>
        <v>15973.758230774027</v>
      </c>
      <c r="O31" s="133">
        <f>IF(SER_hh_tes!O31=0,0,11630*1000*SER_hh_tes!O31/SER_hh_num!O31)</f>
        <v>16032.321201738272</v>
      </c>
      <c r="P31" s="133">
        <f>IF(SER_hh_tes!P31=0,0,11630*1000*SER_hh_tes!P31/SER_hh_num!P31)</f>
        <v>16605.758999448768</v>
      </c>
      <c r="Q31" s="133">
        <f>IF(SER_hh_tes!Q31=0,0,11630*1000*SER_hh_tes!Q31/SER_hh_num!Q31)</f>
        <v>16496.942116945633</v>
      </c>
      <c r="R31" s="133">
        <f>IF(SER_hh_tes!R31=0,0,11630*1000*SER_hh_tes!R31/SER_hh_num!R31)</f>
        <v>18280.03700078954</v>
      </c>
      <c r="S31" s="133">
        <f>IF(SER_hh_tes!S31=0,0,11630*1000*SER_hh_tes!S31/SER_hh_num!S31)</f>
        <v>10791.786656501832</v>
      </c>
      <c r="T31" s="133">
        <f>IF(SER_hh_tes!T31=0,0,11630*1000*SER_hh_tes!T31/SER_hh_num!T31)</f>
        <v>15027.442901847007</v>
      </c>
      <c r="U31" s="133">
        <f>IF(SER_hh_tes!U31=0,0,11630*1000*SER_hh_tes!U31/SER_hh_num!U31)</f>
        <v>18671.114821600113</v>
      </c>
      <c r="V31" s="133">
        <f>IF(SER_hh_tes!V31=0,0,11630*1000*SER_hh_tes!V31/SER_hh_num!V31)</f>
        <v>15211.415550583766</v>
      </c>
      <c r="W31" s="133">
        <f>IF(SER_hh_tes!W31=0,0,11630*1000*SER_hh_tes!W31/SER_hh_num!W31)</f>
        <v>16313.444846731167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14955.76676340326</v>
      </c>
      <c r="C33" s="68">
        <f>IF(SER_hh_tes!C33=0,0,11630*1000*SER_hh_tes!C33/SER_hh_num!C33)</f>
        <v>14606.342145430533</v>
      </c>
      <c r="D33" s="68">
        <f>IF(SER_hh_tes!D33=0,0,11630*1000*SER_hh_tes!D33/SER_hh_num!D33)</f>
        <v>14959.203407777184</v>
      </c>
      <c r="E33" s="68">
        <f>IF(SER_hh_tes!E33=0,0,11630*1000*SER_hh_tes!E33/SER_hh_num!E33)</f>
        <v>15149.599489959597</v>
      </c>
      <c r="F33" s="68">
        <f>IF(SER_hh_tes!F33=0,0,11630*1000*SER_hh_tes!F33/SER_hh_num!F33)</f>
        <v>15447.416728948065</v>
      </c>
      <c r="G33" s="68">
        <f>IF(SER_hh_tes!G33=0,0,11630*1000*SER_hh_tes!G33/SER_hh_num!G33)</f>
        <v>15802.61825710704</v>
      </c>
      <c r="H33" s="68">
        <f>IF(SER_hh_tes!H33=0,0,11630*1000*SER_hh_tes!H33/SER_hh_num!H33)</f>
        <v>15388.232829073058</v>
      </c>
      <c r="I33" s="68">
        <f>IF(SER_hh_tes!I33=0,0,11630*1000*SER_hh_tes!I33/SER_hh_num!I33)</f>
        <v>14717.495388016365</v>
      </c>
      <c r="J33" s="68">
        <f>IF(SER_hh_tes!J33=0,0,11630*1000*SER_hh_tes!J33/SER_hh_num!J33)</f>
        <v>15419.195584090652</v>
      </c>
      <c r="K33" s="68">
        <f>IF(SER_hh_tes!K33=0,0,11630*1000*SER_hh_tes!K33/SER_hh_num!K33)</f>
        <v>16935.397283359176</v>
      </c>
      <c r="L33" s="68">
        <f>IF(SER_hh_tes!L33=0,0,11630*1000*SER_hh_tes!L33/SER_hh_num!L33)</f>
        <v>15345.198126220326</v>
      </c>
      <c r="M33" s="68">
        <f>IF(SER_hh_tes!M33=0,0,11630*1000*SER_hh_tes!M33/SER_hh_num!M33)</f>
        <v>15282.556194030223</v>
      </c>
      <c r="N33" s="68">
        <f>IF(SER_hh_tes!N33=0,0,11630*1000*SER_hh_tes!N33/SER_hh_num!N33)</f>
        <v>17139.765242269939</v>
      </c>
      <c r="O33" s="68">
        <f>IF(SER_hh_tes!O33=0,0,11630*1000*SER_hh_tes!O33/SER_hh_num!O33)</f>
        <v>16428.722270716109</v>
      </c>
      <c r="P33" s="68">
        <f>IF(SER_hh_tes!P33=0,0,11630*1000*SER_hh_tes!P33/SER_hh_num!P33)</f>
        <v>16044.19648078691</v>
      </c>
      <c r="Q33" s="68">
        <f>IF(SER_hh_tes!Q33=0,0,11630*1000*SER_hh_tes!Q33/SER_hh_num!Q33)</f>
        <v>16301.070971629055</v>
      </c>
      <c r="R33" s="68">
        <f>IF(SER_hh_tes!R33=0,0,11630*1000*SER_hh_tes!R33/SER_hh_num!R33)</f>
        <v>16303.128437533314</v>
      </c>
      <c r="S33" s="68">
        <f>IF(SER_hh_tes!S33=0,0,11630*1000*SER_hh_tes!S33/SER_hh_num!S33)</f>
        <v>16419.618922531699</v>
      </c>
      <c r="T33" s="68">
        <f>IF(SER_hh_tes!T33=0,0,11630*1000*SER_hh_tes!T33/SER_hh_num!T33)</f>
        <v>16372.175454998593</v>
      </c>
      <c r="U33" s="68">
        <f>IF(SER_hh_tes!U33=0,0,11630*1000*SER_hh_tes!U33/SER_hh_num!U33)</f>
        <v>16484.343546915265</v>
      </c>
      <c r="V33" s="68">
        <f>IF(SER_hh_tes!V33=0,0,11630*1000*SER_hh_tes!V33/SER_hh_num!V33)</f>
        <v>15748.897011614014</v>
      </c>
      <c r="W33" s="68">
        <f>IF(SER_hh_tes!W33=0,0,11630*1000*SER_hh_tes!W33/SER_hh_num!W33)</f>
        <v>15898.295245750955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20634.537404536459</v>
      </c>
      <c r="C3" s="126">
        <f>IF(SER_hh_emi!C3=0,0,1000000*SER_hh_emi!C3/SER_hh_num!C3)</f>
        <v>20675.899627944404</v>
      </c>
      <c r="D3" s="126">
        <f>IF(SER_hh_emi!D3=0,0,1000000*SER_hh_emi!D3/SER_hh_num!D3)</f>
        <v>20230.257974299475</v>
      </c>
      <c r="E3" s="126">
        <f>IF(SER_hh_emi!E3=0,0,1000000*SER_hh_emi!E3/SER_hh_num!E3)</f>
        <v>20889.294666177906</v>
      </c>
      <c r="F3" s="126">
        <f>IF(SER_hh_emi!F3=0,0,1000000*SER_hh_emi!F3/SER_hh_num!F3)</f>
        <v>15802.688301964226</v>
      </c>
      <c r="G3" s="126">
        <f>IF(SER_hh_emi!G3=0,0,1000000*SER_hh_emi!G3/SER_hh_num!G3)</f>
        <v>8804.0736352841741</v>
      </c>
      <c r="H3" s="126">
        <f>IF(SER_hh_emi!H3=0,0,1000000*SER_hh_emi!H3/SER_hh_num!H3)</f>
        <v>8359.3456363757723</v>
      </c>
      <c r="I3" s="126">
        <f>IF(SER_hh_emi!I3=0,0,1000000*SER_hh_emi!I3/SER_hh_num!I3)</f>
        <v>8477.1012088411317</v>
      </c>
      <c r="J3" s="126">
        <f>IF(SER_hh_emi!J3=0,0,1000000*SER_hh_emi!J3/SER_hh_num!J3)</f>
        <v>7497.5983036173684</v>
      </c>
      <c r="K3" s="126">
        <f>IF(SER_hh_emi!K3=0,0,1000000*SER_hh_emi!K3/SER_hh_num!K3)</f>
        <v>6337.8961704652984</v>
      </c>
      <c r="L3" s="126">
        <f>IF(SER_hh_emi!L3=0,0,1000000*SER_hh_emi!L3/SER_hh_num!L3)</f>
        <v>7560.3556197681855</v>
      </c>
      <c r="M3" s="126">
        <f>IF(SER_hh_emi!M3=0,0,1000000*SER_hh_emi!M3/SER_hh_num!M3)</f>
        <v>6924.7298559901801</v>
      </c>
      <c r="N3" s="126">
        <f>IF(SER_hh_emi!N3=0,0,1000000*SER_hh_emi!N3/SER_hh_num!N3)</f>
        <v>6321.4674694302748</v>
      </c>
      <c r="O3" s="126">
        <f>IF(SER_hh_emi!O3=0,0,1000000*SER_hh_emi!O3/SER_hh_num!O3)</f>
        <v>5577.9919735718449</v>
      </c>
      <c r="P3" s="126">
        <f>IF(SER_hh_emi!P3=0,0,1000000*SER_hh_emi!P3/SER_hh_num!P3)</f>
        <v>5291.3138167459329</v>
      </c>
      <c r="Q3" s="126">
        <f>IF(SER_hh_emi!Q3=0,0,1000000*SER_hh_emi!Q3/SER_hh_num!Q3)</f>
        <v>4956.4489287532833</v>
      </c>
      <c r="R3" s="126">
        <f>IF(SER_hh_emi!R3=0,0,1000000*SER_hh_emi!R3/SER_hh_num!R3)</f>
        <v>4763.1006677350988</v>
      </c>
      <c r="S3" s="126">
        <f>IF(SER_hh_emi!S3=0,0,1000000*SER_hh_emi!S3/SER_hh_num!S3)</f>
        <v>4192.0902275144499</v>
      </c>
      <c r="T3" s="126">
        <f>IF(SER_hh_emi!T3=0,0,1000000*SER_hh_emi!T3/SER_hh_num!T3)</f>
        <v>4370.5015145307016</v>
      </c>
      <c r="U3" s="126">
        <f>IF(SER_hh_emi!U3=0,0,1000000*SER_hh_emi!U3/SER_hh_num!U3)</f>
        <v>4484.288044653742</v>
      </c>
      <c r="V3" s="126">
        <f>IF(SER_hh_emi!V3=0,0,1000000*SER_hh_emi!V3/SER_hh_num!V3)</f>
        <v>4312.8132154117857</v>
      </c>
      <c r="W3" s="126">
        <f>IF(SER_hh_emi!W3=0,0,1000000*SER_hh_emi!W3/SER_hh_num!W3)</f>
        <v>3841.1075073951561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18035.492831637788</v>
      </c>
      <c r="C4" s="131">
        <f>IF(SER_hh_emi!C4=0,0,1000000*SER_hh_emi!C4/SER_hh_num!C4)</f>
        <v>17919.526232853834</v>
      </c>
      <c r="D4" s="131">
        <f>IF(SER_hh_emi!D4=0,0,1000000*SER_hh_emi!D4/SER_hh_num!D4)</f>
        <v>17710.573210036044</v>
      </c>
      <c r="E4" s="131">
        <f>IF(SER_hh_emi!E4=0,0,1000000*SER_hh_emi!E4/SER_hh_num!E4)</f>
        <v>18580.242108714363</v>
      </c>
      <c r="F4" s="131">
        <f>IF(SER_hh_emi!F4=0,0,1000000*SER_hh_emi!F4/SER_hh_num!F4)</f>
        <v>13746.029244741963</v>
      </c>
      <c r="G4" s="131">
        <f>IF(SER_hh_emi!G4=0,0,1000000*SER_hh_emi!G4/SER_hh_num!G4)</f>
        <v>7228.4227803642889</v>
      </c>
      <c r="H4" s="131">
        <f>IF(SER_hh_emi!H4=0,0,1000000*SER_hh_emi!H4/SER_hh_num!H4)</f>
        <v>6318.3945260523233</v>
      </c>
      <c r="I4" s="131">
        <f>IF(SER_hh_emi!I4=0,0,1000000*SER_hh_emi!I4/SER_hh_num!I4)</f>
        <v>6133.5683362650871</v>
      </c>
      <c r="J4" s="131">
        <f>IF(SER_hh_emi!J4=0,0,1000000*SER_hh_emi!J4/SER_hh_num!J4)</f>
        <v>5369.3877196803669</v>
      </c>
      <c r="K4" s="131">
        <f>IF(SER_hh_emi!K4=0,0,1000000*SER_hh_emi!K4/SER_hh_num!K4)</f>
        <v>4950.1239113052861</v>
      </c>
      <c r="L4" s="131">
        <f>IF(SER_hh_emi!L4=0,0,1000000*SER_hh_emi!L4/SER_hh_num!L4)</f>
        <v>5752.6112557268825</v>
      </c>
      <c r="M4" s="131">
        <f>IF(SER_hh_emi!M4=0,0,1000000*SER_hh_emi!M4/SER_hh_num!M4)</f>
        <v>5218.8879931456759</v>
      </c>
      <c r="N4" s="131">
        <f>IF(SER_hh_emi!N4=0,0,1000000*SER_hh_emi!N4/SER_hh_num!N4)</f>
        <v>5359.8015752676711</v>
      </c>
      <c r="O4" s="131">
        <f>IF(SER_hh_emi!O4=0,0,1000000*SER_hh_emi!O4/SER_hh_num!O4)</f>
        <v>4574.4265194320005</v>
      </c>
      <c r="P4" s="131">
        <f>IF(SER_hh_emi!P4=0,0,1000000*SER_hh_emi!P4/SER_hh_num!P4)</f>
        <v>4398.0544861872031</v>
      </c>
      <c r="Q4" s="131">
        <f>IF(SER_hh_emi!Q4=0,0,1000000*SER_hh_emi!Q4/SER_hh_num!Q4)</f>
        <v>4121.0144202259926</v>
      </c>
      <c r="R4" s="131">
        <f>IF(SER_hh_emi!R4=0,0,1000000*SER_hh_emi!R4/SER_hh_num!R4)</f>
        <v>3930.0707937210686</v>
      </c>
      <c r="S4" s="131">
        <f>IF(SER_hh_emi!S4=0,0,1000000*SER_hh_emi!S4/SER_hh_num!S4)</f>
        <v>3440.3426083003383</v>
      </c>
      <c r="T4" s="131">
        <f>IF(SER_hh_emi!T4=0,0,1000000*SER_hh_emi!T4/SER_hh_num!T4)</f>
        <v>3604.1785283059639</v>
      </c>
      <c r="U4" s="131">
        <f>IF(SER_hh_emi!U4=0,0,1000000*SER_hh_emi!U4/SER_hh_num!U4)</f>
        <v>3695.8582005619037</v>
      </c>
      <c r="V4" s="131">
        <f>IF(SER_hh_emi!V4=0,0,1000000*SER_hh_emi!V4/SER_hh_num!V4)</f>
        <v>3558.6316511337309</v>
      </c>
      <c r="W4" s="131">
        <f>IF(SER_hh_emi!W4=0,0,1000000*SER_hh_emi!W4/SER_hh_num!W4)</f>
        <v>3150.2440833305982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78486.91550094985</v>
      </c>
      <c r="C7" s="133">
        <f>IF(SER_hh_emi!C7=0,0,1000000*SER_hh_emi!C7/SER_hh_num!C7)</f>
        <v>82345.435461464614</v>
      </c>
      <c r="D7" s="133">
        <f>IF(SER_hh_emi!D7=0,0,1000000*SER_hh_emi!D7/SER_hh_num!D7)</f>
        <v>81783.462543987102</v>
      </c>
      <c r="E7" s="133">
        <f>IF(SER_hh_emi!E7=0,0,1000000*SER_hh_emi!E7/SER_hh_num!E7)</f>
        <v>91242.80204994051</v>
      </c>
      <c r="F7" s="133">
        <f>IF(SER_hh_emi!F7=0,0,1000000*SER_hh_emi!F7/SER_hh_num!F7)</f>
        <v>80117.83593071402</v>
      </c>
      <c r="G7" s="133">
        <f>IF(SER_hh_emi!G7=0,0,1000000*SER_hh_emi!G7/SER_hh_num!G7)</f>
        <v>52174.478594341548</v>
      </c>
      <c r="H7" s="133">
        <f>IF(SER_hh_emi!H7=0,0,1000000*SER_hh_emi!H7/SER_hh_num!H7)</f>
        <v>57502.998650817579</v>
      </c>
      <c r="I7" s="133">
        <f>IF(SER_hh_emi!I7=0,0,1000000*SER_hh_emi!I7/SER_hh_num!I7)</f>
        <v>64098.309303556489</v>
      </c>
      <c r="J7" s="133">
        <f>IF(SER_hh_emi!J7=0,0,1000000*SER_hh_emi!J7/SER_hh_num!J7)</f>
        <v>57061.673795483257</v>
      </c>
      <c r="K7" s="133">
        <f>IF(SER_hh_emi!K7=0,0,1000000*SER_hh_emi!K7/SER_hh_num!K7)</f>
        <v>57635.17619698176</v>
      </c>
      <c r="L7" s="133">
        <f>IF(SER_hh_emi!L7=0,0,1000000*SER_hh_emi!L7/SER_hh_num!L7)</f>
        <v>57703.938103666573</v>
      </c>
      <c r="M7" s="133">
        <f>IF(SER_hh_emi!M7=0,0,1000000*SER_hh_emi!M7/SER_hh_num!M7)</f>
        <v>49715.445025843735</v>
      </c>
      <c r="N7" s="133">
        <f>IF(SER_hh_emi!N7=0,0,1000000*SER_hh_emi!N7/SER_hh_num!N7)</f>
        <v>47114.951303861308</v>
      </c>
      <c r="O7" s="133">
        <f>IF(SER_hh_emi!O7=0,0,1000000*SER_hh_emi!O7/SER_hh_num!O7)</f>
        <v>40822.300519041193</v>
      </c>
      <c r="P7" s="133">
        <f>IF(SER_hh_emi!P7=0,0,1000000*SER_hh_emi!P7/SER_hh_num!P7)</f>
        <v>40546.077602793863</v>
      </c>
      <c r="Q7" s="133">
        <f>IF(SER_hh_emi!Q7=0,0,1000000*SER_hh_emi!Q7/SER_hh_num!Q7)</f>
        <v>38854.129971491224</v>
      </c>
      <c r="R7" s="133">
        <f>IF(SER_hh_emi!R7=0,0,1000000*SER_hh_emi!R7/SER_hh_num!R7)</f>
        <v>37069.588476970443</v>
      </c>
      <c r="S7" s="133">
        <f>IF(SER_hh_emi!S7=0,0,1000000*SER_hh_emi!S7/SER_hh_num!S7)</f>
        <v>35270.602215567174</v>
      </c>
      <c r="T7" s="133">
        <f>IF(SER_hh_emi!T7=0,0,1000000*SER_hh_emi!T7/SER_hh_num!T7)</f>
        <v>33639.584995413512</v>
      </c>
      <c r="U7" s="133">
        <f>IF(SER_hh_emi!U7=0,0,1000000*SER_hh_emi!U7/SER_hh_num!U7)</f>
        <v>31995.774538990179</v>
      </c>
      <c r="V7" s="133">
        <f>IF(SER_hh_emi!V7=0,0,1000000*SER_hh_emi!V7/SER_hh_num!V7)</f>
        <v>31409.542591241243</v>
      </c>
      <c r="W7" s="133">
        <f>IF(SER_hh_emi!W7=0,0,1000000*SER_hh_emi!W7/SER_hh_num!W7)</f>
        <v>29287.784803179016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53523.53692816793</v>
      </c>
      <c r="C9" s="133">
        <f>IF(SER_hh_emi!C9=0,0,1000000*SER_hh_emi!C9/SER_hh_num!C9)</f>
        <v>38631.351717768448</v>
      </c>
      <c r="D9" s="133">
        <f>IF(SER_hh_emi!D9=0,0,1000000*SER_hh_emi!D9/SER_hh_num!D9)</f>
        <v>51664.166160947854</v>
      </c>
      <c r="E9" s="133">
        <f>IF(SER_hh_emi!E9=0,0,1000000*SER_hh_emi!E9/SER_hh_num!E9)</f>
        <v>53284.701552841871</v>
      </c>
      <c r="F9" s="133">
        <f>IF(SER_hh_emi!F9=0,0,1000000*SER_hh_emi!F9/SER_hh_num!F9)</f>
        <v>43912.006172606314</v>
      </c>
      <c r="G9" s="133">
        <f>IF(SER_hh_emi!G9=0,0,1000000*SER_hh_emi!G9/SER_hh_num!G9)</f>
        <v>40410.120234512127</v>
      </c>
      <c r="H9" s="133">
        <f>IF(SER_hh_emi!H9=0,0,1000000*SER_hh_emi!H9/SER_hh_num!H9)</f>
        <v>38264.884748956734</v>
      </c>
      <c r="I9" s="133">
        <f>IF(SER_hh_emi!I9=0,0,1000000*SER_hh_emi!I9/SER_hh_num!I9)</f>
        <v>39855.15900129301</v>
      </c>
      <c r="J9" s="133">
        <f>IF(SER_hh_emi!J9=0,0,1000000*SER_hh_emi!J9/SER_hh_num!J9)</f>
        <v>42152.967267818814</v>
      </c>
      <c r="K9" s="133">
        <f>IF(SER_hh_emi!K9=0,0,1000000*SER_hh_emi!K9/SER_hh_num!K9)</f>
        <v>19461.103979385549</v>
      </c>
      <c r="L9" s="133">
        <f>IF(SER_hh_emi!L9=0,0,1000000*SER_hh_emi!L9/SER_hh_num!L9)</f>
        <v>40968.936614205842</v>
      </c>
      <c r="M9" s="133">
        <f>IF(SER_hh_emi!M9=0,0,1000000*SER_hh_emi!M9/SER_hh_num!M9)</f>
        <v>31650.488336001632</v>
      </c>
      <c r="N9" s="133">
        <f>IF(SER_hh_emi!N9=0,0,1000000*SER_hh_emi!N9/SER_hh_num!N9)</f>
        <v>37523.122249054606</v>
      </c>
      <c r="O9" s="133">
        <f>IF(SER_hh_emi!O9=0,0,1000000*SER_hh_emi!O9/SER_hh_num!O9)</f>
        <v>32301.857480708277</v>
      </c>
      <c r="P9" s="133">
        <f>IF(SER_hh_emi!P9=0,0,1000000*SER_hh_emi!P9/SER_hh_num!P9)</f>
        <v>31263.859420368368</v>
      </c>
      <c r="Q9" s="133">
        <f>IF(SER_hh_emi!Q9=0,0,1000000*SER_hh_emi!Q9/SER_hh_num!Q9)</f>
        <v>32266.185054078178</v>
      </c>
      <c r="R9" s="133">
        <f>IF(SER_hh_emi!R9=0,0,1000000*SER_hh_emi!R9/SER_hh_num!R9)</f>
        <v>35523.41672426241</v>
      </c>
      <c r="S9" s="133">
        <f>IF(SER_hh_emi!S9=0,0,1000000*SER_hh_emi!S9/SER_hh_num!S9)</f>
        <v>19751.309434328465</v>
      </c>
      <c r="T9" s="133">
        <f>IF(SER_hh_emi!T9=0,0,1000000*SER_hh_emi!T9/SER_hh_num!T9)</f>
        <v>28354.189774227863</v>
      </c>
      <c r="U9" s="133">
        <f>IF(SER_hh_emi!U9=0,0,1000000*SER_hh_emi!U9/SER_hh_num!U9)</f>
        <v>32725.804206111115</v>
      </c>
      <c r="V9" s="133">
        <f>IF(SER_hh_emi!V9=0,0,1000000*SER_hh_emi!V9/SER_hh_num!V9)</f>
        <v>29003.610857285126</v>
      </c>
      <c r="W9" s="133">
        <f>IF(SER_hh_emi!W9=0,0,1000000*SER_hh_emi!W9/SER_hh_num!W9)</f>
        <v>27512.265834956648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1787.2115749486532</v>
      </c>
      <c r="C19" s="131">
        <f>IF(SER_hh_emi!C19=0,0,1000000*SER_hh_emi!C19/SER_hh_num!C19)</f>
        <v>1726.4591366771638</v>
      </c>
      <c r="D19" s="131">
        <f>IF(SER_hh_emi!D19=0,0,1000000*SER_hh_emi!D19/SER_hh_num!D19)</f>
        <v>1646.845893128283</v>
      </c>
      <c r="E19" s="131">
        <f>IF(SER_hh_emi!E19=0,0,1000000*SER_hh_emi!E19/SER_hh_num!E19)</f>
        <v>1590.4298013745981</v>
      </c>
      <c r="F19" s="131">
        <f>IF(SER_hh_emi!F19=0,0,1000000*SER_hh_emi!F19/SER_hh_num!F19)</f>
        <v>1416.1704766620762</v>
      </c>
      <c r="G19" s="131">
        <f>IF(SER_hh_emi!G19=0,0,1000000*SER_hh_emi!G19/SER_hh_num!G19)</f>
        <v>933.16363078511176</v>
      </c>
      <c r="H19" s="131">
        <f>IF(SER_hh_emi!H19=0,0,1000000*SER_hh_emi!H19/SER_hh_num!H19)</f>
        <v>935.50725652408005</v>
      </c>
      <c r="I19" s="131">
        <f>IF(SER_hh_emi!I19=0,0,1000000*SER_hh_emi!I19/SER_hh_num!I19)</f>
        <v>775.63884346151565</v>
      </c>
      <c r="J19" s="131">
        <f>IF(SER_hh_emi!J19=0,0,1000000*SER_hh_emi!J19/SER_hh_num!J19)</f>
        <v>691.09938664646006</v>
      </c>
      <c r="K19" s="131">
        <f>IF(SER_hh_emi!K19=0,0,1000000*SER_hh_emi!K19/SER_hh_num!K19)</f>
        <v>422.97198118619036</v>
      </c>
      <c r="L19" s="131">
        <f>IF(SER_hh_emi!L19=0,0,1000000*SER_hh_emi!L19/SER_hh_num!L19)</f>
        <v>392.68364540015727</v>
      </c>
      <c r="M19" s="131">
        <f>IF(SER_hh_emi!M19=0,0,1000000*SER_hh_emi!M19/SER_hh_num!M19)</f>
        <v>406.05962210284127</v>
      </c>
      <c r="N19" s="131">
        <f>IF(SER_hh_emi!N19=0,0,1000000*SER_hh_emi!N19/SER_hh_num!N19)</f>
        <v>545.07667550233896</v>
      </c>
      <c r="O19" s="131">
        <f>IF(SER_hh_emi!O19=0,0,1000000*SER_hh_emi!O19/SER_hh_num!O19)</f>
        <v>567.31306846684822</v>
      </c>
      <c r="P19" s="131">
        <f>IF(SER_hh_emi!P19=0,0,1000000*SER_hh_emi!P19/SER_hh_num!P19)</f>
        <v>429.88022111622325</v>
      </c>
      <c r="Q19" s="131">
        <f>IF(SER_hh_emi!Q19=0,0,1000000*SER_hh_emi!Q19/SER_hh_num!Q19)</f>
        <v>584.48081970299143</v>
      </c>
      <c r="R19" s="131">
        <f>IF(SER_hh_emi!R19=0,0,1000000*SER_hh_emi!R19/SER_hh_num!R19)</f>
        <v>572.20948713137989</v>
      </c>
      <c r="S19" s="131">
        <f>IF(SER_hh_emi!S19=0,0,1000000*SER_hh_emi!S19/SER_hh_num!S19)</f>
        <v>537.47767541422513</v>
      </c>
      <c r="T19" s="131">
        <f>IF(SER_hh_emi!T19=0,0,1000000*SER_hh_emi!T19/SER_hh_num!T19)</f>
        <v>541.55207060605846</v>
      </c>
      <c r="U19" s="131">
        <f>IF(SER_hh_emi!U19=0,0,1000000*SER_hh_emi!U19/SER_hh_num!U19)</f>
        <v>538.38484948755638</v>
      </c>
      <c r="V19" s="131">
        <f>IF(SER_hh_emi!V19=0,0,1000000*SER_hh_emi!V19/SER_hh_num!V19)</f>
        <v>515.85781488864552</v>
      </c>
      <c r="W19" s="131">
        <f>IF(SER_hh_emi!W19=0,0,1000000*SER_hh_emi!W19/SER_hh_num!W19)</f>
        <v>447.37179749126381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8972.3911688381068</v>
      </c>
      <c r="C22" s="133">
        <f>IF(SER_hh_emi!C22=0,0,1000000*SER_hh_emi!C22/SER_hh_num!C22)</f>
        <v>8886.4559877876491</v>
      </c>
      <c r="D22" s="133">
        <f>IF(SER_hh_emi!D22=0,0,1000000*SER_hh_emi!D22/SER_hh_num!D22)</f>
        <v>8809.9327570534788</v>
      </c>
      <c r="E22" s="133">
        <f>IF(SER_hh_emi!E22=0,0,1000000*SER_hh_emi!E22/SER_hh_num!E22)</f>
        <v>9153.7944793240549</v>
      </c>
      <c r="F22" s="133">
        <f>IF(SER_hh_emi!F22=0,0,1000000*SER_hh_emi!F22/SER_hh_num!F22)</f>
        <v>9265.557561405516</v>
      </c>
      <c r="G22" s="133">
        <f>IF(SER_hh_emi!G22=0,0,1000000*SER_hh_emi!G22/SER_hh_num!G22)</f>
        <v>7341.8328658902446</v>
      </c>
      <c r="H22" s="133">
        <f>IF(SER_hh_emi!H22=0,0,1000000*SER_hh_emi!H22/SER_hh_num!H22)</f>
        <v>8501.8458703570559</v>
      </c>
      <c r="I22" s="133">
        <f>IF(SER_hh_emi!I22=0,0,1000000*SER_hh_emi!I22/SER_hh_num!I22)</f>
        <v>8450.3773159936045</v>
      </c>
      <c r="J22" s="133">
        <f>IF(SER_hh_emi!J22=0,0,1000000*SER_hh_emi!J22/SER_hh_num!J22)</f>
        <v>8912.5332856834411</v>
      </c>
      <c r="K22" s="133">
        <f>IF(SER_hh_emi!K22=0,0,1000000*SER_hh_emi!K22/SER_hh_num!K22)</f>
        <v>6735.8794071486918</v>
      </c>
      <c r="L22" s="133">
        <f>IF(SER_hh_emi!L22=0,0,1000000*SER_hh_emi!L22/SER_hh_num!L22)</f>
        <v>6897.8163937302243</v>
      </c>
      <c r="M22" s="133">
        <f>IF(SER_hh_emi!M22=0,0,1000000*SER_hh_emi!M22/SER_hh_num!M22)</f>
        <v>6820.4417116666918</v>
      </c>
      <c r="N22" s="133">
        <f>IF(SER_hh_emi!N22=0,0,1000000*SER_hh_emi!N22/SER_hh_num!N22)</f>
        <v>8214.2894369463374</v>
      </c>
      <c r="O22" s="133">
        <f>IF(SER_hh_emi!O22=0,0,1000000*SER_hh_emi!O22/SER_hh_num!O22)</f>
        <v>7740.1899419570809</v>
      </c>
      <c r="P22" s="133">
        <f>IF(SER_hh_emi!P22=0,0,1000000*SER_hh_emi!P22/SER_hh_num!P22)</f>
        <v>5372.4335917904309</v>
      </c>
      <c r="Q22" s="133">
        <f>IF(SER_hh_emi!Q22=0,0,1000000*SER_hh_emi!Q22/SER_hh_num!Q22)</f>
        <v>6830.4506570134317</v>
      </c>
      <c r="R22" s="133">
        <f>IF(SER_hh_emi!R22=0,0,1000000*SER_hh_emi!R22/SER_hh_num!R22)</f>
        <v>6147.948219200568</v>
      </c>
      <c r="S22" s="133">
        <f>IF(SER_hh_emi!S22=0,0,1000000*SER_hh_emi!S22/SER_hh_num!S22)</f>
        <v>5720.5312222506482</v>
      </c>
      <c r="T22" s="133">
        <f>IF(SER_hh_emi!T22=0,0,1000000*SER_hh_emi!T22/SER_hh_num!T22)</f>
        <v>5499.554566369965</v>
      </c>
      <c r="U22" s="133">
        <f>IF(SER_hh_emi!U22=0,0,1000000*SER_hh_emi!U22/SER_hh_num!U22)</f>
        <v>5322.370609985981</v>
      </c>
      <c r="V22" s="133">
        <f>IF(SER_hh_emi!V22=0,0,1000000*SER_hh_emi!V22/SER_hh_num!V22)</f>
        <v>5253.5991957119577</v>
      </c>
      <c r="W22" s="133">
        <f>IF(SER_hh_emi!W22=0,0,1000000*SER_hh_emi!W22/SER_hh_num!W22)</f>
        <v>4763.7701383960484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6585.3951116877361</v>
      </c>
      <c r="C23" s="133">
        <f>IF(SER_hh_emi!C23=0,0,1000000*SER_hh_emi!C23/SER_hh_num!C23)</f>
        <v>5769.4717965433092</v>
      </c>
      <c r="D23" s="133">
        <f>IF(SER_hh_emi!D23=0,0,1000000*SER_hh_emi!D23/SER_hh_num!D23)</f>
        <v>6190.5413427358953</v>
      </c>
      <c r="E23" s="133">
        <f>IF(SER_hh_emi!E23=0,0,1000000*SER_hh_emi!E23/SER_hh_num!E23)</f>
        <v>6389.7032389386513</v>
      </c>
      <c r="F23" s="133">
        <f>IF(SER_hh_emi!F23=0,0,1000000*SER_hh_emi!F23/SER_hh_num!F23)</f>
        <v>5580.3657484331134</v>
      </c>
      <c r="G23" s="133">
        <f>IF(SER_hh_emi!G23=0,0,1000000*SER_hh_emi!G23/SER_hh_num!G23)</f>
        <v>5565.5686058287165</v>
      </c>
      <c r="H23" s="133">
        <f>IF(SER_hh_emi!H23=0,0,1000000*SER_hh_emi!H23/SER_hh_num!H23)</f>
        <v>6100.6269980610659</v>
      </c>
      <c r="I23" s="133">
        <f>IF(SER_hh_emi!I23=0,0,1000000*SER_hh_emi!I23/SER_hh_num!I23)</f>
        <v>5634.3769957046361</v>
      </c>
      <c r="J23" s="133">
        <f>IF(SER_hh_emi!J23=0,0,1000000*SER_hh_emi!J23/SER_hh_num!J23)</f>
        <v>5741.3636574782095</v>
      </c>
      <c r="K23" s="133">
        <f>IF(SER_hh_emi!K23=0,0,1000000*SER_hh_emi!K23/SER_hh_num!K23)</f>
        <v>5485.8871858592311</v>
      </c>
      <c r="L23" s="133">
        <f>IF(SER_hh_emi!L23=0,0,1000000*SER_hh_emi!L23/SER_hh_num!L23)</f>
        <v>5613.8930609481959</v>
      </c>
      <c r="M23" s="133">
        <f>IF(SER_hh_emi!M23=0,0,1000000*SER_hh_emi!M23/SER_hh_num!M23)</f>
        <v>5497.2080070667116</v>
      </c>
      <c r="N23" s="133">
        <f>IF(SER_hh_emi!N23=0,0,1000000*SER_hh_emi!N23/SER_hh_num!N23)</f>
        <v>5436.8048417826203</v>
      </c>
      <c r="O23" s="133">
        <f>IF(SER_hh_emi!O23=0,0,1000000*SER_hh_emi!O23/SER_hh_num!O23)</f>
        <v>5385.254317773697</v>
      </c>
      <c r="P23" s="133">
        <f>IF(SER_hh_emi!P23=0,0,1000000*SER_hh_emi!P23/SER_hh_num!P23)</f>
        <v>5503.1180330582511</v>
      </c>
      <c r="Q23" s="133">
        <f>IF(SER_hh_emi!Q23=0,0,1000000*SER_hh_emi!Q23/SER_hh_num!Q23)</f>
        <v>5521.4718060309333</v>
      </c>
      <c r="R23" s="133">
        <f>IF(SER_hh_emi!R23=0,0,1000000*SER_hh_emi!R23/SER_hh_num!R23)</f>
        <v>5903.4766889475786</v>
      </c>
      <c r="S23" s="133">
        <f>IF(SER_hh_emi!S23=0,0,1000000*SER_hh_emi!S23/SER_hh_num!S23)</f>
        <v>3387.0433525614762</v>
      </c>
      <c r="T23" s="133">
        <f>IF(SER_hh_emi!T23=0,0,1000000*SER_hh_emi!T23/SER_hh_num!T23)</f>
        <v>4452.5355617260493</v>
      </c>
      <c r="U23" s="133">
        <f>IF(SER_hh_emi!U23=0,0,1000000*SER_hh_emi!U23/SER_hh_num!U23)</f>
        <v>5234.7144246205135</v>
      </c>
      <c r="V23" s="133">
        <f>IF(SER_hh_emi!V23=0,0,1000000*SER_hh_emi!V23/SER_hh_num!V23)</f>
        <v>4560.0136895761907</v>
      </c>
      <c r="W23" s="133">
        <f>IF(SER_hh_emi!W23=0,0,1000000*SER_hh_emi!W23/SER_hh_num!W23)</f>
        <v>4388.8198967752278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811.83299795001824</v>
      </c>
      <c r="C29" s="131">
        <f>IF(SER_hh_emi!C29=0,0,1000000*SER_hh_emi!C29/SER_hh_num!C29)</f>
        <v>1029.9142584134061</v>
      </c>
      <c r="D29" s="131">
        <f>IF(SER_hh_emi!D29=0,0,1000000*SER_hh_emi!D29/SER_hh_num!D29)</f>
        <v>872.83887113514436</v>
      </c>
      <c r="E29" s="131">
        <f>IF(SER_hh_emi!E29=0,0,1000000*SER_hh_emi!E29/SER_hh_num!E29)</f>
        <v>718.62275608894356</v>
      </c>
      <c r="F29" s="131">
        <f>IF(SER_hh_emi!F29=0,0,1000000*SER_hh_emi!F29/SER_hh_num!F29)</f>
        <v>640.48858056018776</v>
      </c>
      <c r="G29" s="131">
        <f>IF(SER_hh_emi!G29=0,0,1000000*SER_hh_emi!G29/SER_hh_num!G29)</f>
        <v>642.48722413477367</v>
      </c>
      <c r="H29" s="131">
        <f>IF(SER_hh_emi!H29=0,0,1000000*SER_hh_emi!H29/SER_hh_num!H29)</f>
        <v>1105.4438537993678</v>
      </c>
      <c r="I29" s="131">
        <f>IF(SER_hh_emi!I29=0,0,1000000*SER_hh_emi!I29/SER_hh_num!I29)</f>
        <v>1567.89402911453</v>
      </c>
      <c r="J29" s="131">
        <f>IF(SER_hh_emi!J29=0,0,1000000*SER_hh_emi!J29/SER_hh_num!J29)</f>
        <v>1437.1111972905414</v>
      </c>
      <c r="K29" s="131">
        <f>IF(SER_hh_emi!K29=0,0,1000000*SER_hh_emi!K29/SER_hh_num!K29)</f>
        <v>964.8002779738232</v>
      </c>
      <c r="L29" s="131">
        <f>IF(SER_hh_emi!L29=0,0,1000000*SER_hh_emi!L29/SER_hh_num!L29)</f>
        <v>1415.0607186411451</v>
      </c>
      <c r="M29" s="131">
        <f>IF(SER_hh_emi!M29=0,0,1000000*SER_hh_emi!M29/SER_hh_num!M29)</f>
        <v>1299.7822407416631</v>
      </c>
      <c r="N29" s="131">
        <f>IF(SER_hh_emi!N29=0,0,1000000*SER_hh_emi!N29/SER_hh_num!N29)</f>
        <v>416.58921866026481</v>
      </c>
      <c r="O29" s="131">
        <f>IF(SER_hh_emi!O29=0,0,1000000*SER_hh_emi!O29/SER_hh_num!O29)</f>
        <v>436.25238567299647</v>
      </c>
      <c r="P29" s="131">
        <f>IF(SER_hh_emi!P29=0,0,1000000*SER_hh_emi!P29/SER_hh_num!P29)</f>
        <v>463.37910944250626</v>
      </c>
      <c r="Q29" s="131">
        <f>IF(SER_hh_emi!Q29=0,0,1000000*SER_hh_emi!Q29/SER_hh_num!Q29)</f>
        <v>250.95368882429943</v>
      </c>
      <c r="R29" s="131">
        <f>IF(SER_hh_emi!R29=0,0,1000000*SER_hh_emi!R29/SER_hh_num!R29)</f>
        <v>260.82038688265067</v>
      </c>
      <c r="S29" s="131">
        <f>IF(SER_hh_emi!S29=0,0,1000000*SER_hh_emi!S29/SER_hh_num!S29)</f>
        <v>214.26994379988631</v>
      </c>
      <c r="T29" s="131">
        <f>IF(SER_hh_emi!T29=0,0,1000000*SER_hh_emi!T29/SER_hh_num!T29)</f>
        <v>224.7709156186784</v>
      </c>
      <c r="U29" s="131">
        <f>IF(SER_hh_emi!U29=0,0,1000000*SER_hh_emi!U29/SER_hh_num!U29)</f>
        <v>250.0449946042817</v>
      </c>
      <c r="V29" s="131">
        <f>IF(SER_hh_emi!V29=0,0,1000000*SER_hh_emi!V29/SER_hh_num!V29)</f>
        <v>238.32374938940885</v>
      </c>
      <c r="W29" s="131">
        <f>IF(SER_hh_emi!W29=0,0,1000000*SER_hh_emi!W29/SER_hh_num!W29)</f>
        <v>243.49162657329313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4858.8044142589042</v>
      </c>
      <c r="C30" s="133">
        <f>IF(SER_hh_emi!C30=0,0,1000000*SER_hh_emi!C30/SER_hh_num!C30)</f>
        <v>6699.7608766244712</v>
      </c>
      <c r="D30" s="133">
        <f>IF(SER_hh_emi!D30=0,0,1000000*SER_hh_emi!D30/SER_hh_num!D30)</f>
        <v>5713.433670389727</v>
      </c>
      <c r="E30" s="133">
        <f>IF(SER_hh_emi!E30=0,0,1000000*SER_hh_emi!E30/SER_hh_num!E30)</f>
        <v>5097.0307474045367</v>
      </c>
      <c r="F30" s="133">
        <f>IF(SER_hh_emi!F30=0,0,1000000*SER_hh_emi!F30/SER_hh_num!F30)</f>
        <v>4674.0516550153816</v>
      </c>
      <c r="G30" s="133">
        <f>IF(SER_hh_emi!G30=0,0,1000000*SER_hh_emi!G30/SER_hh_num!G30)</f>
        <v>3967.8100919504295</v>
      </c>
      <c r="H30" s="133">
        <f>IF(SER_hh_emi!H30=0,0,1000000*SER_hh_emi!H30/SER_hh_num!H30)</f>
        <v>5655.1645571099743</v>
      </c>
      <c r="I30" s="133">
        <f>IF(SER_hh_emi!I30=0,0,1000000*SER_hh_emi!I30/SER_hh_num!I30)</f>
        <v>6971.8768921646242</v>
      </c>
      <c r="J30" s="133">
        <f>IF(SER_hh_emi!J30=0,0,1000000*SER_hh_emi!J30/SER_hh_num!J30)</f>
        <v>6150.5617733691051</v>
      </c>
      <c r="K30" s="133">
        <f>IF(SER_hh_emi!K30=0,0,1000000*SER_hh_emi!K30/SER_hh_num!K30)</f>
        <v>4302.9827213332546</v>
      </c>
      <c r="L30" s="133">
        <f>IF(SER_hh_emi!L30=0,0,1000000*SER_hh_emi!L30/SER_hh_num!L30)</f>
        <v>6929.2100520189715</v>
      </c>
      <c r="M30" s="133">
        <f>IF(SER_hh_emi!M30=0,0,1000000*SER_hh_emi!M30/SER_hh_num!M30)</f>
        <v>7552.8539717444874</v>
      </c>
      <c r="N30" s="133">
        <f>IF(SER_hh_emi!N30=0,0,1000000*SER_hh_emi!N30/SER_hh_num!N30)</f>
        <v>3099.9151882867095</v>
      </c>
      <c r="O30" s="133">
        <f>IF(SER_hh_emi!O30=0,0,1000000*SER_hh_emi!O30/SER_hh_num!O30)</f>
        <v>4894.3634652609871</v>
      </c>
      <c r="P30" s="133">
        <f>IF(SER_hh_emi!P30=0,0,1000000*SER_hh_emi!P30/SER_hh_num!P30)</f>
        <v>7225.4845506925712</v>
      </c>
      <c r="Q30" s="133">
        <f>IF(SER_hh_emi!Q30=0,0,1000000*SER_hh_emi!Q30/SER_hh_num!Q30)</f>
        <v>4285.7304883795978</v>
      </c>
      <c r="R30" s="133">
        <f>IF(SER_hh_emi!R30=0,0,1000000*SER_hh_emi!R30/SER_hh_num!R30)</f>
        <v>5398.8925798446171</v>
      </c>
      <c r="S30" s="133">
        <f>IF(SER_hh_emi!S30=0,0,1000000*SER_hh_emi!S30/SER_hh_num!S30)</f>
        <v>5889.3867223099451</v>
      </c>
      <c r="T30" s="133">
        <f>IF(SER_hh_emi!T30=0,0,1000000*SER_hh_emi!T30/SER_hh_num!T30)</f>
        <v>5747.2616339870565</v>
      </c>
      <c r="U30" s="133">
        <f>IF(SER_hh_emi!U30=0,0,1000000*SER_hh_emi!U30/SER_hh_num!U30)</f>
        <v>5762.6426975775112</v>
      </c>
      <c r="V30" s="133">
        <f>IF(SER_hh_emi!V30=0,0,1000000*SER_hh_emi!V30/SER_hh_num!V30)</f>
        <v>5667.521269818385</v>
      </c>
      <c r="W30" s="133">
        <f>IF(SER_hh_emi!W30=0,0,1000000*SER_hh_emi!W30/SER_hh_num!W30)</f>
        <v>5619.7048188334184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5013.7272970485792</v>
      </c>
      <c r="C31" s="133">
        <f>IF(SER_hh_emi!C31=0,0,1000000*SER_hh_emi!C31/SER_hh_num!C31)</f>
        <v>4538.4352775144007</v>
      </c>
      <c r="D31" s="133">
        <f>IF(SER_hh_emi!D31=0,0,1000000*SER_hh_emi!D31/SER_hh_num!D31)</f>
        <v>4768.507848238346</v>
      </c>
      <c r="E31" s="133">
        <f>IF(SER_hh_emi!E31=0,0,1000000*SER_hh_emi!E31/SER_hh_num!E31)</f>
        <v>4968.4379937240237</v>
      </c>
      <c r="F31" s="133">
        <f>IF(SER_hh_emi!F31=0,0,1000000*SER_hh_emi!F31/SER_hh_num!F31)</f>
        <v>4849.8759784746871</v>
      </c>
      <c r="G31" s="133">
        <f>IF(SER_hh_emi!G31=0,0,1000000*SER_hh_emi!G31/SER_hh_num!G31)</f>
        <v>4827.0533171715706</v>
      </c>
      <c r="H31" s="133">
        <f>IF(SER_hh_emi!H31=0,0,1000000*SER_hh_emi!H31/SER_hh_num!H31)</f>
        <v>4891.8260993206895</v>
      </c>
      <c r="I31" s="133">
        <f>IF(SER_hh_emi!I31=0,0,1000000*SER_hh_emi!I31/SER_hh_num!I31)</f>
        <v>5002.6541008530994</v>
      </c>
      <c r="J31" s="133">
        <f>IF(SER_hh_emi!J31=0,0,1000000*SER_hh_emi!J31/SER_hh_num!J31)</f>
        <v>5207.256529308901</v>
      </c>
      <c r="K31" s="133">
        <f>IF(SER_hh_emi!K31=0,0,1000000*SER_hh_emi!K31/SER_hh_num!K31)</f>
        <v>5039.0005190471547</v>
      </c>
      <c r="L31" s="133">
        <f>IF(SER_hh_emi!L31=0,0,1000000*SER_hh_emi!L31/SER_hh_num!L31)</f>
        <v>4823.8771631744539</v>
      </c>
      <c r="M31" s="133">
        <f>IF(SER_hh_emi!M31=0,0,1000000*SER_hh_emi!M31/SER_hh_num!M31)</f>
        <v>5068.8059569840707</v>
      </c>
      <c r="N31" s="133">
        <f>IF(SER_hh_emi!N31=0,0,1000000*SER_hh_emi!N31/SER_hh_num!N31)</f>
        <v>5087.190112622895</v>
      </c>
      <c r="O31" s="133">
        <f>IF(SER_hh_emi!O31=0,0,1000000*SER_hh_emi!O31/SER_hh_num!O31)</f>
        <v>5103.5615856352524</v>
      </c>
      <c r="P31" s="133">
        <f>IF(SER_hh_emi!P31=0,0,1000000*SER_hh_emi!P31/SER_hh_num!P31)</f>
        <v>5283.9377645191753</v>
      </c>
      <c r="Q31" s="133">
        <f>IF(SER_hh_emi!Q31=0,0,1000000*SER_hh_emi!Q31/SER_hh_num!Q31)</f>
        <v>5247.8405653238888</v>
      </c>
      <c r="R31" s="133">
        <f>IF(SER_hh_emi!R31=0,0,1000000*SER_hh_emi!R31/SER_hh_num!R31)</f>
        <v>5813.377688464142</v>
      </c>
      <c r="S31" s="133">
        <f>IF(SER_hh_emi!S31=0,0,1000000*SER_hh_emi!S31/SER_hh_num!S31)</f>
        <v>3430.5400745554016</v>
      </c>
      <c r="T31" s="133">
        <f>IF(SER_hh_emi!T31=0,0,1000000*SER_hh_emi!T31/SER_hh_num!T31)</f>
        <v>4773.633563152136</v>
      </c>
      <c r="U31" s="133">
        <f>IF(SER_hh_emi!U31=0,0,1000000*SER_hh_emi!U31/SER_hh_num!U31)</f>
        <v>5921.8994839932511</v>
      </c>
      <c r="V31" s="133">
        <f>IF(SER_hh_emi!V31=0,0,1000000*SER_hh_emi!V31/SER_hh_num!V31)</f>
        <v>4817.9660984486291</v>
      </c>
      <c r="W31" s="133">
        <f>IF(SER_hh_emi!W31=0,0,1000000*SER_hh_emi!W31/SER_hh_num!W31)</f>
        <v>5162.4835632829072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280.85743412170086</v>
      </c>
      <c r="C3" s="126">
        <f>IF(SER_hh_fech!C3=0,0,SER_hh_fech!C3/SER_summary!C$26)</f>
        <v>303.96668526075013</v>
      </c>
      <c r="D3" s="126">
        <f>IF(SER_hh_fech!D3=0,0,SER_hh_fech!D3/SER_summary!D$26)</f>
        <v>296.95595297108457</v>
      </c>
      <c r="E3" s="126">
        <f>IF(SER_hh_fech!E3=0,0,SER_hh_fech!E3/SER_summary!E$26)</f>
        <v>292.28574410645183</v>
      </c>
      <c r="F3" s="126">
        <f>IF(SER_hh_fech!F3=0,0,SER_hh_fech!F3/SER_summary!F$26)</f>
        <v>268.27770909226632</v>
      </c>
      <c r="G3" s="126">
        <f>IF(SER_hh_fech!G3=0,0,SER_hh_fech!G3/SER_summary!G$26)</f>
        <v>229.96566017383225</v>
      </c>
      <c r="H3" s="126">
        <f>IF(SER_hh_fech!H3=0,0,SER_hh_fech!H3/SER_summary!H$26)</f>
        <v>228.02402448300887</v>
      </c>
      <c r="I3" s="126">
        <f>IF(SER_hh_fech!I3=0,0,SER_hh_fech!I3/SER_summary!I$26)</f>
        <v>228.54835023062091</v>
      </c>
      <c r="J3" s="126">
        <f>IF(SER_hh_fech!J3=0,0,SER_hh_fech!J3/SER_summary!J$26)</f>
        <v>221.58382698668711</v>
      </c>
      <c r="K3" s="126">
        <f>IF(SER_hh_fech!K3=0,0,SER_hh_fech!K3/SER_summary!K$26)</f>
        <v>209.09581677268667</v>
      </c>
      <c r="L3" s="126">
        <f>IF(SER_hh_fech!L3=0,0,SER_hh_fech!L3/SER_summary!L$26)</f>
        <v>226.07555424121148</v>
      </c>
      <c r="M3" s="126">
        <f>IF(SER_hh_fech!M3=0,0,SER_hh_fech!M3/SER_summary!M$26)</f>
        <v>192.2760757158371</v>
      </c>
      <c r="N3" s="126">
        <f>IF(SER_hh_fech!N3=0,0,SER_hh_fech!N3/SER_summary!N$26)</f>
        <v>202.52279943205923</v>
      </c>
      <c r="O3" s="126">
        <f>IF(SER_hh_fech!O3=0,0,SER_hh_fech!O3/SER_summary!O$26)</f>
        <v>191.97497713711323</v>
      </c>
      <c r="P3" s="126">
        <f>IF(SER_hh_fech!P3=0,0,SER_hh_fech!P3/SER_summary!P$26)</f>
        <v>188.43986664317458</v>
      </c>
      <c r="Q3" s="126">
        <f>IF(SER_hh_fech!Q3=0,0,SER_hh_fech!Q3/SER_summary!Q$26)</f>
        <v>187.60113398063973</v>
      </c>
      <c r="R3" s="126">
        <f>IF(SER_hh_fech!R3=0,0,SER_hh_fech!R3/SER_summary!R$26)</f>
        <v>196.43210467046029</v>
      </c>
      <c r="S3" s="126">
        <f>IF(SER_hh_fech!S3=0,0,SER_hh_fech!S3/SER_summary!S$26)</f>
        <v>178.76839544404481</v>
      </c>
      <c r="T3" s="126">
        <f>IF(SER_hh_fech!T3=0,0,SER_hh_fech!T3/SER_summary!T$26)</f>
        <v>183.521928821123</v>
      </c>
      <c r="U3" s="126">
        <f>IF(SER_hh_fech!U3=0,0,SER_hh_fech!U3/SER_summary!U$26)</f>
        <v>174.51117494814861</v>
      </c>
      <c r="V3" s="126">
        <f>IF(SER_hh_fech!V3=0,0,SER_hh_fech!V3/SER_summary!V$26)</f>
        <v>162.7803783727216</v>
      </c>
      <c r="W3" s="126">
        <f>IF(SER_hh_fech!W3=0,0,SER_hh_fech!W3/SER_summary!W$26)</f>
        <v>175.72407077450063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227.50616779674397</v>
      </c>
      <c r="C4" s="131">
        <f>IF(SER_hh_fech!C4=0,0,SER_hh_fech!C4/SER_summary!C$26)</f>
        <v>250.3377208217826</v>
      </c>
      <c r="D4" s="131">
        <f>IF(SER_hh_fech!D4=0,0,SER_hh_fech!D4/SER_summary!D$26)</f>
        <v>244.09395015935939</v>
      </c>
      <c r="E4" s="131">
        <f>IF(SER_hh_fech!E4=0,0,SER_hh_fech!E4/SER_summary!E$26)</f>
        <v>240.04390618875976</v>
      </c>
      <c r="F4" s="131">
        <f>IF(SER_hh_fech!F4=0,0,SER_hh_fech!F4/SER_summary!F$26)</f>
        <v>216.62716547097347</v>
      </c>
      <c r="G4" s="131">
        <f>IF(SER_hh_fech!G4=0,0,SER_hh_fech!G4/SER_summary!G$26)</f>
        <v>179.22337923527303</v>
      </c>
      <c r="H4" s="131">
        <f>IF(SER_hh_fech!H4=0,0,SER_hh_fech!H4/SER_summary!H$26)</f>
        <v>176.82237655009584</v>
      </c>
      <c r="I4" s="131">
        <f>IF(SER_hh_fech!I4=0,0,SER_hh_fech!I4/SER_summary!I$26)</f>
        <v>176.74338476549218</v>
      </c>
      <c r="J4" s="131">
        <f>IF(SER_hh_fech!J4=0,0,SER_hh_fech!J4/SER_summary!J$26)</f>
        <v>170.0576736689803</v>
      </c>
      <c r="K4" s="131">
        <f>IF(SER_hh_fech!K4=0,0,SER_hh_fech!K4/SER_summary!K$26)</f>
        <v>158.4077183234092</v>
      </c>
      <c r="L4" s="131">
        <f>IF(SER_hh_fech!L4=0,0,SER_hh_fech!L4/SER_summary!L$26)</f>
        <v>174.95114758906888</v>
      </c>
      <c r="M4" s="131">
        <f>IF(SER_hh_fech!M4=0,0,SER_hh_fech!M4/SER_summary!M$26)</f>
        <v>141.41383924524058</v>
      </c>
      <c r="N4" s="131">
        <f>IF(SER_hh_fech!N4=0,0,SER_hh_fech!N4/SER_summary!N$26)</f>
        <v>152.66909040246506</v>
      </c>
      <c r="O4" s="131">
        <f>IF(SER_hh_fech!O4=0,0,SER_hh_fech!O4/SER_summary!O$26)</f>
        <v>142.34154727428572</v>
      </c>
      <c r="P4" s="131">
        <f>IF(SER_hh_fech!P4=0,0,SER_hh_fech!P4/SER_summary!P$26)</f>
        <v>138.99236306571581</v>
      </c>
      <c r="Q4" s="131">
        <f>IF(SER_hh_fech!Q4=0,0,SER_hh_fech!Q4/SER_summary!Q$26)</f>
        <v>138.76911560083462</v>
      </c>
      <c r="R4" s="131">
        <f>IF(SER_hh_fech!R4=0,0,SER_hh_fech!R4/SER_summary!R$26)</f>
        <v>147.89161954147312</v>
      </c>
      <c r="S4" s="131">
        <f>IF(SER_hh_fech!S4=0,0,SER_hh_fech!S4/SER_summary!S$26)</f>
        <v>130.84973666148503</v>
      </c>
      <c r="T4" s="131">
        <f>IF(SER_hh_fech!T4=0,0,SER_hh_fech!T4/SER_summary!T$26)</f>
        <v>135.93141418904108</v>
      </c>
      <c r="U4" s="131">
        <f>IF(SER_hh_fech!U4=0,0,SER_hh_fech!U4/SER_summary!U$26)</f>
        <v>127.27919545483499</v>
      </c>
      <c r="V4" s="131">
        <f>IF(SER_hh_fech!V4=0,0,SER_hh_fech!V4/SER_summary!V$26)</f>
        <v>117.71175993473805</v>
      </c>
      <c r="W4" s="131">
        <f>IF(SER_hh_fech!W4=0,0,SER_hh_fech!W4/SER_summary!W$26)</f>
        <v>130.49175933274628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326.11537655341658</v>
      </c>
      <c r="C7" s="133">
        <f>IF(SER_hh_fech!C7=0,0,SER_hh_fech!C7/SER_summary!C$26)</f>
        <v>342.82772573331522</v>
      </c>
      <c r="D7" s="133">
        <f>IF(SER_hh_fech!D7=0,0,SER_hh_fech!D7/SER_summary!D$26)</f>
        <v>340.1022585885342</v>
      </c>
      <c r="E7" s="133">
        <f>IF(SER_hh_fech!E7=0,0,SER_hh_fech!E7/SER_summary!E$26)</f>
        <v>379.03449822935198</v>
      </c>
      <c r="F7" s="133">
        <f>IF(SER_hh_fech!F7=0,0,SER_hh_fech!F7/SER_summary!F$26)</f>
        <v>333.0579516109957</v>
      </c>
      <c r="G7" s="133">
        <f>IF(SER_hh_fech!G7=0,0,SER_hh_fech!G7/SER_summary!G$26)</f>
        <v>220.70770240148377</v>
      </c>
      <c r="H7" s="133">
        <f>IF(SER_hh_fech!H7=0,0,SER_hh_fech!H7/SER_summary!H$26)</f>
        <v>245.41155263822014</v>
      </c>
      <c r="I7" s="133">
        <f>IF(SER_hh_fech!I7=0,0,SER_hh_fech!I7/SER_summary!I$26)</f>
        <v>275.84293121928374</v>
      </c>
      <c r="J7" s="133">
        <f>IF(SER_hh_fech!J7=0,0,SER_hh_fech!J7/SER_summary!J$26)</f>
        <v>248.26956372758769</v>
      </c>
      <c r="K7" s="133">
        <f>IF(SER_hh_fech!K7=0,0,SER_hh_fech!K7/SER_summary!K$26)</f>
        <v>251.89021163631327</v>
      </c>
      <c r="L7" s="133">
        <f>IF(SER_hh_fech!L7=0,0,SER_hh_fech!L7/SER_summary!L$26)</f>
        <v>252.45026275863981</v>
      </c>
      <c r="M7" s="133">
        <f>IF(SER_hh_fech!M7=0,0,SER_hh_fech!M7/SER_summary!M$26)</f>
        <v>219.68452016138426</v>
      </c>
      <c r="N7" s="133">
        <f>IF(SER_hh_fech!N7=0,0,SER_hh_fech!N7/SER_summary!N$26)</f>
        <v>210.26676473359521</v>
      </c>
      <c r="O7" s="133">
        <f>IF(SER_hh_fech!O7=0,0,SER_hh_fech!O7/SER_summary!O$26)</f>
        <v>186.09652360665859</v>
      </c>
      <c r="P7" s="133">
        <f>IF(SER_hh_fech!P7=0,0,SER_hh_fech!P7/SER_summary!P$26)</f>
        <v>190.17241313735161</v>
      </c>
      <c r="Q7" s="133">
        <f>IF(SER_hh_fech!Q7=0,0,SER_hh_fech!Q7/SER_summary!Q$26)</f>
        <v>185.5376299022457</v>
      </c>
      <c r="R7" s="133">
        <f>IF(SER_hh_fech!R7=0,0,SER_hh_fech!R7/SER_summary!R$26)</f>
        <v>183.30588512143629</v>
      </c>
      <c r="S7" s="133">
        <f>IF(SER_hh_fech!S7=0,0,SER_hh_fech!S7/SER_summary!S$26)</f>
        <v>181.05006709952869</v>
      </c>
      <c r="T7" s="133">
        <f>IF(SER_hh_fech!T7=0,0,SER_hh_fech!T7/SER_summary!T$26)</f>
        <v>178.50560840332579</v>
      </c>
      <c r="U7" s="133">
        <f>IF(SER_hh_fech!U7=0,0,SER_hh_fech!U7/SER_summary!U$26)</f>
        <v>169.92367808374993</v>
      </c>
      <c r="V7" s="133">
        <f>IF(SER_hh_fech!V7=0,0,SER_hh_fech!V7/SER_summary!V$26)</f>
        <v>169.15158917539662</v>
      </c>
      <c r="W7" s="133">
        <f>IF(SER_hh_fech!W7=0,0,SER_hh_fech!W7/SER_summary!W$26)</f>
        <v>163.0980357751406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299.62475503024069</v>
      </c>
      <c r="C9" s="133">
        <f>IF(SER_hh_fech!C9=0,0,SER_hh_fech!C9/SER_summary!C$26)</f>
        <v>217.11272551765381</v>
      </c>
      <c r="D9" s="133">
        <f>IF(SER_hh_fech!D9=0,0,SER_hh_fech!D9/SER_summary!D$26)</f>
        <v>287.02088977168535</v>
      </c>
      <c r="E9" s="133">
        <f>IF(SER_hh_fech!E9=0,0,SER_hh_fech!E9/SER_summary!E$26)</f>
        <v>295.51685607826442</v>
      </c>
      <c r="F9" s="133">
        <f>IF(SER_hh_fech!F9=0,0,SER_hh_fech!F9/SER_summary!F$26)</f>
        <v>243.85891970013228</v>
      </c>
      <c r="G9" s="133">
        <f>IF(SER_hh_fech!G9=0,0,SER_hh_fech!G9/SER_summary!G$26)</f>
        <v>226.07902618759869</v>
      </c>
      <c r="H9" s="133">
        <f>IF(SER_hh_fech!H9=0,0,SER_hh_fech!H9/SER_summary!H$26)</f>
        <v>213.98605405298431</v>
      </c>
      <c r="I9" s="133">
        <f>IF(SER_hh_fech!I9=0,0,SER_hh_fech!I9/SER_summary!I$26)</f>
        <v>221.3312269693588</v>
      </c>
      <c r="J9" s="133">
        <f>IF(SER_hh_fech!J9=0,0,SER_hh_fech!J9/SER_summary!J$26)</f>
        <v>234.55127773055767</v>
      </c>
      <c r="K9" s="133">
        <f>IF(SER_hh_fech!K9=0,0,SER_hh_fech!K9/SER_summary!K$26)</f>
        <v>109.19899138670193</v>
      </c>
      <c r="L9" s="133">
        <f>IF(SER_hh_fech!L9=0,0,SER_hh_fech!L9/SER_summary!L$26)</f>
        <v>227.35694532663103</v>
      </c>
      <c r="M9" s="133">
        <f>IF(SER_hh_fech!M9=0,0,SER_hh_fech!M9/SER_summary!M$26)</f>
        <v>174.12957646179456</v>
      </c>
      <c r="N9" s="133">
        <f>IF(SER_hh_fech!N9=0,0,SER_hh_fech!N9/SER_summary!N$26)</f>
        <v>206.43869109974804</v>
      </c>
      <c r="O9" s="133">
        <f>IF(SER_hh_fech!O9=0,0,SER_hh_fech!O9/SER_summary!O$26)</f>
        <v>177.71317466994716</v>
      </c>
      <c r="P9" s="133">
        <f>IF(SER_hh_fech!P9=0,0,SER_hh_fech!P9/SER_summary!P$26)</f>
        <v>172.00248355212454</v>
      </c>
      <c r="Q9" s="133">
        <f>IF(SER_hh_fech!Q9=0,0,SER_hh_fech!Q9/SER_summary!Q$26)</f>
        <v>177.51691783894597</v>
      </c>
      <c r="R9" s="133">
        <f>IF(SER_hh_fech!R9=0,0,SER_hh_fech!R9/SER_summary!R$26)</f>
        <v>195.43703221904448</v>
      </c>
      <c r="S9" s="133">
        <f>IF(SER_hh_fech!S9=0,0,SER_hh_fech!S9/SER_summary!S$26)</f>
        <v>108.66458393481911</v>
      </c>
      <c r="T9" s="133">
        <f>IF(SER_hh_fech!T9=0,0,SER_hh_fech!T9/SER_summary!T$26)</f>
        <v>155.99453012823147</v>
      </c>
      <c r="U9" s="133">
        <f>IF(SER_hh_fech!U9=0,0,SER_hh_fech!U9/SER_summary!U$26)</f>
        <v>180.04557671547229</v>
      </c>
      <c r="V9" s="133">
        <f>IF(SER_hh_fech!V9=0,0,SER_hh_fech!V9/SER_summary!V$26)</f>
        <v>159.5674108034876</v>
      </c>
      <c r="W9" s="133">
        <f>IF(SER_hh_fech!W9=0,0,SER_hh_fech!W9/SER_summary!W$26)</f>
        <v>151.36256813756654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215.21496528799713</v>
      </c>
      <c r="C10" s="133">
        <f>IF(SER_hh_fech!C10=0,0,SER_hh_fech!C10/SER_summary!C$26)</f>
        <v>429.13714212926118</v>
      </c>
      <c r="D10" s="133">
        <f>IF(SER_hh_fech!D10=0,0,SER_hh_fech!D10/SER_summary!D$26)</f>
        <v>285.0691753061775</v>
      </c>
      <c r="E10" s="133">
        <f>IF(SER_hh_fech!E10=0,0,SER_hh_fech!E10/SER_summary!E$26)</f>
        <v>198.77655781724201</v>
      </c>
      <c r="F10" s="133">
        <f>IF(SER_hh_fech!F10=0,0,SER_hh_fech!F10/SER_summary!F$26)</f>
        <v>323.45384033485158</v>
      </c>
      <c r="G10" s="133">
        <f>IF(SER_hh_fech!G10=0,0,SER_hh_fech!G10/SER_summary!G$26)</f>
        <v>312.17624750634235</v>
      </c>
      <c r="H10" s="133">
        <f>IF(SER_hh_fech!H10=0,0,SER_hh_fech!H10/SER_summary!H$26)</f>
        <v>218.31233179863619</v>
      </c>
      <c r="I10" s="133">
        <f>IF(SER_hh_fech!I10=0,0,SER_hh_fech!I10/SER_summary!I$26)</f>
        <v>230.07623956161345</v>
      </c>
      <c r="J10" s="133">
        <f>IF(SER_hh_fech!J10=0,0,SER_hh_fech!J10/SER_summary!J$26)</f>
        <v>237.75289764159038</v>
      </c>
      <c r="K10" s="133">
        <f>IF(SER_hh_fech!K10=0,0,SER_hh_fech!K10/SER_summary!K$26)</f>
        <v>231.41167547649377</v>
      </c>
      <c r="L10" s="133">
        <f>IF(SER_hh_fech!L10=0,0,SER_hh_fech!L10/SER_summary!L$26)</f>
        <v>228.32374544182869</v>
      </c>
      <c r="M10" s="133">
        <f>IF(SER_hh_fech!M10=0,0,SER_hh_fech!M10/SER_summary!M$26)</f>
        <v>203.9600160576301</v>
      </c>
      <c r="N10" s="133">
        <f>IF(SER_hh_fech!N10=0,0,SER_hh_fech!N10/SER_summary!N$26)</f>
        <v>259.08768728591883</v>
      </c>
      <c r="O10" s="133">
        <f>IF(SER_hh_fech!O10=0,0,SER_hh_fech!O10/SER_summary!O$26)</f>
        <v>146.66549528739048</v>
      </c>
      <c r="P10" s="133">
        <f>IF(SER_hh_fech!P10=0,0,SER_hh_fech!P10/SER_summary!P$26)</f>
        <v>200.82753208878788</v>
      </c>
      <c r="Q10" s="133">
        <f>IF(SER_hh_fech!Q10=0,0,SER_hh_fech!Q10/SER_summary!Q$26)</f>
        <v>186.91665161698273</v>
      </c>
      <c r="R10" s="133">
        <f>IF(SER_hh_fech!R10=0,0,SER_hh_fech!R10/SER_summary!R$26)</f>
        <v>297.64586182390946</v>
      </c>
      <c r="S10" s="133">
        <f>IF(SER_hh_fech!S10=0,0,SER_hh_fech!S10/SER_summary!S$26)</f>
        <v>293.10763014705805</v>
      </c>
      <c r="T10" s="133">
        <f>IF(SER_hh_fech!T10=0,0,SER_hh_fech!T10/SER_summary!T$26)</f>
        <v>296.73026124140142</v>
      </c>
      <c r="U10" s="133">
        <f>IF(SER_hh_fech!U10=0,0,SER_hh_fech!U10/SER_summary!U$26)</f>
        <v>177.55128571584828</v>
      </c>
      <c r="V10" s="133">
        <f>IF(SER_hh_fech!V10=0,0,SER_hh_fech!V10/SER_summary!V$26)</f>
        <v>189.82158832397403</v>
      </c>
      <c r="W10" s="133">
        <f>IF(SER_hh_fech!W10=0,0,SER_hh_fech!W10/SER_summary!W$26)</f>
        <v>209.75359761009344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189.39001785359065</v>
      </c>
      <c r="C12" s="133">
        <f>IF(SER_hh_fech!C12=0,0,SER_hh_fech!C12/SER_summary!C$26)</f>
        <v>207.50875023258544</v>
      </c>
      <c r="D12" s="133">
        <f>IF(SER_hh_fech!D12=0,0,SER_hh_fech!D12/SER_summary!D$26)</f>
        <v>202.8772043376803</v>
      </c>
      <c r="E12" s="133">
        <f>IF(SER_hh_fech!E12=0,0,SER_hh_fech!E12/SER_summary!E$26)</f>
        <v>197.52523469127436</v>
      </c>
      <c r="F12" s="133">
        <f>IF(SER_hh_fech!F12=0,0,SER_hh_fech!F12/SER_summary!F$26)</f>
        <v>179.65170849255372</v>
      </c>
      <c r="G12" s="133">
        <f>IF(SER_hh_fech!G12=0,0,SER_hh_fech!G12/SER_summary!G$26)</f>
        <v>172.12219011710425</v>
      </c>
      <c r="H12" s="133">
        <f>IF(SER_hh_fech!H12=0,0,SER_hh_fech!H12/SER_summary!H$26)</f>
        <v>164.74120466855811</v>
      </c>
      <c r="I12" s="133">
        <f>IF(SER_hh_fech!I12=0,0,SER_hh_fech!I12/SER_summary!I$26)</f>
        <v>153.97832336348074</v>
      </c>
      <c r="J12" s="133">
        <f>IF(SER_hh_fech!J12=0,0,SER_hh_fech!J12/SER_summary!J$26)</f>
        <v>153.32300955939385</v>
      </c>
      <c r="K12" s="133">
        <f>IF(SER_hh_fech!K12=0,0,SER_hh_fech!K12/SER_summary!K$26)</f>
        <v>153.95622102753714</v>
      </c>
      <c r="L12" s="133">
        <f>IF(SER_hh_fech!L12=0,0,SER_hh_fech!L12/SER_summary!L$26)</f>
        <v>167.33400270334946</v>
      </c>
      <c r="M12" s="133">
        <f>IF(SER_hh_fech!M12=0,0,SER_hh_fech!M12/SER_summary!M$26)</f>
        <v>135.9908701042643</v>
      </c>
      <c r="N12" s="133">
        <f>IF(SER_hh_fech!N12=0,0,SER_hh_fech!N12/SER_summary!N$26)</f>
        <v>147.73289185938791</v>
      </c>
      <c r="O12" s="133">
        <f>IF(SER_hh_fech!O12=0,0,SER_hh_fech!O12/SER_summary!O$26)</f>
        <v>145.64676615117878</v>
      </c>
      <c r="P12" s="133">
        <f>IF(SER_hh_fech!P12=0,0,SER_hh_fech!P12/SER_summary!P$26)</f>
        <v>138.84926475888872</v>
      </c>
      <c r="Q12" s="133">
        <f>IF(SER_hh_fech!Q12=0,0,SER_hh_fech!Q12/SER_summary!Q$26)</f>
        <v>135.56242845966844</v>
      </c>
      <c r="R12" s="133">
        <f>IF(SER_hh_fech!R12=0,0,SER_hh_fech!R12/SER_summary!R$26)</f>
        <v>145.23911466265395</v>
      </c>
      <c r="S12" s="133">
        <f>IF(SER_hh_fech!S12=0,0,SER_hh_fech!S12/SER_summary!S$26)</f>
        <v>134.56528009482878</v>
      </c>
      <c r="T12" s="133">
        <f>IF(SER_hh_fech!T12=0,0,SER_hh_fech!T12/SER_summary!T$26)</f>
        <v>139.02427824047729</v>
      </c>
      <c r="U12" s="133">
        <f>IF(SER_hh_fech!U12=0,0,SER_hh_fech!U12/SER_summary!U$26)</f>
        <v>134.96110728417688</v>
      </c>
      <c r="V12" s="133">
        <f>IF(SER_hh_fech!V12=0,0,SER_hh_fech!V12/SER_summary!V$26)</f>
        <v>119.69355468204405</v>
      </c>
      <c r="W12" s="133">
        <f>IF(SER_hh_fech!W12=0,0,SER_hh_fech!W12/SER_summary!W$26)</f>
        <v>142.62562253292995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91.52748957237921</v>
      </c>
      <c r="C13" s="133">
        <f>IF(SER_hh_fech!C13=0,0,SER_hh_fech!C13/SER_summary!C$26)</f>
        <v>117.92757927801738</v>
      </c>
      <c r="D13" s="133">
        <f>IF(SER_hh_fech!D13=0,0,SER_hh_fech!D13/SER_summary!D$26)</f>
        <v>108.53621046166656</v>
      </c>
      <c r="E13" s="133">
        <f>IF(SER_hh_fech!E13=0,0,SER_hh_fech!E13/SER_summary!E$26)</f>
        <v>92.706841974957811</v>
      </c>
      <c r="F13" s="133">
        <f>IF(SER_hh_fech!F13=0,0,SER_hh_fech!F13/SER_summary!F$26)</f>
        <v>90.131620702516329</v>
      </c>
      <c r="G13" s="133">
        <f>IF(SER_hh_fech!G13=0,0,SER_hh_fech!G13/SER_summary!G$26)</f>
        <v>71.87577590345245</v>
      </c>
      <c r="H13" s="133">
        <f>IF(SER_hh_fech!H13=0,0,SER_hh_fech!H13/SER_summary!H$26)</f>
        <v>73.53872556312885</v>
      </c>
      <c r="I13" s="133">
        <f>IF(SER_hh_fech!I13=0,0,SER_hh_fech!I13/SER_summary!I$26)</f>
        <v>73.979327793982719</v>
      </c>
      <c r="J13" s="133">
        <f>IF(SER_hh_fech!J13=0,0,SER_hh_fech!J13/SER_summary!J$26)</f>
        <v>67.737357657109285</v>
      </c>
      <c r="K13" s="133">
        <f>IF(SER_hh_fech!K13=0,0,SER_hh_fech!K13/SER_summary!K$26)</f>
        <v>62.879408319472951</v>
      </c>
      <c r="L13" s="133">
        <f>IF(SER_hh_fech!L13=0,0,SER_hh_fech!L13/SER_summary!L$26)</f>
        <v>60.211631572732543</v>
      </c>
      <c r="M13" s="133">
        <f>IF(SER_hh_fech!M13=0,0,SER_hh_fech!M13/SER_summary!M$26)</f>
        <v>55.874166431812782</v>
      </c>
      <c r="N13" s="133">
        <f>IF(SER_hh_fech!N13=0,0,SER_hh_fech!N13/SER_summary!N$26)</f>
        <v>54.223755953112367</v>
      </c>
      <c r="O13" s="133">
        <f>IF(SER_hh_fech!O13=0,0,SER_hh_fech!O13/SER_summary!O$26)</f>
        <v>51.708554570677833</v>
      </c>
      <c r="P13" s="133">
        <f>IF(SER_hh_fech!P13=0,0,SER_hh_fech!P13/SER_summary!P$26)</f>
        <v>48.368327852372431</v>
      </c>
      <c r="Q13" s="133">
        <f>IF(SER_hh_fech!Q13=0,0,SER_hh_fech!Q13/SER_summary!Q$26)</f>
        <v>44.895448985010454</v>
      </c>
      <c r="R13" s="133">
        <f>IF(SER_hh_fech!R13=0,0,SER_hh_fech!R13/SER_summary!R$26)</f>
        <v>47.27354960240352</v>
      </c>
      <c r="S13" s="133">
        <f>IF(SER_hh_fech!S13=0,0,SER_hh_fech!S13/SER_summary!S$26)</f>
        <v>42.125182310401996</v>
      </c>
      <c r="T13" s="133">
        <f>IF(SER_hh_fech!T13=0,0,SER_hh_fech!T13/SER_summary!T$26)</f>
        <v>40.027755493874636</v>
      </c>
      <c r="U13" s="133">
        <f>IF(SER_hh_fech!U13=0,0,SER_hh_fech!U13/SER_summary!U$26)</f>
        <v>36.571320531627116</v>
      </c>
      <c r="V13" s="133">
        <f>IF(SER_hh_fech!V13=0,0,SER_hh_fech!V13/SER_summary!V$26)</f>
        <v>35.752513810953928</v>
      </c>
      <c r="W13" s="133">
        <f>IF(SER_hh_fech!W13=0,0,SER_hh_fech!W13/SER_summary!W$26)</f>
        <v>34.331791490380624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206.85525035032535</v>
      </c>
      <c r="C14" s="65">
        <f>IF(SER_hh_fech!C14=0,0,SER_hh_fech!C14/SER_summary!C$26)</f>
        <v>242.23560414822393</v>
      </c>
      <c r="D14" s="65">
        <f>IF(SER_hh_fech!D14=0,0,SER_hh_fech!D14/SER_summary!D$26)</f>
        <v>235.42298274497935</v>
      </c>
      <c r="E14" s="65">
        <f>IF(SER_hh_fech!E14=0,0,SER_hh_fech!E14/SER_summary!E$26)</f>
        <v>216.4769815185887</v>
      </c>
      <c r="F14" s="65">
        <f>IF(SER_hh_fech!F14=0,0,SER_hh_fech!F14/SER_summary!F$26)</f>
        <v>211.5090567775095</v>
      </c>
      <c r="G14" s="65">
        <f>IF(SER_hh_fech!G14=0,0,SER_hh_fech!G14/SER_summary!G$26)</f>
        <v>172.20694818463519</v>
      </c>
      <c r="H14" s="65">
        <f>IF(SER_hh_fech!H14=0,0,SER_hh_fech!H14/SER_summary!H$26)</f>
        <v>180.4821102418355</v>
      </c>
      <c r="I14" s="65">
        <f>IF(SER_hh_fech!I14=0,0,SER_hh_fech!I14/SER_summary!I$26)</f>
        <v>192.96826338394453</v>
      </c>
      <c r="J14" s="65">
        <f>IF(SER_hh_fech!J14=0,0,SER_hh_fech!J14/SER_summary!J$26)</f>
        <v>184.41504159783466</v>
      </c>
      <c r="K14" s="65">
        <f>IF(SER_hh_fech!K14=0,0,SER_hh_fech!K14/SER_summary!K$26)</f>
        <v>160.49382201692254</v>
      </c>
      <c r="L14" s="65">
        <f>IF(SER_hh_fech!L14=0,0,SER_hh_fech!L14/SER_summary!L$26)</f>
        <v>184.32785716374971</v>
      </c>
      <c r="M14" s="65">
        <f>IF(SER_hh_fech!M14=0,0,SER_hh_fech!M14/SER_summary!M$26)</f>
        <v>142.33761715000009</v>
      </c>
      <c r="N14" s="65">
        <f>IF(SER_hh_fech!N14=0,0,SER_hh_fech!N14/SER_summary!N$26)</f>
        <v>159.63826180594054</v>
      </c>
      <c r="O14" s="65">
        <f>IF(SER_hh_fech!O14=0,0,SER_hh_fech!O14/SER_summary!O$26)</f>
        <v>143.81109159393088</v>
      </c>
      <c r="P14" s="65">
        <f>IF(SER_hh_fech!P14=0,0,SER_hh_fech!P14/SER_summary!P$26)</f>
        <v>145.03920968819472</v>
      </c>
      <c r="Q14" s="65">
        <f>IF(SER_hh_fech!Q14=0,0,SER_hh_fech!Q14/SER_summary!Q$26)</f>
        <v>155.65500299420944</v>
      </c>
      <c r="R14" s="65">
        <f>IF(SER_hh_fech!R14=0,0,SER_hh_fech!R14/SER_summary!R$26)</f>
        <v>165.67105389474716</v>
      </c>
      <c r="S14" s="65">
        <f>IF(SER_hh_fech!S14=0,0,SER_hh_fech!S14/SER_summary!S$26)</f>
        <v>136.37064239141571</v>
      </c>
      <c r="T14" s="65">
        <f>IF(SER_hh_fech!T14=0,0,SER_hh_fech!T14/SER_summary!T$26)</f>
        <v>146.40650729480487</v>
      </c>
      <c r="U14" s="65">
        <f>IF(SER_hh_fech!U14=0,0,SER_hh_fech!U14/SER_summary!U$26)</f>
        <v>131.09633053972311</v>
      </c>
      <c r="V14" s="65">
        <f>IF(SER_hh_fech!V14=0,0,SER_hh_fech!V14/SER_summary!V$26)</f>
        <v>129.63779046835899</v>
      </c>
      <c r="W14" s="65">
        <f>IF(SER_hh_fech!W14=0,0,SER_hh_fech!W14/SER_summary!W$26)</f>
        <v>141.14199887118028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1.5040968915233208</v>
      </c>
      <c r="C15" s="135">
        <f>IF(SER_hh_fech!C15=0,0,SER_hh_fech!C15/SER_summary!C$26)</f>
        <v>1.5470521900577539</v>
      </c>
      <c r="D15" s="135">
        <f>IF(SER_hh_fech!D15=0,0,SER_hh_fech!D15/SER_summary!D$26)</f>
        <v>1.5036002460408406</v>
      </c>
      <c r="E15" s="135">
        <f>IF(SER_hh_fech!E15=0,0,SER_hh_fech!E15/SER_summary!E$26)</f>
        <v>1.524733724466961</v>
      </c>
      <c r="F15" s="135">
        <f>IF(SER_hh_fech!F15=0,0,SER_hh_fech!F15/SER_summary!F$26)</f>
        <v>1.2502874214223276</v>
      </c>
      <c r="G15" s="135">
        <f>IF(SER_hh_fech!G15=0,0,SER_hh_fech!G15/SER_summary!G$26)</f>
        <v>0.92246149544732037</v>
      </c>
      <c r="H15" s="135">
        <f>IF(SER_hh_fech!H15=0,0,SER_hh_fech!H15/SER_summary!H$26)</f>
        <v>0.86739118081795474</v>
      </c>
      <c r="I15" s="135">
        <f>IF(SER_hh_fech!I15=0,0,SER_hh_fech!I15/SER_summary!I$26)</f>
        <v>0.8384992350189302</v>
      </c>
      <c r="J15" s="135">
        <f>IF(SER_hh_fech!J15=0,0,SER_hh_fech!J15/SER_summary!J$26)</f>
        <v>0.79165673663445202</v>
      </c>
      <c r="K15" s="135">
        <f>IF(SER_hh_fech!K15=0,0,SER_hh_fech!K15/SER_summary!K$26)</f>
        <v>0.73450259630665693</v>
      </c>
      <c r="L15" s="135">
        <f>IF(SER_hh_fech!L15=0,0,SER_hh_fech!L15/SER_summary!L$26)</f>
        <v>0.83042731031603023</v>
      </c>
      <c r="M15" s="135">
        <f>IF(SER_hh_fech!M15=0,0,SER_hh_fech!M15/SER_summary!M$26)</f>
        <v>0.7072569372837777</v>
      </c>
      <c r="N15" s="135">
        <f>IF(SER_hh_fech!N15=0,0,SER_hh_fech!N15/SER_summary!N$26)</f>
        <v>0.76923977022155898</v>
      </c>
      <c r="O15" s="135">
        <f>IF(SER_hh_fech!O15=0,0,SER_hh_fech!O15/SER_summary!O$26)</f>
        <v>0.71742639935220309</v>
      </c>
      <c r="P15" s="135">
        <f>IF(SER_hh_fech!P15=0,0,SER_hh_fech!P15/SER_summary!P$26)</f>
        <v>0.70167456759372704</v>
      </c>
      <c r="Q15" s="135">
        <f>IF(SER_hh_fech!Q15=0,0,SER_hh_fech!Q15/SER_summary!Q$26)</f>
        <v>0.68372919656299735</v>
      </c>
      <c r="R15" s="135">
        <f>IF(SER_hh_fech!R15=0,0,SER_hh_fech!R15/SER_summary!R$26)</f>
        <v>0.72178206499326714</v>
      </c>
      <c r="S15" s="135">
        <f>IF(SER_hh_fech!S15=0,0,SER_hh_fech!S15/SER_summary!S$26)</f>
        <v>0.66137406772501539</v>
      </c>
      <c r="T15" s="135">
        <f>IF(SER_hh_fech!T15=0,0,SER_hh_fech!T15/SER_summary!T$26)</f>
        <v>0.70197447138044555</v>
      </c>
      <c r="U15" s="135">
        <f>IF(SER_hh_fech!U15=0,0,SER_hh_fech!U15/SER_summary!U$26)</f>
        <v>0.6926360553033134</v>
      </c>
      <c r="V15" s="135">
        <f>IF(SER_hh_fech!V15=0,0,SER_hh_fech!V15/SER_summary!V$26)</f>
        <v>0.65264350740733346</v>
      </c>
      <c r="W15" s="135">
        <f>IF(SER_hh_fech!W15=0,0,SER_hh_fech!W15/SER_summary!W$26)</f>
        <v>0.69293218782421095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13.190625738009276</v>
      </c>
      <c r="C16" s="131">
        <f>IF(SER_hh_fech!C16=0,0,SER_hh_fech!C16/SER_summary!C$26)</f>
        <v>12.769627433454183</v>
      </c>
      <c r="D16" s="131">
        <f>IF(SER_hh_fech!D16=0,0,SER_hh_fech!D16/SER_summary!D$26)</f>
        <v>12.286337021189484</v>
      </c>
      <c r="E16" s="131">
        <f>IF(SER_hh_fech!E16=0,0,SER_hh_fech!E16/SER_summary!E$26)</f>
        <v>11.819652238261964</v>
      </c>
      <c r="F16" s="131">
        <f>IF(SER_hh_fech!F16=0,0,SER_hh_fech!F16/SER_summary!F$26)</f>
        <v>11.296646950881113</v>
      </c>
      <c r="G16" s="131">
        <f>IF(SER_hh_fech!G16=0,0,SER_hh_fech!G16/SER_summary!G$26)</f>
        <v>10.772138713008204</v>
      </c>
      <c r="H16" s="131">
        <f>IF(SER_hh_fech!H16=0,0,SER_hh_fech!H16/SER_summary!H$26)</f>
        <v>10.215971351707152</v>
      </c>
      <c r="I16" s="131">
        <f>IF(SER_hh_fech!I16=0,0,SER_hh_fech!I16/SER_summary!I$26)</f>
        <v>9.6183615898937429</v>
      </c>
      <c r="J16" s="131">
        <f>IF(SER_hh_fech!J16=0,0,SER_hh_fech!J16/SER_summary!J$26)</f>
        <v>9.074762300936758</v>
      </c>
      <c r="K16" s="131">
        <f>IF(SER_hh_fech!K16=0,0,SER_hh_fech!K16/SER_summary!K$26)</f>
        <v>8.9566217370716483</v>
      </c>
      <c r="L16" s="131">
        <f>IF(SER_hh_fech!L16=0,0,SER_hh_fech!L16/SER_summary!L$26)</f>
        <v>8.9081255769449612</v>
      </c>
      <c r="M16" s="131">
        <f>IF(SER_hh_fech!M16=0,0,SER_hh_fech!M16/SER_summary!M$26)</f>
        <v>8.5149203084529521</v>
      </c>
      <c r="N16" s="131">
        <f>IF(SER_hh_fech!N16=0,0,SER_hh_fech!N16/SER_summary!N$26)</f>
        <v>8.2579389783378101</v>
      </c>
      <c r="O16" s="131">
        <f>IF(SER_hh_fech!O16=0,0,SER_hh_fech!O16/SER_summary!O$26)</f>
        <v>7.9924750727516942</v>
      </c>
      <c r="P16" s="131">
        <f>IF(SER_hh_fech!P16=0,0,SER_hh_fech!P16/SER_summary!P$26)</f>
        <v>7.8266581907986925</v>
      </c>
      <c r="Q16" s="131">
        <f>IF(SER_hh_fech!Q16=0,0,SER_hh_fech!Q16/SER_summary!Q$26)</f>
        <v>7.4565844912333414</v>
      </c>
      <c r="R16" s="131">
        <f>IF(SER_hh_fech!R16=0,0,SER_hh_fech!R16/SER_summary!R$26)</f>
        <v>7.2232392343577843</v>
      </c>
      <c r="S16" s="131">
        <f>IF(SER_hh_fech!S16=0,0,SER_hh_fech!S16/SER_summary!S$26)</f>
        <v>6.9935474978193994</v>
      </c>
      <c r="T16" s="131">
        <f>IF(SER_hh_fech!T16=0,0,SER_hh_fech!T16/SER_summary!T$26)</f>
        <v>6.8845936285190827</v>
      </c>
      <c r="U16" s="131">
        <f>IF(SER_hh_fech!U16=0,0,SER_hh_fech!U16/SER_summary!U$26)</f>
        <v>6.6997166087845699</v>
      </c>
      <c r="V16" s="131">
        <f>IF(SER_hh_fech!V16=0,0,SER_hh_fech!V16/SER_summary!V$26)</f>
        <v>6.5080330807083291</v>
      </c>
      <c r="W16" s="131">
        <f>IF(SER_hh_fech!W16=0,0,SER_hh_fech!W16/SER_summary!W$26)</f>
        <v>6.3982120746231077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13.190625738009276</v>
      </c>
      <c r="C18" s="133">
        <f>IF(SER_hh_fech!C18=0,0,SER_hh_fech!C18/SER_summary!C$26)</f>
        <v>12.769627433454183</v>
      </c>
      <c r="D18" s="133">
        <f>IF(SER_hh_fech!D18=0,0,SER_hh_fech!D18/SER_summary!D$26)</f>
        <v>12.286337021189484</v>
      </c>
      <c r="E18" s="133">
        <f>IF(SER_hh_fech!E18=0,0,SER_hh_fech!E18/SER_summary!E$26)</f>
        <v>11.819652238261964</v>
      </c>
      <c r="F18" s="133">
        <f>IF(SER_hh_fech!F18=0,0,SER_hh_fech!F18/SER_summary!F$26)</f>
        <v>11.296646950881113</v>
      </c>
      <c r="G18" s="133">
        <f>IF(SER_hh_fech!G18=0,0,SER_hh_fech!G18/SER_summary!G$26)</f>
        <v>10.772138713008204</v>
      </c>
      <c r="H18" s="133">
        <f>IF(SER_hh_fech!H18=0,0,SER_hh_fech!H18/SER_summary!H$26)</f>
        <v>10.215971351707152</v>
      </c>
      <c r="I18" s="133">
        <f>IF(SER_hh_fech!I18=0,0,SER_hh_fech!I18/SER_summary!I$26)</f>
        <v>9.6183615898937429</v>
      </c>
      <c r="J18" s="133">
        <f>IF(SER_hh_fech!J18=0,0,SER_hh_fech!J18/SER_summary!J$26)</f>
        <v>9.074762300936758</v>
      </c>
      <c r="K18" s="133">
        <f>IF(SER_hh_fech!K18=0,0,SER_hh_fech!K18/SER_summary!K$26)</f>
        <v>8.9566217370716483</v>
      </c>
      <c r="L18" s="133">
        <f>IF(SER_hh_fech!L18=0,0,SER_hh_fech!L18/SER_summary!L$26)</f>
        <v>8.9081255769449612</v>
      </c>
      <c r="M18" s="133">
        <f>IF(SER_hh_fech!M18=0,0,SER_hh_fech!M18/SER_summary!M$26)</f>
        <v>8.5149203084529521</v>
      </c>
      <c r="N18" s="133">
        <f>IF(SER_hh_fech!N18=0,0,SER_hh_fech!N18/SER_summary!N$26)</f>
        <v>8.2579389783378101</v>
      </c>
      <c r="O18" s="133">
        <f>IF(SER_hh_fech!O18=0,0,SER_hh_fech!O18/SER_summary!O$26)</f>
        <v>7.9924750727516942</v>
      </c>
      <c r="P18" s="133">
        <f>IF(SER_hh_fech!P18=0,0,SER_hh_fech!P18/SER_summary!P$26)</f>
        <v>7.8266581907986925</v>
      </c>
      <c r="Q18" s="133">
        <f>IF(SER_hh_fech!Q18=0,0,SER_hh_fech!Q18/SER_summary!Q$26)</f>
        <v>7.4565844912333414</v>
      </c>
      <c r="R18" s="133">
        <f>IF(SER_hh_fech!R18=0,0,SER_hh_fech!R18/SER_summary!R$26)</f>
        <v>7.2232392343577843</v>
      </c>
      <c r="S18" s="133">
        <f>IF(SER_hh_fech!S18=0,0,SER_hh_fech!S18/SER_summary!S$26)</f>
        <v>6.9935474978193994</v>
      </c>
      <c r="T18" s="133">
        <f>IF(SER_hh_fech!T18=0,0,SER_hh_fech!T18/SER_summary!T$26)</f>
        <v>6.8845936285190827</v>
      </c>
      <c r="U18" s="133">
        <f>IF(SER_hh_fech!U18=0,0,SER_hh_fech!U18/SER_summary!U$26)</f>
        <v>6.6997166087845699</v>
      </c>
      <c r="V18" s="133">
        <f>IF(SER_hh_fech!V18=0,0,SER_hh_fech!V18/SER_summary!V$26)</f>
        <v>6.5080330807083291</v>
      </c>
      <c r="W18" s="133">
        <f>IF(SER_hh_fech!W18=0,0,SER_hh_fech!W18/SER_summary!W$26)</f>
        <v>6.3982120746231077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28.866748835986421</v>
      </c>
      <c r="C19" s="131">
        <f>IF(SER_hh_fech!C19=0,0,SER_hh_fech!C19/SER_summary!C$26)</f>
        <v>28.521225890803155</v>
      </c>
      <c r="D19" s="131">
        <f>IF(SER_hh_fech!D19=0,0,SER_hh_fech!D19/SER_summary!D$26)</f>
        <v>28.131006672166858</v>
      </c>
      <c r="E19" s="131">
        <f>IF(SER_hh_fech!E19=0,0,SER_hh_fech!E19/SER_summary!E$26)</f>
        <v>27.866258665974616</v>
      </c>
      <c r="F19" s="131">
        <f>IF(SER_hh_fech!F19=0,0,SER_hh_fech!F19/SER_summary!F$26)</f>
        <v>27.320511401995791</v>
      </c>
      <c r="G19" s="131">
        <f>IF(SER_hh_fech!G19=0,0,SER_hh_fech!G19/SER_summary!G$26)</f>
        <v>26.542995578670116</v>
      </c>
      <c r="H19" s="131">
        <f>IF(SER_hh_fech!H19=0,0,SER_hh_fech!H19/SER_summary!H$26)</f>
        <v>26.284416947557286</v>
      </c>
      <c r="I19" s="131">
        <f>IF(SER_hh_fech!I19=0,0,SER_hh_fech!I19/SER_summary!I$26)</f>
        <v>26.16602661160125</v>
      </c>
      <c r="J19" s="131">
        <f>IF(SER_hh_fech!J19=0,0,SER_hh_fech!J19/SER_summary!J$26)</f>
        <v>26.064569528931397</v>
      </c>
      <c r="K19" s="131">
        <f>IF(SER_hh_fech!K19=0,0,SER_hh_fech!K19/SER_summary!K$26)</f>
        <v>25.660929737491589</v>
      </c>
      <c r="L19" s="131">
        <f>IF(SER_hh_fech!L19=0,0,SER_hh_fech!L19/SER_summary!L$26)</f>
        <v>25.389325086770466</v>
      </c>
      <c r="M19" s="131">
        <f>IF(SER_hh_fech!M19=0,0,SER_hh_fech!M19/SER_summary!M$26)</f>
        <v>25.233092688282682</v>
      </c>
      <c r="N19" s="131">
        <f>IF(SER_hh_fech!N19=0,0,SER_hh_fech!N19/SER_summary!N$26)</f>
        <v>25.348824958985372</v>
      </c>
      <c r="O19" s="131">
        <f>IF(SER_hh_fech!O19=0,0,SER_hh_fech!O19/SER_summary!O$26)</f>
        <v>25.228812826781212</v>
      </c>
      <c r="P19" s="131">
        <f>IF(SER_hh_fech!P19=0,0,SER_hh_fech!P19/SER_summary!P$26)</f>
        <v>25.055558993297609</v>
      </c>
      <c r="Q19" s="131">
        <f>IF(SER_hh_fech!Q19=0,0,SER_hh_fech!Q19/SER_summary!Q$26)</f>
        <v>25.044452015088691</v>
      </c>
      <c r="R19" s="131">
        <f>IF(SER_hh_fech!R19=0,0,SER_hh_fech!R19/SER_summary!R$26)</f>
        <v>24.658696674082336</v>
      </c>
      <c r="S19" s="131">
        <f>IF(SER_hh_fech!S19=0,0,SER_hh_fech!S19/SER_summary!S$26)</f>
        <v>24.172324466717559</v>
      </c>
      <c r="T19" s="131">
        <f>IF(SER_hh_fech!T19=0,0,SER_hh_fech!T19/SER_summary!T$26)</f>
        <v>23.972410872307567</v>
      </c>
      <c r="U19" s="131">
        <f>IF(SER_hh_fech!U19=0,0,SER_hh_fech!U19/SER_summary!U$26)</f>
        <v>23.561315813206598</v>
      </c>
      <c r="V19" s="131">
        <f>IF(SER_hh_fech!V19=0,0,SER_hh_fech!V19/SER_summary!V$26)</f>
        <v>22.639968932368667</v>
      </c>
      <c r="W19" s="131">
        <f>IF(SER_hh_fech!W19=0,0,SER_hh_fech!W19/SER_summary!W$26)</f>
        <v>22.765883864478813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37.280541679265994</v>
      </c>
      <c r="C22" s="133">
        <f>IF(SER_hh_fech!C22=0,0,SER_hh_fech!C22/SER_summary!C$26)</f>
        <v>36.996871521168039</v>
      </c>
      <c r="D22" s="133">
        <f>IF(SER_hh_fech!D22=0,0,SER_hh_fech!D22/SER_summary!D$26)</f>
        <v>36.636722577935075</v>
      </c>
      <c r="E22" s="133">
        <f>IF(SER_hh_fech!E22=0,0,SER_hh_fech!E22/SER_summary!E$26)</f>
        <v>38.02605596730978</v>
      </c>
      <c r="F22" s="133">
        <f>IF(SER_hh_fech!F22=0,0,SER_hh_fech!F22/SER_summary!F$26)</f>
        <v>38.517860425039949</v>
      </c>
      <c r="G22" s="133">
        <f>IF(SER_hh_fech!G22=0,0,SER_hh_fech!G22/SER_summary!G$26)</f>
        <v>31.057312059503225</v>
      </c>
      <c r="H22" s="133">
        <f>IF(SER_hh_fech!H22=0,0,SER_hh_fech!H22/SER_summary!H$26)</f>
        <v>36.28421550682905</v>
      </c>
      <c r="I22" s="133">
        <f>IF(SER_hh_fech!I22=0,0,SER_hh_fech!I22/SER_summary!I$26)</f>
        <v>36.3656526058057</v>
      </c>
      <c r="J22" s="133">
        <f>IF(SER_hh_fech!J22=0,0,SER_hh_fech!J22/SER_summary!J$26)</f>
        <v>38.777529703648121</v>
      </c>
      <c r="K22" s="133">
        <f>IF(SER_hh_fech!K22=0,0,SER_hh_fech!K22/SER_summary!K$26)</f>
        <v>29.43865537297032</v>
      </c>
      <c r="L22" s="133">
        <f>IF(SER_hh_fech!L22=0,0,SER_hh_fech!L22/SER_summary!L$26)</f>
        <v>30.177412812443741</v>
      </c>
      <c r="M22" s="133">
        <f>IF(SER_hh_fech!M22=0,0,SER_hh_fech!M22/SER_summary!M$26)</f>
        <v>30.13843009827827</v>
      </c>
      <c r="N22" s="133">
        <f>IF(SER_hh_fech!N22=0,0,SER_hh_fech!N22/SER_summary!N$26)</f>
        <v>36.659107495469279</v>
      </c>
      <c r="O22" s="133">
        <f>IF(SER_hh_fech!O22=0,0,SER_hh_fech!O22/SER_summary!O$26)</f>
        <v>35.285185350628758</v>
      </c>
      <c r="P22" s="133">
        <f>IF(SER_hh_fech!P22=0,0,SER_hh_fech!P22/SER_summary!P$26)</f>
        <v>25.198212033722228</v>
      </c>
      <c r="Q22" s="133">
        <f>IF(SER_hh_fech!Q22=0,0,SER_hh_fech!Q22/SER_summary!Q$26)</f>
        <v>32.617012065290872</v>
      </c>
      <c r="R22" s="133">
        <f>IF(SER_hh_fech!R22=0,0,SER_hh_fech!R22/SER_summary!R$26)</f>
        <v>30.401068269248295</v>
      </c>
      <c r="S22" s="133">
        <f>IF(SER_hh_fech!S22=0,0,SER_hh_fech!S22/SER_summary!S$26)</f>
        <v>29.364470595183285</v>
      </c>
      <c r="T22" s="133">
        <f>IF(SER_hh_fech!T22=0,0,SER_hh_fech!T22/SER_summary!T$26)</f>
        <v>29.182920477497156</v>
      </c>
      <c r="U22" s="133">
        <f>IF(SER_hh_fech!U22=0,0,SER_hh_fech!U22/SER_summary!U$26)</f>
        <v>28.266132112900355</v>
      </c>
      <c r="V22" s="133">
        <f>IF(SER_hh_fech!V22=0,0,SER_hh_fech!V22/SER_summary!V$26)</f>
        <v>28.292505383159266</v>
      </c>
      <c r="W22" s="133">
        <f>IF(SER_hh_fech!W22=0,0,SER_hh_fech!W22/SER_summary!W$26)</f>
        <v>26.528518892023904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36.865041257734426</v>
      </c>
      <c r="C23" s="133">
        <f>IF(SER_hh_fech!C23=0,0,SER_hh_fech!C23/SER_summary!C$26)</f>
        <v>32.425107868244957</v>
      </c>
      <c r="D23" s="133">
        <f>IF(SER_hh_fech!D23=0,0,SER_hh_fech!D23/SER_summary!D$26)</f>
        <v>34.391626080351365</v>
      </c>
      <c r="E23" s="133">
        <f>IF(SER_hh_fech!E23=0,0,SER_hh_fech!E23/SER_summary!E$26)</f>
        <v>35.437282323364073</v>
      </c>
      <c r="F23" s="133">
        <f>IF(SER_hh_fech!F23=0,0,SER_hh_fech!F23/SER_summary!F$26)</f>
        <v>30.989747031722789</v>
      </c>
      <c r="G23" s="133">
        <f>IF(SER_hh_fech!G23=0,0,SER_hh_fech!G23/SER_summary!G$26)</f>
        <v>31.137208285547636</v>
      </c>
      <c r="H23" s="133">
        <f>IF(SER_hh_fech!H23=0,0,SER_hh_fech!H23/SER_summary!H$26)</f>
        <v>34.116112125485579</v>
      </c>
      <c r="I23" s="133">
        <f>IF(SER_hh_fech!I23=0,0,SER_hh_fech!I23/SER_summary!I$26)</f>
        <v>31.289890817567148</v>
      </c>
      <c r="J23" s="133">
        <f>IF(SER_hh_fech!J23=0,0,SER_hh_fech!J23/SER_summary!J$26)</f>
        <v>31.946604689093423</v>
      </c>
      <c r="K23" s="133">
        <f>IF(SER_hh_fech!K23=0,0,SER_hh_fech!K23/SER_summary!K$26)</f>
        <v>30.782084520570692</v>
      </c>
      <c r="L23" s="133">
        <f>IF(SER_hh_fech!L23=0,0,SER_hh_fech!L23/SER_summary!L$26)</f>
        <v>31.1542764643049</v>
      </c>
      <c r="M23" s="133">
        <f>IF(SER_hh_fech!M23=0,0,SER_hh_fech!M23/SER_summary!M$26)</f>
        <v>30.243656648548178</v>
      </c>
      <c r="N23" s="133">
        <f>IF(SER_hh_fech!N23=0,0,SER_hh_fech!N23/SER_summary!N$26)</f>
        <v>29.911340209186744</v>
      </c>
      <c r="O23" s="133">
        <f>IF(SER_hh_fech!O23=0,0,SER_hh_fech!O23/SER_summary!O$26)</f>
        <v>29.627727810642902</v>
      </c>
      <c r="P23" s="133">
        <f>IF(SER_hh_fech!P23=0,0,SER_hh_fech!P23/SER_summary!P$26)</f>
        <v>30.276171480921686</v>
      </c>
      <c r="Q23" s="133">
        <f>IF(SER_hh_fech!Q23=0,0,SER_hh_fech!Q23/SER_summary!Q$26)</f>
        <v>30.377147323072403</v>
      </c>
      <c r="R23" s="133">
        <f>IF(SER_hh_fech!R23=0,0,SER_hh_fech!R23/SER_summary!R$26)</f>
        <v>32.478800471752265</v>
      </c>
      <c r="S23" s="133">
        <f>IF(SER_hh_fech!S23=0,0,SER_hh_fech!S23/SER_summary!S$26)</f>
        <v>18.634291457942581</v>
      </c>
      <c r="T23" s="133">
        <f>IF(SER_hh_fech!T23=0,0,SER_hh_fech!T23/SER_summary!T$26)</f>
        <v>24.496245470643526</v>
      </c>
      <c r="U23" s="133">
        <f>IF(SER_hh_fech!U23=0,0,SER_hh_fech!U23/SER_summary!U$26)</f>
        <v>28.799511589866597</v>
      </c>
      <c r="V23" s="133">
        <f>IF(SER_hh_fech!V23=0,0,SER_hh_fech!V23/SER_summary!V$26)</f>
        <v>25.087551382981175</v>
      </c>
      <c r="W23" s="133">
        <f>IF(SER_hh_fech!W23=0,0,SER_hh_fech!W23/SER_summary!W$26)</f>
        <v>24.145704852309731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24.550975081545197</v>
      </c>
      <c r="C25" s="133">
        <f>IF(SER_hh_fech!C25=0,0,SER_hh_fech!C25/SER_summary!C$26)</f>
        <v>23.918364639970775</v>
      </c>
      <c r="D25" s="133">
        <f>IF(SER_hh_fech!D25=0,0,SER_hh_fech!D25/SER_summary!D$26)</f>
        <v>23.477236751593292</v>
      </c>
      <c r="E25" s="133">
        <f>IF(SER_hh_fech!E25=0,0,SER_hh_fech!E25/SER_summary!E$26)</f>
        <v>23.069785110416301</v>
      </c>
      <c r="F25" s="133">
        <f>IF(SER_hh_fech!F25=0,0,SER_hh_fech!F25/SER_summary!F$26)</f>
        <v>23.178706702617159</v>
      </c>
      <c r="G25" s="133">
        <f>IF(SER_hh_fech!G25=0,0,SER_hh_fech!G25/SER_summary!G$26)</f>
        <v>23.545585025241849</v>
      </c>
      <c r="H25" s="133">
        <f>IF(SER_hh_fech!H25=0,0,SER_hh_fech!H25/SER_summary!H$26)</f>
        <v>23.572635304761032</v>
      </c>
      <c r="I25" s="133">
        <f>IF(SER_hh_fech!I25=0,0,SER_hh_fech!I25/SER_summary!I$26)</f>
        <v>22.781334399449523</v>
      </c>
      <c r="J25" s="133">
        <f>IF(SER_hh_fech!J25=0,0,SER_hh_fech!J25/SER_summary!J$26)</f>
        <v>23.046007773779987</v>
      </c>
      <c r="K25" s="133">
        <f>IF(SER_hh_fech!K25=0,0,SER_hh_fech!K25/SER_summary!K$26)</f>
        <v>22.900529627278477</v>
      </c>
      <c r="L25" s="133">
        <f>IF(SER_hh_fech!L25=0,0,SER_hh_fech!L25/SER_summary!L$26)</f>
        <v>22.632414504266066</v>
      </c>
      <c r="M25" s="133">
        <f>IF(SER_hh_fech!M25=0,0,SER_hh_fech!M25/SER_summary!M$26)</f>
        <v>22.759890412314956</v>
      </c>
      <c r="N25" s="133">
        <f>IF(SER_hh_fech!N25=0,0,SER_hh_fech!N25/SER_summary!N$26)</f>
        <v>23.104796145543943</v>
      </c>
      <c r="O25" s="133">
        <f>IF(SER_hh_fech!O25=0,0,SER_hh_fech!O25/SER_summary!O$26)</f>
        <v>22.831317831104592</v>
      </c>
      <c r="P25" s="133">
        <f>IF(SER_hh_fech!P25=0,0,SER_hh_fech!P25/SER_summary!P$26)</f>
        <v>22.69414542584471</v>
      </c>
      <c r="Q25" s="133">
        <f>IF(SER_hh_fech!Q25=0,0,SER_hh_fech!Q25/SER_summary!Q$26)</f>
        <v>22.383220769194878</v>
      </c>
      <c r="R25" s="133">
        <f>IF(SER_hh_fech!R25=0,0,SER_hh_fech!R25/SER_summary!R$26)</f>
        <v>23.262979108861714</v>
      </c>
      <c r="S25" s="133">
        <f>IF(SER_hh_fech!S25=0,0,SER_hh_fech!S25/SER_summary!S$26)</f>
        <v>21.85730946687919</v>
      </c>
      <c r="T25" s="133">
        <f>IF(SER_hh_fech!T25=0,0,SER_hh_fech!T25/SER_summary!T$26)</f>
        <v>22.70467647215883</v>
      </c>
      <c r="U25" s="133">
        <f>IF(SER_hh_fech!U25=0,0,SER_hh_fech!U25/SER_summary!U$26)</f>
        <v>22.361879422775093</v>
      </c>
      <c r="V25" s="133">
        <f>IF(SER_hh_fech!V25=0,0,SER_hh_fech!V25/SER_summary!V$26)</f>
        <v>19.367177417037681</v>
      </c>
      <c r="W25" s="133">
        <f>IF(SER_hh_fech!W25=0,0,SER_hh_fech!W25/SER_summary!W$26)</f>
        <v>24.002938794765178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29.142886936235307</v>
      </c>
      <c r="C26" s="65">
        <f>IF(SER_hh_fech!C26=0,0,SER_hh_fech!C26/SER_summary!C$26)</f>
        <v>29.232859166931057</v>
      </c>
      <c r="D26" s="65">
        <f>IF(SER_hh_fech!D26=0,0,SER_hh_fech!D26/SER_summary!D$26)</f>
        <v>29.073376088281492</v>
      </c>
      <c r="E26" s="65">
        <f>IF(SER_hh_fech!E26=0,0,SER_hh_fech!E26/SER_summary!E$26)</f>
        <v>28.63560443831037</v>
      </c>
      <c r="F26" s="65">
        <f>IF(SER_hh_fech!F26=0,0,SER_hh_fech!F26/SER_summary!F$26)</f>
        <v>27.811963176655954</v>
      </c>
      <c r="G26" s="65">
        <f>IF(SER_hh_fech!G26=0,0,SER_hh_fech!G26/SER_summary!G$26)</f>
        <v>28.665652856980987</v>
      </c>
      <c r="H26" s="65">
        <f>IF(SER_hh_fech!H26=0,0,SER_hh_fech!H26/SER_summary!H$26)</f>
        <v>26.858178571151981</v>
      </c>
      <c r="I26" s="65">
        <f>IF(SER_hh_fech!I26=0,0,SER_hh_fech!I26/SER_summary!I$26)</f>
        <v>28.039306165310226</v>
      </c>
      <c r="J26" s="65">
        <f>IF(SER_hh_fech!J26=0,0,SER_hh_fech!J26/SER_summary!J$26)</f>
        <v>27.367136646486408</v>
      </c>
      <c r="K26" s="65">
        <f>IF(SER_hh_fech!K26=0,0,SER_hh_fech!K26/SER_summary!K$26)</f>
        <v>28.240326499850841</v>
      </c>
      <c r="L26" s="65">
        <f>IF(SER_hh_fech!L26=0,0,SER_hh_fech!L26/SER_summary!L$26)</f>
        <v>27.932465728134222</v>
      </c>
      <c r="M26" s="65">
        <f>IF(SER_hh_fech!M26=0,0,SER_hh_fech!M26/SER_summary!M$26)</f>
        <v>27.503571243373795</v>
      </c>
      <c r="N26" s="65">
        <f>IF(SER_hh_fech!N26=0,0,SER_hh_fech!N26/SER_summary!N$26)</f>
        <v>26.440157575595951</v>
      </c>
      <c r="O26" s="65">
        <f>IF(SER_hh_fech!O26=0,0,SER_hh_fech!O26/SER_summary!O$26)</f>
        <v>26.57865110797038</v>
      </c>
      <c r="P26" s="65">
        <f>IF(SER_hh_fech!P26=0,0,SER_hh_fech!P26/SER_summary!P$26)</f>
        <v>27.944640075989479</v>
      </c>
      <c r="Q26" s="65">
        <f>IF(SER_hh_fech!Q26=0,0,SER_hh_fech!Q26/SER_summary!Q$26)</f>
        <v>27.004824281109364</v>
      </c>
      <c r="R26" s="65">
        <f>IF(SER_hh_fech!R26=0,0,SER_hh_fech!R26/SER_summary!R$26)</f>
        <v>25.145950089107448</v>
      </c>
      <c r="S26" s="65">
        <f>IF(SER_hh_fech!S26=0,0,SER_hh_fech!S26/SER_summary!S$26)</f>
        <v>26.498847354040617</v>
      </c>
      <c r="T26" s="65">
        <f>IF(SER_hh_fech!T26=0,0,SER_hh_fech!T26/SER_summary!T$26)</f>
        <v>24.538752570329056</v>
      </c>
      <c r="U26" s="65">
        <f>IF(SER_hh_fech!U26=0,0,SER_hh_fech!U26/SER_summary!U$26)</f>
        <v>23.96533346843778</v>
      </c>
      <c r="V26" s="65">
        <f>IF(SER_hh_fech!V26=0,0,SER_hh_fech!V26/SER_summary!V$26)</f>
        <v>25.894948479252548</v>
      </c>
      <c r="W26" s="65">
        <f>IF(SER_hh_fech!W26=0,0,SER_hh_fech!W26/SER_summary!W$26)</f>
        <v>20.268637454116842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</v>
      </c>
      <c r="M27" s="146">
        <f>IF(SER_hh_fech!M27=0,0,SER_hh_fech!M27/SER_summary!M$26)</f>
        <v>0</v>
      </c>
      <c r="N27" s="146">
        <f>IF(SER_hh_fech!N27=0,0,SER_hh_fech!N27/SER_summary!N$26)</f>
        <v>0</v>
      </c>
      <c r="O27" s="146">
        <f>IF(SER_hh_fech!O27=0,0,SER_hh_fech!O27/SER_summary!O$26)</f>
        <v>0</v>
      </c>
      <c r="P27" s="146">
        <f>IF(SER_hh_fech!P27=0,0,SER_hh_fech!P27/SER_summary!P$26)</f>
        <v>0</v>
      </c>
      <c r="Q27" s="146">
        <f>IF(SER_hh_fech!Q27=0,0,SER_hh_fech!Q27/SER_summary!Q$26)</f>
        <v>0</v>
      </c>
      <c r="R27" s="146">
        <f>IF(SER_hh_fech!R27=0,0,SER_hh_fech!R27/SER_summary!R$26)</f>
        <v>0</v>
      </c>
      <c r="S27" s="146">
        <f>IF(SER_hh_fech!S27=0,0,SER_hh_fech!S27/SER_summary!S$26)</f>
        <v>0</v>
      </c>
      <c r="T27" s="146">
        <f>IF(SER_hh_fech!T27=0,0,SER_hh_fech!T27/SER_summary!T$26)</f>
        <v>0</v>
      </c>
      <c r="U27" s="146">
        <f>IF(SER_hh_fech!U27=0,0,SER_hh_fech!U27/SER_summary!U$26)</f>
        <v>0</v>
      </c>
      <c r="V27" s="146">
        <f>IF(SER_hh_fech!V27=0,0,SER_hh_fech!V27/SER_summary!V$26)</f>
        <v>0</v>
      </c>
      <c r="W27" s="146">
        <f>IF(SER_hh_fech!W27=0,0,SER_hh_fech!W27/SER_summary!W$26)</f>
        <v>0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0</v>
      </c>
      <c r="M28" s="147">
        <f>IF(SER_hh_fech!M28=0,0,SER_hh_fech!M28/SER_summary!M$26)</f>
        <v>0</v>
      </c>
      <c r="N28" s="147">
        <f>IF(SER_hh_fech!N28=0,0,SER_hh_fech!N28/SER_summary!N$26)</f>
        <v>0</v>
      </c>
      <c r="O28" s="147">
        <f>IF(SER_hh_fech!O28=0,0,SER_hh_fech!O28/SER_summary!O$26)</f>
        <v>0</v>
      </c>
      <c r="P28" s="147">
        <f>IF(SER_hh_fech!P28=0,0,SER_hh_fech!P28/SER_summary!P$26)</f>
        <v>0</v>
      </c>
      <c r="Q28" s="147">
        <f>IF(SER_hh_fech!Q28=0,0,SER_hh_fech!Q28/SER_summary!Q$26)</f>
        <v>0</v>
      </c>
      <c r="R28" s="147">
        <f>IF(SER_hh_fech!R28=0,0,SER_hh_fech!R28/SER_summary!R$26)</f>
        <v>0</v>
      </c>
      <c r="S28" s="147">
        <f>IF(SER_hh_fech!S28=0,0,SER_hh_fech!S28/SER_summary!S$26)</f>
        <v>0</v>
      </c>
      <c r="T28" s="147">
        <f>IF(SER_hh_fech!T28=0,0,SER_hh_fech!T28/SER_summary!T$26)</f>
        <v>0</v>
      </c>
      <c r="U28" s="147">
        <f>IF(SER_hh_fech!U28=0,0,SER_hh_fech!U28/SER_summary!U$26)</f>
        <v>0</v>
      </c>
      <c r="V28" s="147">
        <f>IF(SER_hh_fech!V28=0,0,SER_hh_fech!V28/SER_summary!V$26)</f>
        <v>0</v>
      </c>
      <c r="W28" s="147">
        <f>IF(SER_hh_fech!W28=0,0,SER_hh_fech!W28/SER_summary!W$26)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21.017546160126869</v>
      </c>
      <c r="C29" s="131">
        <f>IF(SER_hh_fech!C29=0,0,SER_hh_fech!C29/SER_summary!C$26)</f>
        <v>21.721661302929267</v>
      </c>
      <c r="D29" s="131">
        <f>IF(SER_hh_fech!D29=0,0,SER_hh_fech!D29/SER_summary!D$26)</f>
        <v>21.417929042538521</v>
      </c>
      <c r="E29" s="131">
        <f>IF(SER_hh_fech!E29=0,0,SER_hh_fech!E29/SER_summary!E$26)</f>
        <v>21.167604899231979</v>
      </c>
      <c r="F29" s="131">
        <f>IF(SER_hh_fech!F29=0,0,SER_hh_fech!F29/SER_summary!F$26)</f>
        <v>21.209689253727831</v>
      </c>
      <c r="G29" s="131">
        <f>IF(SER_hh_fech!G29=0,0,SER_hh_fech!G29/SER_summary!G$26)</f>
        <v>21.187119094914554</v>
      </c>
      <c r="H29" s="131">
        <f>IF(SER_hh_fech!H29=0,0,SER_hh_fech!H29/SER_summary!H$26)</f>
        <v>22.030080445598852</v>
      </c>
      <c r="I29" s="131">
        <f>IF(SER_hh_fech!I29=0,0,SER_hh_fech!I29/SER_summary!I$26)</f>
        <v>22.865197832874387</v>
      </c>
      <c r="J29" s="131">
        <f>IF(SER_hh_fech!J29=0,0,SER_hh_fech!J29/SER_summary!J$26)</f>
        <v>22.797205468907503</v>
      </c>
      <c r="K29" s="131">
        <f>IF(SER_hh_fech!K29=0,0,SER_hh_fech!K29/SER_summary!K$26)</f>
        <v>22.360288885254466</v>
      </c>
      <c r="L29" s="131">
        <f>IF(SER_hh_fech!L29=0,0,SER_hh_fech!L29/SER_summary!L$26)</f>
        <v>23.039446481198262</v>
      </c>
      <c r="M29" s="131">
        <f>IF(SER_hh_fech!M29=0,0,SER_hh_fech!M29/SER_summary!M$26)</f>
        <v>23.034847089809151</v>
      </c>
      <c r="N29" s="131">
        <f>IF(SER_hh_fech!N29=0,0,SER_hh_fech!N29/SER_summary!N$26)</f>
        <v>21.968380042713875</v>
      </c>
      <c r="O29" s="131">
        <f>IF(SER_hh_fech!O29=0,0,SER_hh_fech!O29/SER_summary!O$26)</f>
        <v>21.927497789624297</v>
      </c>
      <c r="P29" s="131">
        <f>IF(SER_hh_fech!P29=0,0,SER_hh_fech!P29/SER_summary!P$26)</f>
        <v>21.959921411940151</v>
      </c>
      <c r="Q29" s="131">
        <f>IF(SER_hh_fech!Q29=0,0,SER_hh_fech!Q29/SER_summary!Q$26)</f>
        <v>21.466919428035435</v>
      </c>
      <c r="R29" s="131">
        <f>IF(SER_hh_fech!R29=0,0,SER_hh_fech!R29/SER_summary!R$26)</f>
        <v>21.611290802787632</v>
      </c>
      <c r="S29" s="131">
        <f>IF(SER_hh_fech!S29=0,0,SER_hh_fech!S29/SER_summary!S$26)</f>
        <v>21.521438642399037</v>
      </c>
      <c r="T29" s="131">
        <f>IF(SER_hh_fech!T29=0,0,SER_hh_fech!T29/SER_summary!T$26)</f>
        <v>21.433588587780697</v>
      </c>
      <c r="U29" s="131">
        <f>IF(SER_hh_fech!U29=0,0,SER_hh_fech!U29/SER_summary!U$26)</f>
        <v>21.543634524645444</v>
      </c>
      <c r="V29" s="131">
        <f>IF(SER_hh_fech!V29=0,0,SER_hh_fech!V29/SER_summary!V$26)</f>
        <v>20.385956450059812</v>
      </c>
      <c r="W29" s="131">
        <f>IF(SER_hh_fech!W29=0,0,SER_hh_fech!W29/SER_summary!W$26)</f>
        <v>20.424286616308716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23.765942821794248</v>
      </c>
      <c r="C30" s="133">
        <f>IF(SER_hh_fech!C30=0,0,SER_hh_fech!C30/SER_summary!C$26)</f>
        <v>32.770640745751749</v>
      </c>
      <c r="D30" s="133">
        <f>IF(SER_hh_fech!D30=0,0,SER_hh_fech!D30/SER_summary!D$26)</f>
        <v>27.946203705609978</v>
      </c>
      <c r="E30" s="133">
        <f>IF(SER_hh_fech!E30=0,0,SER_hh_fech!E30/SER_summary!E$26)</f>
        <v>24.93118285400665</v>
      </c>
      <c r="F30" s="133">
        <f>IF(SER_hh_fech!F30=0,0,SER_hh_fech!F30/SER_summary!F$26)</f>
        <v>22.862258882703241</v>
      </c>
      <c r="G30" s="133">
        <f>IF(SER_hh_fech!G30=0,0,SER_hh_fech!G30/SER_summary!G$26)</f>
        <v>19.407808944994372</v>
      </c>
      <c r="H30" s="133">
        <f>IF(SER_hh_fech!H30=0,0,SER_hh_fech!H30/SER_summary!H$26)</f>
        <v>27.661191118888173</v>
      </c>
      <c r="I30" s="133">
        <f>IF(SER_hh_fech!I30=0,0,SER_hh_fech!I30/SER_summary!I$26)</f>
        <v>34.101645889165844</v>
      </c>
      <c r="J30" s="133">
        <f>IF(SER_hh_fech!J30=0,0,SER_hh_fech!J30/SER_summary!J$26)</f>
        <v>30.084334944381361</v>
      </c>
      <c r="K30" s="133">
        <f>IF(SER_hh_fech!K30=0,0,SER_hh_fech!K30/SER_summary!K$26)</f>
        <v>21.047243848355805</v>
      </c>
      <c r="L30" s="133">
        <f>IF(SER_hh_fech!L30=0,0,SER_hh_fech!L30/SER_summary!L$26)</f>
        <v>33.892948934764391</v>
      </c>
      <c r="M30" s="133">
        <f>IF(SER_hh_fech!M30=0,0,SER_hh_fech!M30/SER_summary!M$26)</f>
        <v>36.94338778220191</v>
      </c>
      <c r="N30" s="133">
        <f>IF(SER_hh_fech!N30=0,0,SER_hh_fech!N30/SER_summary!N$26)</f>
        <v>15.162661600666729</v>
      </c>
      <c r="O30" s="133">
        <f>IF(SER_hh_fech!O30=0,0,SER_hh_fech!O30/SER_summary!O$26)</f>
        <v>23.939873340675131</v>
      </c>
      <c r="P30" s="133">
        <f>IF(SER_hh_fech!P30=0,0,SER_hh_fech!P30/SER_summary!P$26)</f>
        <v>35.342120828650245</v>
      </c>
      <c r="Q30" s="133">
        <f>IF(SER_hh_fech!Q30=0,0,SER_hh_fech!Q30/SER_summary!Q$26)</f>
        <v>20.962857742851821</v>
      </c>
      <c r="R30" s="133">
        <f>IF(SER_hh_fech!R30=0,0,SER_hh_fech!R30/SER_summary!R$26)</f>
        <v>26.407684157249012</v>
      </c>
      <c r="S30" s="133">
        <f>IF(SER_hh_fech!S30=0,0,SER_hh_fech!S30/SER_summary!S$26)</f>
        <v>28.806845504441036</v>
      </c>
      <c r="T30" s="133">
        <f>IF(SER_hh_fech!T30=0,0,SER_hh_fech!T30/SER_summary!T$26)</f>
        <v>28.111666930734359</v>
      </c>
      <c r="U30" s="133">
        <f>IF(SER_hh_fech!U30=0,0,SER_hh_fech!U30/SER_summary!U$26)</f>
        <v>28.1869005574999</v>
      </c>
      <c r="V30" s="133">
        <f>IF(SER_hh_fech!V30=0,0,SER_hh_fech!V30/SER_summary!V$26)</f>
        <v>27.721631692876208</v>
      </c>
      <c r="W30" s="133">
        <f>IF(SER_hh_fech!W30=0,0,SER_hh_fech!W30/SER_summary!W$26)</f>
        <v>27.48774636982947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28.066844969208802</v>
      </c>
      <c r="C31" s="133">
        <f>IF(SER_hh_fech!C31=0,0,SER_hh_fech!C31/SER_summary!C$26)</f>
        <v>25.506538313372275</v>
      </c>
      <c r="D31" s="133">
        <f>IF(SER_hh_fech!D31=0,0,SER_hh_fech!D31/SER_summary!D$26)</f>
        <v>26.491502083298602</v>
      </c>
      <c r="E31" s="133">
        <f>IF(SER_hh_fech!E31=0,0,SER_hh_fech!E31/SER_summary!E$26)</f>
        <v>27.55494790693475</v>
      </c>
      <c r="F31" s="133">
        <f>IF(SER_hh_fech!F31=0,0,SER_hh_fech!F31/SER_summary!F$26)</f>
        <v>26.933078669684093</v>
      </c>
      <c r="G31" s="133">
        <f>IF(SER_hh_fech!G31=0,0,SER_hh_fech!G31/SER_summary!G$26)</f>
        <v>27.005500279846959</v>
      </c>
      <c r="H31" s="133">
        <f>IF(SER_hh_fech!H31=0,0,SER_hh_fech!H31/SER_summary!H$26)</f>
        <v>27.356218919111637</v>
      </c>
      <c r="I31" s="133">
        <f>IF(SER_hh_fech!I31=0,0,SER_hh_fech!I31/SER_summary!I$26)</f>
        <v>27.781687439992119</v>
      </c>
      <c r="J31" s="133">
        <f>IF(SER_hh_fech!J31=0,0,SER_hh_fech!J31/SER_summary!J$26)</f>
        <v>28.974678452888689</v>
      </c>
      <c r="K31" s="133">
        <f>IF(SER_hh_fech!K31=0,0,SER_hh_fech!K31/SER_summary!K$26)</f>
        <v>28.274540584125184</v>
      </c>
      <c r="L31" s="133">
        <f>IF(SER_hh_fech!L31=0,0,SER_hh_fech!L31/SER_summary!L$26)</f>
        <v>26.770086487183725</v>
      </c>
      <c r="M31" s="133">
        <f>IF(SER_hh_fech!M31=0,0,SER_hh_fech!M31/SER_summary!M$26)</f>
        <v>27.886743012830205</v>
      </c>
      <c r="N31" s="133">
        <f>IF(SER_hh_fech!N31=0,0,SER_hh_fech!N31/SER_summary!N$26)</f>
        <v>27.987886009456737</v>
      </c>
      <c r="O31" s="133">
        <f>IF(SER_hh_fech!O31=0,0,SER_hh_fech!O31/SER_summary!O$26)</f>
        <v>28.077955951867537</v>
      </c>
      <c r="P31" s="133">
        <f>IF(SER_hh_fech!P31=0,0,SER_hh_fech!P31/SER_summary!P$26)</f>
        <v>29.070320660412261</v>
      </c>
      <c r="Q31" s="133">
        <f>IF(SER_hh_fech!Q31=0,0,SER_hh_fech!Q31/SER_summary!Q$26)</f>
        <v>28.871726883892787</v>
      </c>
      <c r="R31" s="133">
        <f>IF(SER_hh_fech!R31=0,0,SER_hh_fech!R31/SER_summary!R$26)</f>
        <v>31.983108252812109</v>
      </c>
      <c r="S31" s="133">
        <f>IF(SER_hh_fech!S31=0,0,SER_hh_fech!S31/SER_summary!S$26)</f>
        <v>18.873594741287611</v>
      </c>
      <c r="T31" s="133">
        <f>IF(SER_hh_fech!T31=0,0,SER_hh_fech!T31/SER_summary!T$26)</f>
        <v>26.262810914989416</v>
      </c>
      <c r="U31" s="133">
        <f>IF(SER_hh_fech!U31=0,0,SER_hh_fech!U31/SER_summary!U$26)</f>
        <v>32.580156048465312</v>
      </c>
      <c r="V31" s="133">
        <f>IF(SER_hh_fech!V31=0,0,SER_hh_fech!V31/SER_summary!V$26)</f>
        <v>26.506712541804923</v>
      </c>
      <c r="W31" s="133">
        <f>IF(SER_hh_fech!W31=0,0,SER_hh_fech!W31/SER_summary!W$26)</f>
        <v>28.402123430838373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20.33264873400671</v>
      </c>
      <c r="C33" s="68">
        <f>IF(SER_hh_fech!C33=0,0,SER_hh_fech!C33/SER_summary!C$26)</f>
        <v>19.814287112954911</v>
      </c>
      <c r="D33" s="68">
        <f>IF(SER_hh_fech!D33=0,0,SER_hh_fech!D33/SER_summary!D$26)</f>
        <v>20.246979135031058</v>
      </c>
      <c r="E33" s="68">
        <f>IF(SER_hh_fech!E33=0,0,SER_hh_fech!E33/SER_summary!E$26)</f>
        <v>20.453312921123366</v>
      </c>
      <c r="F33" s="68">
        <f>IF(SER_hh_fech!F33=0,0,SER_hh_fech!F33/SER_summary!F$26)</f>
        <v>20.804539375858766</v>
      </c>
      <c r="G33" s="68">
        <f>IF(SER_hh_fech!G33=0,0,SER_hh_fech!G33/SER_summary!G$26)</f>
        <v>21.237140138634739</v>
      </c>
      <c r="H33" s="68">
        <f>IF(SER_hh_fech!H33=0,0,SER_hh_fech!H33/SER_summary!H$26)</f>
        <v>20.637840027524273</v>
      </c>
      <c r="I33" s="68">
        <f>IF(SER_hh_fech!I33=0,0,SER_hh_fech!I33/SER_summary!I$26)</f>
        <v>19.689043944013665</v>
      </c>
      <c r="J33" s="68">
        <f>IF(SER_hh_fech!J33=0,0,SER_hh_fech!J33/SER_summary!J$26)</f>
        <v>20.562904893947984</v>
      </c>
      <c r="K33" s="68">
        <f>IF(SER_hh_fech!K33=0,0,SER_hh_fech!K33/SER_summary!K$26)</f>
        <v>22.502120117708788</v>
      </c>
      <c r="L33" s="68">
        <f>IF(SER_hh_fech!L33=0,0,SER_hh_fech!L33/SER_summary!L$26)</f>
        <v>20.336511946366016</v>
      </c>
      <c r="M33" s="68">
        <f>IF(SER_hh_fech!M33=0,0,SER_hh_fech!M33/SER_summary!M$26)</f>
        <v>20.229248040922748</v>
      </c>
      <c r="N33" s="68">
        <f>IF(SER_hh_fech!N33=0,0,SER_hh_fech!N33/SER_summary!N$26)</f>
        <v>22.643873790015846</v>
      </c>
      <c r="O33" s="68">
        <f>IF(SER_hh_fech!O33=0,0,SER_hh_fech!O33/SER_summary!O$26)</f>
        <v>21.650832414584649</v>
      </c>
      <c r="P33" s="68">
        <f>IF(SER_hh_fech!P33=0,0,SER_hh_fech!P33/SER_summary!P$26)</f>
        <v>21.088758208075699</v>
      </c>
      <c r="Q33" s="68">
        <f>IF(SER_hh_fech!Q33=0,0,SER_hh_fech!Q33/SER_summary!Q$26)</f>
        <v>21.360099765726691</v>
      </c>
      <c r="R33" s="68">
        <f>IF(SER_hh_fech!R33=0,0,SER_hh_fech!R33/SER_summary!R$26)</f>
        <v>21.286633167422934</v>
      </c>
      <c r="S33" s="68">
        <f>IF(SER_hh_fech!S33=0,0,SER_hh_fech!S33/SER_summary!S$26)</f>
        <v>21.345595179470322</v>
      </c>
      <c r="T33" s="68">
        <f>IF(SER_hh_fech!T33=0,0,SER_hh_fech!T33/SER_summary!T$26)</f>
        <v>21.171474739246111</v>
      </c>
      <c r="U33" s="68">
        <f>IF(SER_hh_fech!U33=0,0,SER_hh_fech!U33/SER_summary!U$26)</f>
        <v>21.173409240739446</v>
      </c>
      <c r="V33" s="68">
        <f>IF(SER_hh_fech!V33=0,0,SER_hh_fech!V33/SER_summary!V$26)</f>
        <v>20.065150638769833</v>
      </c>
      <c r="W33" s="68">
        <f>IF(SER_hh_fech!W33=0,0,SER_hh_fech!W33/SER_summary!W$26)</f>
        <v>20.076880344123545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185.75205326597236</v>
      </c>
      <c r="C3" s="126">
        <f>IF(SER_hh_tesh!C3=0,0,SER_hh_tesh!C3/SER_summary!C$26)</f>
        <v>202.93878104523151</v>
      </c>
      <c r="D3" s="126">
        <f>IF(SER_hh_tesh!D3=0,0,SER_hh_tesh!D3/SER_summary!D$26)</f>
        <v>200.03472348753405</v>
      </c>
      <c r="E3" s="126">
        <f>IF(SER_hh_tesh!E3=0,0,SER_hh_tesh!E3/SER_summary!E$26)</f>
        <v>197.51026538379196</v>
      </c>
      <c r="F3" s="126">
        <f>IF(SER_hh_tesh!F3=0,0,SER_hh_tesh!F3/SER_summary!F$26)</f>
        <v>186.66905777994211</v>
      </c>
      <c r="G3" s="126">
        <f>IF(SER_hh_tesh!G3=0,0,SER_hh_tesh!G3/SER_summary!G$26)</f>
        <v>168.06657765222153</v>
      </c>
      <c r="H3" s="126">
        <f>IF(SER_hh_tesh!H3=0,0,SER_hh_tesh!H3/SER_summary!H$26)</f>
        <v>169.07996817751251</v>
      </c>
      <c r="I3" s="126">
        <f>IF(SER_hh_tesh!I3=0,0,SER_hh_tesh!I3/SER_summary!I$26)</f>
        <v>170.77677340438623</v>
      </c>
      <c r="J3" s="126">
        <f>IF(SER_hh_tesh!J3=0,0,SER_hh_tesh!J3/SER_summary!J$26)</f>
        <v>168.26496525888066</v>
      </c>
      <c r="K3" s="126">
        <f>IF(SER_hh_tesh!K3=0,0,SER_hh_tesh!K3/SER_summary!K$26)</f>
        <v>161.72647133239272</v>
      </c>
      <c r="L3" s="126">
        <f>IF(SER_hh_tesh!L3=0,0,SER_hh_tesh!L3/SER_summary!L$26)</f>
        <v>175.60187438373339</v>
      </c>
      <c r="M3" s="126">
        <f>IF(SER_hh_tesh!M3=0,0,SER_hh_tesh!M3/SER_summary!M$26)</f>
        <v>152.69927843276164</v>
      </c>
      <c r="N3" s="126">
        <f>IF(SER_hh_tesh!N3=0,0,SER_hh_tesh!N3/SER_summary!N$26)</f>
        <v>163.32245868738741</v>
      </c>
      <c r="O3" s="126">
        <f>IF(SER_hh_tesh!O3=0,0,SER_hh_tesh!O3/SER_summary!O$26)</f>
        <v>158.3917370533685</v>
      </c>
      <c r="P3" s="126">
        <f>IF(SER_hh_tesh!P3=0,0,SER_hh_tesh!P3/SER_summary!P$26)</f>
        <v>156.18874451338075</v>
      </c>
      <c r="Q3" s="126">
        <f>IF(SER_hh_tesh!Q3=0,0,SER_hh_tesh!Q3/SER_summary!Q$26)</f>
        <v>156.54265115321996</v>
      </c>
      <c r="R3" s="126">
        <f>IF(SER_hh_tesh!R3=0,0,SER_hh_tesh!R3/SER_summary!R$26)</f>
        <v>165.78786428173021</v>
      </c>
      <c r="S3" s="126">
        <f>IF(SER_hh_tesh!S3=0,0,SER_hh_tesh!S3/SER_summary!S$26)</f>
        <v>153.86328387253386</v>
      </c>
      <c r="T3" s="126">
        <f>IF(SER_hh_tesh!T3=0,0,SER_hh_tesh!T3/SER_summary!T$26)</f>
        <v>159.57449828820495</v>
      </c>
      <c r="U3" s="126">
        <f>IF(SER_hh_tesh!U3=0,0,SER_hh_tesh!U3/SER_summary!U$26)</f>
        <v>154.40312399596127</v>
      </c>
      <c r="V3" s="126">
        <f>IF(SER_hh_tesh!V3=0,0,SER_hh_tesh!V3/SER_summary!V$26)</f>
        <v>147.13968609803413</v>
      </c>
      <c r="W3" s="126">
        <f>IF(SER_hh_tesh!W3=0,0,SER_hh_tesh!W3/SER_summary!W$26)</f>
        <v>160.19456733009255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144.01800208479128</v>
      </c>
      <c r="C4" s="131">
        <f>IF(SER_hh_tesh!C4=0,0,SER_hh_tesh!C4/SER_summary!C$26)</f>
        <v>160.88931029323405</v>
      </c>
      <c r="D4" s="131">
        <f>IF(SER_hh_tesh!D4=0,0,SER_hh_tesh!D4/SER_summary!D$26)</f>
        <v>158.07749293269882</v>
      </c>
      <c r="E4" s="131">
        <f>IF(SER_hh_tesh!E4=0,0,SER_hh_tesh!E4/SER_summary!E$26)</f>
        <v>155.57811512761404</v>
      </c>
      <c r="F4" s="131">
        <f>IF(SER_hh_tesh!F4=0,0,SER_hh_tesh!F4/SER_summary!F$26)</f>
        <v>144.55597048228603</v>
      </c>
      <c r="G4" s="131">
        <f>IF(SER_hh_tesh!G4=0,0,SER_hh_tesh!G4/SER_summary!G$26)</f>
        <v>125.89238890288895</v>
      </c>
      <c r="H4" s="131">
        <f>IF(SER_hh_tesh!H4=0,0,SER_hh_tesh!H4/SER_summary!H$26)</f>
        <v>126.56724410818401</v>
      </c>
      <c r="I4" s="131">
        <f>IF(SER_hh_tesh!I4=0,0,SER_hh_tesh!I4/SER_summary!I$26)</f>
        <v>127.75020500134268</v>
      </c>
      <c r="J4" s="131">
        <f>IF(SER_hh_tesh!J4=0,0,SER_hh_tesh!J4/SER_summary!J$26)</f>
        <v>124.8053889255082</v>
      </c>
      <c r="K4" s="131">
        <f>IF(SER_hh_tesh!K4=0,0,SER_hh_tesh!K4/SER_summary!K$26)</f>
        <v>117.98210293987279</v>
      </c>
      <c r="L4" s="131">
        <f>IF(SER_hh_tesh!L4=0,0,SER_hh_tesh!L4/SER_summary!L$26)</f>
        <v>131.49584345441036</v>
      </c>
      <c r="M4" s="131">
        <f>IF(SER_hh_tesh!M4=0,0,SER_hh_tesh!M4/SER_summary!M$26)</f>
        <v>108.47921161525301</v>
      </c>
      <c r="N4" s="131">
        <f>IF(SER_hh_tesh!N4=0,0,SER_hh_tesh!N4/SER_summary!N$26)</f>
        <v>118.78925141730925</v>
      </c>
      <c r="O4" s="131">
        <f>IF(SER_hh_tesh!O4=0,0,SER_hh_tesh!O4/SER_summary!O$26)</f>
        <v>113.69534674244817</v>
      </c>
      <c r="P4" s="131">
        <f>IF(SER_hh_tesh!P4=0,0,SER_hh_tesh!P4/SER_summary!P$26)</f>
        <v>111.28248982444438</v>
      </c>
      <c r="Q4" s="131">
        <f>IF(SER_hh_tesh!Q4=0,0,SER_hh_tesh!Q4/SER_summary!Q$26)</f>
        <v>111.82293353873489</v>
      </c>
      <c r="R4" s="131">
        <f>IF(SER_hh_tesh!R4=0,0,SER_hh_tesh!R4/SER_summary!R$26)</f>
        <v>120.78412483489218</v>
      </c>
      <c r="S4" s="131">
        <f>IF(SER_hh_tesh!S4=0,0,SER_hh_tesh!S4/SER_summary!S$26)</f>
        <v>108.85430976933765</v>
      </c>
      <c r="T4" s="131">
        <f>IF(SER_hh_tesh!T4=0,0,SER_hh_tesh!T4/SER_summary!T$26)</f>
        <v>114.32245696298915</v>
      </c>
      <c r="U4" s="131">
        <f>IF(SER_hh_tesh!U4=0,0,SER_hh_tesh!U4/SER_summary!U$26)</f>
        <v>109.06105745116142</v>
      </c>
      <c r="V4" s="131">
        <f>IF(SER_hh_tesh!V4=0,0,SER_hh_tesh!V4/SER_summary!V$26)</f>
        <v>103.34013385676785</v>
      </c>
      <c r="W4" s="131">
        <f>IF(SER_hh_tesh!W4=0,0,SER_hh_tesh!W4/SER_summary!W$26)</f>
        <v>115.44571952016187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145.67053920574077</v>
      </c>
      <c r="C7" s="133">
        <f>IF(SER_hh_tesh!C7=0,0,SER_hh_tesh!C7/SER_summary!C$26)</f>
        <v>153.90596446900435</v>
      </c>
      <c r="D7" s="133">
        <f>IF(SER_hh_tesh!D7=0,0,SER_hh_tesh!D7/SER_summary!D$26)</f>
        <v>154.05297758597598</v>
      </c>
      <c r="E7" s="133">
        <f>IF(SER_hh_tesh!E7=0,0,SER_hh_tesh!E7/SER_summary!E$26)</f>
        <v>172.34672854005373</v>
      </c>
      <c r="F7" s="133">
        <f>IF(SER_hh_tesh!F7=0,0,SER_hh_tesh!F7/SER_summary!F$26)</f>
        <v>151.70011522889277</v>
      </c>
      <c r="G7" s="133">
        <f>IF(SER_hh_tesh!G7=0,0,SER_hh_tesh!G7/SER_summary!G$26)</f>
        <v>100.58648717351537</v>
      </c>
      <c r="H7" s="133">
        <f>IF(SER_hh_tesh!H7=0,0,SER_hh_tesh!H7/SER_summary!H$26)</f>
        <v>111.84514959415785</v>
      </c>
      <c r="I7" s="133">
        <f>IF(SER_hh_tesh!I7=0,0,SER_hh_tesh!I7/SER_summary!I$26)</f>
        <v>125.7141058562659</v>
      </c>
      <c r="J7" s="133">
        <f>IF(SER_hh_tesh!J7=0,0,SER_hh_tesh!J7/SER_summary!J$26)</f>
        <v>113.14767457472914</v>
      </c>
      <c r="K7" s="133">
        <f>IF(SER_hh_tesh!K7=0,0,SER_hh_tesh!K7/SER_summary!K$26)</f>
        <v>116.50323165988746</v>
      </c>
      <c r="L7" s="133">
        <f>IF(SER_hh_tesh!L7=0,0,SER_hh_tesh!L7/SER_summary!L$26)</f>
        <v>123.55688019614668</v>
      </c>
      <c r="M7" s="133">
        <f>IF(SER_hh_tesh!M7=0,0,SER_hh_tesh!M7/SER_summary!M$26)</f>
        <v>114.74168798793303</v>
      </c>
      <c r="N7" s="133">
        <f>IF(SER_hh_tesh!N7=0,0,SER_hh_tesh!N7/SER_summary!N$26)</f>
        <v>117.03242524659919</v>
      </c>
      <c r="O7" s="133">
        <f>IF(SER_hh_tesh!O7=0,0,SER_hh_tesh!O7/SER_summary!O$26)</f>
        <v>109.92441229187672</v>
      </c>
      <c r="P7" s="133">
        <f>IF(SER_hh_tesh!P7=0,0,SER_hh_tesh!P7/SER_summary!P$26)</f>
        <v>112.33609567144543</v>
      </c>
      <c r="Q7" s="133">
        <f>IF(SER_hh_tesh!Q7=0,0,SER_hh_tesh!Q7/SER_summary!Q$26)</f>
        <v>109.9662339317068</v>
      </c>
      <c r="R7" s="133">
        <f>IF(SER_hh_tesh!R7=0,0,SER_hh_tesh!R7/SER_summary!R$26)</f>
        <v>110.04356261376336</v>
      </c>
      <c r="S7" s="133">
        <f>IF(SER_hh_tesh!S7=0,0,SER_hh_tesh!S7/SER_summary!S$26)</f>
        <v>111.55400348135237</v>
      </c>
      <c r="T7" s="133">
        <f>IF(SER_hh_tesh!T7=0,0,SER_hh_tesh!T7/SER_summary!T$26)</f>
        <v>112.27037676173538</v>
      </c>
      <c r="U7" s="133">
        <f>IF(SER_hh_tesh!U7=0,0,SER_hh_tesh!U7/SER_summary!U$26)</f>
        <v>108.10335216207515</v>
      </c>
      <c r="V7" s="133">
        <f>IF(SER_hh_tesh!V7=0,0,SER_hh_tesh!V7/SER_summary!V$26)</f>
        <v>108.66657068701889</v>
      </c>
      <c r="W7" s="133">
        <f>IF(SER_hh_tesh!W7=0,0,SER_hh_tesh!W7/SER_summary!W$26)</f>
        <v>105.20161743273272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147.11594330310976</v>
      </c>
      <c r="C9" s="133">
        <f>IF(SER_hh_tesh!C9=0,0,SER_hh_tesh!C9/SER_summary!C$26)</f>
        <v>111.66631483735918</v>
      </c>
      <c r="D9" s="133">
        <f>IF(SER_hh_tesh!D9=0,0,SER_hh_tesh!D9/SER_summary!D$26)</f>
        <v>157.33429836072355</v>
      </c>
      <c r="E9" s="133">
        <f>IF(SER_hh_tesh!E9=0,0,SER_hh_tesh!E9/SER_summary!E$26)</f>
        <v>166.72659168523757</v>
      </c>
      <c r="F9" s="133">
        <f>IF(SER_hh_tesh!F9=0,0,SER_hh_tesh!F9/SER_summary!F$26)</f>
        <v>139.94907004722543</v>
      </c>
      <c r="G9" s="133">
        <f>IF(SER_hh_tesh!G9=0,0,SER_hh_tesh!G9/SER_summary!G$26)</f>
        <v>131.39642355546857</v>
      </c>
      <c r="H9" s="133">
        <f>IF(SER_hh_tesh!H9=0,0,SER_hh_tesh!H9/SER_summary!H$26)</f>
        <v>125.41727104080776</v>
      </c>
      <c r="I9" s="133">
        <f>IF(SER_hh_tesh!I9=0,0,SER_hh_tesh!I9/SER_summary!I$26)</f>
        <v>130.27130940964113</v>
      </c>
      <c r="J9" s="133">
        <f>IF(SER_hh_tesh!J9=0,0,SER_hh_tesh!J9/SER_summary!J$26)</f>
        <v>138.68789471416045</v>
      </c>
      <c r="K9" s="133">
        <f>IF(SER_hh_tesh!K9=0,0,SER_hh_tesh!K9/SER_summary!K$26)</f>
        <v>65.139797623082998</v>
      </c>
      <c r="L9" s="133">
        <f>IF(SER_hh_tesh!L9=0,0,SER_hh_tesh!L9/SER_summary!L$26)</f>
        <v>137.44808518145879</v>
      </c>
      <c r="M9" s="133">
        <f>IF(SER_hh_tesh!M9=0,0,SER_hh_tesh!M9/SER_summary!M$26)</f>
        <v>107.18218384870626</v>
      </c>
      <c r="N9" s="133">
        <f>IF(SER_hh_tesh!N9=0,0,SER_hh_tesh!N9/SER_summary!N$26)</f>
        <v>129.54217727565987</v>
      </c>
      <c r="O9" s="133">
        <f>IF(SER_hh_tesh!O9=0,0,SER_hh_tesh!O9/SER_summary!O$26)</f>
        <v>112.54204850156862</v>
      </c>
      <c r="P9" s="133">
        <f>IF(SER_hh_tesh!P9=0,0,SER_hh_tesh!P9/SER_summary!P$26)</f>
        <v>109.51011319773239</v>
      </c>
      <c r="Q9" s="133">
        <f>IF(SER_hh_tesh!Q9=0,0,SER_hh_tesh!Q9/SER_summary!Q$26)</f>
        <v>113.49539992147041</v>
      </c>
      <c r="R9" s="133">
        <f>IF(SER_hh_tesh!R9=0,0,SER_hh_tesh!R9/SER_summary!R$26)</f>
        <v>125.64111730120747</v>
      </c>
      <c r="S9" s="133">
        <f>IF(SER_hh_tesh!S9=0,0,SER_hh_tesh!S9/SER_summary!S$26)</f>
        <v>71.456574355388</v>
      </c>
      <c r="T9" s="133">
        <f>IF(SER_hh_tesh!T9=0,0,SER_hh_tesh!T9/SER_summary!T$26)</f>
        <v>105.33072589120918</v>
      </c>
      <c r="U9" s="133">
        <f>IF(SER_hh_tesh!U9=0,0,SER_hh_tesh!U9/SER_summary!U$26)</f>
        <v>125.21982940210819</v>
      </c>
      <c r="V9" s="133">
        <f>IF(SER_hh_tesh!V9=0,0,SER_hh_tesh!V9/SER_summary!V$26)</f>
        <v>113.08579252276461</v>
      </c>
      <c r="W9" s="133">
        <f>IF(SER_hh_tesh!W9=0,0,SER_hh_tesh!W9/SER_summary!W$26)</f>
        <v>108.61744610530199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94.900776557622208</v>
      </c>
      <c r="C10" s="133">
        <f>IF(SER_hh_tesh!C10=0,0,SER_hh_tesh!C10/SER_summary!C$26)</f>
        <v>200.3040442481699</v>
      </c>
      <c r="D10" s="133">
        <f>IF(SER_hh_tesh!D10=0,0,SER_hh_tesh!D10/SER_summary!D$26)</f>
        <v>136.50398214309052</v>
      </c>
      <c r="E10" s="133">
        <f>IF(SER_hh_tesh!E10=0,0,SER_hh_tesh!E10/SER_summary!E$26)</f>
        <v>98.660304187743321</v>
      </c>
      <c r="F10" s="133">
        <f>IF(SER_hh_tesh!F10=0,0,SER_hh_tesh!F10/SER_summary!F$26)</f>
        <v>165.23110654763659</v>
      </c>
      <c r="G10" s="133">
        <f>IF(SER_hh_tesh!G10=0,0,SER_hh_tesh!G10/SER_summary!G$26)</f>
        <v>161.35812302431515</v>
      </c>
      <c r="H10" s="133">
        <f>IF(SER_hh_tesh!H10=0,0,SER_hh_tesh!H10/SER_summary!H$26)</f>
        <v>113.52400562044075</v>
      </c>
      <c r="I10" s="133">
        <f>IF(SER_hh_tesh!I10=0,0,SER_hh_tesh!I10/SER_summary!I$26)</f>
        <v>120.2021159875688</v>
      </c>
      <c r="J10" s="133">
        <f>IF(SER_hh_tesh!J10=0,0,SER_hh_tesh!J10/SER_summary!J$26)</f>
        <v>124.85776285211961</v>
      </c>
      <c r="K10" s="133">
        <f>IF(SER_hh_tesh!K10=0,0,SER_hh_tesh!K10/SER_summary!K$26)</f>
        <v>122.2786741137094</v>
      </c>
      <c r="L10" s="133">
        <f>IF(SER_hh_tesh!L10=0,0,SER_hh_tesh!L10/SER_summary!L$26)</f>
        <v>121.33939124629008</v>
      </c>
      <c r="M10" s="133">
        <f>IF(SER_hh_tesh!M10=0,0,SER_hh_tesh!M10/SER_summary!M$26)</f>
        <v>109.00261566135994</v>
      </c>
      <c r="N10" s="133">
        <f>IF(SER_hh_tesh!N10=0,0,SER_hh_tesh!N10/SER_summary!N$26)</f>
        <v>139.24785532677313</v>
      </c>
      <c r="O10" s="133">
        <f>IF(SER_hh_tesh!O10=0,0,SER_hh_tesh!O10/SER_summary!O$26)</f>
        <v>79.181782087894618</v>
      </c>
      <c r="P10" s="133">
        <f>IF(SER_hh_tesh!P10=0,0,SER_hh_tesh!P10/SER_summary!P$26)</f>
        <v>108.45866640920731</v>
      </c>
      <c r="Q10" s="133">
        <f>IF(SER_hh_tesh!Q10=0,0,SER_hh_tesh!Q10/SER_summary!Q$26)</f>
        <v>101.01119561270224</v>
      </c>
      <c r="R10" s="133">
        <f>IF(SER_hh_tesh!R10=0,0,SER_hh_tesh!R10/SER_summary!R$26)</f>
        <v>160.94029155173959</v>
      </c>
      <c r="S10" s="133">
        <f>IF(SER_hh_tesh!S10=0,0,SER_hh_tesh!S10/SER_summary!S$26)</f>
        <v>158.59247935332033</v>
      </c>
      <c r="T10" s="133">
        <f>IF(SER_hh_tesh!T10=0,0,SER_hh_tesh!T10/SER_summary!T$26)</f>
        <v>160.65836352105055</v>
      </c>
      <c r="U10" s="133">
        <f>IF(SER_hh_tesh!U10=0,0,SER_hh_tesh!U10/SER_summary!U$26)</f>
        <v>96.183368048984022</v>
      </c>
      <c r="V10" s="133">
        <f>IF(SER_hh_tesh!V10=0,0,SER_hh_tesh!V10/SER_summary!V$26)</f>
        <v>102.86942056438122</v>
      </c>
      <c r="W10" s="133">
        <f>IF(SER_hh_tesh!W10=0,0,SER_hh_tesh!W10/SER_summary!W$26)</f>
        <v>113.70736824804592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144.60660608388892</v>
      </c>
      <c r="C12" s="133">
        <f>IF(SER_hh_tesh!C12=0,0,SER_hh_tesh!C12/SER_summary!C$26)</f>
        <v>158.92620062794867</v>
      </c>
      <c r="D12" s="133">
        <f>IF(SER_hh_tesh!D12=0,0,SER_hh_tesh!D12/SER_summary!D$26)</f>
        <v>155.91928156319923</v>
      </c>
      <c r="E12" s="133">
        <f>IF(SER_hh_tesh!E12=0,0,SER_hh_tesh!E12/SER_summary!E$26)</f>
        <v>152.40428319247221</v>
      </c>
      <c r="F12" s="133">
        <f>IF(SER_hh_tesh!F12=0,0,SER_hh_tesh!F12/SER_summary!F$26)</f>
        <v>139.20875327294777</v>
      </c>
      <c r="G12" s="133">
        <f>IF(SER_hh_tesh!G12=0,0,SER_hh_tesh!G12/SER_summary!G$26)</f>
        <v>133.94149054998783</v>
      </c>
      <c r="H12" s="133">
        <f>IF(SER_hh_tesh!H12=0,0,SER_hh_tesh!H12/SER_summary!H$26)</f>
        <v>128.60746912500798</v>
      </c>
      <c r="I12" s="133">
        <f>IF(SER_hh_tesh!I12=0,0,SER_hh_tesh!I12/SER_summary!I$26)</f>
        <v>120.58024667120972</v>
      </c>
      <c r="J12" s="133">
        <f>IF(SER_hh_tesh!J12=0,0,SER_hh_tesh!J12/SER_summary!J$26)</f>
        <v>120.49890155504367</v>
      </c>
      <c r="K12" s="133">
        <f>IF(SER_hh_tesh!K12=0,0,SER_hh_tesh!K12/SER_summary!K$26)</f>
        <v>121.49940909236852</v>
      </c>
      <c r="L12" s="133">
        <f>IF(SER_hh_tesh!L12=0,0,SER_hh_tesh!L12/SER_summary!L$26)</f>
        <v>132.60979100834504</v>
      </c>
      <c r="M12" s="133">
        <f>IF(SER_hh_tesh!M12=0,0,SER_hh_tesh!M12/SER_summary!M$26)</f>
        <v>108.20052697352367</v>
      </c>
      <c r="N12" s="133">
        <f>IF(SER_hh_tesh!N12=0,0,SER_hh_tesh!N12/SER_summary!N$26)</f>
        <v>118.02810350198469</v>
      </c>
      <c r="O12" s="133">
        <f>IF(SER_hh_tesh!O12=0,0,SER_hh_tesh!O12/SER_summary!O$26)</f>
        <v>116.84443082180164</v>
      </c>
      <c r="P12" s="133">
        <f>IF(SER_hh_tesh!P12=0,0,SER_hh_tesh!P12/SER_summary!P$26)</f>
        <v>111.51576231243693</v>
      </c>
      <c r="Q12" s="133">
        <f>IF(SER_hh_tesh!Q12=0,0,SER_hh_tesh!Q12/SER_summary!Q$26)</f>
        <v>109.07592392979065</v>
      </c>
      <c r="R12" s="133">
        <f>IF(SER_hh_tesh!R12=0,0,SER_hh_tesh!R12/SER_summary!R$26)</f>
        <v>117.23327405931556</v>
      </c>
      <c r="S12" s="133">
        <f>IF(SER_hh_tesh!S12=0,0,SER_hh_tesh!S12/SER_summary!S$26)</f>
        <v>109.14035931597269</v>
      </c>
      <c r="T12" s="133">
        <f>IF(SER_hh_tesh!T12=0,0,SER_hh_tesh!T12/SER_summary!T$26)</f>
        <v>113.32352459445138</v>
      </c>
      <c r="U12" s="133">
        <f>IF(SER_hh_tesh!U12=0,0,SER_hh_tesh!U12/SER_summary!U$26)</f>
        <v>110.58995689669383</v>
      </c>
      <c r="V12" s="133">
        <f>IF(SER_hh_tesh!V12=0,0,SER_hh_tesh!V12/SER_summary!V$26)</f>
        <v>98.561448163101787</v>
      </c>
      <c r="W12" s="133">
        <f>IF(SER_hh_tesh!W12=0,0,SER_hh_tesh!W12/SER_summary!W$26)</f>
        <v>118.0962626940847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121.50270272787682</v>
      </c>
      <c r="C13" s="133">
        <f>IF(SER_hh_tesh!C13=0,0,SER_hh_tesh!C13/SER_summary!C$26)</f>
        <v>158.46977922103642</v>
      </c>
      <c r="D13" s="133">
        <f>IF(SER_hh_tesh!D13=0,0,SER_hh_tesh!D13/SER_summary!D$26)</f>
        <v>151.38552925202973</v>
      </c>
      <c r="E13" s="133">
        <f>IF(SER_hh_tesh!E13=0,0,SER_hh_tesh!E13/SER_summary!E$26)</f>
        <v>135.2654553333675</v>
      </c>
      <c r="F13" s="133">
        <f>IF(SER_hh_tesh!F13=0,0,SER_hh_tesh!F13/SER_summary!F$26)</f>
        <v>139.05630463572246</v>
      </c>
      <c r="G13" s="133">
        <f>IF(SER_hh_tesh!G13=0,0,SER_hh_tesh!G13/SER_summary!G$26)</f>
        <v>117.10834016427097</v>
      </c>
      <c r="H13" s="133">
        <f>IF(SER_hh_tesh!H13=0,0,SER_hh_tesh!H13/SER_summary!H$26)</f>
        <v>126.26044451755419</v>
      </c>
      <c r="I13" s="133">
        <f>IF(SER_hh_tesh!I13=0,0,SER_hh_tesh!I13/SER_summary!I$26)</f>
        <v>132.89983124291012</v>
      </c>
      <c r="J13" s="133">
        <f>IF(SER_hh_tesh!J13=0,0,SER_hh_tesh!J13/SER_summary!J$26)</f>
        <v>125.9619375366145</v>
      </c>
      <c r="K13" s="133">
        <f>IF(SER_hh_tesh!K13=0,0,SER_hh_tesh!K13/SER_summary!K$26)</f>
        <v>121.12530780823847</v>
      </c>
      <c r="L13" s="133">
        <f>IF(SER_hh_tesh!L13=0,0,SER_hh_tesh!L13/SER_summary!L$26)</f>
        <v>119.51628705943375</v>
      </c>
      <c r="M13" s="133">
        <f>IF(SER_hh_tesh!M13=0,0,SER_hh_tesh!M13/SER_summary!M$26)</f>
        <v>116.02195910156632</v>
      </c>
      <c r="N13" s="133">
        <f>IF(SER_hh_tesh!N13=0,0,SER_hh_tesh!N13/SER_summary!N$26)</f>
        <v>116.56467290679925</v>
      </c>
      <c r="O13" s="133">
        <f>IF(SER_hh_tesh!O13=0,0,SER_hh_tesh!O13/SER_summary!O$26)</f>
        <v>115.61466121275028</v>
      </c>
      <c r="P13" s="133">
        <f>IF(SER_hh_tesh!P13=0,0,SER_hh_tesh!P13/SER_summary!P$26)</f>
        <v>111.76366269358789</v>
      </c>
      <c r="Q13" s="133">
        <f>IF(SER_hh_tesh!Q13=0,0,SER_hh_tesh!Q13/SER_summary!Q$26)</f>
        <v>108.042569012447</v>
      </c>
      <c r="R13" s="133">
        <f>IF(SER_hh_tesh!R13=0,0,SER_hh_tesh!R13/SER_summary!R$26)</f>
        <v>119.36280494319877</v>
      </c>
      <c r="S13" s="133">
        <f>IF(SER_hh_tesh!S13=0,0,SER_hh_tesh!S13/SER_summary!S$26)</f>
        <v>112.0725993303941</v>
      </c>
      <c r="T13" s="133">
        <f>IF(SER_hh_tesh!T13=0,0,SER_hh_tesh!T13/SER_summary!T$26)</f>
        <v>111.85545439706027</v>
      </c>
      <c r="U13" s="133">
        <f>IF(SER_hh_tesh!U13=0,0,SER_hh_tesh!U13/SER_summary!U$26)</f>
        <v>106.95182017405891</v>
      </c>
      <c r="V13" s="133">
        <f>IF(SER_hh_tesh!V13=0,0,SER_hh_tesh!V13/SER_summary!V$26)</f>
        <v>109.29294608394812</v>
      </c>
      <c r="W13" s="133">
        <f>IF(SER_hh_tesh!W13=0,0,SER_hh_tesh!W13/SER_summary!W$26)</f>
        <v>108.64135887696894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140.32985525638483</v>
      </c>
      <c r="C14" s="65">
        <f>IF(SER_hh_tesh!C14=0,0,SER_hh_tesh!C14/SER_summary!C$26)</f>
        <v>165.18254793177437</v>
      </c>
      <c r="D14" s="65">
        <f>IF(SER_hh_tesh!D14=0,0,SER_hh_tesh!D14/SER_summary!D$26)</f>
        <v>161.05651754410766</v>
      </c>
      <c r="E14" s="65">
        <f>IF(SER_hh_tesh!E14=0,0,SER_hh_tesh!E14/SER_summary!E$26)</f>
        <v>148.6229415733379</v>
      </c>
      <c r="F14" s="65">
        <f>IF(SER_hh_tesh!F14=0,0,SER_hh_tesh!F14/SER_summary!F$26)</f>
        <v>146.05328353278279</v>
      </c>
      <c r="G14" s="65">
        <f>IF(SER_hh_tesh!G14=0,0,SER_hh_tesh!G14/SER_summary!G$26)</f>
        <v>119.74155620753231</v>
      </c>
      <c r="H14" s="65">
        <f>IF(SER_hh_tesh!H14=0,0,SER_hh_tesh!H14/SER_summary!H$26)</f>
        <v>126.63518831401336</v>
      </c>
      <c r="I14" s="65">
        <f>IF(SER_hh_tesh!I14=0,0,SER_hh_tesh!I14/SER_summary!I$26)</f>
        <v>136.47940524105314</v>
      </c>
      <c r="J14" s="65">
        <f>IF(SER_hh_tesh!J14=0,0,SER_hh_tesh!J14/SER_summary!J$26)</f>
        <v>131.19153866840529</v>
      </c>
      <c r="K14" s="65">
        <f>IF(SER_hh_tesh!K14=0,0,SER_hh_tesh!K14/SER_summary!K$26)</f>
        <v>114.60945988508604</v>
      </c>
      <c r="L14" s="65">
        <f>IF(SER_hh_tesh!L14=0,0,SER_hh_tesh!L14/SER_summary!L$26)</f>
        <v>132.23387926539132</v>
      </c>
      <c r="M14" s="65">
        <f>IF(SER_hh_tesh!M14=0,0,SER_hh_tesh!M14/SER_summary!M$26)</f>
        <v>102.78659218332646</v>
      </c>
      <c r="N14" s="65">
        <f>IF(SER_hh_tesh!N14=0,0,SER_hh_tesh!N14/SER_summary!N$26)</f>
        <v>116.77733719727939</v>
      </c>
      <c r="O14" s="65">
        <f>IF(SER_hh_tesh!O14=0,0,SER_hh_tesh!O14/SER_summary!O$26)</f>
        <v>106.839773603209</v>
      </c>
      <c r="P14" s="65">
        <f>IF(SER_hh_tesh!P14=0,0,SER_hh_tesh!P14/SER_summary!P$26)</f>
        <v>108.72205666394191</v>
      </c>
      <c r="Q14" s="65">
        <f>IF(SER_hh_tesh!Q14=0,0,SER_hh_tesh!Q14/SER_summary!Q$26)</f>
        <v>118.00722929525386</v>
      </c>
      <c r="R14" s="65">
        <f>IF(SER_hh_tesh!R14=0,0,SER_hh_tesh!R14/SER_summary!R$26)</f>
        <v>127.00634929947402</v>
      </c>
      <c r="S14" s="65">
        <f>IF(SER_hh_tesh!S14=0,0,SER_hh_tesh!S14/SER_summary!S$26)</f>
        <v>105.62751909791513</v>
      </c>
      <c r="T14" s="65">
        <f>IF(SER_hh_tesh!T14=0,0,SER_hh_tesh!T14/SER_summary!T$26)</f>
        <v>114.71725700957982</v>
      </c>
      <c r="U14" s="65">
        <f>IF(SER_hh_tesh!U14=0,0,SER_hh_tesh!U14/SER_summary!U$26)</f>
        <v>104.14289110656398</v>
      </c>
      <c r="V14" s="65">
        <f>IF(SER_hh_tesh!V14=0,0,SER_hh_tesh!V14/SER_summary!V$26)</f>
        <v>104.97333997350678</v>
      </c>
      <c r="W14" s="65">
        <f>IF(SER_hh_tesh!W14=0,0,SER_hh_tesh!W14/SER_summary!W$26)</f>
        <v>116.4096129893838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1.5040968915233208</v>
      </c>
      <c r="C15" s="135">
        <f>IF(SER_hh_tesh!C15=0,0,SER_hh_tesh!C15/SER_summary!C$26)</f>
        <v>1.5470521900577539</v>
      </c>
      <c r="D15" s="135">
        <f>IF(SER_hh_tesh!D15=0,0,SER_hh_tesh!D15/SER_summary!D$26)</f>
        <v>1.5036002460408406</v>
      </c>
      <c r="E15" s="135">
        <f>IF(SER_hh_tesh!E15=0,0,SER_hh_tesh!E15/SER_summary!E$26)</f>
        <v>1.524733724466961</v>
      </c>
      <c r="F15" s="135">
        <f>IF(SER_hh_tesh!F15=0,0,SER_hh_tesh!F15/SER_summary!F$26)</f>
        <v>1.2502874214223276</v>
      </c>
      <c r="G15" s="135">
        <f>IF(SER_hh_tesh!G15=0,0,SER_hh_tesh!G15/SER_summary!G$26)</f>
        <v>0.92246149544732037</v>
      </c>
      <c r="H15" s="135">
        <f>IF(SER_hh_tesh!H15=0,0,SER_hh_tesh!H15/SER_summary!H$26)</f>
        <v>0.86739118081795474</v>
      </c>
      <c r="I15" s="135">
        <f>IF(SER_hh_tesh!I15=0,0,SER_hh_tesh!I15/SER_summary!I$26)</f>
        <v>0.8384992350189302</v>
      </c>
      <c r="J15" s="135">
        <f>IF(SER_hh_tesh!J15=0,0,SER_hh_tesh!J15/SER_summary!J$26)</f>
        <v>0.79165673663445202</v>
      </c>
      <c r="K15" s="135">
        <f>IF(SER_hh_tesh!K15=0,0,SER_hh_tesh!K15/SER_summary!K$26)</f>
        <v>0.73450259630665693</v>
      </c>
      <c r="L15" s="135">
        <f>IF(SER_hh_tesh!L15=0,0,SER_hh_tesh!L15/SER_summary!L$26)</f>
        <v>0.83042731031603023</v>
      </c>
      <c r="M15" s="135">
        <f>IF(SER_hh_tesh!M15=0,0,SER_hh_tesh!M15/SER_summary!M$26)</f>
        <v>0.7072569372837777</v>
      </c>
      <c r="N15" s="135">
        <f>IF(SER_hh_tesh!N15=0,0,SER_hh_tesh!N15/SER_summary!N$26)</f>
        <v>0.76923977022155898</v>
      </c>
      <c r="O15" s="135">
        <f>IF(SER_hh_tesh!O15=0,0,SER_hh_tesh!O15/SER_summary!O$26)</f>
        <v>0.71742639935220309</v>
      </c>
      <c r="P15" s="135">
        <f>IF(SER_hh_tesh!P15=0,0,SER_hh_tesh!P15/SER_summary!P$26)</f>
        <v>0.70167456759372704</v>
      </c>
      <c r="Q15" s="135">
        <f>IF(SER_hh_tesh!Q15=0,0,SER_hh_tesh!Q15/SER_summary!Q$26)</f>
        <v>0.68372919656299735</v>
      </c>
      <c r="R15" s="135">
        <f>IF(SER_hh_tesh!R15=0,0,SER_hh_tesh!R15/SER_summary!R$26)</f>
        <v>0.72178206499326714</v>
      </c>
      <c r="S15" s="135">
        <f>IF(SER_hh_tesh!S15=0,0,SER_hh_tesh!S15/SER_summary!S$26)</f>
        <v>0.66137406772501539</v>
      </c>
      <c r="T15" s="135">
        <f>IF(SER_hh_tesh!T15=0,0,SER_hh_tesh!T15/SER_summary!T$26)</f>
        <v>0.70197447138044555</v>
      </c>
      <c r="U15" s="135">
        <f>IF(SER_hh_tesh!U15=0,0,SER_hh_tesh!U15/SER_summary!U$26)</f>
        <v>0.6926360553033134</v>
      </c>
      <c r="V15" s="135">
        <f>IF(SER_hh_tesh!V15=0,0,SER_hh_tesh!V15/SER_summary!V$26)</f>
        <v>0.65264350740733346</v>
      </c>
      <c r="W15" s="135">
        <f>IF(SER_hh_tesh!W15=0,0,SER_hh_tesh!W15/SER_summary!W$26)</f>
        <v>0.69293218782421095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25.634428525640907</v>
      </c>
      <c r="C16" s="131">
        <f>IF(SER_hh_tesh!C16=0,0,SER_hh_tesh!C16/SER_summary!C$26)</f>
        <v>25.688987063200301</v>
      </c>
      <c r="D16" s="131">
        <f>IF(SER_hh_tesh!D16=0,0,SER_hh_tesh!D16/SER_summary!D$26)</f>
        <v>25.715044954580957</v>
      </c>
      <c r="E16" s="131">
        <f>IF(SER_hh_tesh!E16=0,0,SER_hh_tesh!E16/SER_summary!E$26)</f>
        <v>25.765251297229749</v>
      </c>
      <c r="F16" s="131">
        <f>IF(SER_hh_tesh!F16=0,0,SER_hh_tesh!F16/SER_summary!F$26)</f>
        <v>25.821686666717689</v>
      </c>
      <c r="G16" s="131">
        <f>IF(SER_hh_tesh!G16=0,0,SER_hh_tesh!G16/SER_summary!G$26)</f>
        <v>25.890681088498955</v>
      </c>
      <c r="H16" s="131">
        <f>IF(SER_hh_tesh!H16=0,0,SER_hh_tesh!H16/SER_summary!H$26)</f>
        <v>25.956198611867663</v>
      </c>
      <c r="I16" s="131">
        <f>IF(SER_hh_tesh!I16=0,0,SER_hh_tesh!I16/SER_summary!I$26)</f>
        <v>26.025966535855964</v>
      </c>
      <c r="J16" s="131">
        <f>IF(SER_hh_tesh!J16=0,0,SER_hh_tesh!J16/SER_summary!J$26)</f>
        <v>26.329589726907621</v>
      </c>
      <c r="K16" s="131">
        <f>IF(SER_hh_tesh!K16=0,0,SER_hh_tesh!K16/SER_summary!K$26)</f>
        <v>26.376216094705089</v>
      </c>
      <c r="L16" s="131">
        <f>IF(SER_hh_tesh!L16=0,0,SER_hh_tesh!L16/SER_summary!L$26)</f>
        <v>26.829824179204252</v>
      </c>
      <c r="M16" s="131">
        <f>IF(SER_hh_tesh!M16=0,0,SER_hh_tesh!M16/SER_summary!M$26)</f>
        <v>26.468742760687597</v>
      </c>
      <c r="N16" s="131">
        <f>IF(SER_hh_tesh!N16=0,0,SER_hh_tesh!N16/SER_summary!N$26)</f>
        <v>26.525480892276502</v>
      </c>
      <c r="O16" s="131">
        <f>IF(SER_hh_tesh!O16=0,0,SER_hh_tesh!O16/SER_summary!O$26)</f>
        <v>26.579473543266886</v>
      </c>
      <c r="P16" s="131">
        <f>IF(SER_hh_tesh!P16=0,0,SER_hh_tesh!P16/SER_summary!P$26)</f>
        <v>26.999128031778564</v>
      </c>
      <c r="Q16" s="131">
        <f>IF(SER_hh_tesh!Q16=0,0,SER_hh_tesh!Q16/SER_summary!Q$26)</f>
        <v>26.71285732174573</v>
      </c>
      <c r="R16" s="131">
        <f>IF(SER_hh_tesh!R16=0,0,SER_hh_tesh!R16/SER_summary!R$26)</f>
        <v>26.900337369316283</v>
      </c>
      <c r="S16" s="131">
        <f>IF(SER_hh_tesh!S16=0,0,SER_hh_tesh!S16/SER_summary!S$26)</f>
        <v>27.031711919524351</v>
      </c>
      <c r="T16" s="131">
        <f>IF(SER_hh_tesh!T16=0,0,SER_hh_tesh!T16/SER_summary!T$26)</f>
        <v>27.439928396096924</v>
      </c>
      <c r="U16" s="131">
        <f>IF(SER_hh_tesh!U16=0,0,SER_hh_tesh!U16/SER_summary!U$26)</f>
        <v>27.366545447047592</v>
      </c>
      <c r="V16" s="131">
        <f>IF(SER_hh_tesh!V16=0,0,SER_hh_tesh!V16/SER_summary!V$26)</f>
        <v>27.250520014752169</v>
      </c>
      <c r="W16" s="131">
        <f>IF(SER_hh_tesh!W16=0,0,SER_hh_tesh!W16/SER_summary!W$26)</f>
        <v>27.50615127874088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25.634428525640907</v>
      </c>
      <c r="C18" s="133">
        <f>IF(SER_hh_tesh!C18=0,0,SER_hh_tesh!C18/SER_summary!C$26)</f>
        <v>25.688987063200301</v>
      </c>
      <c r="D18" s="133">
        <f>IF(SER_hh_tesh!D18=0,0,SER_hh_tesh!D18/SER_summary!D$26)</f>
        <v>25.715044954580957</v>
      </c>
      <c r="E18" s="133">
        <f>IF(SER_hh_tesh!E18=0,0,SER_hh_tesh!E18/SER_summary!E$26)</f>
        <v>25.765251297229749</v>
      </c>
      <c r="F18" s="133">
        <f>IF(SER_hh_tesh!F18=0,0,SER_hh_tesh!F18/SER_summary!F$26)</f>
        <v>25.821686666717689</v>
      </c>
      <c r="G18" s="133">
        <f>IF(SER_hh_tesh!G18=0,0,SER_hh_tesh!G18/SER_summary!G$26)</f>
        <v>25.890681088498955</v>
      </c>
      <c r="H18" s="133">
        <f>IF(SER_hh_tesh!H18=0,0,SER_hh_tesh!H18/SER_summary!H$26)</f>
        <v>25.956198611867663</v>
      </c>
      <c r="I18" s="133">
        <f>IF(SER_hh_tesh!I18=0,0,SER_hh_tesh!I18/SER_summary!I$26)</f>
        <v>26.025966535855964</v>
      </c>
      <c r="J18" s="133">
        <f>IF(SER_hh_tesh!J18=0,0,SER_hh_tesh!J18/SER_summary!J$26)</f>
        <v>26.329589726907621</v>
      </c>
      <c r="K18" s="133">
        <f>IF(SER_hh_tesh!K18=0,0,SER_hh_tesh!K18/SER_summary!K$26)</f>
        <v>26.376216094705089</v>
      </c>
      <c r="L18" s="133">
        <f>IF(SER_hh_tesh!L18=0,0,SER_hh_tesh!L18/SER_summary!L$26)</f>
        <v>26.829824179204252</v>
      </c>
      <c r="M18" s="133">
        <f>IF(SER_hh_tesh!M18=0,0,SER_hh_tesh!M18/SER_summary!M$26)</f>
        <v>26.468742760687597</v>
      </c>
      <c r="N18" s="133">
        <f>IF(SER_hh_tesh!N18=0,0,SER_hh_tesh!N18/SER_summary!N$26)</f>
        <v>26.525480892276502</v>
      </c>
      <c r="O18" s="133">
        <f>IF(SER_hh_tesh!O18=0,0,SER_hh_tesh!O18/SER_summary!O$26)</f>
        <v>26.579473543266886</v>
      </c>
      <c r="P18" s="133">
        <f>IF(SER_hh_tesh!P18=0,0,SER_hh_tesh!P18/SER_summary!P$26)</f>
        <v>26.999128031778564</v>
      </c>
      <c r="Q18" s="133">
        <f>IF(SER_hh_tesh!Q18=0,0,SER_hh_tesh!Q18/SER_summary!Q$26)</f>
        <v>26.71285732174573</v>
      </c>
      <c r="R18" s="133">
        <f>IF(SER_hh_tesh!R18=0,0,SER_hh_tesh!R18/SER_summary!R$26)</f>
        <v>26.900337369316283</v>
      </c>
      <c r="S18" s="133">
        <f>IF(SER_hh_tesh!S18=0,0,SER_hh_tesh!S18/SER_summary!S$26)</f>
        <v>27.031711919524351</v>
      </c>
      <c r="T18" s="133">
        <f>IF(SER_hh_tesh!T18=0,0,SER_hh_tesh!T18/SER_summary!T$26)</f>
        <v>27.439928396096924</v>
      </c>
      <c r="U18" s="133">
        <f>IF(SER_hh_tesh!U18=0,0,SER_hh_tesh!U18/SER_summary!U$26)</f>
        <v>27.366545447047592</v>
      </c>
      <c r="V18" s="133">
        <f>IF(SER_hh_tesh!V18=0,0,SER_hh_tesh!V18/SER_summary!V$26)</f>
        <v>27.250520014752169</v>
      </c>
      <c r="W18" s="133">
        <f>IF(SER_hh_tesh!W18=0,0,SER_hh_tesh!W18/SER_summary!W$26)</f>
        <v>27.50615127874088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18.60581785503129</v>
      </c>
      <c r="C19" s="131">
        <f>IF(SER_hh_tesh!C19=0,0,SER_hh_tesh!C19/SER_summary!C$26)</f>
        <v>18.445281942869055</v>
      </c>
      <c r="D19" s="131">
        <f>IF(SER_hh_tesh!D19=0,0,SER_hh_tesh!D19/SER_summary!D$26)</f>
        <v>18.295025736988563</v>
      </c>
      <c r="E19" s="131">
        <f>IF(SER_hh_tesh!E19=0,0,SER_hh_tesh!E19/SER_summary!E$26)</f>
        <v>18.232062453046332</v>
      </c>
      <c r="F19" s="131">
        <f>IF(SER_hh_tesh!F19=0,0,SER_hh_tesh!F19/SER_summary!F$26)</f>
        <v>18.124807607994107</v>
      </c>
      <c r="G19" s="131">
        <f>IF(SER_hh_tesh!G19=0,0,SER_hh_tesh!G19/SER_summary!G$26)</f>
        <v>18.062967718246835</v>
      </c>
      <c r="H19" s="131">
        <f>IF(SER_hh_tesh!H19=0,0,SER_hh_tesh!H19/SER_summary!H$26)</f>
        <v>18.022429025500116</v>
      </c>
      <c r="I19" s="131">
        <f>IF(SER_hh_tesh!I19=0,0,SER_hh_tesh!I19/SER_summary!I$26)</f>
        <v>18.083760395181724</v>
      </c>
      <c r="J19" s="131">
        <f>IF(SER_hh_tesh!J19=0,0,SER_hh_tesh!J19/SER_summary!J$26)</f>
        <v>18.173825167091351</v>
      </c>
      <c r="K19" s="131">
        <f>IF(SER_hh_tesh!K19=0,0,SER_hh_tesh!K19/SER_summary!K$26)</f>
        <v>18.174766588013643</v>
      </c>
      <c r="L19" s="131">
        <f>IF(SER_hh_tesh!L19=0,0,SER_hh_tesh!L19/SER_summary!L$26)</f>
        <v>18.111912587181646</v>
      </c>
      <c r="M19" s="131">
        <f>IF(SER_hh_tesh!M19=0,0,SER_hh_tesh!M19/SER_summary!M$26)</f>
        <v>18.149403631572181</v>
      </c>
      <c r="N19" s="131">
        <f>IF(SER_hh_tesh!N19=0,0,SER_hh_tesh!N19/SER_summary!N$26)</f>
        <v>18.346252008793716</v>
      </c>
      <c r="O19" s="131">
        <f>IF(SER_hh_tesh!O19=0,0,SER_hh_tesh!O19/SER_summary!O$26)</f>
        <v>18.431877790493303</v>
      </c>
      <c r="P19" s="131">
        <f>IF(SER_hh_tesh!P19=0,0,SER_hh_tesh!P19/SER_summary!P$26)</f>
        <v>18.447108165013677</v>
      </c>
      <c r="Q19" s="131">
        <f>IF(SER_hh_tesh!Q19=0,0,SER_hh_tesh!Q19/SER_summary!Q$26)</f>
        <v>18.477994988866069</v>
      </c>
      <c r="R19" s="131">
        <f>IF(SER_hh_tesh!R19=0,0,SER_hh_tesh!R19/SER_summary!R$26)</f>
        <v>18.446469690413235</v>
      </c>
      <c r="S19" s="131">
        <f>IF(SER_hh_tesh!S19=0,0,SER_hh_tesh!S19/SER_summary!S$26)</f>
        <v>18.253367573547393</v>
      </c>
      <c r="T19" s="131">
        <f>IF(SER_hh_tesh!T19=0,0,SER_hh_tesh!T19/SER_summary!T$26)</f>
        <v>18.383636593422231</v>
      </c>
      <c r="U19" s="131">
        <f>IF(SER_hh_tesh!U19=0,0,SER_hh_tesh!U19/SER_summary!U$26)</f>
        <v>18.308264037520352</v>
      </c>
      <c r="V19" s="131">
        <f>IF(SER_hh_tesh!V19=0,0,SER_hh_tesh!V19/SER_summary!V$26)</f>
        <v>17.750828281150408</v>
      </c>
      <c r="W19" s="131">
        <f>IF(SER_hh_tesh!W19=0,0,SER_hh_tesh!W19/SER_summary!W$26)</f>
        <v>18.298180737807701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18.65743275258367</v>
      </c>
      <c r="C22" s="133">
        <f>IF(SER_hh_tesh!C22=0,0,SER_hh_tesh!C22/SER_summary!C$26)</f>
        <v>18.558759412415032</v>
      </c>
      <c r="D22" s="133">
        <f>IF(SER_hh_tesh!D22=0,0,SER_hh_tesh!D22/SER_summary!D$26)</f>
        <v>18.413725958397468</v>
      </c>
      <c r="E22" s="133">
        <f>IF(SER_hh_tesh!E22=0,0,SER_hh_tesh!E22/SER_summary!E$26)</f>
        <v>19.131153829015247</v>
      </c>
      <c r="F22" s="133">
        <f>IF(SER_hh_tesh!F22=0,0,SER_hh_tesh!F22/SER_summary!F$26)</f>
        <v>19.38815296866817</v>
      </c>
      <c r="G22" s="133">
        <f>IF(SER_hh_tesh!G22=0,0,SER_hh_tesh!G22/SER_summary!G$26)</f>
        <v>15.640239982380736</v>
      </c>
      <c r="H22" s="133">
        <f>IF(SER_hh_tesh!H22=0,0,SER_hh_tesh!H22/SER_summary!H$26)</f>
        <v>18.27417290131028</v>
      </c>
      <c r="I22" s="133">
        <f>IF(SER_hh_tesh!I22=0,0,SER_hh_tesh!I22/SER_summary!I$26)</f>
        <v>18.318108314900854</v>
      </c>
      <c r="J22" s="133">
        <f>IF(SER_hh_tesh!J22=0,0,SER_hh_tesh!J22/SER_summary!J$26)</f>
        <v>19.536465993994518</v>
      </c>
      <c r="K22" s="133">
        <f>IF(SER_hh_tesh!K22=0,0,SER_hh_tesh!K22/SER_summary!K$26)</f>
        <v>14.838217458821072</v>
      </c>
      <c r="L22" s="133">
        <f>IF(SER_hh_tesh!L22=0,0,SER_hh_tesh!L22/SER_summary!L$26)</f>
        <v>15.219794492850465</v>
      </c>
      <c r="M22" s="133">
        <f>IF(SER_hh_tesh!M22=0,0,SER_hh_tesh!M22/SER_summary!M$26)</f>
        <v>15.77214126560837</v>
      </c>
      <c r="N22" s="133">
        <f>IF(SER_hh_tesh!N22=0,0,SER_hh_tesh!N22/SER_summary!N$26)</f>
        <v>20.279737649633617</v>
      </c>
      <c r="O22" s="133">
        <f>IF(SER_hh_tesh!O22=0,0,SER_hh_tesh!O22/SER_summary!O$26)</f>
        <v>20.516302016722808</v>
      </c>
      <c r="P22" s="133">
        <f>IF(SER_hh_tesh!P22=0,0,SER_hh_tesh!P22/SER_summary!P$26)</f>
        <v>14.723964322168438</v>
      </c>
      <c r="Q22" s="133">
        <f>IF(SER_hh_tesh!Q22=0,0,SER_hh_tesh!Q22/SER_summary!Q$26)</f>
        <v>19.586041523450998</v>
      </c>
      <c r="R22" s="133">
        <f>IF(SER_hh_tesh!R22=0,0,SER_hh_tesh!R22/SER_summary!R$26)</f>
        <v>18.750168202545865</v>
      </c>
      <c r="S22" s="133">
        <f>IF(SER_hh_tesh!S22=0,0,SER_hh_tesh!S22/SER_summary!S$26)</f>
        <v>18.66625903428929</v>
      </c>
      <c r="T22" s="133">
        <f>IF(SER_hh_tesh!T22=0,0,SER_hh_tesh!T22/SER_summary!T$26)</f>
        <v>18.854345710375291</v>
      </c>
      <c r="U22" s="133">
        <f>IF(SER_hh_tesh!U22=0,0,SER_hh_tesh!U22/SER_summary!U$26)</f>
        <v>18.36966217025461</v>
      </c>
      <c r="V22" s="133">
        <f>IF(SER_hh_tesh!V22=0,0,SER_hh_tesh!V22/SER_summary!V$26)</f>
        <v>18.460415632721066</v>
      </c>
      <c r="W22" s="133">
        <f>IF(SER_hh_tesh!W22=0,0,SER_hh_tesh!W22/SER_summary!W$26)</f>
        <v>17.360151157290197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18.848444483281359</v>
      </c>
      <c r="C23" s="133">
        <f>IF(SER_hh_tesh!C23=0,0,SER_hh_tesh!C23/SER_summary!C$26)</f>
        <v>16.802575497610423</v>
      </c>
      <c r="D23" s="133">
        <f>IF(SER_hh_tesh!D23=0,0,SER_hh_tesh!D23/SER_summary!D$26)</f>
        <v>18.266648964414561</v>
      </c>
      <c r="E23" s="133">
        <f>IF(SER_hh_tesh!E23=0,0,SER_hh_tesh!E23/SER_summary!E$26)</f>
        <v>19.181177586545218</v>
      </c>
      <c r="F23" s="133">
        <f>IF(SER_hh_tesh!F23=0,0,SER_hh_tesh!F23/SER_summary!F$26)</f>
        <v>17.051215021591119</v>
      </c>
      <c r="G23" s="133">
        <f>IF(SER_hh_tesh!G23=0,0,SER_hh_tesh!G23/SER_summary!G$26)</f>
        <v>17.405847960670005</v>
      </c>
      <c r="H23" s="133">
        <f>IF(SER_hh_tesh!H23=0,0,SER_hh_tesh!H23/SER_summary!H$26)</f>
        <v>19.359982059707168</v>
      </c>
      <c r="I23" s="133">
        <f>IF(SER_hh_tesh!I23=0,0,SER_hh_tesh!I23/SER_summary!I$26)</f>
        <v>17.950718863655272</v>
      </c>
      <c r="J23" s="133">
        <f>IF(SER_hh_tesh!J23=0,0,SER_hh_tesh!J23/SER_summary!J$26)</f>
        <v>18.521147456728801</v>
      </c>
      <c r="K23" s="133">
        <f>IF(SER_hh_tesh!K23=0,0,SER_hh_tesh!K23/SER_summary!K$26)</f>
        <v>18.006573170660918</v>
      </c>
      <c r="L23" s="133">
        <f>IF(SER_hh_tesh!L23=0,0,SER_hh_tesh!L23/SER_summary!L$26)</f>
        <v>18.411060416531075</v>
      </c>
      <c r="M23" s="133">
        <f>IF(SER_hh_tesh!M23=0,0,SER_hh_tesh!M23/SER_summary!M$26)</f>
        <v>18.063592105675937</v>
      </c>
      <c r="N23" s="133">
        <f>IF(SER_hh_tesh!N23=0,0,SER_hh_tesh!N23/SER_summary!N$26)</f>
        <v>18.118591012968604</v>
      </c>
      <c r="O23" s="133">
        <f>IF(SER_hh_tesh!O23=0,0,SER_hh_tesh!O23/SER_summary!O$26)</f>
        <v>18.247643890072688</v>
      </c>
      <c r="P23" s="133">
        <f>IF(SER_hh_tesh!P23=0,0,SER_hh_tesh!P23/SER_summary!P$26)</f>
        <v>18.939771124931955</v>
      </c>
      <c r="Q23" s="133">
        <f>IF(SER_hh_tesh!Q23=0,0,SER_hh_tesh!Q23/SER_summary!Q$26)</f>
        <v>19.189279234900877</v>
      </c>
      <c r="R23" s="133">
        <f>IF(SER_hh_tesh!R23=0,0,SER_hh_tesh!R23/SER_summary!R$26)</f>
        <v>20.727607746421064</v>
      </c>
      <c r="S23" s="133">
        <f>IF(SER_hh_tesh!S23=0,0,SER_hh_tesh!S23/SER_summary!S$26)</f>
        <v>12.175005761831841</v>
      </c>
      <c r="T23" s="133">
        <f>IF(SER_hh_tesh!T23=0,0,SER_hh_tesh!T23/SER_summary!T$26)</f>
        <v>16.515135891151051</v>
      </c>
      <c r="U23" s="133">
        <f>IF(SER_hh_tesh!U23=0,0,SER_hh_tesh!U23/SER_summary!U$26)</f>
        <v>20.436077815438004</v>
      </c>
      <c r="V23" s="133">
        <f>IF(SER_hh_tesh!V23=0,0,SER_hh_tesh!V23/SER_summary!V$26)</f>
        <v>18.458808944058099</v>
      </c>
      <c r="W23" s="133">
        <f>IF(SER_hh_tesh!W23=0,0,SER_hh_tesh!W23/SER_summary!W$26)</f>
        <v>18.20591184149411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18.789641674770891</v>
      </c>
      <c r="C25" s="133">
        <f>IF(SER_hh_tesh!C25=0,0,SER_hh_tesh!C25/SER_summary!C$26)</f>
        <v>18.360051113474366</v>
      </c>
      <c r="D25" s="133">
        <f>IF(SER_hh_tesh!D25=0,0,SER_hh_tesh!D25/SER_summary!D$26)</f>
        <v>18.082131553845432</v>
      </c>
      <c r="E25" s="133">
        <f>IF(SER_hh_tesh!E25=0,0,SER_hh_tesh!E25/SER_summary!E$26)</f>
        <v>17.835978525708637</v>
      </c>
      <c r="F25" s="133">
        <f>IF(SER_hh_tesh!F25=0,0,SER_hh_tesh!F25/SER_summary!F$26)</f>
        <v>18.002645289170506</v>
      </c>
      <c r="G25" s="133">
        <f>IF(SER_hh_tesh!G25=0,0,SER_hh_tesh!G25/SER_summary!G$26)</f>
        <v>18.368152660046025</v>
      </c>
      <c r="H25" s="133">
        <f>IF(SER_hh_tesh!H25=0,0,SER_hh_tesh!H25/SER_summary!H$26)</f>
        <v>18.466128654202084</v>
      </c>
      <c r="I25" s="133">
        <f>IF(SER_hh_tesh!I25=0,0,SER_hh_tesh!I25/SER_summary!I$26)</f>
        <v>17.910862482396208</v>
      </c>
      <c r="J25" s="133">
        <f>IF(SER_hh_tesh!J25=0,0,SER_hh_tesh!J25/SER_summary!J$26)</f>
        <v>18.182721648122524</v>
      </c>
      <c r="K25" s="133">
        <f>IF(SER_hh_tesh!K25=0,0,SER_hh_tesh!K25/SER_summary!K$26)</f>
        <v>18.136458686610315</v>
      </c>
      <c r="L25" s="133">
        <f>IF(SER_hh_tesh!L25=0,0,SER_hh_tesh!L25/SER_summary!L$26)</f>
        <v>18.000781307529163</v>
      </c>
      <c r="M25" s="133">
        <f>IF(SER_hh_tesh!M25=0,0,SER_hh_tesh!M25/SER_summary!M$26)</f>
        <v>18.185047065122497</v>
      </c>
      <c r="N25" s="133">
        <f>IF(SER_hh_tesh!N25=0,0,SER_hh_tesh!N25/SER_summary!N$26)</f>
        <v>18.554266862054995</v>
      </c>
      <c r="O25" s="133">
        <f>IF(SER_hh_tesh!O25=0,0,SER_hh_tesh!O25/SER_summary!O$26)</f>
        <v>18.429603435059875</v>
      </c>
      <c r="P25" s="133">
        <f>IF(SER_hh_tesh!P25=0,0,SER_hh_tesh!P25/SER_summary!P$26)</f>
        <v>18.362934423631955</v>
      </c>
      <c r="Q25" s="133">
        <f>IF(SER_hh_tesh!Q25=0,0,SER_hh_tesh!Q25/SER_summary!Q$26)</f>
        <v>18.174554003494961</v>
      </c>
      <c r="R25" s="133">
        <f>IF(SER_hh_tesh!R25=0,0,SER_hh_tesh!R25/SER_summary!R$26)</f>
        <v>18.981803393220208</v>
      </c>
      <c r="S25" s="133">
        <f>IF(SER_hh_tesh!S25=0,0,SER_hh_tesh!S25/SER_summary!S$26)</f>
        <v>17.931987933254884</v>
      </c>
      <c r="T25" s="133">
        <f>IF(SER_hh_tesh!T25=0,0,SER_hh_tesh!T25/SER_summary!T$26)</f>
        <v>18.733896883225004</v>
      </c>
      <c r="U25" s="133">
        <f>IF(SER_hh_tesh!U25=0,0,SER_hh_tesh!U25/SER_summary!U$26)</f>
        <v>18.561248720222171</v>
      </c>
      <c r="V25" s="133">
        <f>IF(SER_hh_tesh!V25=0,0,SER_hh_tesh!V25/SER_summary!V$26)</f>
        <v>16.178610665985772</v>
      </c>
      <c r="W25" s="133">
        <f>IF(SER_hh_tesh!W25=0,0,SER_hh_tesh!W25/SER_summary!W$26)</f>
        <v>20.167279074892384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18.378325960536717</v>
      </c>
      <c r="C26" s="65">
        <f>IF(SER_hh_tesh!C26=0,0,SER_hh_tesh!C26/SER_summary!C$26)</f>
        <v>18.501630810724265</v>
      </c>
      <c r="D26" s="65">
        <f>IF(SER_hh_tesh!D26=0,0,SER_hh_tesh!D26/SER_summary!D$26)</f>
        <v>18.469582941212579</v>
      </c>
      <c r="E26" s="65">
        <f>IF(SER_hh_tesh!E26=0,0,SER_hh_tesh!E26/SER_summary!E$26)</f>
        <v>18.263950271982484</v>
      </c>
      <c r="F26" s="65">
        <f>IF(SER_hh_tesh!F26=0,0,SER_hh_tesh!F26/SER_summary!F$26)</f>
        <v>17.809701771169841</v>
      </c>
      <c r="G26" s="65">
        <f>IF(SER_hh_tesh!G26=0,0,SER_hh_tesh!G26/SER_summary!G$26)</f>
        <v>18.44749756310673</v>
      </c>
      <c r="H26" s="65">
        <f>IF(SER_hh_tesh!H26=0,0,SER_hh_tesh!H26/SER_summary!H$26)</f>
        <v>17.36919688089116</v>
      </c>
      <c r="I26" s="65">
        <f>IF(SER_hh_tesh!I26=0,0,SER_hh_tesh!I26/SER_summary!I$26)</f>
        <v>18.249593649466753</v>
      </c>
      <c r="J26" s="65">
        <f>IF(SER_hh_tesh!J26=0,0,SER_hh_tesh!J26/SER_summary!J$26)</f>
        <v>17.926578268636707</v>
      </c>
      <c r="K26" s="65">
        <f>IF(SER_hh_tesh!K26=0,0,SER_hh_tesh!K26/SER_summary!K$26)</f>
        <v>18.62952609773987</v>
      </c>
      <c r="L26" s="65">
        <f>IF(SER_hh_tesh!L26=0,0,SER_hh_tesh!L26/SER_summary!L$26)</f>
        <v>18.54467712057675</v>
      </c>
      <c r="M26" s="65">
        <f>IF(SER_hh_tesh!M26=0,0,SER_hh_tesh!M26/SER_summary!M$26)</f>
        <v>18.384507876161098</v>
      </c>
      <c r="N26" s="65">
        <f>IF(SER_hh_tesh!N26=0,0,SER_hh_tesh!N26/SER_summary!N$26)</f>
        <v>17.821107420127255</v>
      </c>
      <c r="O26" s="65">
        <f>IF(SER_hh_tesh!O26=0,0,SER_hh_tesh!O26/SER_summary!O$26)</f>
        <v>18.110042198577936</v>
      </c>
      <c r="P26" s="65">
        <f>IF(SER_hh_tesh!P26=0,0,SER_hh_tesh!P26/SER_summary!P$26)</f>
        <v>19.155346542127784</v>
      </c>
      <c r="Q26" s="65">
        <f>IF(SER_hh_tesh!Q26=0,0,SER_hh_tesh!Q26/SER_summary!Q$26)</f>
        <v>18.650731573276531</v>
      </c>
      <c r="R26" s="65">
        <f>IF(SER_hh_tesh!R26=0,0,SER_hh_tesh!R26/SER_summary!R$26)</f>
        <v>17.535641091425259</v>
      </c>
      <c r="S26" s="65">
        <f>IF(SER_hh_tesh!S26=0,0,SER_hh_tesh!S26/SER_summary!S$26)</f>
        <v>18.828805948369407</v>
      </c>
      <c r="T26" s="65">
        <f>IF(SER_hh_tesh!T26=0,0,SER_hh_tesh!T26/SER_summary!T$26)</f>
        <v>17.826501919245267</v>
      </c>
      <c r="U26" s="65">
        <f>IF(SER_hh_tesh!U26=0,0,SER_hh_tesh!U26/SER_summary!U$26)</f>
        <v>17.84786512139442</v>
      </c>
      <c r="V26" s="65">
        <f>IF(SER_hh_tesh!V26=0,0,SER_hh_tesh!V26/SER_summary!V$26)</f>
        <v>19.788801168871963</v>
      </c>
      <c r="W26" s="65">
        <f>IF(SER_hh_tesh!W26=0,0,SER_hh_tesh!W26/SER_summary!W$26)</f>
        <v>15.972286053744053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</v>
      </c>
      <c r="M27" s="146">
        <f>IF(SER_hh_tesh!M27=0,0,SER_hh_tesh!M27/SER_summary!M$26)</f>
        <v>0</v>
      </c>
      <c r="N27" s="146">
        <f>IF(SER_hh_tesh!N27=0,0,SER_hh_tesh!N27/SER_summary!N$26)</f>
        <v>0</v>
      </c>
      <c r="O27" s="146">
        <f>IF(SER_hh_tesh!O27=0,0,SER_hh_tesh!O27/SER_summary!O$26)</f>
        <v>0</v>
      </c>
      <c r="P27" s="146">
        <f>IF(SER_hh_tesh!P27=0,0,SER_hh_tesh!P27/SER_summary!P$26)</f>
        <v>0</v>
      </c>
      <c r="Q27" s="146">
        <f>IF(SER_hh_tesh!Q27=0,0,SER_hh_tesh!Q27/SER_summary!Q$26)</f>
        <v>0</v>
      </c>
      <c r="R27" s="146">
        <f>IF(SER_hh_tesh!R27=0,0,SER_hh_tesh!R27/SER_summary!R$26)</f>
        <v>0</v>
      </c>
      <c r="S27" s="146">
        <f>IF(SER_hh_tesh!S27=0,0,SER_hh_tesh!S27/SER_summary!S$26)</f>
        <v>0</v>
      </c>
      <c r="T27" s="146">
        <f>IF(SER_hh_tesh!T27=0,0,SER_hh_tesh!T27/SER_summary!T$26)</f>
        <v>0</v>
      </c>
      <c r="U27" s="146">
        <f>IF(SER_hh_tesh!U27=0,0,SER_hh_tesh!U27/SER_summary!U$26)</f>
        <v>0</v>
      </c>
      <c r="V27" s="146">
        <f>IF(SER_hh_tesh!V27=0,0,SER_hh_tesh!V27/SER_summary!V$26)</f>
        <v>0</v>
      </c>
      <c r="W27" s="146">
        <f>IF(SER_hh_tesh!W27=0,0,SER_hh_tesh!W27/SER_summary!W$26)</f>
        <v>0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0</v>
      </c>
      <c r="M28" s="147">
        <f>IF(SER_hh_tesh!M28=0,0,SER_hh_tesh!M28/SER_summary!M$26)</f>
        <v>0</v>
      </c>
      <c r="N28" s="147">
        <f>IF(SER_hh_tesh!N28=0,0,SER_hh_tesh!N28/SER_summary!N$26)</f>
        <v>0</v>
      </c>
      <c r="O28" s="147">
        <f>IF(SER_hh_tesh!O28=0,0,SER_hh_tesh!O28/SER_summary!O$26)</f>
        <v>0</v>
      </c>
      <c r="P28" s="147">
        <f>IF(SER_hh_tesh!P28=0,0,SER_hh_tesh!P28/SER_summary!P$26)</f>
        <v>0</v>
      </c>
      <c r="Q28" s="147">
        <f>IF(SER_hh_tesh!Q28=0,0,SER_hh_tesh!Q28/SER_summary!Q$26)</f>
        <v>0</v>
      </c>
      <c r="R28" s="147">
        <f>IF(SER_hh_tesh!R28=0,0,SER_hh_tesh!R28/SER_summary!R$26)</f>
        <v>0</v>
      </c>
      <c r="S28" s="147">
        <f>IF(SER_hh_tesh!S28=0,0,SER_hh_tesh!S28/SER_summary!S$26)</f>
        <v>0</v>
      </c>
      <c r="T28" s="147">
        <f>IF(SER_hh_tesh!T28=0,0,SER_hh_tesh!T28/SER_summary!T$26)</f>
        <v>0</v>
      </c>
      <c r="U28" s="147">
        <f>IF(SER_hh_tesh!U28=0,0,SER_hh_tesh!U28/SER_summary!U$26)</f>
        <v>0</v>
      </c>
      <c r="V28" s="147">
        <f>IF(SER_hh_tesh!V28=0,0,SER_hh_tesh!V28/SER_summary!V$26)</f>
        <v>0</v>
      </c>
      <c r="W28" s="147">
        <f>IF(SER_hh_tesh!W28=0,0,SER_hh_tesh!W28/SER_summary!W$26)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16.390582626714497</v>
      </c>
      <c r="C29" s="131">
        <f>IF(SER_hh_tesh!C29=0,0,SER_hh_tesh!C29/SER_summary!C$26)</f>
        <v>16.792330358195375</v>
      </c>
      <c r="D29" s="131">
        <f>IF(SER_hh_tesh!D29=0,0,SER_hh_tesh!D29/SER_summary!D$26)</f>
        <v>16.728025070825698</v>
      </c>
      <c r="E29" s="131">
        <f>IF(SER_hh_tesh!E29=0,0,SER_hh_tesh!E29/SER_summary!E$26)</f>
        <v>16.707135414964682</v>
      </c>
      <c r="F29" s="131">
        <f>IF(SER_hh_tesh!F29=0,0,SER_hh_tesh!F29/SER_summary!F$26)</f>
        <v>16.855851925922757</v>
      </c>
      <c r="G29" s="131">
        <f>IF(SER_hh_tesh!G29=0,0,SER_hh_tesh!G29/SER_summary!G$26)</f>
        <v>16.87152256175434</v>
      </c>
      <c r="H29" s="131">
        <f>IF(SER_hh_tesh!H29=0,0,SER_hh_tesh!H29/SER_summary!H$26)</f>
        <v>17.154775957846606</v>
      </c>
      <c r="I29" s="131">
        <f>IF(SER_hh_tesh!I29=0,0,SER_hh_tesh!I29/SER_summary!I$26)</f>
        <v>17.437445446061403</v>
      </c>
      <c r="J29" s="131">
        <f>IF(SER_hh_tesh!J29=0,0,SER_hh_tesh!J29/SER_summary!J$26)</f>
        <v>17.555302068771674</v>
      </c>
      <c r="K29" s="131">
        <f>IF(SER_hh_tesh!K29=0,0,SER_hh_tesh!K29/SER_summary!K$26)</f>
        <v>17.715948868371562</v>
      </c>
      <c r="L29" s="131">
        <f>IF(SER_hh_tesh!L29=0,0,SER_hh_tesh!L29/SER_summary!L$26)</f>
        <v>17.875304262234575</v>
      </c>
      <c r="M29" s="131">
        <f>IF(SER_hh_tesh!M29=0,0,SER_hh_tesh!M29/SER_summary!M$26)</f>
        <v>18.006257494359854</v>
      </c>
      <c r="N29" s="131">
        <f>IF(SER_hh_tesh!N29=0,0,SER_hh_tesh!N29/SER_summary!N$26)</f>
        <v>18.039403032864776</v>
      </c>
      <c r="O29" s="131">
        <f>IF(SER_hh_tesh!O29=0,0,SER_hh_tesh!O29/SER_summary!O$26)</f>
        <v>18.026698217038412</v>
      </c>
      <c r="P29" s="131">
        <f>IF(SER_hh_tesh!P29=0,0,SER_hh_tesh!P29/SER_summary!P$26)</f>
        <v>18.069549916747221</v>
      </c>
      <c r="Q29" s="131">
        <f>IF(SER_hh_tesh!Q29=0,0,SER_hh_tesh!Q29/SER_summary!Q$26)</f>
        <v>17.928115962060403</v>
      </c>
      <c r="R29" s="131">
        <f>IF(SER_hh_tesh!R29=0,0,SER_hh_tesh!R29/SER_summary!R$26)</f>
        <v>18.101623908828344</v>
      </c>
      <c r="S29" s="131">
        <f>IF(SER_hh_tesh!S29=0,0,SER_hh_tesh!S29/SER_summary!S$26)</f>
        <v>18.155859560851539</v>
      </c>
      <c r="T29" s="131">
        <f>IF(SER_hh_tesh!T29=0,0,SER_hh_tesh!T29/SER_summary!T$26)</f>
        <v>18.161581477711813</v>
      </c>
      <c r="U29" s="131">
        <f>IF(SER_hh_tesh!U29=0,0,SER_hh_tesh!U29/SER_summary!U$26)</f>
        <v>18.345458887817749</v>
      </c>
      <c r="V29" s="131">
        <f>IF(SER_hh_tesh!V29=0,0,SER_hh_tesh!V29/SER_summary!V$26)</f>
        <v>17.495533264235135</v>
      </c>
      <c r="W29" s="131">
        <f>IF(SER_hh_tesh!W29=0,0,SER_hh_tesh!W29/SER_summary!W$26)</f>
        <v>17.67142725485342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14.809770101971827</v>
      </c>
      <c r="C30" s="133">
        <f>IF(SER_hh_tesh!C30=0,0,SER_hh_tesh!C30/SER_summary!C$26)</f>
        <v>20.439823142074438</v>
      </c>
      <c r="D30" s="133">
        <f>IF(SER_hh_tesh!D30=0,0,SER_hh_tesh!D30/SER_summary!D$26)</f>
        <v>17.445363037995495</v>
      </c>
      <c r="E30" s="133">
        <f>IF(SER_hh_tesh!E30=0,0,SER_hh_tesh!E30/SER_summary!E$26)</f>
        <v>15.566585996589779</v>
      </c>
      <c r="F30" s="133">
        <f>IF(SER_hh_tesh!F30=0,0,SER_hh_tesh!F30/SER_summary!F$26)</f>
        <v>14.288977124345095</v>
      </c>
      <c r="G30" s="133">
        <f>IF(SER_hh_tesh!G30=0,0,SER_hh_tesh!G30/SER_summary!G$26)</f>
        <v>12.169061985705238</v>
      </c>
      <c r="H30" s="133">
        <f>IF(SER_hh_tesh!H30=0,0,SER_hh_tesh!H30/SER_summary!H$26)</f>
        <v>17.402040160249129</v>
      </c>
      <c r="I30" s="133">
        <f>IF(SER_hh_tesh!I30=0,0,SER_hh_tesh!I30/SER_summary!I$26)</f>
        <v>21.495584901698912</v>
      </c>
      <c r="J30" s="133">
        <f>IF(SER_hh_tesh!J30=0,0,SER_hh_tesh!J30/SER_summary!J$26)</f>
        <v>18.985355387143713</v>
      </c>
      <c r="K30" s="133">
        <f>IF(SER_hh_tesh!K30=0,0,SER_hh_tesh!K30/SER_summary!K$26)</f>
        <v>13.29449688924799</v>
      </c>
      <c r="L30" s="133">
        <f>IF(SER_hh_tesh!L30=0,0,SER_hh_tesh!L30/SER_summary!L$26)</f>
        <v>21.424246420815425</v>
      </c>
      <c r="M30" s="133">
        <f>IF(SER_hh_tesh!M30=0,0,SER_hh_tesh!M30/SER_summary!M$26)</f>
        <v>23.353810481492093</v>
      </c>
      <c r="N30" s="133">
        <f>IF(SER_hh_tesh!N30=0,0,SER_hh_tesh!N30/SER_summary!N$26)</f>
        <v>9.5855632487170652</v>
      </c>
      <c r="O30" s="133">
        <f>IF(SER_hh_tesh!O30=0,0,SER_hh_tesh!O30/SER_summary!O$26)</f>
        <v>15.135403300493115</v>
      </c>
      <c r="P30" s="133">
        <f>IF(SER_hh_tesh!P30=0,0,SER_hh_tesh!P30/SER_summary!P$26)</f>
        <v>22.345464311334524</v>
      </c>
      <c r="Q30" s="133">
        <f>IF(SER_hh_tesh!Q30=0,0,SER_hh_tesh!Q30/SER_summary!Q$26)</f>
        <v>13.25406091218005</v>
      </c>
      <c r="R30" s="133">
        <f>IF(SER_hh_tesh!R30=0,0,SER_hh_tesh!R30/SER_summary!R$26)</f>
        <v>16.697506225421222</v>
      </c>
      <c r="S30" s="133">
        <f>IF(SER_hh_tesh!S30=0,0,SER_hh_tesh!S30/SER_summary!S$26)</f>
        <v>18.227358992827423</v>
      </c>
      <c r="T30" s="133">
        <f>IF(SER_hh_tesh!T30=0,0,SER_hh_tesh!T30/SER_summary!T$26)</f>
        <v>17.863431489189932</v>
      </c>
      <c r="U30" s="133">
        <f>IF(SER_hh_tesh!U30=0,0,SER_hh_tesh!U30/SER_summary!U$26)</f>
        <v>18.000112026922427</v>
      </c>
      <c r="V30" s="133">
        <f>IF(SER_hh_tesh!V30=0,0,SER_hh_tesh!V30/SER_summary!V$26)</f>
        <v>17.754684021925947</v>
      </c>
      <c r="W30" s="133">
        <f>IF(SER_hh_tesh!W30=0,0,SER_hh_tesh!W30/SER_summary!W$26)</f>
        <v>17.615770959802973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17.582125400699905</v>
      </c>
      <c r="C31" s="133">
        <f>IF(SER_hh_tesh!C31=0,0,SER_hh_tesh!C31/SER_summary!C$26)</f>
        <v>16.001726945183798</v>
      </c>
      <c r="D31" s="133">
        <f>IF(SER_hh_tesh!D31=0,0,SER_hh_tesh!D31/SER_summary!D$26)</f>
        <v>16.646846990131131</v>
      </c>
      <c r="E31" s="133">
        <f>IF(SER_hh_tesh!E31=0,0,SER_hh_tesh!E31/SER_summary!E$26)</f>
        <v>17.339632706365094</v>
      </c>
      <c r="F31" s="133">
        <f>IF(SER_hh_tesh!F31=0,0,SER_hh_tesh!F31/SER_summary!F$26)</f>
        <v>16.968725122624743</v>
      </c>
      <c r="G31" s="133">
        <f>IF(SER_hh_tesh!G31=0,0,SER_hh_tesh!G31/SER_summary!G$26)</f>
        <v>17.032784427902385</v>
      </c>
      <c r="H31" s="133">
        <f>IF(SER_hh_tesh!H31=0,0,SER_hh_tesh!H31/SER_summary!H$26)</f>
        <v>17.271755293125594</v>
      </c>
      <c r="I31" s="133">
        <f>IF(SER_hh_tesh!I31=0,0,SER_hh_tesh!I31/SER_summary!I$26)</f>
        <v>17.558417530093426</v>
      </c>
      <c r="J31" s="133">
        <f>IF(SER_hh_tesh!J31=0,0,SER_hh_tesh!J31/SER_summary!J$26)</f>
        <v>18.331748215789759</v>
      </c>
      <c r="K31" s="133">
        <f>IF(SER_hh_tesh!K31=0,0,SER_hh_tesh!K31/SER_summary!K$26)</f>
        <v>17.909124747483258</v>
      </c>
      <c r="L31" s="133">
        <f>IF(SER_hh_tesh!L31=0,0,SER_hh_tesh!L31/SER_summary!L$26)</f>
        <v>16.969888142913373</v>
      </c>
      <c r="M31" s="133">
        <f>IF(SER_hh_tesh!M31=0,0,SER_hh_tesh!M31/SER_summary!M$26)</f>
        <v>17.679571439103231</v>
      </c>
      <c r="N31" s="133">
        <f>IF(SER_hh_tesh!N31=0,0,SER_hh_tesh!N31/SER_summary!N$26)</f>
        <v>17.748620256415585</v>
      </c>
      <c r="O31" s="133">
        <f>IF(SER_hh_tesh!O31=0,0,SER_hh_tesh!O31/SER_summary!O$26)</f>
        <v>17.813690224153632</v>
      </c>
      <c r="P31" s="133">
        <f>IF(SER_hh_tesh!P31=0,0,SER_hh_tesh!P31/SER_summary!P$26)</f>
        <v>18.450843332720854</v>
      </c>
      <c r="Q31" s="133">
        <f>IF(SER_hh_tesh!Q31=0,0,SER_hh_tesh!Q31/SER_summary!Q$26)</f>
        <v>18.329935685495148</v>
      </c>
      <c r="R31" s="133">
        <f>IF(SER_hh_tesh!R31=0,0,SER_hh_tesh!R31/SER_summary!R$26)</f>
        <v>20.311152223099487</v>
      </c>
      <c r="S31" s="133">
        <f>IF(SER_hh_tesh!S31=0,0,SER_hh_tesh!S31/SER_summary!S$26)</f>
        <v>11.990874062779811</v>
      </c>
      <c r="T31" s="133">
        <f>IF(SER_hh_tesh!T31=0,0,SER_hh_tesh!T31/SER_summary!T$26)</f>
        <v>16.697158779830009</v>
      </c>
      <c r="U31" s="133">
        <f>IF(SER_hh_tesh!U31=0,0,SER_hh_tesh!U31/SER_summary!U$26)</f>
        <v>20.745683135111236</v>
      </c>
      <c r="V31" s="133">
        <f>IF(SER_hh_tesh!V31=0,0,SER_hh_tesh!V31/SER_summary!V$26)</f>
        <v>16.901572833981962</v>
      </c>
      <c r="W31" s="133">
        <f>IF(SER_hh_tesh!W31=0,0,SER_hh_tesh!W31/SER_summary!W$26)</f>
        <v>18.126049829701294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16.617518626003623</v>
      </c>
      <c r="C33" s="68">
        <f>IF(SER_hh_tesh!C33=0,0,SER_hh_tesh!C33/SER_summary!C$26)</f>
        <v>16.229269050478372</v>
      </c>
      <c r="D33" s="68">
        <f>IF(SER_hh_tesh!D33=0,0,SER_hh_tesh!D33/SER_summary!D$26)</f>
        <v>16.621337119752425</v>
      </c>
      <c r="E33" s="68">
        <f>IF(SER_hh_tesh!E33=0,0,SER_hh_tesh!E33/SER_summary!E$26)</f>
        <v>16.832888322177329</v>
      </c>
      <c r="F33" s="68">
        <f>IF(SER_hh_tesh!F33=0,0,SER_hh_tesh!F33/SER_summary!F$26)</f>
        <v>17.163796365497848</v>
      </c>
      <c r="G33" s="68">
        <f>IF(SER_hh_tesh!G33=0,0,SER_hh_tesh!G33/SER_summary!G$26)</f>
        <v>17.558464730118935</v>
      </c>
      <c r="H33" s="68">
        <f>IF(SER_hh_tesh!H33=0,0,SER_hh_tesh!H33/SER_summary!H$26)</f>
        <v>17.098036476747843</v>
      </c>
      <c r="I33" s="68">
        <f>IF(SER_hh_tesh!I33=0,0,SER_hh_tesh!I33/SER_summary!I$26)</f>
        <v>16.352772653351515</v>
      </c>
      <c r="J33" s="68">
        <f>IF(SER_hh_tesh!J33=0,0,SER_hh_tesh!J33/SER_summary!J$26)</f>
        <v>17.132439537878501</v>
      </c>
      <c r="K33" s="68">
        <f>IF(SER_hh_tesh!K33=0,0,SER_hh_tesh!K33/SER_summary!K$26)</f>
        <v>18.817108092621307</v>
      </c>
      <c r="L33" s="68">
        <f>IF(SER_hh_tesh!L33=0,0,SER_hh_tesh!L33/SER_summary!L$26)</f>
        <v>17.050220140244807</v>
      </c>
      <c r="M33" s="68">
        <f>IF(SER_hh_tesh!M33=0,0,SER_hh_tesh!M33/SER_summary!M$26)</f>
        <v>16.980617993366916</v>
      </c>
      <c r="N33" s="68">
        <f>IF(SER_hh_tesh!N33=0,0,SER_hh_tesh!N33/SER_summary!N$26)</f>
        <v>19.044183602522153</v>
      </c>
      <c r="O33" s="68">
        <f>IF(SER_hh_tesh!O33=0,0,SER_hh_tesh!O33/SER_summary!O$26)</f>
        <v>18.25413585635123</v>
      </c>
      <c r="P33" s="68">
        <f>IF(SER_hh_tesh!P33=0,0,SER_hh_tesh!P33/SER_summary!P$26)</f>
        <v>17.826884978652121</v>
      </c>
      <c r="Q33" s="68">
        <f>IF(SER_hh_tesh!Q33=0,0,SER_hh_tesh!Q33/SER_summary!Q$26)</f>
        <v>18.112301079587837</v>
      </c>
      <c r="R33" s="68">
        <f>IF(SER_hh_tesh!R33=0,0,SER_hh_tesh!R33/SER_summary!R$26)</f>
        <v>18.114587152814792</v>
      </c>
      <c r="S33" s="68">
        <f>IF(SER_hh_tesh!S33=0,0,SER_hh_tesh!S33/SER_summary!S$26)</f>
        <v>18.24402102503522</v>
      </c>
      <c r="T33" s="68">
        <f>IF(SER_hh_tesh!T33=0,0,SER_hh_tesh!T33/SER_summary!T$26)</f>
        <v>18.191306061109547</v>
      </c>
      <c r="U33" s="68">
        <f>IF(SER_hh_tesh!U33=0,0,SER_hh_tesh!U33/SER_summary!U$26)</f>
        <v>18.31593727435029</v>
      </c>
      <c r="V33" s="68">
        <f>IF(SER_hh_tesh!V33=0,0,SER_hh_tesh!V33/SER_summary!V$26)</f>
        <v>17.498774457348905</v>
      </c>
      <c r="W33" s="68">
        <f>IF(SER_hh_tesh!W33=0,0,SER_hh_tesh!W33/SER_summary!W$26)</f>
        <v>17.664772495278836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22.927263782818287</v>
      </c>
      <c r="C3" s="126">
        <f>IF(SER_hh_emih!C3=0,0,SER_hh_emih!C3/SER_summary!C$26)</f>
        <v>22.973221808827116</v>
      </c>
      <c r="D3" s="126">
        <f>IF(SER_hh_emih!D3=0,0,SER_hh_emih!D3/SER_summary!D$26)</f>
        <v>22.478064415888305</v>
      </c>
      <c r="E3" s="126">
        <f>IF(SER_hh_emih!E3=0,0,SER_hh_emih!E3/SER_summary!E$26)</f>
        <v>23.210327406864337</v>
      </c>
      <c r="F3" s="126">
        <f>IF(SER_hh_emih!F3=0,0,SER_hh_emih!F3/SER_summary!F$26)</f>
        <v>17.558542557738029</v>
      </c>
      <c r="G3" s="126">
        <f>IF(SER_hh_emih!G3=0,0,SER_hh_emih!G3/SER_summary!G$26)</f>
        <v>9.7823040392046394</v>
      </c>
      <c r="H3" s="126">
        <f>IF(SER_hh_emih!H3=0,0,SER_hh_emih!H3/SER_summary!H$26)</f>
        <v>9.2881618181953023</v>
      </c>
      <c r="I3" s="126">
        <f>IF(SER_hh_emih!I3=0,0,SER_hh_emih!I3/SER_summary!I$26)</f>
        <v>9.4190013431568111</v>
      </c>
      <c r="J3" s="126">
        <f>IF(SER_hh_emih!J3=0,0,SER_hh_emih!J3/SER_summary!J$26)</f>
        <v>8.3306647817970756</v>
      </c>
      <c r="K3" s="126">
        <f>IF(SER_hh_emih!K3=0,0,SER_hh_emih!K3/SER_summary!K$26)</f>
        <v>7.0421068560725537</v>
      </c>
      <c r="L3" s="126">
        <f>IF(SER_hh_emih!L3=0,0,SER_hh_emih!L3/SER_summary!L$26)</f>
        <v>8.4003951330757616</v>
      </c>
      <c r="M3" s="126">
        <f>IF(SER_hh_emih!M3=0,0,SER_hh_emih!M3/SER_summary!M$26)</f>
        <v>7.6941442844335333</v>
      </c>
      <c r="N3" s="126">
        <f>IF(SER_hh_emih!N3=0,0,SER_hh_emih!N3/SER_summary!N$26)</f>
        <v>7.0238527438114167</v>
      </c>
      <c r="O3" s="126">
        <f>IF(SER_hh_emih!O3=0,0,SER_hh_emih!O3/SER_summary!O$26)</f>
        <v>6.1977688595242713</v>
      </c>
      <c r="P3" s="126">
        <f>IF(SER_hh_emih!P3=0,0,SER_hh_emih!P3/SER_summary!P$26)</f>
        <v>5.8792375741621479</v>
      </c>
      <c r="Q3" s="126">
        <f>IF(SER_hh_emih!Q3=0,0,SER_hh_emih!Q3/SER_summary!Q$26)</f>
        <v>5.5071654763925366</v>
      </c>
      <c r="R3" s="126">
        <f>IF(SER_hh_emih!R3=0,0,SER_hh_emih!R3/SER_summary!R$26)</f>
        <v>5.2923340752612207</v>
      </c>
      <c r="S3" s="126">
        <f>IF(SER_hh_emih!S3=0,0,SER_hh_emih!S3/SER_summary!S$26)</f>
        <v>4.6578780305716103</v>
      </c>
      <c r="T3" s="126">
        <f>IF(SER_hh_emih!T3=0,0,SER_hh_emih!T3/SER_summary!T$26)</f>
        <v>4.8561127939230015</v>
      </c>
      <c r="U3" s="126">
        <f>IF(SER_hh_emih!U3=0,0,SER_hh_emih!U3/SER_summary!U$26)</f>
        <v>4.9825422718374908</v>
      </c>
      <c r="V3" s="126">
        <f>IF(SER_hh_emih!V3=0,0,SER_hh_emih!V3/SER_summary!V$26)</f>
        <v>4.7920146837908728</v>
      </c>
      <c r="W3" s="126">
        <f>IF(SER_hh_emih!W3=0,0,SER_hh_emih!W3/SER_summary!W$26)</f>
        <v>4.2678972304390621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20.039436479597544</v>
      </c>
      <c r="C4" s="131">
        <f>IF(SER_hh_emih!C4=0,0,SER_hh_emih!C4/SER_summary!C$26)</f>
        <v>19.910584703170926</v>
      </c>
      <c r="D4" s="131">
        <f>IF(SER_hh_emih!D4=0,0,SER_hh_emih!D4/SER_summary!D$26)</f>
        <v>19.678414677817827</v>
      </c>
      <c r="E4" s="131">
        <f>IF(SER_hh_emih!E4=0,0,SER_hh_emih!E4/SER_summary!E$26)</f>
        <v>20.644713454127068</v>
      </c>
      <c r="F4" s="131">
        <f>IF(SER_hh_emih!F4=0,0,SER_hh_emih!F4/SER_summary!F$26)</f>
        <v>15.27336582749107</v>
      </c>
      <c r="G4" s="131">
        <f>IF(SER_hh_emih!G4=0,0,SER_hh_emih!G4/SER_summary!G$26)</f>
        <v>8.0315808670714333</v>
      </c>
      <c r="H4" s="131">
        <f>IF(SER_hh_emih!H4=0,0,SER_hh_emih!H4/SER_summary!H$26)</f>
        <v>7.020438362280359</v>
      </c>
      <c r="I4" s="131">
        <f>IF(SER_hh_emih!I4=0,0,SER_hh_emih!I4/SER_summary!I$26)</f>
        <v>6.8150759291834291</v>
      </c>
      <c r="J4" s="131">
        <f>IF(SER_hh_emih!J4=0,0,SER_hh_emih!J4/SER_summary!J$26)</f>
        <v>5.9659863552004069</v>
      </c>
      <c r="K4" s="131">
        <f>IF(SER_hh_emih!K4=0,0,SER_hh_emih!K4/SER_summary!K$26)</f>
        <v>5.5001376792280956</v>
      </c>
      <c r="L4" s="131">
        <f>IF(SER_hh_emih!L4=0,0,SER_hh_emih!L4/SER_summary!L$26)</f>
        <v>6.3917902841409804</v>
      </c>
      <c r="M4" s="131">
        <f>IF(SER_hh_emih!M4=0,0,SER_hh_emih!M4/SER_summary!M$26)</f>
        <v>5.7987644368285292</v>
      </c>
      <c r="N4" s="131">
        <f>IF(SER_hh_emih!N4=0,0,SER_hh_emih!N4/SER_summary!N$26)</f>
        <v>5.9553350836307457</v>
      </c>
      <c r="O4" s="131">
        <f>IF(SER_hh_emih!O4=0,0,SER_hh_emih!O4/SER_summary!O$26)</f>
        <v>5.082696132702222</v>
      </c>
      <c r="P4" s="131">
        <f>IF(SER_hh_emih!P4=0,0,SER_hh_emih!P4/SER_summary!P$26)</f>
        <v>4.8867272068746699</v>
      </c>
      <c r="Q4" s="131">
        <f>IF(SER_hh_emih!Q4=0,0,SER_hh_emih!Q4/SER_summary!Q$26)</f>
        <v>4.5789049113622138</v>
      </c>
      <c r="R4" s="131">
        <f>IF(SER_hh_emih!R4=0,0,SER_hh_emih!R4/SER_summary!R$26)</f>
        <v>4.3667453263567433</v>
      </c>
      <c r="S4" s="131">
        <f>IF(SER_hh_emih!S4=0,0,SER_hh_emih!S4/SER_summary!S$26)</f>
        <v>3.8226028981114863</v>
      </c>
      <c r="T4" s="131">
        <f>IF(SER_hh_emih!T4=0,0,SER_hh_emih!T4/SER_summary!T$26)</f>
        <v>4.0046428092288489</v>
      </c>
      <c r="U4" s="131">
        <f>IF(SER_hh_emih!U4=0,0,SER_hh_emih!U4/SER_summary!U$26)</f>
        <v>4.1065091117354484</v>
      </c>
      <c r="V4" s="131">
        <f>IF(SER_hh_emih!V4=0,0,SER_hh_emih!V4/SER_summary!V$26)</f>
        <v>3.9540351679263677</v>
      </c>
      <c r="W4" s="131">
        <f>IF(SER_hh_emih!W4=0,0,SER_hh_emih!W4/SER_summary!W$26)</f>
        <v>3.500271203700664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87.207683889944278</v>
      </c>
      <c r="C7" s="133">
        <f>IF(SER_hh_emih!C7=0,0,SER_hh_emih!C7/SER_summary!C$26)</f>
        <v>91.494928290516242</v>
      </c>
      <c r="D7" s="133">
        <f>IF(SER_hh_emih!D7=0,0,SER_hh_emih!D7/SER_summary!D$26)</f>
        <v>90.870513937763448</v>
      </c>
      <c r="E7" s="133">
        <f>IF(SER_hh_emih!E7=0,0,SER_hh_emih!E7/SER_summary!E$26)</f>
        <v>101.38089116660055</v>
      </c>
      <c r="F7" s="133">
        <f>IF(SER_hh_emih!F7=0,0,SER_hh_emih!F7/SER_summary!F$26)</f>
        <v>89.019817700793354</v>
      </c>
      <c r="G7" s="133">
        <f>IF(SER_hh_emih!G7=0,0,SER_hh_emih!G7/SER_summary!G$26)</f>
        <v>57.971642882601728</v>
      </c>
      <c r="H7" s="133">
        <f>IF(SER_hh_emih!H7=0,0,SER_hh_emih!H7/SER_summary!H$26)</f>
        <v>63.892220723130642</v>
      </c>
      <c r="I7" s="133">
        <f>IF(SER_hh_emih!I7=0,0,SER_hh_emih!I7/SER_summary!I$26)</f>
        <v>71.220343670618306</v>
      </c>
      <c r="J7" s="133">
        <f>IF(SER_hh_emih!J7=0,0,SER_hh_emih!J7/SER_summary!J$26)</f>
        <v>63.401859772759167</v>
      </c>
      <c r="K7" s="133">
        <f>IF(SER_hh_emih!K7=0,0,SER_hh_emih!K7/SER_summary!K$26)</f>
        <v>64.039084663313062</v>
      </c>
      <c r="L7" s="133">
        <f>IF(SER_hh_emih!L7=0,0,SER_hh_emih!L7/SER_summary!L$26)</f>
        <v>64.115486781851743</v>
      </c>
      <c r="M7" s="133">
        <f>IF(SER_hh_emih!M7=0,0,SER_hh_emih!M7/SER_summary!M$26)</f>
        <v>55.239383362048592</v>
      </c>
      <c r="N7" s="133">
        <f>IF(SER_hh_emih!N7=0,0,SER_hh_emih!N7/SER_summary!N$26)</f>
        <v>52.349945893179232</v>
      </c>
      <c r="O7" s="133">
        <f>IF(SER_hh_emih!O7=0,0,SER_hh_emih!O7/SER_summary!O$26)</f>
        <v>45.358111687823545</v>
      </c>
      <c r="P7" s="133">
        <f>IF(SER_hh_emih!P7=0,0,SER_hh_emih!P7/SER_summary!P$26)</f>
        <v>45.051197336437625</v>
      </c>
      <c r="Q7" s="133">
        <f>IF(SER_hh_emih!Q7=0,0,SER_hh_emih!Q7/SER_summary!Q$26)</f>
        <v>43.17125552387914</v>
      </c>
      <c r="R7" s="133">
        <f>IF(SER_hh_emih!R7=0,0,SER_hh_emih!R7/SER_summary!R$26)</f>
        <v>41.188431641078267</v>
      </c>
      <c r="S7" s="133">
        <f>IF(SER_hh_emih!S7=0,0,SER_hh_emih!S7/SER_summary!S$26)</f>
        <v>39.189558017296854</v>
      </c>
      <c r="T7" s="133">
        <f>IF(SER_hh_emih!T7=0,0,SER_hh_emih!T7/SER_summary!T$26)</f>
        <v>37.377316661570568</v>
      </c>
      <c r="U7" s="133">
        <f>IF(SER_hh_emih!U7=0,0,SER_hh_emih!U7/SER_summary!U$26)</f>
        <v>35.550860598877975</v>
      </c>
      <c r="V7" s="133">
        <f>IF(SER_hh_emih!V7=0,0,SER_hh_emih!V7/SER_summary!V$26)</f>
        <v>34.899491768045827</v>
      </c>
      <c r="W7" s="133">
        <f>IF(SER_hh_emih!W7=0,0,SER_hh_emih!W7/SER_summary!W$26)</f>
        <v>32.541983114643344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59.470596586853254</v>
      </c>
      <c r="C9" s="133">
        <f>IF(SER_hh_emih!C9=0,0,SER_hh_emih!C9/SER_summary!C$26)</f>
        <v>42.923724130853834</v>
      </c>
      <c r="D9" s="133">
        <f>IF(SER_hh_emih!D9=0,0,SER_hh_emih!D9/SER_summary!D$26)</f>
        <v>57.404629067719839</v>
      </c>
      <c r="E9" s="133">
        <f>IF(SER_hh_emih!E9=0,0,SER_hh_emih!E9/SER_summary!E$26)</f>
        <v>59.205223947602072</v>
      </c>
      <c r="F9" s="133">
        <f>IF(SER_hh_emih!F9=0,0,SER_hh_emih!F9/SER_summary!F$26)</f>
        <v>48.791117969562571</v>
      </c>
      <c r="G9" s="133">
        <f>IF(SER_hh_emih!G9=0,0,SER_hh_emih!G9/SER_summary!G$26)</f>
        <v>44.900133593902368</v>
      </c>
      <c r="H9" s="133">
        <f>IF(SER_hh_emih!H9=0,0,SER_hh_emih!H9/SER_summary!H$26)</f>
        <v>42.51653860995193</v>
      </c>
      <c r="I9" s="133">
        <f>IF(SER_hh_emih!I9=0,0,SER_hh_emih!I9/SER_summary!I$26)</f>
        <v>44.283510001436674</v>
      </c>
      <c r="J9" s="133">
        <f>IF(SER_hh_emih!J9=0,0,SER_hh_emih!J9/SER_summary!J$26)</f>
        <v>46.836630297576455</v>
      </c>
      <c r="K9" s="133">
        <f>IF(SER_hh_emih!K9=0,0,SER_hh_emih!K9/SER_summary!K$26)</f>
        <v>21.623448865983942</v>
      </c>
      <c r="L9" s="133">
        <f>IF(SER_hh_emih!L9=0,0,SER_hh_emih!L9/SER_summary!L$26)</f>
        <v>45.521040682450938</v>
      </c>
      <c r="M9" s="133">
        <f>IF(SER_hh_emih!M9=0,0,SER_hh_emih!M9/SER_summary!M$26)</f>
        <v>35.167209262224034</v>
      </c>
      <c r="N9" s="133">
        <f>IF(SER_hh_emih!N9=0,0,SER_hh_emih!N9/SER_summary!N$26)</f>
        <v>41.692358054505121</v>
      </c>
      <c r="O9" s="133">
        <f>IF(SER_hh_emih!O9=0,0,SER_hh_emih!O9/SER_summary!O$26)</f>
        <v>35.890952756342529</v>
      </c>
      <c r="P9" s="133">
        <f>IF(SER_hh_emih!P9=0,0,SER_hh_emih!P9/SER_summary!P$26)</f>
        <v>34.737621578187074</v>
      </c>
      <c r="Q9" s="133">
        <f>IF(SER_hh_emih!Q9=0,0,SER_hh_emih!Q9/SER_summary!Q$26)</f>
        <v>35.851316726753531</v>
      </c>
      <c r="R9" s="133">
        <f>IF(SER_hh_emih!R9=0,0,SER_hh_emih!R9/SER_summary!R$26)</f>
        <v>39.470463026958235</v>
      </c>
      <c r="S9" s="133">
        <f>IF(SER_hh_emih!S9=0,0,SER_hh_emih!S9/SER_summary!S$26)</f>
        <v>21.94589937147607</v>
      </c>
      <c r="T9" s="133">
        <f>IF(SER_hh_emih!T9=0,0,SER_hh_emih!T9/SER_summary!T$26)</f>
        <v>31.504655304697625</v>
      </c>
      <c r="U9" s="133">
        <f>IF(SER_hh_emih!U9=0,0,SER_hh_emih!U9/SER_summary!U$26)</f>
        <v>36.362004673456788</v>
      </c>
      <c r="V9" s="133">
        <f>IF(SER_hh_emih!V9=0,0,SER_hh_emih!V9/SER_summary!V$26)</f>
        <v>32.226234285872366</v>
      </c>
      <c r="W9" s="133">
        <f>IF(SER_hh_emih!W9=0,0,SER_hh_emih!W9/SER_summary!W$26)</f>
        <v>30.56918426106294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1.9857906388318369</v>
      </c>
      <c r="C19" s="131">
        <f>IF(SER_hh_emih!C19=0,0,SER_hh_emih!C19/SER_summary!C$26)</f>
        <v>1.9182879296412931</v>
      </c>
      <c r="D19" s="131">
        <f>IF(SER_hh_emih!D19=0,0,SER_hh_emih!D19/SER_summary!D$26)</f>
        <v>1.8298287701425366</v>
      </c>
      <c r="E19" s="131">
        <f>IF(SER_hh_emih!E19=0,0,SER_hh_emih!E19/SER_summary!E$26)</f>
        <v>1.7671442237495532</v>
      </c>
      <c r="F19" s="131">
        <f>IF(SER_hh_emih!F19=0,0,SER_hh_emih!F19/SER_summary!F$26)</f>
        <v>1.5735227518467514</v>
      </c>
      <c r="G19" s="131">
        <f>IF(SER_hh_emih!G19=0,0,SER_hh_emih!G19/SER_summary!G$26)</f>
        <v>1.0368484786501244</v>
      </c>
      <c r="H19" s="131">
        <f>IF(SER_hh_emih!H19=0,0,SER_hh_emih!H19/SER_summary!H$26)</f>
        <v>1.0394525072489778</v>
      </c>
      <c r="I19" s="131">
        <f>IF(SER_hh_emih!I19=0,0,SER_hh_emih!I19/SER_summary!I$26)</f>
        <v>0.86182093717946173</v>
      </c>
      <c r="J19" s="131">
        <f>IF(SER_hh_emih!J19=0,0,SER_hh_emih!J19/SER_summary!J$26)</f>
        <v>0.76788820738495556</v>
      </c>
      <c r="K19" s="131">
        <f>IF(SER_hh_emih!K19=0,0,SER_hh_emih!K19/SER_summary!K$26)</f>
        <v>0.46996886798465598</v>
      </c>
      <c r="L19" s="131">
        <f>IF(SER_hh_emih!L19=0,0,SER_hh_emih!L19/SER_summary!L$26)</f>
        <v>0.4363151615557303</v>
      </c>
      <c r="M19" s="131">
        <f>IF(SER_hh_emih!M19=0,0,SER_hh_emih!M19/SER_summary!M$26)</f>
        <v>0.45117735789204588</v>
      </c>
      <c r="N19" s="131">
        <f>IF(SER_hh_emih!N19=0,0,SER_hh_emih!N19/SER_summary!N$26)</f>
        <v>0.60564075055815436</v>
      </c>
      <c r="O19" s="131">
        <f>IF(SER_hh_emih!O19=0,0,SER_hh_emih!O19/SER_summary!O$26)</f>
        <v>0.6303478538520535</v>
      </c>
      <c r="P19" s="131">
        <f>IF(SER_hh_emih!P19=0,0,SER_hh_emih!P19/SER_summary!P$26)</f>
        <v>0.47764469012913696</v>
      </c>
      <c r="Q19" s="131">
        <f>IF(SER_hh_emih!Q19=0,0,SER_hh_emih!Q19/SER_summary!Q$26)</f>
        <v>0.64942313300332377</v>
      </c>
      <c r="R19" s="131">
        <f>IF(SER_hh_emih!R19=0,0,SER_hh_emih!R19/SER_summary!R$26)</f>
        <v>0.63578831903486654</v>
      </c>
      <c r="S19" s="131">
        <f>IF(SER_hh_emih!S19=0,0,SER_hh_emih!S19/SER_summary!S$26)</f>
        <v>0.59719741712691676</v>
      </c>
      <c r="T19" s="131">
        <f>IF(SER_hh_emih!T19=0,0,SER_hh_emih!T19/SER_summary!T$26)</f>
        <v>0.60172452289562051</v>
      </c>
      <c r="U19" s="131">
        <f>IF(SER_hh_emih!U19=0,0,SER_hh_emih!U19/SER_summary!U$26)</f>
        <v>0.59820538831950698</v>
      </c>
      <c r="V19" s="131">
        <f>IF(SER_hh_emih!V19=0,0,SER_hh_emih!V19/SER_summary!V$26)</f>
        <v>0.57317534987627283</v>
      </c>
      <c r="W19" s="131">
        <f>IF(SER_hh_emih!W19=0,0,SER_hh_emih!W19/SER_summary!W$26)</f>
        <v>0.49707977499029304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9.9693235209312299</v>
      </c>
      <c r="C22" s="133">
        <f>IF(SER_hh_emih!C22=0,0,SER_hh_emih!C22/SER_summary!C$26)</f>
        <v>9.8738399864307205</v>
      </c>
      <c r="D22" s="133">
        <f>IF(SER_hh_emih!D22=0,0,SER_hh_emih!D22/SER_summary!D$26)</f>
        <v>9.7888141745038659</v>
      </c>
      <c r="E22" s="133">
        <f>IF(SER_hh_emih!E22=0,0,SER_hh_emih!E22/SER_summary!E$26)</f>
        <v>10.170882754804504</v>
      </c>
      <c r="F22" s="133">
        <f>IF(SER_hh_emih!F22=0,0,SER_hh_emih!F22/SER_summary!F$26)</f>
        <v>10.29506395711724</v>
      </c>
      <c r="G22" s="133">
        <f>IF(SER_hh_emih!G22=0,0,SER_hh_emih!G22/SER_summary!G$26)</f>
        <v>8.1575920732113847</v>
      </c>
      <c r="H22" s="133">
        <f>IF(SER_hh_emih!H22=0,0,SER_hh_emih!H22/SER_summary!H$26)</f>
        <v>9.4464954115078399</v>
      </c>
      <c r="I22" s="133">
        <f>IF(SER_hh_emih!I22=0,0,SER_hh_emih!I22/SER_summary!I$26)</f>
        <v>9.3893081288817815</v>
      </c>
      <c r="J22" s="133">
        <f>IF(SER_hh_emih!J22=0,0,SER_hh_emih!J22/SER_summary!J$26)</f>
        <v>9.9028147618704896</v>
      </c>
      <c r="K22" s="133">
        <f>IF(SER_hh_emih!K22=0,0,SER_hh_emih!K22/SER_summary!K$26)</f>
        <v>7.4843104523874358</v>
      </c>
      <c r="L22" s="133">
        <f>IF(SER_hh_emih!L22=0,0,SER_hh_emih!L22/SER_summary!L$26)</f>
        <v>7.6642404374780266</v>
      </c>
      <c r="M22" s="133">
        <f>IF(SER_hh_emih!M22=0,0,SER_hh_emih!M22/SER_summary!M$26)</f>
        <v>7.5782685685185465</v>
      </c>
      <c r="N22" s="133">
        <f>IF(SER_hh_emih!N22=0,0,SER_hh_emih!N22/SER_summary!N$26)</f>
        <v>9.1269882632737076</v>
      </c>
      <c r="O22" s="133">
        <f>IF(SER_hh_emih!O22=0,0,SER_hh_emih!O22/SER_summary!O$26)</f>
        <v>8.600211046618977</v>
      </c>
      <c r="P22" s="133">
        <f>IF(SER_hh_emih!P22=0,0,SER_hh_emih!P22/SER_summary!P$26)</f>
        <v>5.969370657544923</v>
      </c>
      <c r="Q22" s="133">
        <f>IF(SER_hh_emih!Q22=0,0,SER_hh_emih!Q22/SER_summary!Q$26)</f>
        <v>7.5893896189038133</v>
      </c>
      <c r="R22" s="133">
        <f>IF(SER_hh_emih!R22=0,0,SER_hh_emih!R22/SER_summary!R$26)</f>
        <v>6.83105357688952</v>
      </c>
      <c r="S22" s="133">
        <f>IF(SER_hh_emih!S22=0,0,SER_hh_emih!S22/SER_summary!S$26)</f>
        <v>6.3561458025007198</v>
      </c>
      <c r="T22" s="133">
        <f>IF(SER_hh_emih!T22=0,0,SER_hh_emih!T22/SER_summary!T$26)</f>
        <v>6.1106161848555169</v>
      </c>
      <c r="U22" s="133">
        <f>IF(SER_hh_emih!U22=0,0,SER_hh_emih!U22/SER_summary!U$26)</f>
        <v>5.9137451222066444</v>
      </c>
      <c r="V22" s="133">
        <f>IF(SER_hh_emih!V22=0,0,SER_hh_emih!V22/SER_summary!V$26)</f>
        <v>5.8373324396799529</v>
      </c>
      <c r="W22" s="133">
        <f>IF(SER_hh_emih!W22=0,0,SER_hh_emih!W22/SER_summary!W$26)</f>
        <v>5.2930779315511645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7.3171056796530403</v>
      </c>
      <c r="C23" s="133">
        <f>IF(SER_hh_emih!C23=0,0,SER_hh_emih!C23/SER_summary!C$26)</f>
        <v>6.4105242183814548</v>
      </c>
      <c r="D23" s="133">
        <f>IF(SER_hh_emih!D23=0,0,SER_hh_emih!D23/SER_summary!D$26)</f>
        <v>6.8783792697065502</v>
      </c>
      <c r="E23" s="133">
        <f>IF(SER_hh_emih!E23=0,0,SER_hh_emih!E23/SER_summary!E$26)</f>
        <v>7.0996702654873891</v>
      </c>
      <c r="F23" s="133">
        <f>IF(SER_hh_emih!F23=0,0,SER_hh_emih!F23/SER_summary!F$26)</f>
        <v>6.200406387147904</v>
      </c>
      <c r="G23" s="133">
        <f>IF(SER_hh_emih!G23=0,0,SER_hh_emih!G23/SER_summary!G$26)</f>
        <v>6.1839651175874639</v>
      </c>
      <c r="H23" s="133">
        <f>IF(SER_hh_emih!H23=0,0,SER_hh_emih!H23/SER_summary!H$26)</f>
        <v>6.7784744422900731</v>
      </c>
      <c r="I23" s="133">
        <f>IF(SER_hh_emih!I23=0,0,SER_hh_emih!I23/SER_summary!I$26)</f>
        <v>6.2604188841162616</v>
      </c>
      <c r="J23" s="133">
        <f>IF(SER_hh_emih!J23=0,0,SER_hh_emih!J23/SER_summary!J$26)</f>
        <v>6.3792929527535653</v>
      </c>
      <c r="K23" s="133">
        <f>IF(SER_hh_emih!K23=0,0,SER_hh_emih!K23/SER_summary!K$26)</f>
        <v>6.0954302065102564</v>
      </c>
      <c r="L23" s="133">
        <f>IF(SER_hh_emih!L23=0,0,SER_hh_emih!L23/SER_summary!L$26)</f>
        <v>6.2376589566091063</v>
      </c>
      <c r="M23" s="133">
        <f>IF(SER_hh_emih!M23=0,0,SER_hh_emih!M23/SER_summary!M$26)</f>
        <v>6.1080088967407908</v>
      </c>
      <c r="N23" s="133">
        <f>IF(SER_hh_emih!N23=0,0,SER_hh_emih!N23/SER_summary!N$26)</f>
        <v>6.0408942686473557</v>
      </c>
      <c r="O23" s="133">
        <f>IF(SER_hh_emih!O23=0,0,SER_hh_emih!O23/SER_summary!O$26)</f>
        <v>5.9836159086374403</v>
      </c>
      <c r="P23" s="133">
        <f>IF(SER_hh_emih!P23=0,0,SER_hh_emih!P23/SER_summary!P$26)</f>
        <v>6.114575592286946</v>
      </c>
      <c r="Q23" s="133">
        <f>IF(SER_hh_emih!Q23=0,0,SER_hh_emih!Q23/SER_summary!Q$26)</f>
        <v>6.1349686733677036</v>
      </c>
      <c r="R23" s="133">
        <f>IF(SER_hh_emih!R23=0,0,SER_hh_emih!R23/SER_summary!R$26)</f>
        <v>6.5594185432750871</v>
      </c>
      <c r="S23" s="133">
        <f>IF(SER_hh_emih!S23=0,0,SER_hh_emih!S23/SER_summary!S$26)</f>
        <v>3.7633815028460842</v>
      </c>
      <c r="T23" s="133">
        <f>IF(SER_hh_emih!T23=0,0,SER_hh_emih!T23/SER_summary!T$26)</f>
        <v>4.9472617352511659</v>
      </c>
      <c r="U23" s="133">
        <f>IF(SER_hh_emih!U23=0,0,SER_hh_emih!U23/SER_summary!U$26)</f>
        <v>5.8163493606894585</v>
      </c>
      <c r="V23" s="133">
        <f>IF(SER_hh_emih!V23=0,0,SER_hh_emih!V23/SER_summary!V$26)</f>
        <v>5.0666818773068787</v>
      </c>
      <c r="W23" s="133">
        <f>IF(SER_hh_emih!W23=0,0,SER_hh_emih!W23/SER_summary!W$26)</f>
        <v>4.8764665519724746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0.90203666438890917</v>
      </c>
      <c r="C29" s="131">
        <f>IF(SER_hh_emih!C29=0,0,SER_hh_emih!C29/SER_summary!C$26)</f>
        <v>1.1443491760148956</v>
      </c>
      <c r="D29" s="131">
        <f>IF(SER_hh_emih!D29=0,0,SER_hh_emih!D29/SER_summary!D$26)</f>
        <v>0.96982096792793815</v>
      </c>
      <c r="E29" s="131">
        <f>IF(SER_hh_emih!E29=0,0,SER_hh_emih!E29/SER_summary!E$26)</f>
        <v>0.79846972898771496</v>
      </c>
      <c r="F29" s="131">
        <f>IF(SER_hh_emih!F29=0,0,SER_hh_emih!F29/SER_summary!F$26)</f>
        <v>0.71165397840020861</v>
      </c>
      <c r="G29" s="131">
        <f>IF(SER_hh_emih!G29=0,0,SER_hh_emih!G29/SER_summary!G$26)</f>
        <v>0.71387469348308197</v>
      </c>
      <c r="H29" s="131">
        <f>IF(SER_hh_emih!H29=0,0,SER_hh_emih!H29/SER_summary!H$26)</f>
        <v>1.2282709486659642</v>
      </c>
      <c r="I29" s="131">
        <f>IF(SER_hh_emih!I29=0,0,SER_hh_emih!I29/SER_summary!I$26)</f>
        <v>1.742104476793922</v>
      </c>
      <c r="J29" s="131">
        <f>IF(SER_hh_emih!J29=0,0,SER_hh_emih!J29/SER_summary!J$26)</f>
        <v>1.5967902192117125</v>
      </c>
      <c r="K29" s="131">
        <f>IF(SER_hh_emih!K29=0,0,SER_hh_emih!K29/SER_summary!K$26)</f>
        <v>1.0720003088598036</v>
      </c>
      <c r="L29" s="131">
        <f>IF(SER_hh_emih!L29=0,0,SER_hh_emih!L29/SER_summary!L$26)</f>
        <v>1.5722896873790502</v>
      </c>
      <c r="M29" s="131">
        <f>IF(SER_hh_emih!M29=0,0,SER_hh_emih!M29/SER_summary!M$26)</f>
        <v>1.4442024897129591</v>
      </c>
      <c r="N29" s="131">
        <f>IF(SER_hh_emih!N29=0,0,SER_hh_emih!N29/SER_summary!N$26)</f>
        <v>0.46287690962251643</v>
      </c>
      <c r="O29" s="131">
        <f>IF(SER_hh_emih!O29=0,0,SER_hh_emih!O29/SER_summary!O$26)</f>
        <v>0.484724872969996</v>
      </c>
      <c r="P29" s="131">
        <f>IF(SER_hh_emih!P29=0,0,SER_hh_emih!P29/SER_summary!P$26)</f>
        <v>0.51486567715834031</v>
      </c>
      <c r="Q29" s="131">
        <f>IF(SER_hh_emih!Q29=0,0,SER_hh_emih!Q29/SER_summary!Q$26)</f>
        <v>0.27883743202699934</v>
      </c>
      <c r="R29" s="131">
        <f>IF(SER_hh_emih!R29=0,0,SER_hh_emih!R29/SER_summary!R$26)</f>
        <v>0.28980042986961185</v>
      </c>
      <c r="S29" s="131">
        <f>IF(SER_hh_emih!S29=0,0,SER_hh_emih!S29/SER_summary!S$26)</f>
        <v>0.23807771533320699</v>
      </c>
      <c r="T29" s="131">
        <f>IF(SER_hh_emih!T29=0,0,SER_hh_emih!T29/SER_summary!T$26)</f>
        <v>0.24974546179853155</v>
      </c>
      <c r="U29" s="131">
        <f>IF(SER_hh_emih!U29=0,0,SER_hh_emih!U29/SER_summary!U$26)</f>
        <v>0.2778277717825352</v>
      </c>
      <c r="V29" s="131">
        <f>IF(SER_hh_emih!V29=0,0,SER_hh_emih!V29/SER_summary!V$26)</f>
        <v>0.26480416598823203</v>
      </c>
      <c r="W29" s="131">
        <f>IF(SER_hh_emih!W29=0,0,SER_hh_emih!W29/SER_summary!W$26)</f>
        <v>0.27054625174810343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5.3986715713987827</v>
      </c>
      <c r="C30" s="133">
        <f>IF(SER_hh_emih!C30=0,0,SER_hh_emih!C30/SER_summary!C$26)</f>
        <v>7.4441787518049676</v>
      </c>
      <c r="D30" s="133">
        <f>IF(SER_hh_emih!D30=0,0,SER_hh_emih!D30/SER_summary!D$26)</f>
        <v>6.3482596337663635</v>
      </c>
      <c r="E30" s="133">
        <f>IF(SER_hh_emih!E30=0,0,SER_hh_emih!E30/SER_summary!E$26)</f>
        <v>5.663367497116151</v>
      </c>
      <c r="F30" s="133">
        <f>IF(SER_hh_emih!F30=0,0,SER_hh_emih!F30/SER_summary!F$26)</f>
        <v>5.1933907277948688</v>
      </c>
      <c r="G30" s="133">
        <f>IF(SER_hh_emih!G30=0,0,SER_hh_emih!G30/SER_summary!G$26)</f>
        <v>4.4086778799449222</v>
      </c>
      <c r="H30" s="133">
        <f>IF(SER_hh_emih!H30=0,0,SER_hh_emih!H30/SER_summary!H$26)</f>
        <v>6.2835161745666381</v>
      </c>
      <c r="I30" s="133">
        <f>IF(SER_hh_emih!I30=0,0,SER_hh_emih!I30/SER_summary!I$26)</f>
        <v>7.7465298801829148</v>
      </c>
      <c r="J30" s="133">
        <f>IF(SER_hh_emih!J30=0,0,SER_hh_emih!J30/SER_summary!J$26)</f>
        <v>6.8339575259656717</v>
      </c>
      <c r="K30" s="133">
        <f>IF(SER_hh_emih!K30=0,0,SER_hh_emih!K30/SER_summary!K$26)</f>
        <v>4.7810919125925055</v>
      </c>
      <c r="L30" s="133">
        <f>IF(SER_hh_emih!L30=0,0,SER_hh_emih!L30/SER_summary!L$26)</f>
        <v>7.6991222800210792</v>
      </c>
      <c r="M30" s="133">
        <f>IF(SER_hh_emih!M30=0,0,SER_hh_emih!M30/SER_summary!M$26)</f>
        <v>8.3920599686049862</v>
      </c>
      <c r="N30" s="133">
        <f>IF(SER_hh_emih!N30=0,0,SER_hh_emih!N30/SER_summary!N$26)</f>
        <v>3.4443502092074549</v>
      </c>
      <c r="O30" s="133">
        <f>IF(SER_hh_emih!O30=0,0,SER_hh_emih!O30/SER_summary!O$26)</f>
        <v>5.4381816280677624</v>
      </c>
      <c r="P30" s="133">
        <f>IF(SER_hh_emih!P30=0,0,SER_hh_emih!P30/SER_summary!P$26)</f>
        <v>8.0283161674361896</v>
      </c>
      <c r="Q30" s="133">
        <f>IF(SER_hh_emih!Q30=0,0,SER_hh_emih!Q30/SER_summary!Q$26)</f>
        <v>4.7619227648662195</v>
      </c>
      <c r="R30" s="133">
        <f>IF(SER_hh_emih!R30=0,0,SER_hh_emih!R30/SER_summary!R$26)</f>
        <v>5.9987695331606856</v>
      </c>
      <c r="S30" s="133">
        <f>IF(SER_hh_emih!S30=0,0,SER_hh_emih!S30/SER_summary!S$26)</f>
        <v>6.5437630247888272</v>
      </c>
      <c r="T30" s="133">
        <f>IF(SER_hh_emih!T30=0,0,SER_hh_emih!T30/SER_summary!T$26)</f>
        <v>6.3858462599856187</v>
      </c>
      <c r="U30" s="133">
        <f>IF(SER_hh_emih!U30=0,0,SER_hh_emih!U30/SER_summary!U$26)</f>
        <v>6.402936330641678</v>
      </c>
      <c r="V30" s="133">
        <f>IF(SER_hh_emih!V30=0,0,SER_hh_emih!V30/SER_summary!V$26)</f>
        <v>6.2972458553537614</v>
      </c>
      <c r="W30" s="133">
        <f>IF(SER_hh_emih!W30=0,0,SER_hh_emih!W30/SER_summary!W$26)</f>
        <v>6.2441164653704639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5.5708081078317546</v>
      </c>
      <c r="C31" s="133">
        <f>IF(SER_hh_emih!C31=0,0,SER_hh_emih!C31/SER_summary!C$26)</f>
        <v>5.0427058639048896</v>
      </c>
      <c r="D31" s="133">
        <f>IF(SER_hh_emih!D31=0,0,SER_hh_emih!D31/SER_summary!D$26)</f>
        <v>5.2983420535981622</v>
      </c>
      <c r="E31" s="133">
        <f>IF(SER_hh_emih!E31=0,0,SER_hh_emih!E31/SER_summary!E$26)</f>
        <v>5.5204866596933586</v>
      </c>
      <c r="F31" s="133">
        <f>IF(SER_hh_emih!F31=0,0,SER_hh_emih!F31/SER_summary!F$26)</f>
        <v>5.3887510871940965</v>
      </c>
      <c r="G31" s="133">
        <f>IF(SER_hh_emih!G31=0,0,SER_hh_emih!G31/SER_summary!G$26)</f>
        <v>5.3633925746350792</v>
      </c>
      <c r="H31" s="133">
        <f>IF(SER_hh_emih!H31=0,0,SER_hh_emih!H31/SER_summary!H$26)</f>
        <v>5.4353623325785438</v>
      </c>
      <c r="I31" s="133">
        <f>IF(SER_hh_emih!I31=0,0,SER_hh_emih!I31/SER_summary!I$26)</f>
        <v>5.5585045565034434</v>
      </c>
      <c r="J31" s="133">
        <f>IF(SER_hh_emih!J31=0,0,SER_hh_emih!J31/SER_summary!J$26)</f>
        <v>5.7858405881210002</v>
      </c>
      <c r="K31" s="133">
        <f>IF(SER_hh_emih!K31=0,0,SER_hh_emih!K31/SER_summary!K$26)</f>
        <v>5.5988894656079493</v>
      </c>
      <c r="L31" s="133">
        <f>IF(SER_hh_emih!L31=0,0,SER_hh_emih!L31/SER_summary!L$26)</f>
        <v>5.359863514638282</v>
      </c>
      <c r="M31" s="133">
        <f>IF(SER_hh_emih!M31=0,0,SER_hh_emih!M31/SER_summary!M$26)</f>
        <v>5.6320066188711895</v>
      </c>
      <c r="N31" s="133">
        <f>IF(SER_hh_emih!N31=0,0,SER_hh_emih!N31/SER_summary!N$26)</f>
        <v>5.6524334584698837</v>
      </c>
      <c r="O31" s="133">
        <f>IF(SER_hh_emih!O31=0,0,SER_hh_emih!O31/SER_summary!O$26)</f>
        <v>5.6706239840391683</v>
      </c>
      <c r="P31" s="133">
        <f>IF(SER_hh_emih!P31=0,0,SER_hh_emih!P31/SER_summary!P$26)</f>
        <v>5.8710419605768616</v>
      </c>
      <c r="Q31" s="133">
        <f>IF(SER_hh_emih!Q31=0,0,SER_hh_emih!Q31/SER_summary!Q$26)</f>
        <v>5.8309339614709872</v>
      </c>
      <c r="R31" s="133">
        <f>IF(SER_hh_emih!R31=0,0,SER_hh_emih!R31/SER_summary!R$26)</f>
        <v>6.4593085427379355</v>
      </c>
      <c r="S31" s="133">
        <f>IF(SER_hh_emih!S31=0,0,SER_hh_emih!S31/SER_summary!S$26)</f>
        <v>3.8117111939504458</v>
      </c>
      <c r="T31" s="133">
        <f>IF(SER_hh_emih!T31=0,0,SER_hh_emih!T31/SER_summary!T$26)</f>
        <v>5.3040372923912624</v>
      </c>
      <c r="U31" s="133">
        <f>IF(SER_hh_emih!U31=0,0,SER_hh_emih!U31/SER_summary!U$26)</f>
        <v>6.5798883155480556</v>
      </c>
      <c r="V31" s="133">
        <f>IF(SER_hh_emih!V31=0,0,SER_hh_emih!V31/SER_summary!V$26)</f>
        <v>5.3532956649429213</v>
      </c>
      <c r="W31" s="133">
        <f>IF(SER_hh_emih!W31=0,0,SER_hh_emih!W31/SER_summary!W$26)</f>
        <v>5.7360928480921185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2700.7684894765398</v>
      </c>
      <c r="D3" s="125">
        <f t="shared" si="0"/>
        <v>2493.9414653571839</v>
      </c>
      <c r="E3" s="125">
        <f t="shared" si="0"/>
        <v>2232.5302577312486</v>
      </c>
      <c r="F3" s="125">
        <f t="shared" si="0"/>
        <v>2766.6953438935902</v>
      </c>
      <c r="G3" s="125">
        <f t="shared" si="0"/>
        <v>2522.3381654724813</v>
      </c>
      <c r="H3" s="125">
        <f t="shared" si="0"/>
        <v>3256.5431796248677</v>
      </c>
      <c r="I3" s="125">
        <f t="shared" si="0"/>
        <v>3160.64934128402</v>
      </c>
      <c r="J3" s="125">
        <f t="shared" si="0"/>
        <v>2206.5259434072836</v>
      </c>
      <c r="K3" s="125">
        <f t="shared" si="0"/>
        <v>2461.008259152833</v>
      </c>
      <c r="L3" s="125">
        <f t="shared" si="0"/>
        <v>2903.2597003182723</v>
      </c>
      <c r="M3" s="125">
        <f t="shared" si="0"/>
        <v>2412.1150184044964</v>
      </c>
      <c r="N3" s="125">
        <f t="shared" si="0"/>
        <v>2149.8077951829232</v>
      </c>
      <c r="O3" s="125">
        <f t="shared" si="0"/>
        <v>3386.638761960799</v>
      </c>
      <c r="P3" s="125">
        <f t="shared" si="0"/>
        <v>2727.5601250400632</v>
      </c>
      <c r="Q3" s="125">
        <f t="shared" si="0"/>
        <v>3299.5996689067342</v>
      </c>
      <c r="R3" s="125">
        <f t="shared" si="0"/>
        <v>3297.9503231094313</v>
      </c>
      <c r="S3" s="125">
        <f t="shared" si="0"/>
        <v>3641.4921245982432</v>
      </c>
      <c r="T3" s="125">
        <f t="shared" si="0"/>
        <v>3235.6555414101549</v>
      </c>
      <c r="U3" s="125">
        <f t="shared" si="0"/>
        <v>3098.0828562869979</v>
      </c>
      <c r="V3" s="125">
        <f t="shared" si="0"/>
        <v>3096.5349253130898</v>
      </c>
      <c r="W3" s="125">
        <f t="shared" si="0"/>
        <v>3081.5386927830523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2700.7684894765398</v>
      </c>
      <c r="D4" s="140">
        <f t="shared" si="1"/>
        <v>2493.9414653571839</v>
      </c>
      <c r="E4" s="140">
        <f t="shared" si="1"/>
        <v>2232.5302577312486</v>
      </c>
      <c r="F4" s="140">
        <f t="shared" si="1"/>
        <v>2766.6953438935902</v>
      </c>
      <c r="G4" s="140">
        <f t="shared" si="1"/>
        <v>2522.3381654724813</v>
      </c>
      <c r="H4" s="140">
        <f t="shared" si="1"/>
        <v>3256.5431796248677</v>
      </c>
      <c r="I4" s="140">
        <f t="shared" si="1"/>
        <v>3160.64934128402</v>
      </c>
      <c r="J4" s="140">
        <f t="shared" si="1"/>
        <v>2206.5259434072836</v>
      </c>
      <c r="K4" s="140">
        <f t="shared" si="1"/>
        <v>2461.008259152833</v>
      </c>
      <c r="L4" s="140">
        <f t="shared" si="1"/>
        <v>2903.2597003182723</v>
      </c>
      <c r="M4" s="140">
        <f t="shared" si="1"/>
        <v>2412.1150184044964</v>
      </c>
      <c r="N4" s="140">
        <f t="shared" si="1"/>
        <v>2149.8077951829232</v>
      </c>
      <c r="O4" s="140">
        <f t="shared" si="1"/>
        <v>3386.638761960799</v>
      </c>
      <c r="P4" s="140">
        <f t="shared" si="1"/>
        <v>2727.5601250400632</v>
      </c>
      <c r="Q4" s="140">
        <f t="shared" si="1"/>
        <v>3299.5996689067342</v>
      </c>
      <c r="R4" s="140">
        <f t="shared" ref="R4:W4" si="2">SUM(R5:R14)</f>
        <v>3297.9503231094313</v>
      </c>
      <c r="S4" s="140">
        <f t="shared" si="2"/>
        <v>3641.4921245982432</v>
      </c>
      <c r="T4" s="140">
        <f t="shared" si="2"/>
        <v>3235.6555414101549</v>
      </c>
      <c r="U4" s="140">
        <f t="shared" si="2"/>
        <v>3098.0828562869979</v>
      </c>
      <c r="V4" s="140">
        <f t="shared" si="2"/>
        <v>3096.5349253130898</v>
      </c>
      <c r="W4" s="140">
        <f t="shared" si="2"/>
        <v>3081.5386927830523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257.69219942980857</v>
      </c>
      <c r="D7" s="141">
        <v>380.03183083252105</v>
      </c>
      <c r="E7" s="141">
        <v>95.862206713053055</v>
      </c>
      <c r="F7" s="141">
        <v>0</v>
      </c>
      <c r="G7" s="141">
        <v>0</v>
      </c>
      <c r="H7" s="141">
        <v>0</v>
      </c>
      <c r="I7" s="141">
        <v>0</v>
      </c>
      <c r="J7" s="141">
        <v>0</v>
      </c>
      <c r="K7" s="141">
        <v>171.97947550679447</v>
      </c>
      <c r="L7" s="141">
        <v>584.61134076378812</v>
      </c>
      <c r="M7" s="141">
        <v>532.55587423662234</v>
      </c>
      <c r="N7" s="141">
        <v>349.59231330784633</v>
      </c>
      <c r="O7" s="141">
        <v>423.61721016112546</v>
      </c>
      <c r="P7" s="141">
        <v>0</v>
      </c>
      <c r="Q7" s="141">
        <v>35.08521520340949</v>
      </c>
      <c r="R7" s="141">
        <v>146.59649270995783</v>
      </c>
      <c r="S7" s="141">
        <v>341.33264407065195</v>
      </c>
      <c r="T7" s="141">
        <v>252.86304922493684</v>
      </c>
      <c r="U7" s="141">
        <v>156.58411474052292</v>
      </c>
      <c r="V7" s="141">
        <v>134.60965532677815</v>
      </c>
      <c r="W7" s="141">
        <v>0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71.759746327742235</v>
      </c>
      <c r="D9" s="141">
        <v>190.30599065156454</v>
      </c>
      <c r="E9" s="141">
        <v>155.76136608864314</v>
      </c>
      <c r="F9" s="141">
        <v>127.50090022150057</v>
      </c>
      <c r="G9" s="141">
        <v>90.450066317304078</v>
      </c>
      <c r="H9" s="141">
        <v>75.348149690001364</v>
      </c>
      <c r="I9" s="141">
        <v>14.661798512013409</v>
      </c>
      <c r="J9" s="141">
        <v>13.141975203329197</v>
      </c>
      <c r="K9" s="141">
        <v>56.19129349809787</v>
      </c>
      <c r="L9" s="141">
        <v>101.47977053856937</v>
      </c>
      <c r="M9" s="141">
        <v>127.7236799948499</v>
      </c>
      <c r="N9" s="141">
        <v>125.24374898116587</v>
      </c>
      <c r="O9" s="141">
        <v>54.337310373417331</v>
      </c>
      <c r="P9" s="141">
        <v>39.00981788254547</v>
      </c>
      <c r="Q9" s="141">
        <v>0</v>
      </c>
      <c r="R9" s="141">
        <v>0</v>
      </c>
      <c r="S9" s="141">
        <v>126.39496226371061</v>
      </c>
      <c r="T9" s="141">
        <v>135.05555212494721</v>
      </c>
      <c r="U9" s="141">
        <v>208.82429786861519</v>
      </c>
      <c r="V9" s="141">
        <v>142.22701748335683</v>
      </c>
      <c r="W9" s="141">
        <v>94.715740453838549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57.904192024111744</v>
      </c>
      <c r="D10" s="141">
        <v>33.368119815647447</v>
      </c>
      <c r="E10" s="141">
        <v>69.437233726145209</v>
      </c>
      <c r="F10" s="141">
        <v>108.71409749550453</v>
      </c>
      <c r="G10" s="141">
        <v>49.66167647466667</v>
      </c>
      <c r="H10" s="141">
        <v>22.455255671833321</v>
      </c>
      <c r="I10" s="141">
        <v>6.6737531864254844</v>
      </c>
      <c r="J10" s="141">
        <v>11.237949917573285</v>
      </c>
      <c r="K10" s="141">
        <v>29.992339160999769</v>
      </c>
      <c r="L10" s="141">
        <v>26.234459869305706</v>
      </c>
      <c r="M10" s="141">
        <v>22.109685952966448</v>
      </c>
      <c r="N10" s="141">
        <v>21.578742184023103</v>
      </c>
      <c r="O10" s="141">
        <v>24.154910498375834</v>
      </c>
      <c r="P10" s="141">
        <v>50.183351534299305</v>
      </c>
      <c r="Q10" s="141">
        <v>111.72141313184571</v>
      </c>
      <c r="R10" s="141">
        <v>67.982482153668045</v>
      </c>
      <c r="S10" s="141">
        <v>65.087146870349486</v>
      </c>
      <c r="T10" s="141">
        <v>55.625749267083485</v>
      </c>
      <c r="U10" s="141">
        <v>22.713121313316222</v>
      </c>
      <c r="V10" s="141">
        <v>0</v>
      </c>
      <c r="W10" s="141">
        <v>16.740198964363035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1208.3229422196855</v>
      </c>
      <c r="D12" s="141">
        <v>1272.4473441153737</v>
      </c>
      <c r="E12" s="141">
        <v>1350.3634953297883</v>
      </c>
      <c r="F12" s="141">
        <v>1610.6944370724163</v>
      </c>
      <c r="G12" s="141">
        <v>1453.3291269310735</v>
      </c>
      <c r="H12" s="141">
        <v>1381.5906841168855</v>
      </c>
      <c r="I12" s="141">
        <v>1416.9311522804528</v>
      </c>
      <c r="J12" s="141">
        <v>1408.2216453219069</v>
      </c>
      <c r="K12" s="141">
        <v>1938.9896188673702</v>
      </c>
      <c r="L12" s="141">
        <v>1970.8639091931943</v>
      </c>
      <c r="M12" s="141">
        <v>1341.8528154620726</v>
      </c>
      <c r="N12" s="141">
        <v>997.44220548023588</v>
      </c>
      <c r="O12" s="141">
        <v>1552.9088549684848</v>
      </c>
      <c r="P12" s="141">
        <v>713.98835772538666</v>
      </c>
      <c r="Q12" s="141">
        <v>1013.9980322884275</v>
      </c>
      <c r="R12" s="141">
        <v>1445.8269290220451</v>
      </c>
      <c r="S12" s="141">
        <v>1920.729583513136</v>
      </c>
      <c r="T12" s="141">
        <v>1661.7694337375092</v>
      </c>
      <c r="U12" s="141">
        <v>1546.3940028384541</v>
      </c>
      <c r="V12" s="141">
        <v>1226.2361095643437</v>
      </c>
      <c r="W12" s="141">
        <v>1501.6259338521045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63.34788119538365</v>
      </c>
      <c r="D13" s="141">
        <v>99.621904496629313</v>
      </c>
      <c r="E13" s="141">
        <v>112.56201052146434</v>
      </c>
      <c r="F13" s="141">
        <v>175.41565197222548</v>
      </c>
      <c r="G13" s="141">
        <v>188.61609822846927</v>
      </c>
      <c r="H13" s="141">
        <v>323.92665882039881</v>
      </c>
      <c r="I13" s="141">
        <v>371.29854685429774</v>
      </c>
      <c r="J13" s="141">
        <v>238.06577941089031</v>
      </c>
      <c r="K13" s="141">
        <v>263.8555321195708</v>
      </c>
      <c r="L13" s="141">
        <v>210.77891828471303</v>
      </c>
      <c r="M13" s="141">
        <v>275.32199982891427</v>
      </c>
      <c r="N13" s="141">
        <v>170.80320022837864</v>
      </c>
      <c r="O13" s="141">
        <v>311.69391226433441</v>
      </c>
      <c r="P13" s="141">
        <v>402.98770365498598</v>
      </c>
      <c r="Q13" s="141">
        <v>478.8452873686453</v>
      </c>
      <c r="R13" s="141">
        <v>517.05601711617226</v>
      </c>
      <c r="S13" s="141">
        <v>563.83762092930942</v>
      </c>
      <c r="T13" s="141">
        <v>524.82111578211743</v>
      </c>
      <c r="U13" s="141">
        <v>523.00776002245379</v>
      </c>
      <c r="V13" s="141">
        <v>611.55362071020966</v>
      </c>
      <c r="W13" s="141">
        <v>469.66801076059284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1041.7415282798079</v>
      </c>
      <c r="D14" s="142">
        <v>518.16627544544826</v>
      </c>
      <c r="E14" s="142">
        <v>448.54394535215442</v>
      </c>
      <c r="F14" s="142">
        <v>744.37025713194305</v>
      </c>
      <c r="G14" s="142">
        <v>740.28119752096768</v>
      </c>
      <c r="H14" s="142">
        <v>1453.2224313257489</v>
      </c>
      <c r="I14" s="142">
        <v>1351.0840904508309</v>
      </c>
      <c r="J14" s="142">
        <v>535.85859355358389</v>
      </c>
      <c r="K14" s="142">
        <v>0</v>
      </c>
      <c r="L14" s="142">
        <v>9.2913016687017667</v>
      </c>
      <c r="M14" s="142">
        <v>112.55096292907093</v>
      </c>
      <c r="N14" s="142">
        <v>485.14758500127323</v>
      </c>
      <c r="O14" s="142">
        <v>1019.9265636950614</v>
      </c>
      <c r="P14" s="142">
        <v>1521.3908942428457</v>
      </c>
      <c r="Q14" s="142">
        <v>1659.9497209144063</v>
      </c>
      <c r="R14" s="142">
        <v>1120.4884021075879</v>
      </c>
      <c r="S14" s="142">
        <v>624.11016695108538</v>
      </c>
      <c r="T14" s="142">
        <v>605.52064127356061</v>
      </c>
      <c r="U14" s="142">
        <v>640.55955950363557</v>
      </c>
      <c r="V14" s="142">
        <v>981.90852222840158</v>
      </c>
      <c r="W14" s="142">
        <v>998.78880875215305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1595.679080001348</v>
      </c>
      <c r="D15" s="144">
        <f t="shared" si="3"/>
        <v>1876.1532854151067</v>
      </c>
      <c r="E15" s="144">
        <f t="shared" si="3"/>
        <v>1671.4243018576296</v>
      </c>
      <c r="F15" s="144">
        <f t="shared" si="3"/>
        <v>1846.9094347894215</v>
      </c>
      <c r="G15" s="144">
        <f t="shared" si="3"/>
        <v>1593.4408697230442</v>
      </c>
      <c r="H15" s="144">
        <f t="shared" si="3"/>
        <v>1479.3940894787202</v>
      </c>
      <c r="I15" s="144">
        <f t="shared" si="3"/>
        <v>1438.2667039788917</v>
      </c>
      <c r="J15" s="144">
        <f t="shared" si="3"/>
        <v>1432.6015704428094</v>
      </c>
      <c r="K15" s="144">
        <f t="shared" si="3"/>
        <v>2197.1527270332622</v>
      </c>
      <c r="L15" s="144">
        <f t="shared" si="3"/>
        <v>2683.1894803648574</v>
      </c>
      <c r="M15" s="144">
        <f t="shared" si="3"/>
        <v>2024.2420556465113</v>
      </c>
      <c r="N15" s="144">
        <f t="shared" si="3"/>
        <v>1493.8570099532712</v>
      </c>
      <c r="O15" s="144">
        <f t="shared" si="3"/>
        <v>2055.0182860014033</v>
      </c>
      <c r="P15" s="144">
        <f t="shared" si="3"/>
        <v>803.1815271422314</v>
      </c>
      <c r="Q15" s="144">
        <f t="shared" si="3"/>
        <v>1160.8046606236826</v>
      </c>
      <c r="R15" s="144">
        <f t="shared" ref="R15:W15" si="4">SUM(R5:R12)</f>
        <v>1660.405903885671</v>
      </c>
      <c r="S15" s="144">
        <f t="shared" si="4"/>
        <v>2453.5443367178482</v>
      </c>
      <c r="T15" s="144">
        <f t="shared" si="4"/>
        <v>2105.3137843544769</v>
      </c>
      <c r="U15" s="144">
        <f t="shared" si="4"/>
        <v>1934.5155367609084</v>
      </c>
      <c r="V15" s="144">
        <f t="shared" si="4"/>
        <v>1503.0727823744787</v>
      </c>
      <c r="W15" s="144">
        <f t="shared" si="4"/>
        <v>1613.081873270306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2700.7684894765398</v>
      </c>
      <c r="D16" s="140">
        <f t="shared" si="5"/>
        <v>2493.9414653571844</v>
      </c>
      <c r="E16" s="140">
        <f t="shared" si="5"/>
        <v>2232.5302577312486</v>
      </c>
      <c r="F16" s="140">
        <f t="shared" si="5"/>
        <v>2766.6953438935893</v>
      </c>
      <c r="G16" s="140">
        <f t="shared" si="5"/>
        <v>2522.3381654724813</v>
      </c>
      <c r="H16" s="140">
        <f t="shared" si="5"/>
        <v>3256.5431796248681</v>
      </c>
      <c r="I16" s="140">
        <f t="shared" si="5"/>
        <v>3160.6493412840205</v>
      </c>
      <c r="J16" s="140">
        <f t="shared" si="5"/>
        <v>2206.5259434072836</v>
      </c>
      <c r="K16" s="140">
        <f t="shared" si="5"/>
        <v>2461.008259152833</v>
      </c>
      <c r="L16" s="140">
        <f t="shared" si="5"/>
        <v>2903.2597003182723</v>
      </c>
      <c r="M16" s="140">
        <f t="shared" si="5"/>
        <v>2412.1150184044964</v>
      </c>
      <c r="N16" s="140">
        <f t="shared" si="5"/>
        <v>2149.8077951829232</v>
      </c>
      <c r="O16" s="140">
        <f t="shared" si="5"/>
        <v>3386.638761960799</v>
      </c>
      <c r="P16" s="140">
        <f t="shared" si="5"/>
        <v>2727.5601250400628</v>
      </c>
      <c r="Q16" s="140">
        <f t="shared" si="5"/>
        <v>3299.5996689067342</v>
      </c>
      <c r="R16" s="140">
        <f t="shared" ref="R16:W16" si="6">SUM(R17:R18)</f>
        <v>3297.9503231094313</v>
      </c>
      <c r="S16" s="140">
        <f t="shared" si="6"/>
        <v>3641.4921245982423</v>
      </c>
      <c r="T16" s="140">
        <f t="shared" si="6"/>
        <v>3235.6555414101549</v>
      </c>
      <c r="U16" s="140">
        <f t="shared" si="6"/>
        <v>3098.0828562869974</v>
      </c>
      <c r="V16" s="140">
        <f t="shared" si="6"/>
        <v>3096.5349253130898</v>
      </c>
      <c r="W16" s="140">
        <f t="shared" si="6"/>
        <v>3081.5386927830518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2700.7684894765398</v>
      </c>
      <c r="D18" s="141">
        <v>2493.9414653571844</v>
      </c>
      <c r="E18" s="141">
        <v>2232.5302577312486</v>
      </c>
      <c r="F18" s="141">
        <v>2766.6953438935893</v>
      </c>
      <c r="G18" s="141">
        <v>2522.3381654724813</v>
      </c>
      <c r="H18" s="141">
        <v>3256.5431796248681</v>
      </c>
      <c r="I18" s="141">
        <v>3160.6493412840205</v>
      </c>
      <c r="J18" s="141">
        <v>2206.5259434072836</v>
      </c>
      <c r="K18" s="141">
        <v>2461.008259152833</v>
      </c>
      <c r="L18" s="141">
        <v>2903.2597003182723</v>
      </c>
      <c r="M18" s="141">
        <v>2412.1150184044964</v>
      </c>
      <c r="N18" s="141">
        <v>2149.8077951829232</v>
      </c>
      <c r="O18" s="141">
        <v>3386.638761960799</v>
      </c>
      <c r="P18" s="141">
        <v>2727.5601250400628</v>
      </c>
      <c r="Q18" s="141">
        <v>3299.5996689067342</v>
      </c>
      <c r="R18" s="141">
        <v>3297.9503231094313</v>
      </c>
      <c r="S18" s="141">
        <v>3641.4921245982423</v>
      </c>
      <c r="T18" s="141">
        <v>3235.6555414101549</v>
      </c>
      <c r="U18" s="141">
        <v>3098.0828562869974</v>
      </c>
      <c r="V18" s="141">
        <v>3096.5349253130898</v>
      </c>
      <c r="W18" s="141">
        <v>3081.5386927830518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2700.7684894765398</v>
      </c>
      <c r="D19" s="140">
        <f t="shared" si="7"/>
        <v>2493.9414653571839</v>
      </c>
      <c r="E19" s="140">
        <f t="shared" si="7"/>
        <v>2232.5302577312482</v>
      </c>
      <c r="F19" s="140">
        <f t="shared" si="7"/>
        <v>2766.6953438935898</v>
      </c>
      <c r="G19" s="140">
        <f t="shared" si="7"/>
        <v>2522.3381654724817</v>
      </c>
      <c r="H19" s="140">
        <f t="shared" si="7"/>
        <v>3256.5431796248686</v>
      </c>
      <c r="I19" s="140">
        <f t="shared" si="7"/>
        <v>3160.6493412840209</v>
      </c>
      <c r="J19" s="140">
        <f t="shared" si="7"/>
        <v>2206.5259434072832</v>
      </c>
      <c r="K19" s="140">
        <f t="shared" si="7"/>
        <v>2461.0082591528326</v>
      </c>
      <c r="L19" s="140">
        <f t="shared" si="7"/>
        <v>2903.2597003182718</v>
      </c>
      <c r="M19" s="140">
        <f t="shared" si="7"/>
        <v>2412.1150184044964</v>
      </c>
      <c r="N19" s="140">
        <f t="shared" si="7"/>
        <v>2149.8077951829232</v>
      </c>
      <c r="O19" s="140">
        <f t="shared" si="7"/>
        <v>3386.6387619607985</v>
      </c>
      <c r="P19" s="140">
        <f t="shared" si="7"/>
        <v>2727.5601250400628</v>
      </c>
      <c r="Q19" s="140">
        <f t="shared" si="7"/>
        <v>3299.5996689067342</v>
      </c>
      <c r="R19" s="140">
        <f t="shared" ref="R19:W19" si="8">SUM(R20:R26)</f>
        <v>3297.9503231094313</v>
      </c>
      <c r="S19" s="140">
        <f t="shared" si="8"/>
        <v>3641.4921245982423</v>
      </c>
      <c r="T19" s="140">
        <f t="shared" si="8"/>
        <v>3235.6555414101549</v>
      </c>
      <c r="U19" s="140">
        <f t="shared" si="8"/>
        <v>3098.0828562869974</v>
      </c>
      <c r="V19" s="140">
        <f t="shared" si="8"/>
        <v>3096.5349253130894</v>
      </c>
      <c r="W19" s="140">
        <f t="shared" si="8"/>
        <v>3081.5386927830523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387.52173169648313</v>
      </c>
      <c r="D22" s="141">
        <v>247.73677995276554</v>
      </c>
      <c r="E22" s="141">
        <v>70.010358360388892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387.13175633985117</v>
      </c>
      <c r="N22" s="141">
        <v>472.89017163234877</v>
      </c>
      <c r="O22" s="141">
        <v>597.9141200595551</v>
      </c>
      <c r="P22" s="141">
        <v>139.59889650979585</v>
      </c>
      <c r="Q22" s="141">
        <v>569.32468877995757</v>
      </c>
      <c r="R22" s="141">
        <v>433.15986089594537</v>
      </c>
      <c r="S22" s="141">
        <v>431.83655750374948</v>
      </c>
      <c r="T22" s="141">
        <v>200.94906404995248</v>
      </c>
      <c r="U22" s="141">
        <v>53.125469830648761</v>
      </c>
      <c r="V22" s="141">
        <v>27.443497539599402</v>
      </c>
      <c r="W22" s="141">
        <v>0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20.442333379594466</v>
      </c>
      <c r="D23" s="141">
        <v>42.490257097853529</v>
      </c>
      <c r="E23" s="141">
        <v>37.024879360849006</v>
      </c>
      <c r="F23" s="141">
        <v>43.309533218800745</v>
      </c>
      <c r="G23" s="141">
        <v>42.217816009721986</v>
      </c>
      <c r="H23" s="141">
        <v>64.650570631187705</v>
      </c>
      <c r="I23" s="141">
        <v>43.787386652292376</v>
      </c>
      <c r="J23" s="141">
        <v>31.599642372386917</v>
      </c>
      <c r="K23" s="141">
        <v>23.94541845477076</v>
      </c>
      <c r="L23" s="141">
        <v>34.04634091812833</v>
      </c>
      <c r="M23" s="141">
        <v>22.848071067519875</v>
      </c>
      <c r="N23" s="141">
        <v>24.072513006740678</v>
      </c>
      <c r="O23" s="141">
        <v>41.142805050024016</v>
      </c>
      <c r="P23" s="141">
        <v>64.350059365400725</v>
      </c>
      <c r="Q23" s="141">
        <v>24.413686790256019</v>
      </c>
      <c r="R23" s="141">
        <v>15.04707518605036</v>
      </c>
      <c r="S23" s="141">
        <v>42.049779626457685</v>
      </c>
      <c r="T23" s="141">
        <v>52.614382002816924</v>
      </c>
      <c r="U23" s="141">
        <v>118.29710145065484</v>
      </c>
      <c r="V23" s="141">
        <v>94.680332061948036</v>
      </c>
      <c r="W23" s="141">
        <v>56.424082362965379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1153.9234362827165</v>
      </c>
      <c r="D25" s="141">
        <v>1178.6019754340623</v>
      </c>
      <c r="E25" s="141">
        <v>1206.8733054908744</v>
      </c>
      <c r="F25" s="141">
        <v>1765.8063008037723</v>
      </c>
      <c r="G25" s="141">
        <v>1489.935585686133</v>
      </c>
      <c r="H25" s="141">
        <v>1965.3274499361423</v>
      </c>
      <c r="I25" s="141">
        <v>1490.1614980711258</v>
      </c>
      <c r="J25" s="141">
        <v>1003.2325373710815</v>
      </c>
      <c r="K25" s="141">
        <v>1106.4378178740103</v>
      </c>
      <c r="L25" s="141">
        <v>1629.1789267061465</v>
      </c>
      <c r="M25" s="141">
        <v>1250.432247149995</v>
      </c>
      <c r="N25" s="141">
        <v>1067.5104889075574</v>
      </c>
      <c r="O25" s="141">
        <v>1670.8477856601271</v>
      </c>
      <c r="P25" s="141">
        <v>1593.6122659671687</v>
      </c>
      <c r="Q25" s="141">
        <v>1886.3889020466993</v>
      </c>
      <c r="R25" s="141">
        <v>2120.5336464558513</v>
      </c>
      <c r="S25" s="141">
        <v>1887.0302504081931</v>
      </c>
      <c r="T25" s="141">
        <v>1681.3524995973285</v>
      </c>
      <c r="U25" s="141">
        <v>1576.6913890817766</v>
      </c>
      <c r="V25" s="141">
        <v>1647.7406041608879</v>
      </c>
      <c r="W25" s="141">
        <v>1332.1922664408576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1138.8809881177458</v>
      </c>
      <c r="D26" s="142">
        <v>1025.1124528725029</v>
      </c>
      <c r="E26" s="142">
        <v>918.62171451913594</v>
      </c>
      <c r="F26" s="142">
        <v>957.57950987101663</v>
      </c>
      <c r="G26" s="142">
        <v>990.18476377662671</v>
      </c>
      <c r="H26" s="142">
        <v>1226.5651590575383</v>
      </c>
      <c r="I26" s="142">
        <v>1626.7004565606026</v>
      </c>
      <c r="J26" s="142">
        <v>1171.6937636638149</v>
      </c>
      <c r="K26" s="142">
        <v>1330.6250228240515</v>
      </c>
      <c r="L26" s="142">
        <v>1240.0344326939969</v>
      </c>
      <c r="M26" s="142">
        <v>751.7029438471302</v>
      </c>
      <c r="N26" s="142">
        <v>585.33462163627632</v>
      </c>
      <c r="O26" s="142">
        <v>1076.7340511910922</v>
      </c>
      <c r="P26" s="142">
        <v>929.99890319769736</v>
      </c>
      <c r="Q26" s="142">
        <v>819.47239128982119</v>
      </c>
      <c r="R26" s="142">
        <v>729.20974057158435</v>
      </c>
      <c r="S26" s="142">
        <v>1280.5755370598422</v>
      </c>
      <c r="T26" s="142">
        <v>1300.7395957600568</v>
      </c>
      <c r="U26" s="142">
        <v>1349.9688959239174</v>
      </c>
      <c r="V26" s="142">
        <v>1326.6704915506541</v>
      </c>
      <c r="W26" s="142">
        <v>1692.922343979229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2700.7684894765398</v>
      </c>
      <c r="D29" s="140">
        <f t="shared" si="9"/>
        <v>2493.9414653571848</v>
      </c>
      <c r="E29" s="140">
        <f t="shared" si="9"/>
        <v>2232.5302577312482</v>
      </c>
      <c r="F29" s="140">
        <f t="shared" si="9"/>
        <v>2766.6953438935898</v>
      </c>
      <c r="G29" s="140">
        <f t="shared" si="9"/>
        <v>2522.3381654724817</v>
      </c>
      <c r="H29" s="140">
        <f t="shared" si="9"/>
        <v>3256.5431796248686</v>
      </c>
      <c r="I29" s="140">
        <f t="shared" si="9"/>
        <v>3160.64934128402</v>
      </c>
      <c r="J29" s="140">
        <f t="shared" si="9"/>
        <v>2206.5259434072836</v>
      </c>
      <c r="K29" s="140">
        <f t="shared" si="9"/>
        <v>2461.008259152833</v>
      </c>
      <c r="L29" s="140">
        <f t="shared" si="9"/>
        <v>2903.2597003182723</v>
      </c>
      <c r="M29" s="140">
        <f t="shared" si="9"/>
        <v>2412.1150184044955</v>
      </c>
      <c r="N29" s="140">
        <f t="shared" si="9"/>
        <v>2149.8077951829232</v>
      </c>
      <c r="O29" s="140">
        <f t="shared" si="9"/>
        <v>3386.638761960799</v>
      </c>
      <c r="P29" s="140">
        <f t="shared" si="9"/>
        <v>2727.5601250400623</v>
      </c>
      <c r="Q29" s="140">
        <f t="shared" si="9"/>
        <v>3299.5996689067342</v>
      </c>
      <c r="R29" s="140">
        <f t="shared" ref="R29:W29" si="10">SUM(R30:R33)</f>
        <v>3297.9503231094313</v>
      </c>
      <c r="S29" s="140">
        <f t="shared" si="10"/>
        <v>3641.4921245982423</v>
      </c>
      <c r="T29" s="140">
        <f t="shared" si="10"/>
        <v>3235.6555414101549</v>
      </c>
      <c r="U29" s="140">
        <f t="shared" si="10"/>
        <v>3098.0828562869974</v>
      </c>
      <c r="V29" s="140">
        <f t="shared" si="10"/>
        <v>3096.5349253130898</v>
      </c>
      <c r="W29" s="140">
        <f t="shared" si="10"/>
        <v>3081.5386927830518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272.04170147345263</v>
      </c>
      <c r="D30" s="141">
        <v>200.69608262745226</v>
      </c>
      <c r="E30" s="141">
        <v>0</v>
      </c>
      <c r="F30" s="141">
        <v>182.84952261859809</v>
      </c>
      <c r="G30" s="141">
        <v>769.4196123142998</v>
      </c>
      <c r="H30" s="141">
        <v>1660.9482871636083</v>
      </c>
      <c r="I30" s="141">
        <v>1324.3572269277156</v>
      </c>
      <c r="J30" s="141">
        <v>415.299972604294</v>
      </c>
      <c r="K30" s="141">
        <v>62.399482328518104</v>
      </c>
      <c r="L30" s="141">
        <v>242.25548193818773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68.661136453244296</v>
      </c>
      <c r="T30" s="141">
        <v>309.51405728718271</v>
      </c>
      <c r="U30" s="141">
        <v>248.54023363592663</v>
      </c>
      <c r="V30" s="141">
        <v>126.66785998351484</v>
      </c>
      <c r="W30" s="141">
        <v>27.946892597297044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90.395948713790375</v>
      </c>
      <c r="D31" s="141">
        <v>102.86565687446299</v>
      </c>
      <c r="E31" s="141">
        <v>85.143451795042139</v>
      </c>
      <c r="F31" s="141">
        <v>89.148583910882209</v>
      </c>
      <c r="G31" s="141">
        <v>67.880986380961687</v>
      </c>
      <c r="H31" s="141">
        <v>70.996583312162826</v>
      </c>
      <c r="I31" s="141">
        <v>58.649861460980574</v>
      </c>
      <c r="J31" s="141">
        <v>33.109015856410359</v>
      </c>
      <c r="K31" s="141">
        <v>22.301323505753906</v>
      </c>
      <c r="L31" s="141">
        <v>11.12011697872491</v>
      </c>
      <c r="M31" s="141">
        <v>7.3634258654676037</v>
      </c>
      <c r="N31" s="141">
        <v>26.056555294824886</v>
      </c>
      <c r="O31" s="141">
        <v>69.500392911528792</v>
      </c>
      <c r="P31" s="141">
        <v>67.175626628461856</v>
      </c>
      <c r="Q31" s="141">
        <v>46.509339841760017</v>
      </c>
      <c r="R31" s="141">
        <v>35.128064053107842</v>
      </c>
      <c r="S31" s="141">
        <v>44.413567954929661</v>
      </c>
      <c r="T31" s="141">
        <v>49.004217026468488</v>
      </c>
      <c r="U31" s="141">
        <v>94.371765160706104</v>
      </c>
      <c r="V31" s="141">
        <v>77.658682486072522</v>
      </c>
      <c r="W31" s="141">
        <v>39.608958733690066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2338.3308392892968</v>
      </c>
      <c r="D33" s="153">
        <v>2190.3797258552695</v>
      </c>
      <c r="E33" s="153">
        <v>2147.3868059362062</v>
      </c>
      <c r="F33" s="153">
        <v>2494.6972373641092</v>
      </c>
      <c r="G33" s="153">
        <v>1685.03756677722</v>
      </c>
      <c r="H33" s="153">
        <v>1524.5983091490973</v>
      </c>
      <c r="I33" s="153">
        <v>1777.642252895324</v>
      </c>
      <c r="J33" s="153">
        <v>1758.1169549465792</v>
      </c>
      <c r="K33" s="153">
        <v>2376.3074533185609</v>
      </c>
      <c r="L33" s="153">
        <v>2649.8841014013597</v>
      </c>
      <c r="M33" s="153">
        <v>2404.751592539028</v>
      </c>
      <c r="N33" s="153">
        <v>2123.7512398880981</v>
      </c>
      <c r="O33" s="153">
        <v>3317.1383690492703</v>
      </c>
      <c r="P33" s="153">
        <v>2660.3844984116004</v>
      </c>
      <c r="Q33" s="153">
        <v>3253.0903290649744</v>
      </c>
      <c r="R33" s="153">
        <v>3262.8222590563237</v>
      </c>
      <c r="S33" s="153">
        <v>3528.4174201900682</v>
      </c>
      <c r="T33" s="153">
        <v>2877.1372670965038</v>
      </c>
      <c r="U33" s="153">
        <v>2755.1708574903646</v>
      </c>
      <c r="V33" s="153">
        <v>2892.2083828435025</v>
      </c>
      <c r="W33" s="153">
        <v>3013.9828414520648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58.601909550023827</v>
      </c>
      <c r="D3" s="126">
        <f t="shared" si="0"/>
        <v>52.763141732530698</v>
      </c>
      <c r="E3" s="126">
        <f t="shared" si="0"/>
        <v>43.160759033632907</v>
      </c>
      <c r="F3" s="126">
        <f t="shared" si="0"/>
        <v>49.09317643564691</v>
      </c>
      <c r="G3" s="126">
        <f t="shared" si="0"/>
        <v>40.431330337418515</v>
      </c>
      <c r="H3" s="126">
        <f t="shared" si="0"/>
        <v>50.792178128975976</v>
      </c>
      <c r="I3" s="126">
        <f t="shared" si="0"/>
        <v>48.449630736422137</v>
      </c>
      <c r="J3" s="126">
        <f t="shared" si="0"/>
        <v>31.428827447419494</v>
      </c>
      <c r="K3" s="126">
        <f t="shared" si="0"/>
        <v>33.915109640321631</v>
      </c>
      <c r="L3" s="126">
        <f t="shared" si="0"/>
        <v>43.318900840563899</v>
      </c>
      <c r="M3" s="126">
        <f t="shared" si="0"/>
        <v>30.409505723066836</v>
      </c>
      <c r="N3" s="126">
        <f t="shared" si="0"/>
        <v>28.327854237888001</v>
      </c>
      <c r="O3" s="126">
        <f t="shared" si="0"/>
        <v>39.952070381385077</v>
      </c>
      <c r="P3" s="126">
        <f t="shared" si="0"/>
        <v>28.722065683142919</v>
      </c>
      <c r="Q3" s="126">
        <f t="shared" si="0"/>
        <v>34.192739577809689</v>
      </c>
      <c r="R3" s="126">
        <f t="shared" ref="R3:W3" si="1">SUM(R4,R16,R19,R29)</f>
        <v>33.594849976611236</v>
      </c>
      <c r="S3" s="126">
        <f t="shared" si="1"/>
        <v>32.753000096180898</v>
      </c>
      <c r="T3" s="126">
        <f t="shared" si="1"/>
        <v>28.200127297082052</v>
      </c>
      <c r="U3" s="126">
        <f t="shared" si="1"/>
        <v>24.459542379090202</v>
      </c>
      <c r="V3" s="126">
        <f t="shared" si="1"/>
        <v>20.94810886729293</v>
      </c>
      <c r="W3" s="126">
        <f t="shared" si="1"/>
        <v>19.307592545166809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46.451086730674696</v>
      </c>
      <c r="D4" s="131">
        <f t="shared" si="2"/>
        <v>41.823983306541876</v>
      </c>
      <c r="E4" s="131">
        <f t="shared" si="2"/>
        <v>33.71536154564307</v>
      </c>
      <c r="F4" s="131">
        <f t="shared" si="2"/>
        <v>37.609059125733161</v>
      </c>
      <c r="G4" s="131">
        <f t="shared" si="2"/>
        <v>29.947735294890855</v>
      </c>
      <c r="H4" s="131">
        <f t="shared" si="2"/>
        <v>36.615460540466238</v>
      </c>
      <c r="I4" s="131">
        <f t="shared" si="2"/>
        <v>34.287007135542105</v>
      </c>
      <c r="J4" s="131">
        <f t="shared" si="2"/>
        <v>22.204399756299598</v>
      </c>
      <c r="K4" s="131">
        <f t="shared" si="2"/>
        <v>23.628677513089027</v>
      </c>
      <c r="L4" s="131">
        <f t="shared" si="2"/>
        <v>31.658621782451604</v>
      </c>
      <c r="M4" s="131">
        <f t="shared" si="2"/>
        <v>21.032106035100448</v>
      </c>
      <c r="N4" s="131">
        <f t="shared" si="2"/>
        <v>19.433111459275281</v>
      </c>
      <c r="O4" s="131">
        <f t="shared" si="2"/>
        <v>26.569357641175067</v>
      </c>
      <c r="P4" s="131">
        <f t="shared" si="2"/>
        <v>18.5277102362815</v>
      </c>
      <c r="Q4" s="131">
        <f t="shared" si="2"/>
        <v>21.967193152026837</v>
      </c>
      <c r="R4" s="131">
        <f t="shared" ref="R4:W4" si="3">SUM(R5:R15)</f>
        <v>21.647706600687389</v>
      </c>
      <c r="S4" s="131">
        <f t="shared" si="3"/>
        <v>19.892884206537381</v>
      </c>
      <c r="T4" s="131">
        <f t="shared" si="3"/>
        <v>16.861437340421535</v>
      </c>
      <c r="U4" s="131">
        <f t="shared" si="3"/>
        <v>13.78003163594015</v>
      </c>
      <c r="V4" s="131">
        <f t="shared" si="3"/>
        <v>10.955010552933286</v>
      </c>
      <c r="W4" s="131">
        <f t="shared" si="3"/>
        <v>9.6941864065264056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5.9500316806767639</v>
      </c>
      <c r="D7" s="133">
        <v>8.5674174687644769</v>
      </c>
      <c r="E7" s="133">
        <v>2.3532643516323466</v>
      </c>
      <c r="F7" s="133">
        <v>0</v>
      </c>
      <c r="G7" s="133">
        <v>0</v>
      </c>
      <c r="H7" s="133">
        <v>0</v>
      </c>
      <c r="I7" s="133">
        <v>0</v>
      </c>
      <c r="J7" s="133">
        <v>0</v>
      </c>
      <c r="K7" s="133">
        <v>2.3138479197458603</v>
      </c>
      <c r="L7" s="133">
        <v>8.012631579971826</v>
      </c>
      <c r="M7" s="133">
        <v>6.4225841343669883</v>
      </c>
      <c r="N7" s="133">
        <v>4.0072151705440273</v>
      </c>
      <c r="O7" s="133">
        <v>4.1911644334449951</v>
      </c>
      <c r="P7" s="133">
        <v>0</v>
      </c>
      <c r="Q7" s="133">
        <v>0.28439276276131348</v>
      </c>
      <c r="R7" s="133">
        <v>1.0964544973300603</v>
      </c>
      <c r="S7" s="133">
        <v>2.386412508173295</v>
      </c>
      <c r="T7" s="133">
        <v>1.623303674513344</v>
      </c>
      <c r="U7" s="133">
        <v>0.86879418130622932</v>
      </c>
      <c r="V7" s="133">
        <v>0.66009886831673548</v>
      </c>
      <c r="W7" s="133">
        <v>0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1.0536734108084378</v>
      </c>
      <c r="D9" s="133">
        <v>3.8445787872468005</v>
      </c>
      <c r="E9" s="133">
        <v>3.2497018351982647</v>
      </c>
      <c r="F9" s="133">
        <v>2.1726000730067998</v>
      </c>
      <c r="G9" s="133">
        <v>1.4050755946154996</v>
      </c>
      <c r="H9" s="133">
        <v>1.0828208815162486</v>
      </c>
      <c r="I9" s="133">
        <v>0.21149916524230508</v>
      </c>
      <c r="J9" s="133">
        <v>0.19452045196257259</v>
      </c>
      <c r="K9" s="133">
        <v>0.37575077833529169</v>
      </c>
      <c r="L9" s="133">
        <v>1.374186293224203</v>
      </c>
      <c r="M9" s="133">
        <v>1.2857400000548549</v>
      </c>
      <c r="N9" s="133">
        <v>1.4398135297196306</v>
      </c>
      <c r="O9" s="133">
        <v>0.50756376054534624</v>
      </c>
      <c r="P9" s="133">
        <v>0.32904757866341244</v>
      </c>
      <c r="Q9" s="133">
        <v>0</v>
      </c>
      <c r="R9" s="133">
        <v>0</v>
      </c>
      <c r="S9" s="133">
        <v>0.55308301892450351</v>
      </c>
      <c r="T9" s="133">
        <v>0.8012241863253573</v>
      </c>
      <c r="U9" s="133">
        <v>1.3393363296996155</v>
      </c>
      <c r="V9" s="133">
        <v>0.73036715153716558</v>
      </c>
      <c r="W9" s="133">
        <v>0.3542002736239806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1.6510281768046673</v>
      </c>
      <c r="D10" s="133">
        <v>0.64087389508382686</v>
      </c>
      <c r="E10" s="133">
        <v>0.95174842897741507</v>
      </c>
      <c r="F10" s="133">
        <v>2.4607853243098949</v>
      </c>
      <c r="G10" s="133">
        <v>1.0792082252629549</v>
      </c>
      <c r="H10" s="133">
        <v>0.33670823882633233</v>
      </c>
      <c r="I10" s="133">
        <v>0.10363486384800356</v>
      </c>
      <c r="J10" s="133">
        <v>0.17686324031773673</v>
      </c>
      <c r="K10" s="133">
        <v>0.45013571067814451</v>
      </c>
      <c r="L10" s="133">
        <v>0.37920191455882457</v>
      </c>
      <c r="M10" s="133">
        <v>0.27757669901257909</v>
      </c>
      <c r="N10" s="133">
        <v>0.33324629836704212</v>
      </c>
      <c r="O10" s="133">
        <v>0.20342309578795401</v>
      </c>
      <c r="P10" s="133">
        <v>0.5538303809526629</v>
      </c>
      <c r="Q10" s="133">
        <v>1.0985757560414191</v>
      </c>
      <c r="R10" s="133">
        <v>1.0063481133299081</v>
      </c>
      <c r="S10" s="133">
        <v>0.88872893132993236</v>
      </c>
      <c r="T10" s="133">
        <v>0.71080983604573644</v>
      </c>
      <c r="U10" s="133">
        <v>0.15767792528829142</v>
      </c>
      <c r="V10" s="133">
        <v>0</v>
      </c>
      <c r="W10" s="133">
        <v>9.2328038547326727E-2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18.657092530572456</v>
      </c>
      <c r="D12" s="133">
        <v>19.016445550256325</v>
      </c>
      <c r="E12" s="133">
        <v>19.430011031727712</v>
      </c>
      <c r="F12" s="133">
        <v>20.819466161096102</v>
      </c>
      <c r="G12" s="133">
        <v>17.74035704631331</v>
      </c>
      <c r="H12" s="133">
        <v>15.862085199818384</v>
      </c>
      <c r="I12" s="133">
        <v>14.908897520051411</v>
      </c>
      <c r="J12" s="133">
        <v>14.436200181266869</v>
      </c>
      <c r="K12" s="133">
        <v>19.4968775532625</v>
      </c>
      <c r="L12" s="133">
        <v>20.972814738022109</v>
      </c>
      <c r="M12" s="133">
        <v>11.235168355427911</v>
      </c>
      <c r="N12" s="133">
        <v>8.7334301372785994</v>
      </c>
      <c r="O12" s="133">
        <v>12.841295390250746</v>
      </c>
      <c r="P12" s="133">
        <v>5.330597738465749</v>
      </c>
      <c r="Q12" s="133">
        <v>6.969451701955534</v>
      </c>
      <c r="R12" s="133">
        <v>10.006210733894861</v>
      </c>
      <c r="S12" s="133">
        <v>11.505329969186187</v>
      </c>
      <c r="T12" s="133">
        <v>9.4885806733062559</v>
      </c>
      <c r="U12" s="133">
        <v>7.7879939179661912</v>
      </c>
      <c r="V12" s="133">
        <v>4.8681903971224347</v>
      </c>
      <c r="W12" s="133">
        <v>5.4204527922908019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0.5568553064405517</v>
      </c>
      <c r="D13" s="133">
        <v>0.76451795839969239</v>
      </c>
      <c r="E13" s="133">
        <v>0.70688480864917924</v>
      </c>
      <c r="F13" s="133">
        <v>1.0396105591082294</v>
      </c>
      <c r="G13" s="133">
        <v>0.86486777721178143</v>
      </c>
      <c r="H13" s="133">
        <v>1.4742422716879409</v>
      </c>
      <c r="I13" s="133">
        <v>1.63810093913351</v>
      </c>
      <c r="J13" s="133">
        <v>0.9150246265218408</v>
      </c>
      <c r="K13" s="133">
        <v>0.89588274130465662</v>
      </c>
      <c r="L13" s="133">
        <v>0.64753132409218761</v>
      </c>
      <c r="M13" s="133">
        <v>0.74860678145599546</v>
      </c>
      <c r="N13" s="133">
        <v>0.42219386047237484</v>
      </c>
      <c r="O13" s="133">
        <v>0.68878251690497005</v>
      </c>
      <c r="P13" s="133">
        <v>0.77622813228347942</v>
      </c>
      <c r="Q13" s="133">
        <v>0.81021005299028281</v>
      </c>
      <c r="R13" s="133">
        <v>0.8971691777819425</v>
      </c>
      <c r="S13" s="133">
        <v>0.84992495275790136</v>
      </c>
      <c r="T13" s="133">
        <v>0.72379205338485053</v>
      </c>
      <c r="U13" s="133">
        <v>0.62304265548947091</v>
      </c>
      <c r="V13" s="133">
        <v>0.6583505978917028</v>
      </c>
      <c r="W13" s="133">
        <v>0.37977294164178399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18.430116340689754</v>
      </c>
      <c r="D14" s="65">
        <v>8.7859646529117725</v>
      </c>
      <c r="E14" s="65">
        <v>6.8865248197701989</v>
      </c>
      <c r="F14" s="65">
        <v>11.00348514677183</v>
      </c>
      <c r="G14" s="65">
        <v>8.7730272563618303</v>
      </c>
      <c r="H14" s="65">
        <v>17.789293639550969</v>
      </c>
      <c r="I14" s="65">
        <v>17.369479043160474</v>
      </c>
      <c r="J14" s="65">
        <v>6.4284976793080011</v>
      </c>
      <c r="K14" s="65">
        <v>0</v>
      </c>
      <c r="L14" s="65">
        <v>0.10467598250857857</v>
      </c>
      <c r="M14" s="65">
        <v>0.94452211688205234</v>
      </c>
      <c r="N14" s="65">
        <v>4.408859296049541</v>
      </c>
      <c r="O14" s="65">
        <v>8.0424169413862465</v>
      </c>
      <c r="P14" s="65">
        <v>11.513755482233119</v>
      </c>
      <c r="Q14" s="65">
        <v>12.772954954671397</v>
      </c>
      <c r="R14" s="65">
        <v>8.5905540815386221</v>
      </c>
      <c r="S14" s="65">
        <v>3.631895032197562</v>
      </c>
      <c r="T14" s="65">
        <v>3.449648741033807</v>
      </c>
      <c r="U14" s="65">
        <v>2.9496256694762186</v>
      </c>
      <c r="V14" s="65">
        <v>4.0047452958364973</v>
      </c>
      <c r="W14" s="65">
        <v>3.4243925984153059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0.15228928468206593</v>
      </c>
      <c r="D15" s="135">
        <v>0.20418499387898514</v>
      </c>
      <c r="E15" s="135">
        <v>0.1372262696879496</v>
      </c>
      <c r="F15" s="135">
        <v>0.11311186144030949</v>
      </c>
      <c r="G15" s="135">
        <v>8.5199395125477445E-2</v>
      </c>
      <c r="H15" s="135">
        <v>7.0310309066363361E-2</v>
      </c>
      <c r="I15" s="135">
        <v>5.5395604106401743E-2</v>
      </c>
      <c r="J15" s="135">
        <v>5.3293576922576497E-2</v>
      </c>
      <c r="K15" s="135">
        <v>9.6182809762573457E-2</v>
      </c>
      <c r="L15" s="135">
        <v>0.16757995007387202</v>
      </c>
      <c r="M15" s="135">
        <v>0.11790794790006745</v>
      </c>
      <c r="N15" s="135">
        <v>8.8353166844064079E-2</v>
      </c>
      <c r="O15" s="135">
        <v>9.4711502854809809E-2</v>
      </c>
      <c r="P15" s="135">
        <v>2.4250923683077803E-2</v>
      </c>
      <c r="Q15" s="135">
        <v>3.1607923606890936E-2</v>
      </c>
      <c r="R15" s="135">
        <v>5.0969996811996099E-2</v>
      </c>
      <c r="S15" s="135">
        <v>7.7509793968001894E-2</v>
      </c>
      <c r="T15" s="135">
        <v>6.4078175812183141E-2</v>
      </c>
      <c r="U15" s="135">
        <v>5.3560956714130623E-2</v>
      </c>
      <c r="V15" s="135">
        <v>3.3258242228748451E-2</v>
      </c>
      <c r="W15" s="135">
        <v>2.3039762007205672E-2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2.0908399964546232</v>
      </c>
      <c r="D16" s="131">
        <f t="shared" si="4"/>
        <v>1.8510838452694016</v>
      </c>
      <c r="E16" s="131">
        <f t="shared" si="4"/>
        <v>1.5899370798946071</v>
      </c>
      <c r="F16" s="131">
        <f t="shared" si="4"/>
        <v>1.8919974137630304</v>
      </c>
      <c r="G16" s="131">
        <f t="shared" si="4"/>
        <v>1.656419879710896</v>
      </c>
      <c r="H16" s="131">
        <f t="shared" si="4"/>
        <v>2.0547632829274098</v>
      </c>
      <c r="I16" s="131">
        <f t="shared" si="4"/>
        <v>1.9151529534483196</v>
      </c>
      <c r="J16" s="131">
        <f t="shared" si="4"/>
        <v>1.2921632534838581</v>
      </c>
      <c r="K16" s="131">
        <f t="shared" si="4"/>
        <v>1.3781521719404104</v>
      </c>
      <c r="L16" s="131">
        <f t="shared" si="4"/>
        <v>1.5777772265550121</v>
      </c>
      <c r="M16" s="131">
        <f t="shared" si="4"/>
        <v>1.2245196073584765</v>
      </c>
      <c r="N16" s="131">
        <f t="shared" si="4"/>
        <v>1.0265745773627899</v>
      </c>
      <c r="O16" s="131">
        <f t="shared" si="4"/>
        <v>1.5149392928278045</v>
      </c>
      <c r="P16" s="131">
        <f t="shared" si="4"/>
        <v>1.1512832831541022</v>
      </c>
      <c r="Q16" s="131">
        <f t="shared" si="4"/>
        <v>1.2902585488445204</v>
      </c>
      <c r="R16" s="131">
        <f t="shared" ref="R16:W16" si="5">SUM(R17:R18)</f>
        <v>1.2296337725798125</v>
      </c>
      <c r="S16" s="131">
        <f t="shared" si="5"/>
        <v>1.2948592235515375</v>
      </c>
      <c r="T16" s="131">
        <f t="shared" si="5"/>
        <v>1.1056651298301732</v>
      </c>
      <c r="U16" s="131">
        <f t="shared" si="5"/>
        <v>0.99304329929554402</v>
      </c>
      <c r="V16" s="131">
        <f t="shared" si="5"/>
        <v>0.92366565330490902</v>
      </c>
      <c r="W16" s="131">
        <f t="shared" si="5"/>
        <v>0.79546217104295891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2.0908399964546232</v>
      </c>
      <c r="D18" s="133">
        <v>1.8510838452694016</v>
      </c>
      <c r="E18" s="133">
        <v>1.5899370798946071</v>
      </c>
      <c r="F18" s="133">
        <v>1.8919974137630304</v>
      </c>
      <c r="G18" s="133">
        <v>1.656419879710896</v>
      </c>
      <c r="H18" s="133">
        <v>2.0547632829274098</v>
      </c>
      <c r="I18" s="133">
        <v>1.9151529534483196</v>
      </c>
      <c r="J18" s="133">
        <v>1.2921632534838581</v>
      </c>
      <c r="K18" s="133">
        <v>1.3781521719404104</v>
      </c>
      <c r="L18" s="133">
        <v>1.5777772265550121</v>
      </c>
      <c r="M18" s="133">
        <v>1.2245196073584765</v>
      </c>
      <c r="N18" s="133">
        <v>1.0265745773627899</v>
      </c>
      <c r="O18" s="133">
        <v>1.5149392928278045</v>
      </c>
      <c r="P18" s="133">
        <v>1.1512832831541022</v>
      </c>
      <c r="Q18" s="133">
        <v>1.2902585488445204</v>
      </c>
      <c r="R18" s="133">
        <v>1.2296337725798125</v>
      </c>
      <c r="S18" s="133">
        <v>1.2948592235515375</v>
      </c>
      <c r="T18" s="133">
        <v>1.1056651298301732</v>
      </c>
      <c r="U18" s="133">
        <v>0.99304329929554402</v>
      </c>
      <c r="V18" s="133">
        <v>0.92366565330490902</v>
      </c>
      <c r="W18" s="133">
        <v>0.79546217104295891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5.6724251316188425</v>
      </c>
      <c r="D19" s="131">
        <f t="shared" si="6"/>
        <v>5.0690712950874479</v>
      </c>
      <c r="E19" s="131">
        <f t="shared" si="6"/>
        <v>4.3238194893835136</v>
      </c>
      <c r="F19" s="131">
        <f t="shared" si="6"/>
        <v>5.1224661731027297</v>
      </c>
      <c r="G19" s="131">
        <f t="shared" si="6"/>
        <v>4.8031384524680361</v>
      </c>
      <c r="H19" s="131">
        <f t="shared" si="6"/>
        <v>6.026356731787299</v>
      </c>
      <c r="I19" s="131">
        <f t="shared" si="6"/>
        <v>5.9582782140756958</v>
      </c>
      <c r="J19" s="131">
        <f t="shared" si="6"/>
        <v>4.1211791797825512</v>
      </c>
      <c r="K19" s="131">
        <f t="shared" si="6"/>
        <v>4.6484993973724542</v>
      </c>
      <c r="L19" s="131">
        <f t="shared" si="6"/>
        <v>5.2803894959158431</v>
      </c>
      <c r="M19" s="131">
        <f t="shared" si="6"/>
        <v>4.3996018510375672</v>
      </c>
      <c r="N19" s="131">
        <f t="shared" si="6"/>
        <v>4.1217367725390481</v>
      </c>
      <c r="O19" s="131">
        <f t="shared" si="6"/>
        <v>6.2160296981275192</v>
      </c>
      <c r="P19" s="131">
        <f t="shared" si="6"/>
        <v>4.6074560957868735</v>
      </c>
      <c r="Q19" s="131">
        <f t="shared" si="6"/>
        <v>5.5461704687355677</v>
      </c>
      <c r="R19" s="131">
        <f t="shared" ref="R19:W19" si="7">SUM(R20:R27)</f>
        <v>5.3796906414743493</v>
      </c>
      <c r="S19" s="131">
        <f t="shared" si="7"/>
        <v>5.6970662516493569</v>
      </c>
      <c r="T19" s="131">
        <f t="shared" si="7"/>
        <v>4.9273866633031371</v>
      </c>
      <c r="U19" s="131">
        <f t="shared" si="7"/>
        <v>4.5873558934293603</v>
      </c>
      <c r="V19" s="131">
        <f t="shared" si="7"/>
        <v>4.3475347149992061</v>
      </c>
      <c r="W19" s="131">
        <f t="shared" si="7"/>
        <v>4.1886179458423527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1.0713926840344941</v>
      </c>
      <c r="D22" s="133">
        <v>0.67499394133942148</v>
      </c>
      <c r="E22" s="133">
        <v>0.19664300456530956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0.80107189945466928</v>
      </c>
      <c r="N22" s="133">
        <v>1.2040149688112638</v>
      </c>
      <c r="O22" s="133">
        <v>1.4503129785843516</v>
      </c>
      <c r="P22" s="133">
        <v>0.22640672704244505</v>
      </c>
      <c r="Q22" s="133">
        <v>1.1559046455745692</v>
      </c>
      <c r="R22" s="133">
        <v>0.80678453469610212</v>
      </c>
      <c r="S22" s="133">
        <v>0.7685657313093035</v>
      </c>
      <c r="T22" s="133">
        <v>0.34756130968698268</v>
      </c>
      <c r="U22" s="133">
        <v>8.6477705583521913E-2</v>
      </c>
      <c r="V22" s="133">
        <v>4.3611586616998509E-2</v>
      </c>
      <c r="W22" s="133">
        <v>0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4.6859285286089895E-2</v>
      </c>
      <c r="D23" s="133">
        <v>0.1044600481437513</v>
      </c>
      <c r="E23" s="133">
        <v>9.4231142088030628E-2</v>
      </c>
      <c r="F23" s="133">
        <v>9.6581722691849184E-2</v>
      </c>
      <c r="G23" s="133">
        <v>9.4666906470327106E-2</v>
      </c>
      <c r="H23" s="133">
        <v>0.15876774427550283</v>
      </c>
      <c r="I23" s="133">
        <v>9.8093711220760119E-2</v>
      </c>
      <c r="J23" s="133">
        <v>7.1779592190348684E-2</v>
      </c>
      <c r="K23" s="133">
        <v>5.1901858099536825E-2</v>
      </c>
      <c r="L23" s="133">
        <v>7.3969358325932752E-2</v>
      </c>
      <c r="M23" s="133">
        <v>4.737276756558776E-2</v>
      </c>
      <c r="N23" s="133">
        <v>4.8252157407555243E-2</v>
      </c>
      <c r="O23" s="133">
        <v>7.9302075335475355E-2</v>
      </c>
      <c r="P23" s="133">
        <v>0.12235308260263981</v>
      </c>
      <c r="Q23" s="133">
        <v>4.4934074818197826E-2</v>
      </c>
      <c r="R23" s="133">
        <v>2.8955507355062783E-2</v>
      </c>
      <c r="S23" s="133">
        <v>4.6128074356407499E-2</v>
      </c>
      <c r="T23" s="133">
        <v>7.6180569406296916E-2</v>
      </c>
      <c r="U23" s="133">
        <v>0.20702484583664352</v>
      </c>
      <c r="V23" s="133">
        <v>0.1465061865453752</v>
      </c>
      <c r="W23" s="133">
        <v>8.3800210916496351E-2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2.0689293184511306</v>
      </c>
      <c r="D25" s="133">
        <v>2.0710672699130934</v>
      </c>
      <c r="E25" s="133">
        <v>2.0809871138664575</v>
      </c>
      <c r="F25" s="133">
        <v>3.0564820721332748</v>
      </c>
      <c r="G25" s="133">
        <v>2.6159687097365856</v>
      </c>
      <c r="H25" s="133">
        <v>3.4478300199979808</v>
      </c>
      <c r="I25" s="133">
        <v>2.5189185618616059</v>
      </c>
      <c r="J25" s="133">
        <v>1.7092207648169062</v>
      </c>
      <c r="K25" s="133">
        <v>1.8657941193078105</v>
      </c>
      <c r="L25" s="133">
        <v>2.7046615552524682</v>
      </c>
      <c r="M25" s="133">
        <v>2.0763254582554582</v>
      </c>
      <c r="N25" s="133">
        <v>1.7868105094839246</v>
      </c>
      <c r="O25" s="133">
        <v>2.7388393618085276</v>
      </c>
      <c r="P25" s="133">
        <v>2.5615957176009672</v>
      </c>
      <c r="Q25" s="133">
        <v>2.9542306974575245</v>
      </c>
      <c r="R25" s="133">
        <v>3.4196547248732339</v>
      </c>
      <c r="S25" s="133">
        <v>2.8328424814032016</v>
      </c>
      <c r="T25" s="133">
        <v>2.5969066488566925</v>
      </c>
      <c r="U25" s="133">
        <v>2.3748356808789253</v>
      </c>
      <c r="V25" s="133">
        <v>2.1281409654737384</v>
      </c>
      <c r="W25" s="133">
        <v>2.0881973892445806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2.4852438438471283</v>
      </c>
      <c r="D26" s="65">
        <v>2.2185500356911816</v>
      </c>
      <c r="E26" s="65">
        <v>1.9519582288637156</v>
      </c>
      <c r="F26" s="65">
        <v>1.9694023782776056</v>
      </c>
      <c r="G26" s="65">
        <v>2.0925028362611235</v>
      </c>
      <c r="H26" s="65">
        <v>2.4197589675138151</v>
      </c>
      <c r="I26" s="65">
        <v>3.3412659409933303</v>
      </c>
      <c r="J26" s="65">
        <v>2.3401788227752962</v>
      </c>
      <c r="K26" s="65">
        <v>2.7308034199651066</v>
      </c>
      <c r="L26" s="65">
        <v>2.501758582337442</v>
      </c>
      <c r="M26" s="65">
        <v>1.474831725761852</v>
      </c>
      <c r="N26" s="65">
        <v>1.082659136836305</v>
      </c>
      <c r="O26" s="65">
        <v>1.9475752823991639</v>
      </c>
      <c r="P26" s="65">
        <v>1.6971005685408211</v>
      </c>
      <c r="Q26" s="65">
        <v>1.3911010508852761</v>
      </c>
      <c r="R26" s="65">
        <v>1.1242958745499507</v>
      </c>
      <c r="S26" s="65">
        <v>2.0495299645804441</v>
      </c>
      <c r="T26" s="65">
        <v>1.9067381353531645</v>
      </c>
      <c r="U26" s="65">
        <v>1.9190176611302701</v>
      </c>
      <c r="V26" s="65">
        <v>2.0292759763630945</v>
      </c>
      <c r="W26" s="65">
        <v>2.0166203456812757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4.3875576912756591</v>
      </c>
      <c r="D29" s="131">
        <f t="shared" si="8"/>
        <v>4.0190032856319711</v>
      </c>
      <c r="E29" s="131">
        <f t="shared" si="8"/>
        <v>3.5316409187117257</v>
      </c>
      <c r="F29" s="131">
        <f t="shared" si="8"/>
        <v>4.4696537230479887</v>
      </c>
      <c r="G29" s="131">
        <f t="shared" si="8"/>
        <v>4.0240367103487351</v>
      </c>
      <c r="H29" s="131">
        <f t="shared" si="8"/>
        <v>6.095597573795029</v>
      </c>
      <c r="I29" s="131">
        <f t="shared" si="8"/>
        <v>6.2891924333560167</v>
      </c>
      <c r="J29" s="131">
        <f t="shared" si="8"/>
        <v>3.8110852578534873</v>
      </c>
      <c r="K29" s="131">
        <f t="shared" si="8"/>
        <v>4.2597805579197381</v>
      </c>
      <c r="L29" s="131">
        <f t="shared" si="8"/>
        <v>4.8021123356414366</v>
      </c>
      <c r="M29" s="131">
        <f t="shared" si="8"/>
        <v>3.7532782295703462</v>
      </c>
      <c r="N29" s="131">
        <f t="shared" si="8"/>
        <v>3.7464314287108818</v>
      </c>
      <c r="O29" s="131">
        <f t="shared" si="8"/>
        <v>5.6517437492546874</v>
      </c>
      <c r="P29" s="131">
        <f t="shared" si="8"/>
        <v>4.4356160679204457</v>
      </c>
      <c r="Q29" s="131">
        <f t="shared" si="8"/>
        <v>5.3891174082027611</v>
      </c>
      <c r="R29" s="131">
        <f t="shared" ref="R29:W29" si="9">SUM(R30:R33)</f>
        <v>5.3378189618696856</v>
      </c>
      <c r="S29" s="131">
        <f t="shared" si="9"/>
        <v>5.8681904144426262</v>
      </c>
      <c r="T29" s="131">
        <f t="shared" si="9"/>
        <v>5.3056381635272096</v>
      </c>
      <c r="U29" s="131">
        <f t="shared" si="9"/>
        <v>5.0991115504251479</v>
      </c>
      <c r="V29" s="131">
        <f t="shared" si="9"/>
        <v>4.7218979460555293</v>
      </c>
      <c r="W29" s="131">
        <f t="shared" si="9"/>
        <v>4.6293260217550936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0.68314935439147373</v>
      </c>
      <c r="D30" s="133">
        <v>0.42985352088197126</v>
      </c>
      <c r="E30" s="133">
        <v>0</v>
      </c>
      <c r="F30" s="133">
        <v>0.32033420706174215</v>
      </c>
      <c r="G30" s="133">
        <v>1.1471932483268865</v>
      </c>
      <c r="H30" s="133">
        <v>3.5390286512120848</v>
      </c>
      <c r="I30" s="133">
        <v>3.483359452195085</v>
      </c>
      <c r="J30" s="133">
        <v>0.96415851232519445</v>
      </c>
      <c r="K30" s="133">
        <v>0.10138070544726649</v>
      </c>
      <c r="L30" s="133">
        <v>0.63391002103980232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0.15201224445407868</v>
      </c>
      <c r="T30" s="133">
        <v>0.66904379500162481</v>
      </c>
      <c r="U30" s="133">
        <v>0.53925566679327619</v>
      </c>
      <c r="V30" s="133">
        <v>0.27010827488564504</v>
      </c>
      <c r="W30" s="133">
        <v>5.8931876599631026E-2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0.17683339555192615</v>
      </c>
      <c r="D31" s="133">
        <v>0.20925660518843553</v>
      </c>
      <c r="E31" s="133">
        <v>0.1803427709729028</v>
      </c>
      <c r="F31" s="133">
        <v>0.18471512512408039</v>
      </c>
      <c r="G31" s="133">
        <v>0.14112569215310988</v>
      </c>
      <c r="H31" s="133">
        <v>0.14961728483275086</v>
      </c>
      <c r="I31" s="133">
        <v>0.12560249961849357</v>
      </c>
      <c r="J31" s="133">
        <v>7.4001169498882011E-2</v>
      </c>
      <c r="K31" s="133">
        <v>4.8679038169223504E-2</v>
      </c>
      <c r="L31" s="133">
        <v>2.2992191512500381E-2</v>
      </c>
      <c r="M31" s="133">
        <v>1.5858631178574608E-2</v>
      </c>
      <c r="N31" s="133">
        <v>5.6337250189329946E-2</v>
      </c>
      <c r="O31" s="133">
        <v>0.15081870328571739</v>
      </c>
      <c r="P31" s="133">
        <v>0.15098784772133825</v>
      </c>
      <c r="Q31" s="133">
        <v>0.10385207137935495</v>
      </c>
      <c r="R31" s="133">
        <v>8.6818135831525145E-2</v>
      </c>
      <c r="S31" s="133">
        <v>6.4682121069623996E-2</v>
      </c>
      <c r="T31" s="133">
        <v>9.9164844697842175E-2</v>
      </c>
      <c r="U31" s="133">
        <v>0.23674682958463658</v>
      </c>
      <c r="V31" s="133">
        <v>0.15839183426800171</v>
      </c>
      <c r="W31" s="133">
        <v>8.6473246641753321E-2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3.5275749413322592</v>
      </c>
      <c r="D33" s="68">
        <v>3.3798931595615644</v>
      </c>
      <c r="E33" s="68">
        <v>3.3512981477388228</v>
      </c>
      <c r="F33" s="68">
        <v>3.9646043908621666</v>
      </c>
      <c r="G33" s="68">
        <v>2.7357177698687387</v>
      </c>
      <c r="H33" s="68">
        <v>2.4069516377501929</v>
      </c>
      <c r="I33" s="68">
        <v>2.6802304815424383</v>
      </c>
      <c r="J33" s="68">
        <v>2.7729255760294111</v>
      </c>
      <c r="K33" s="68">
        <v>4.1097208143032482</v>
      </c>
      <c r="L33" s="68">
        <v>4.1452101230891341</v>
      </c>
      <c r="M33" s="68">
        <v>3.7374195983917717</v>
      </c>
      <c r="N33" s="68">
        <v>3.690094178521552</v>
      </c>
      <c r="O33" s="68">
        <v>5.5009250459689696</v>
      </c>
      <c r="P33" s="68">
        <v>4.2846282201991075</v>
      </c>
      <c r="Q33" s="68">
        <v>5.2852653368234064</v>
      </c>
      <c r="R33" s="68">
        <v>5.2510008260381609</v>
      </c>
      <c r="S33" s="68">
        <v>5.6514960489189239</v>
      </c>
      <c r="T33" s="68">
        <v>4.5374295238277425</v>
      </c>
      <c r="U33" s="68">
        <v>4.3231090540472348</v>
      </c>
      <c r="V33" s="68">
        <v>4.2933978369018826</v>
      </c>
      <c r="W33" s="68">
        <v>4.4839208985137091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46.017603956394105</v>
      </c>
      <c r="D3" s="126">
        <f t="shared" si="0"/>
        <v>41.370733766318573</v>
      </c>
      <c r="E3" s="126">
        <f t="shared" si="0"/>
        <v>35.702551232025598</v>
      </c>
      <c r="F3" s="126">
        <f t="shared" si="0"/>
        <v>41.873041445703976</v>
      </c>
      <c r="G3" s="126">
        <f t="shared" si="0"/>
        <v>35.152808967621787</v>
      </c>
      <c r="H3" s="126">
        <f t="shared" si="0"/>
        <v>44.616404214372288</v>
      </c>
      <c r="I3" s="126">
        <f t="shared" si="0"/>
        <v>43.308828298567441</v>
      </c>
      <c r="J3" s="126">
        <f t="shared" si="0"/>
        <v>28.823940955414706</v>
      </c>
      <c r="K3" s="126">
        <f t="shared" si="0"/>
        <v>31.213798726761777</v>
      </c>
      <c r="L3" s="126">
        <f t="shared" si="0"/>
        <v>37.77779000991255</v>
      </c>
      <c r="M3" s="126">
        <f t="shared" si="0"/>
        <v>27.450337494731027</v>
      </c>
      <c r="N3" s="126">
        <f t="shared" si="0"/>
        <v>25.33844524988455</v>
      </c>
      <c r="O3" s="126">
        <f t="shared" si="0"/>
        <v>37.435992764850553</v>
      </c>
      <c r="P3" s="126">
        <f t="shared" si="0"/>
        <v>28.722920684228182</v>
      </c>
      <c r="Q3" s="126">
        <f t="shared" si="0"/>
        <v>34.206210699629516</v>
      </c>
      <c r="R3" s="126">
        <f t="shared" ref="R3:W3" si="1">SUM(R4,R16,R19,R29)</f>
        <v>34.288220545454415</v>
      </c>
      <c r="S3" s="126">
        <f t="shared" si="1"/>
        <v>33.956333033468212</v>
      </c>
      <c r="T3" s="126">
        <f t="shared" si="1"/>
        <v>29.44117387473224</v>
      </c>
      <c r="U3" s="126">
        <f t="shared" si="1"/>
        <v>26.056496932209186</v>
      </c>
      <c r="V3" s="126">
        <f t="shared" si="1"/>
        <v>23.38088305285234</v>
      </c>
      <c r="W3" s="126">
        <f t="shared" si="1"/>
        <v>21.042467749316003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33.364197890148269</v>
      </c>
      <c r="D4" s="131">
        <f t="shared" si="2"/>
        <v>29.752702291552346</v>
      </c>
      <c r="E4" s="131">
        <f t="shared" si="2"/>
        <v>25.349034084202376</v>
      </c>
      <c r="F4" s="131">
        <f t="shared" si="2"/>
        <v>29.10230191964601</v>
      </c>
      <c r="G4" s="131">
        <f t="shared" si="2"/>
        <v>23.680685288045172</v>
      </c>
      <c r="H4" s="131">
        <f t="shared" si="2"/>
        <v>29.609288606260293</v>
      </c>
      <c r="I4" s="131">
        <f t="shared" si="2"/>
        <v>28.502944799724688</v>
      </c>
      <c r="J4" s="131">
        <f t="shared" si="2"/>
        <v>18.697553676008848</v>
      </c>
      <c r="K4" s="131">
        <f t="shared" si="2"/>
        <v>19.713607725022367</v>
      </c>
      <c r="L4" s="131">
        <f t="shared" si="2"/>
        <v>24.547514829440065</v>
      </c>
      <c r="M4" s="131">
        <f t="shared" si="2"/>
        <v>16.77144217256977</v>
      </c>
      <c r="N4" s="131">
        <f t="shared" si="2"/>
        <v>15.436996518578324</v>
      </c>
      <c r="O4" s="131">
        <f t="shared" si="2"/>
        <v>22.191352791264674</v>
      </c>
      <c r="P4" s="131">
        <f t="shared" si="2"/>
        <v>16.650600180572361</v>
      </c>
      <c r="Q4" s="131">
        <f t="shared" si="2"/>
        <v>19.74600424171409</v>
      </c>
      <c r="R4" s="131">
        <f t="shared" ref="R4:W4" si="3">SUM(R5:R15)</f>
        <v>19.967276802863424</v>
      </c>
      <c r="S4" s="131">
        <f t="shared" si="3"/>
        <v>18.438224309485527</v>
      </c>
      <c r="T4" s="131">
        <f t="shared" si="3"/>
        <v>15.804031979858831</v>
      </c>
      <c r="U4" s="131">
        <f t="shared" si="3"/>
        <v>13.219221727592441</v>
      </c>
      <c r="V4" s="131">
        <f t="shared" si="3"/>
        <v>11.160978666659323</v>
      </c>
      <c r="W4" s="131">
        <f t="shared" si="3"/>
        <v>9.4322636912288136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3.038690700435537</v>
      </c>
      <c r="D7" s="133">
        <v>4.4344791600137006</v>
      </c>
      <c r="E7" s="133">
        <v>1.2348506369568686</v>
      </c>
      <c r="F7" s="133">
        <v>0</v>
      </c>
      <c r="G7" s="133">
        <v>0</v>
      </c>
      <c r="H7" s="133">
        <v>0</v>
      </c>
      <c r="I7" s="133">
        <v>0</v>
      </c>
      <c r="J7" s="133">
        <v>0</v>
      </c>
      <c r="K7" s="133">
        <v>1.3219955454370305</v>
      </c>
      <c r="L7" s="133">
        <v>4.6539754256371086</v>
      </c>
      <c r="M7" s="133">
        <v>3.8281232059272217</v>
      </c>
      <c r="N7" s="133">
        <v>2.4782416293888065</v>
      </c>
      <c r="O7" s="133">
        <v>2.7195370837767521</v>
      </c>
      <c r="P7" s="133">
        <v>0</v>
      </c>
      <c r="Q7" s="133">
        <v>0.20266555518738319</v>
      </c>
      <c r="R7" s="133">
        <v>0.79684418595246365</v>
      </c>
      <c r="S7" s="133">
        <v>1.7584266446548344</v>
      </c>
      <c r="T7" s="133">
        <v>1.2081451960675171</v>
      </c>
      <c r="U7" s="133">
        <v>0.65160980778314148</v>
      </c>
      <c r="V7" s="133">
        <v>0.49838680214697123</v>
      </c>
      <c r="W7" s="133">
        <v>0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0.61422841971531927</v>
      </c>
      <c r="D9" s="133">
        <v>2.2717918845214218</v>
      </c>
      <c r="E9" s="133">
        <v>1.9461759162555952</v>
      </c>
      <c r="F9" s="133">
        <v>1.3182259010858843</v>
      </c>
      <c r="G9" s="133">
        <v>0.86358361020574381</v>
      </c>
      <c r="H9" s="133">
        <v>0.67402169593783001</v>
      </c>
      <c r="I9" s="133">
        <v>0.13331377997261826</v>
      </c>
      <c r="J9" s="133">
        <v>0.12416066086134321</v>
      </c>
      <c r="K9" s="133">
        <v>0.24290070525349861</v>
      </c>
      <c r="L9" s="133">
        <v>0.89981964421708227</v>
      </c>
      <c r="M9" s="133">
        <v>0.85564573020629675</v>
      </c>
      <c r="N9" s="133">
        <v>0.97792544491503008</v>
      </c>
      <c r="O9" s="133">
        <v>0.35344124006940303</v>
      </c>
      <c r="P9" s="133">
        <v>0.23539754315427699</v>
      </c>
      <c r="Q9" s="133">
        <v>0</v>
      </c>
      <c r="R9" s="133">
        <v>0</v>
      </c>
      <c r="S9" s="133">
        <v>0.41359479304428937</v>
      </c>
      <c r="T9" s="133">
        <v>0.60367769172929575</v>
      </c>
      <c r="U9" s="133">
        <v>1.0154108235274317</v>
      </c>
      <c r="V9" s="133">
        <v>0.55670446343571633</v>
      </c>
      <c r="W9" s="133">
        <v>0.27098045225670514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0.889079496311171</v>
      </c>
      <c r="D10" s="133">
        <v>0.34528396377704995</v>
      </c>
      <c r="E10" s="133">
        <v>0.51303343775620625</v>
      </c>
      <c r="F10" s="133">
        <v>1.3271458478643514</v>
      </c>
      <c r="G10" s="133">
        <v>0.58233531113569947</v>
      </c>
      <c r="H10" s="133">
        <v>0.1817798983913762</v>
      </c>
      <c r="I10" s="133">
        <v>5.597874779424971E-2</v>
      </c>
      <c r="J10" s="133">
        <v>9.5582921910813912E-2</v>
      </c>
      <c r="K10" s="133">
        <v>0.243394593246754</v>
      </c>
      <c r="L10" s="133">
        <v>0.20514512040896191</v>
      </c>
      <c r="M10" s="133">
        <v>0.15023777536701288</v>
      </c>
      <c r="N10" s="133">
        <v>0.18044319738165554</v>
      </c>
      <c r="O10" s="133">
        <v>0.11018522964514835</v>
      </c>
      <c r="P10" s="133">
        <v>0.30007474083375862</v>
      </c>
      <c r="Q10" s="133">
        <v>0.59543841076844362</v>
      </c>
      <c r="R10" s="133">
        <v>0.54573561314068653</v>
      </c>
      <c r="S10" s="133">
        <v>0.48223408118324435</v>
      </c>
      <c r="T10" s="133">
        <v>0.38592029533666128</v>
      </c>
      <c r="U10" s="133">
        <v>8.5654543034361527E-2</v>
      </c>
      <c r="V10" s="133">
        <v>0</v>
      </c>
      <c r="W10" s="133">
        <v>5.0195961748493487E-2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14.714744072018746</v>
      </c>
      <c r="D12" s="133">
        <v>15.031365310474579</v>
      </c>
      <c r="E12" s="133">
        <v>15.393103580618632</v>
      </c>
      <c r="F12" s="133">
        <v>16.53134098628643</v>
      </c>
      <c r="G12" s="133">
        <v>14.119120950723044</v>
      </c>
      <c r="H12" s="133">
        <v>12.654099002500804</v>
      </c>
      <c r="I12" s="133">
        <v>11.922457314995205</v>
      </c>
      <c r="J12" s="133">
        <v>11.573537808598278</v>
      </c>
      <c r="K12" s="133">
        <v>15.67226636836531</v>
      </c>
      <c r="L12" s="133">
        <v>16.906026965043534</v>
      </c>
      <c r="M12" s="133">
        <v>9.0917065070362764</v>
      </c>
      <c r="N12" s="133">
        <v>7.1041904097498989</v>
      </c>
      <c r="O12" s="133">
        <v>10.516846194616296</v>
      </c>
      <c r="P12" s="133">
        <v>4.4001008742732282</v>
      </c>
      <c r="Q12" s="133">
        <v>5.795331215379246</v>
      </c>
      <c r="R12" s="133">
        <v>8.3671998033862902</v>
      </c>
      <c r="S12" s="133">
        <v>9.6730046077589478</v>
      </c>
      <c r="T12" s="133">
        <v>8.0190326655167539</v>
      </c>
      <c r="U12" s="133">
        <v>6.6145028447972507</v>
      </c>
      <c r="V12" s="133">
        <v>4.1540200818687349</v>
      </c>
      <c r="W12" s="133">
        <v>4.6451286485864305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0.76952293890994072</v>
      </c>
      <c r="D13" s="133">
        <v>1.1439138905360402</v>
      </c>
      <c r="E13" s="133">
        <v>1.140825034388423</v>
      </c>
      <c r="F13" s="133">
        <v>1.8029805819554534</v>
      </c>
      <c r="G13" s="133">
        <v>1.6068244547456343</v>
      </c>
      <c r="H13" s="133">
        <v>2.9257811726456735</v>
      </c>
      <c r="I13" s="133">
        <v>3.4637693429184289</v>
      </c>
      <c r="J13" s="133">
        <v>2.05693068105542</v>
      </c>
      <c r="K13" s="133">
        <v>2.1368677029572005</v>
      </c>
      <c r="L13" s="133">
        <v>1.6358430612206409</v>
      </c>
      <c r="M13" s="133">
        <v>2.0073073616630923</v>
      </c>
      <c r="N13" s="133">
        <v>1.2045838589149085</v>
      </c>
      <c r="O13" s="133">
        <v>2.0937807356317366</v>
      </c>
      <c r="P13" s="133">
        <v>2.5050462536387048</v>
      </c>
      <c r="Q13" s="133">
        <v>2.7391597851584923</v>
      </c>
      <c r="R13" s="133">
        <v>3.085760675866545</v>
      </c>
      <c r="S13" s="133">
        <v>2.9548130331823357</v>
      </c>
      <c r="T13" s="133">
        <v>2.533534724521262</v>
      </c>
      <c r="U13" s="133">
        <v>2.1926792257409833</v>
      </c>
      <c r="V13" s="133">
        <v>2.3319950863445191</v>
      </c>
      <c r="W13" s="133">
        <v>1.355152501173797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13.185642978075489</v>
      </c>
      <c r="D14" s="65">
        <v>6.321683088350567</v>
      </c>
      <c r="E14" s="65">
        <v>4.9838192085386988</v>
      </c>
      <c r="F14" s="65">
        <v>8.0094967410135833</v>
      </c>
      <c r="G14" s="65">
        <v>6.4236215661095732</v>
      </c>
      <c r="H14" s="65">
        <v>13.103296527718244</v>
      </c>
      <c r="I14" s="65">
        <v>12.872030009937786</v>
      </c>
      <c r="J14" s="65">
        <v>4.7940480266604153</v>
      </c>
      <c r="K14" s="65">
        <v>0</v>
      </c>
      <c r="L14" s="65">
        <v>7.9124662838865698E-2</v>
      </c>
      <c r="M14" s="65">
        <v>0.72051364446980504</v>
      </c>
      <c r="N14" s="65">
        <v>3.4032588113839592</v>
      </c>
      <c r="O14" s="65">
        <v>6.3028508046705269</v>
      </c>
      <c r="P14" s="65">
        <v>9.1857298449893143</v>
      </c>
      <c r="Q14" s="65">
        <v>10.381801351613635</v>
      </c>
      <c r="R14" s="65">
        <v>7.1207665277054408</v>
      </c>
      <c r="S14" s="65">
        <v>3.0786413556938728</v>
      </c>
      <c r="T14" s="65">
        <v>2.9896432308751582</v>
      </c>
      <c r="U14" s="65">
        <v>2.6058035259951411</v>
      </c>
      <c r="V14" s="65">
        <v>3.5866139906346333</v>
      </c>
      <c r="W14" s="65">
        <v>3.0877663654561815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0.15228928468206593</v>
      </c>
      <c r="D15" s="135">
        <v>0.20418499387898514</v>
      </c>
      <c r="E15" s="135">
        <v>0.1372262696879496</v>
      </c>
      <c r="F15" s="135">
        <v>0.11311186144030949</v>
      </c>
      <c r="G15" s="135">
        <v>8.5199395125477445E-2</v>
      </c>
      <c r="H15" s="135">
        <v>7.0310309066363361E-2</v>
      </c>
      <c r="I15" s="135">
        <v>5.5395604106401743E-2</v>
      </c>
      <c r="J15" s="135">
        <v>5.3293576922576497E-2</v>
      </c>
      <c r="K15" s="135">
        <v>9.6182809762573457E-2</v>
      </c>
      <c r="L15" s="135">
        <v>0.16757995007387202</v>
      </c>
      <c r="M15" s="135">
        <v>0.11790794790006745</v>
      </c>
      <c r="N15" s="135">
        <v>8.8353166844064079E-2</v>
      </c>
      <c r="O15" s="135">
        <v>9.4711502854809809E-2</v>
      </c>
      <c r="P15" s="135">
        <v>2.4250923683077803E-2</v>
      </c>
      <c r="Q15" s="135">
        <v>3.1607923606890936E-2</v>
      </c>
      <c r="R15" s="135">
        <v>5.0969996811996099E-2</v>
      </c>
      <c r="S15" s="135">
        <v>7.7509793968001894E-2</v>
      </c>
      <c r="T15" s="135">
        <v>6.4078175812183141E-2</v>
      </c>
      <c r="U15" s="135">
        <v>5.3560956714130623E-2</v>
      </c>
      <c r="V15" s="135">
        <v>3.3258242228748451E-2</v>
      </c>
      <c r="W15" s="135">
        <v>2.3039762007205672E-2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5.3287292702208102</v>
      </c>
      <c r="D16" s="131">
        <f t="shared" si="4"/>
        <v>4.8845086667730859</v>
      </c>
      <c r="E16" s="131">
        <f t="shared" si="4"/>
        <v>4.3402145304052402</v>
      </c>
      <c r="F16" s="131">
        <f t="shared" si="4"/>
        <v>5.3372758593748015</v>
      </c>
      <c r="G16" s="131">
        <f t="shared" si="4"/>
        <v>4.8251710257145115</v>
      </c>
      <c r="H16" s="131">
        <f t="shared" si="4"/>
        <v>6.1762427434774887</v>
      </c>
      <c r="I16" s="131">
        <f t="shared" si="4"/>
        <v>5.9361578832803028</v>
      </c>
      <c r="J16" s="131">
        <f t="shared" si="4"/>
        <v>4.1285235866575523</v>
      </c>
      <c r="K16" s="131">
        <f t="shared" si="4"/>
        <v>4.5380950898326677</v>
      </c>
      <c r="L16" s="131">
        <f t="shared" si="4"/>
        <v>5.3537780578790599</v>
      </c>
      <c r="M16" s="131">
        <f t="shared" si="4"/>
        <v>4.3018692215505521</v>
      </c>
      <c r="N16" s="131">
        <f t="shared" si="4"/>
        <v>3.7552552908279315</v>
      </c>
      <c r="O16" s="131">
        <f t="shared" si="4"/>
        <v>5.8039209731674584</v>
      </c>
      <c r="P16" s="131">
        <f t="shared" si="4"/>
        <v>4.6268073607314468</v>
      </c>
      <c r="Q16" s="131">
        <f t="shared" si="4"/>
        <v>5.3934534991849379</v>
      </c>
      <c r="R16" s="131">
        <f t="shared" ref="R16:W16" si="5">SUM(R17:R18)</f>
        <v>5.2644699805592525</v>
      </c>
      <c r="S16" s="131">
        <f t="shared" si="5"/>
        <v>5.648020652438043</v>
      </c>
      <c r="T16" s="131">
        <f t="shared" si="5"/>
        <v>4.897191386997827</v>
      </c>
      <c r="U16" s="131">
        <f t="shared" si="5"/>
        <v>4.4592118277421653</v>
      </c>
      <c r="V16" s="131">
        <f t="shared" si="5"/>
        <v>4.2053769205644569</v>
      </c>
      <c r="W16" s="131">
        <f t="shared" si="5"/>
        <v>3.6703267389181868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5.3287292702208102</v>
      </c>
      <c r="D18" s="133">
        <v>4.8845086667730859</v>
      </c>
      <c r="E18" s="133">
        <v>4.3402145304052402</v>
      </c>
      <c r="F18" s="133">
        <v>5.3372758593748015</v>
      </c>
      <c r="G18" s="133">
        <v>4.8251710257145115</v>
      </c>
      <c r="H18" s="133">
        <v>6.1762427434774887</v>
      </c>
      <c r="I18" s="133">
        <v>5.9361578832803028</v>
      </c>
      <c r="J18" s="133">
        <v>4.1285235866575523</v>
      </c>
      <c r="K18" s="133">
        <v>4.5380950898326677</v>
      </c>
      <c r="L18" s="133">
        <v>5.3537780578790599</v>
      </c>
      <c r="M18" s="133">
        <v>4.3018692215505521</v>
      </c>
      <c r="N18" s="133">
        <v>3.7552552908279315</v>
      </c>
      <c r="O18" s="133">
        <v>5.8039209731674584</v>
      </c>
      <c r="P18" s="133">
        <v>4.6268073607314468</v>
      </c>
      <c r="Q18" s="133">
        <v>5.3934534991849379</v>
      </c>
      <c r="R18" s="133">
        <v>5.2644699805592525</v>
      </c>
      <c r="S18" s="133">
        <v>5.648020652438043</v>
      </c>
      <c r="T18" s="133">
        <v>4.897191386997827</v>
      </c>
      <c r="U18" s="133">
        <v>4.4592118277421653</v>
      </c>
      <c r="V18" s="133">
        <v>4.2053769205644569</v>
      </c>
      <c r="W18" s="133">
        <v>3.6703267389181868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3.8456795229243337</v>
      </c>
      <c r="D19" s="131">
        <f t="shared" si="6"/>
        <v>3.5126646614427193</v>
      </c>
      <c r="E19" s="131">
        <f t="shared" si="6"/>
        <v>3.1018004142118372</v>
      </c>
      <c r="F19" s="131">
        <f t="shared" si="6"/>
        <v>3.8006561642469237</v>
      </c>
      <c r="G19" s="131">
        <f t="shared" si="6"/>
        <v>3.5433076957012997</v>
      </c>
      <c r="H19" s="131">
        <f t="shared" si="6"/>
        <v>4.4819488988702947</v>
      </c>
      <c r="I19" s="131">
        <f t="shared" si="6"/>
        <v>4.3374547274261221</v>
      </c>
      <c r="J19" s="131">
        <f t="shared" si="6"/>
        <v>3.0098020821643425</v>
      </c>
      <c r="K19" s="131">
        <f t="shared" si="6"/>
        <v>3.4066547247251009</v>
      </c>
      <c r="L19" s="131">
        <f t="shared" si="6"/>
        <v>3.9638608369255701</v>
      </c>
      <c r="M19" s="131">
        <f t="shared" si="6"/>
        <v>3.2069559941684025</v>
      </c>
      <c r="N19" s="131">
        <f t="shared" si="6"/>
        <v>2.9805168455283364</v>
      </c>
      <c r="O19" s="131">
        <f t="shared" si="6"/>
        <v>4.659068302099314</v>
      </c>
      <c r="P19" s="131">
        <f t="shared" si="6"/>
        <v>3.6794569199334282</v>
      </c>
      <c r="Q19" s="131">
        <f t="shared" si="6"/>
        <v>4.441119405981123</v>
      </c>
      <c r="R19" s="131">
        <f t="shared" ref="R19:W19" si="7">SUM(R20:R27)</f>
        <v>4.4273806692634903</v>
      </c>
      <c r="S19" s="131">
        <f t="shared" si="7"/>
        <v>4.7504895114537655</v>
      </c>
      <c r="T19" s="131">
        <f t="shared" si="7"/>
        <v>4.1984639163110264</v>
      </c>
      <c r="U19" s="131">
        <f t="shared" si="7"/>
        <v>3.9751755133894</v>
      </c>
      <c r="V19" s="131">
        <f t="shared" si="7"/>
        <v>3.8223999080445257</v>
      </c>
      <c r="W19" s="131">
        <f t="shared" si="7"/>
        <v>3.7260834158242195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0.55545519444356573</v>
      </c>
      <c r="D22" s="133">
        <v>0.35151876481770361</v>
      </c>
      <c r="E22" s="133">
        <v>0.1029406660216157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0.45414961473936583</v>
      </c>
      <c r="N22" s="133">
        <v>0.71012039388317094</v>
      </c>
      <c r="O22" s="133">
        <v>0.90419027446266431</v>
      </c>
      <c r="P22" s="133">
        <v>0.15043538021748515</v>
      </c>
      <c r="Q22" s="133">
        <v>0.81107035524822846</v>
      </c>
      <c r="R22" s="133">
        <v>0.5863713341091098</v>
      </c>
      <c r="S22" s="133">
        <v>0.57720160618618865</v>
      </c>
      <c r="T22" s="133">
        <v>0.26864344146403141</v>
      </c>
      <c r="U22" s="133">
        <v>6.8422086340004795E-2</v>
      </c>
      <c r="V22" s="133">
        <v>3.5083698936994923E-2</v>
      </c>
      <c r="W22" s="133">
        <v>0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2.6529040858590459E-2</v>
      </c>
      <c r="D23" s="133">
        <v>5.981850047949528E-2</v>
      </c>
      <c r="E23" s="133">
        <v>5.4600162611833321E-2</v>
      </c>
      <c r="F23" s="133">
        <v>5.6622586517068828E-2</v>
      </c>
      <c r="G23" s="133">
        <v>5.6171624993852289E-2</v>
      </c>
      <c r="H23" s="133">
        <v>9.5369353188638262E-2</v>
      </c>
      <c r="I23" s="133">
        <v>5.9668933760896915E-2</v>
      </c>
      <c r="J23" s="133">
        <v>4.4242111607878019E-2</v>
      </c>
      <c r="K23" s="133">
        <v>3.2442672727827755E-2</v>
      </c>
      <c r="L23" s="133">
        <v>4.6931618480987439E-2</v>
      </c>
      <c r="M23" s="133">
        <v>3.0729941722758551E-2</v>
      </c>
      <c r="N23" s="133">
        <v>3.2279698724179316E-2</v>
      </c>
      <c r="O23" s="133">
        <v>5.5218063748632355E-2</v>
      </c>
      <c r="P23" s="133">
        <v>8.9084383553117541E-2</v>
      </c>
      <c r="Q23" s="133">
        <v>3.3985624166644239E-2</v>
      </c>
      <c r="R23" s="133">
        <v>2.2438207278789851E-2</v>
      </c>
      <c r="S23" s="133">
        <v>3.6527421665280453E-2</v>
      </c>
      <c r="T23" s="133">
        <v>6.1458863607053285E-2</v>
      </c>
      <c r="U23" s="133">
        <v>0.16956959553770903</v>
      </c>
      <c r="V23" s="133">
        <v>0.12135248881424548</v>
      </c>
      <c r="W23" s="133">
        <v>6.9811777089223134E-2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1.6362845893941722</v>
      </c>
      <c r="D25" s="133">
        <v>1.6423002713144845</v>
      </c>
      <c r="E25" s="133">
        <v>1.6546292802064388</v>
      </c>
      <c r="F25" s="133">
        <v>2.4368407610926122</v>
      </c>
      <c r="G25" s="133">
        <v>2.0913988542505755</v>
      </c>
      <c r="H25" s="133">
        <v>2.7642103081172782</v>
      </c>
      <c r="I25" s="133">
        <v>2.0252930013005925</v>
      </c>
      <c r="J25" s="133">
        <v>1.3783889346097284</v>
      </c>
      <c r="K25" s="133">
        <v>1.5094144803591878</v>
      </c>
      <c r="L25" s="133">
        <v>2.1953558944481419</v>
      </c>
      <c r="M25" s="133">
        <v>1.6931029132212798</v>
      </c>
      <c r="N25" s="133">
        <v>1.4660615844227411</v>
      </c>
      <c r="O25" s="133">
        <v>2.2653352059220868</v>
      </c>
      <c r="P25" s="133">
        <v>2.1385136728201237</v>
      </c>
      <c r="Q25" s="133">
        <v>2.4878214249978541</v>
      </c>
      <c r="R25" s="133">
        <v>2.8988545589696493</v>
      </c>
      <c r="S25" s="133">
        <v>2.416795689780836</v>
      </c>
      <c r="T25" s="133">
        <v>2.2291254857311715</v>
      </c>
      <c r="U25" s="133">
        <v>2.0504228753703879</v>
      </c>
      <c r="V25" s="133">
        <v>1.8475533365653842</v>
      </c>
      <c r="W25" s="133">
        <v>1.822028744324302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1.6274106982280054</v>
      </c>
      <c r="D26" s="65">
        <v>1.4590271248310358</v>
      </c>
      <c r="E26" s="65">
        <v>1.2896303053719493</v>
      </c>
      <c r="F26" s="65">
        <v>1.3071928166372431</v>
      </c>
      <c r="G26" s="65">
        <v>1.395737216456872</v>
      </c>
      <c r="H26" s="65">
        <v>1.6223692375643786</v>
      </c>
      <c r="I26" s="65">
        <v>2.2524927923646332</v>
      </c>
      <c r="J26" s="65">
        <v>1.5871710359467359</v>
      </c>
      <c r="K26" s="65">
        <v>1.8647975716380856</v>
      </c>
      <c r="L26" s="65">
        <v>1.7215733239964406</v>
      </c>
      <c r="M26" s="65">
        <v>1.028973524484998</v>
      </c>
      <c r="N26" s="65">
        <v>0.77205516849824496</v>
      </c>
      <c r="O26" s="65">
        <v>1.4343247579659302</v>
      </c>
      <c r="P26" s="65">
        <v>1.3014234833427016</v>
      </c>
      <c r="Q26" s="65">
        <v>1.1082420015683965</v>
      </c>
      <c r="R26" s="65">
        <v>0.91971656890594089</v>
      </c>
      <c r="S26" s="65">
        <v>1.7199647938214602</v>
      </c>
      <c r="T26" s="65">
        <v>1.6392361255087706</v>
      </c>
      <c r="U26" s="65">
        <v>1.6867609561412982</v>
      </c>
      <c r="V26" s="65">
        <v>1.8184103837279011</v>
      </c>
      <c r="W26" s="65">
        <v>1.8342428944106943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3.4789972731006857</v>
      </c>
      <c r="D29" s="131">
        <f t="shared" si="8"/>
        <v>3.2208581465504187</v>
      </c>
      <c r="E29" s="131">
        <f t="shared" si="8"/>
        <v>2.9115022032061435</v>
      </c>
      <c r="F29" s="131">
        <f t="shared" si="8"/>
        <v>3.6328075024362398</v>
      </c>
      <c r="G29" s="131">
        <f t="shared" si="8"/>
        <v>3.1036449581608063</v>
      </c>
      <c r="H29" s="131">
        <f t="shared" si="8"/>
        <v>4.3489239657642162</v>
      </c>
      <c r="I29" s="131">
        <f t="shared" si="8"/>
        <v>4.5322708881363294</v>
      </c>
      <c r="J29" s="131">
        <f t="shared" si="8"/>
        <v>2.9880616105839621</v>
      </c>
      <c r="K29" s="131">
        <f t="shared" si="8"/>
        <v>3.5554411871816392</v>
      </c>
      <c r="L29" s="131">
        <f t="shared" si="8"/>
        <v>3.9126362856678591</v>
      </c>
      <c r="M29" s="131">
        <f t="shared" si="8"/>
        <v>3.1700701064423003</v>
      </c>
      <c r="N29" s="131">
        <f t="shared" si="8"/>
        <v>3.1656765949499595</v>
      </c>
      <c r="O29" s="131">
        <f t="shared" si="8"/>
        <v>4.7816506983191127</v>
      </c>
      <c r="P29" s="131">
        <f t="shared" si="8"/>
        <v>3.7660562229909438</v>
      </c>
      <c r="Q29" s="131">
        <f t="shared" si="8"/>
        <v>4.6256335527493677</v>
      </c>
      <c r="R29" s="131">
        <f t="shared" ref="R29:W29" si="9">SUM(R30:R33)</f>
        <v>4.6290930927682519</v>
      </c>
      <c r="S29" s="131">
        <f t="shared" si="9"/>
        <v>5.1195985600908793</v>
      </c>
      <c r="T29" s="131">
        <f t="shared" si="9"/>
        <v>4.5414865915645528</v>
      </c>
      <c r="U29" s="131">
        <f t="shared" si="9"/>
        <v>4.4028878634851791</v>
      </c>
      <c r="V29" s="131">
        <f t="shared" si="9"/>
        <v>4.1921275575840387</v>
      </c>
      <c r="W29" s="131">
        <f t="shared" si="9"/>
        <v>4.2137939033447847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0.43030402741597124</v>
      </c>
      <c r="D30" s="133">
        <v>0.27094534991964753</v>
      </c>
      <c r="E30" s="133">
        <v>0</v>
      </c>
      <c r="F30" s="133">
        <v>0.20218911275194418</v>
      </c>
      <c r="G30" s="133">
        <v>0.72457467409656096</v>
      </c>
      <c r="H30" s="133">
        <v>2.2367583764046679</v>
      </c>
      <c r="I30" s="133">
        <v>2.2030137481034324</v>
      </c>
      <c r="J30" s="133">
        <v>0.61015957136261501</v>
      </c>
      <c r="K30" s="133">
        <v>6.4197141129531565E-2</v>
      </c>
      <c r="L30" s="133">
        <v>0.40164462834509196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9.6849532647456049E-2</v>
      </c>
      <c r="T30" s="133">
        <v>0.42786628044382768</v>
      </c>
      <c r="U30" s="133">
        <v>0.3462060914685931</v>
      </c>
      <c r="V30" s="133">
        <v>0.1740372353195854</v>
      </c>
      <c r="W30" s="133">
        <v>3.8097631395440971E-2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0.11193827682218581</v>
      </c>
      <c r="D31" s="133">
        <v>0.13251504432292902</v>
      </c>
      <c r="E31" s="133">
        <v>0.11424940355376774</v>
      </c>
      <c r="F31" s="133">
        <v>0.11706483524587324</v>
      </c>
      <c r="G31" s="133">
        <v>8.947394557199212E-2</v>
      </c>
      <c r="H31" s="133">
        <v>9.489355565383599E-2</v>
      </c>
      <c r="I31" s="133">
        <v>7.9692079110286265E-2</v>
      </c>
      <c r="J31" s="133">
        <v>4.6969176966214513E-2</v>
      </c>
      <c r="K31" s="133">
        <v>3.090777869550082E-2</v>
      </c>
      <c r="L31" s="133">
        <v>1.4603304139171642E-2</v>
      </c>
      <c r="M31" s="133">
        <v>1.0074289962387574E-2</v>
      </c>
      <c r="N31" s="133">
        <v>3.5788573912839863E-2</v>
      </c>
      <c r="O31" s="133">
        <v>9.5808480034793086E-2</v>
      </c>
      <c r="P31" s="133">
        <v>9.5915930045502154E-2</v>
      </c>
      <c r="Q31" s="133">
        <v>6.5972647228449532E-2</v>
      </c>
      <c r="R31" s="133">
        <v>5.5214300142469246E-2</v>
      </c>
      <c r="S31" s="133">
        <v>4.1212532246229325E-2</v>
      </c>
      <c r="T31" s="133">
        <v>6.3319696759671154E-2</v>
      </c>
      <c r="U31" s="133">
        <v>0.1515069701833727</v>
      </c>
      <c r="V31" s="133">
        <v>0.10157338696530459</v>
      </c>
      <c r="W31" s="133">
        <v>5.5559635747076841E-2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2.9367549688625285</v>
      </c>
      <c r="D33" s="68">
        <v>2.817397752307842</v>
      </c>
      <c r="E33" s="68">
        <v>2.7972527996523757</v>
      </c>
      <c r="F33" s="68">
        <v>3.3135535544384225</v>
      </c>
      <c r="G33" s="68">
        <v>2.2895963384922533</v>
      </c>
      <c r="H33" s="68">
        <v>2.0172720337057117</v>
      </c>
      <c r="I33" s="68">
        <v>2.2495650609226101</v>
      </c>
      <c r="J33" s="68">
        <v>2.3309328622551324</v>
      </c>
      <c r="K33" s="68">
        <v>3.4603362673566069</v>
      </c>
      <c r="L33" s="68">
        <v>3.4963883531835958</v>
      </c>
      <c r="M33" s="68">
        <v>3.1599958164799125</v>
      </c>
      <c r="N33" s="68">
        <v>3.1298880210371194</v>
      </c>
      <c r="O33" s="68">
        <v>4.6858422182843196</v>
      </c>
      <c r="P33" s="68">
        <v>3.6701402929454416</v>
      </c>
      <c r="Q33" s="68">
        <v>4.5596609055209179</v>
      </c>
      <c r="R33" s="68">
        <v>4.5738787926257825</v>
      </c>
      <c r="S33" s="68">
        <v>4.9815364951971937</v>
      </c>
      <c r="T33" s="68">
        <v>4.0503006143610536</v>
      </c>
      <c r="U33" s="68">
        <v>3.9051748018332133</v>
      </c>
      <c r="V33" s="68">
        <v>3.9165169352991489</v>
      </c>
      <c r="W33" s="68">
        <v>4.1201366362022664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0.78525775541686926</v>
      </c>
      <c r="D3" s="127">
        <f>IF(SER_hh_tes_in!D3=0,"",SER_hh_tes_in!D3/SER_hh_fec_in!D3)</f>
        <v>0.78408397240704442</v>
      </c>
      <c r="E3" s="127">
        <f>IF(SER_hh_tes_in!E3=0,"",SER_hh_tes_in!E3/SER_hh_fec_in!E3)</f>
        <v>0.82719933642048515</v>
      </c>
      <c r="F3" s="127">
        <f>IF(SER_hh_tes_in!F3=0,"",SER_hh_tes_in!F3/SER_hh_fec_in!F3)</f>
        <v>0.85292996880315242</v>
      </c>
      <c r="G3" s="127">
        <f>IF(SER_hh_tes_in!G3=0,"",SER_hh_tes_in!G3/SER_hh_fec_in!G3)</f>
        <v>0.8694447764705</v>
      </c>
      <c r="H3" s="127">
        <f>IF(SER_hh_tes_in!H3=0,"",SER_hh_tes_in!H3/SER_hh_fec_in!H3)</f>
        <v>0.87841092581378144</v>
      </c>
      <c r="I3" s="127">
        <f>IF(SER_hh_tes_in!I3=0,"",SER_hh_tes_in!I3/SER_hh_fec_in!I3)</f>
        <v>0.8938938778332095</v>
      </c>
      <c r="J3" s="127">
        <f>IF(SER_hh_tes_in!J3=0,"",SER_hh_tes_in!J3/SER_hh_fec_in!J3)</f>
        <v>0.91711792314356078</v>
      </c>
      <c r="K3" s="127">
        <f>IF(SER_hh_tes_in!K3=0,"",SER_hh_tes_in!K3/SER_hh_fec_in!K3)</f>
        <v>0.92035081289112897</v>
      </c>
      <c r="L3" s="127">
        <f>IF(SER_hh_tes_in!L3=0,"",SER_hh_tes_in!L3/SER_hh_fec_in!L3)</f>
        <v>0.8720856087497344</v>
      </c>
      <c r="M3" s="127">
        <f>IF(SER_hh_tes_in!M3=0,"",SER_hh_tes_in!M3/SER_hh_fec_in!M3)</f>
        <v>0.90268936774953368</v>
      </c>
      <c r="N3" s="127">
        <f>IF(SER_hh_tes_in!N3=0,"",SER_hh_tes_in!N3/SER_hh_fec_in!N3)</f>
        <v>0.89447104030897018</v>
      </c>
      <c r="O3" s="127">
        <f>IF(SER_hh_tes_in!O3=0,"",SER_hh_tes_in!O3/SER_hh_fec_in!O3)</f>
        <v>0.93702259751457473</v>
      </c>
      <c r="P3" s="127">
        <f>IF(SER_hh_tes_in!P3=0,"",SER_hh_tes_in!P3/SER_hh_fec_in!P3)</f>
        <v>1.0000297680917067</v>
      </c>
      <c r="Q3" s="127">
        <f>IF(SER_hh_tes_in!Q3=0,"",SER_hh_tes_in!Q3/SER_hh_fec_in!Q3)</f>
        <v>1.0003939760892564</v>
      </c>
      <c r="R3" s="127">
        <f>IF(SER_hh_tes_in!R3=0,"",SER_hh_tes_in!R3/SER_hh_fec_in!R3)</f>
        <v>1.020639192296614</v>
      </c>
      <c r="S3" s="127">
        <f>IF(SER_hh_tes_in!S3=0,"",SER_hh_tes_in!S3/SER_hh_fec_in!S3)</f>
        <v>1.0367396248818022</v>
      </c>
      <c r="T3" s="127">
        <f>IF(SER_hh_tes_in!T3=0,"",SER_hh_tes_in!T3/SER_hh_fec_in!T3)</f>
        <v>1.0440085452301699</v>
      </c>
      <c r="U3" s="127">
        <f>IF(SER_hh_tes_in!U3=0,"",SER_hh_tes_in!U3/SER_hh_fec_in!U3)</f>
        <v>1.0652896333205391</v>
      </c>
      <c r="V3" s="127">
        <f>IF(SER_hh_tes_in!V3=0,"",SER_hh_tes_in!V3/SER_hh_fec_in!V3)</f>
        <v>1.1161333560452225</v>
      </c>
      <c r="W3" s="127">
        <f>IF(SER_hh_tes_in!W3=0,"",SER_hh_tes_in!W3/SER_hh_fec_in!W3)</f>
        <v>1.0898545585158144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0.71826517393651634</v>
      </c>
      <c r="D4" s="136">
        <f>IF(SER_hh_tes_in!D4=0,"",SER_hh_tes_in!D4/SER_hh_fec_in!D4)</f>
        <v>0.71137897300419473</v>
      </c>
      <c r="E4" s="136">
        <f>IF(SER_hh_tes_in!E4=0,"",SER_hh_tes_in!E4/SER_hh_fec_in!E4)</f>
        <v>0.75185413776107501</v>
      </c>
      <c r="F4" s="136">
        <f>IF(SER_hh_tes_in!F4=0,"",SER_hh_tes_in!F4/SER_hh_fec_in!F4)</f>
        <v>0.77381095396064847</v>
      </c>
      <c r="G4" s="136">
        <f>IF(SER_hh_tes_in!G4=0,"",SER_hh_tes_in!G4/SER_hh_fec_in!G4)</f>
        <v>0.79073375849175298</v>
      </c>
      <c r="H4" s="136">
        <f>IF(SER_hh_tes_in!H4=0,"",SER_hh_tes_in!H4/SER_hh_fec_in!H4)</f>
        <v>0.80865536495265578</v>
      </c>
      <c r="I4" s="136">
        <f>IF(SER_hh_tes_in!I4=0,"",SER_hh_tes_in!I4/SER_hh_fec_in!I4)</f>
        <v>0.83130454306052204</v>
      </c>
      <c r="J4" s="136">
        <f>IF(SER_hh_tes_in!J4=0,"",SER_hh_tes_in!J4/SER_hh_fec_in!J4)</f>
        <v>0.84206526099423951</v>
      </c>
      <c r="K4" s="136">
        <f>IF(SER_hh_tes_in!K4=0,"",SER_hh_tes_in!K4/SER_hh_fec_in!K4)</f>
        <v>0.83430855214398181</v>
      </c>
      <c r="L4" s="136">
        <f>IF(SER_hh_tes_in!L4=0,"",SER_hh_tes_in!L4/SER_hh_fec_in!L4)</f>
        <v>0.7753816637414952</v>
      </c>
      <c r="M4" s="136">
        <f>IF(SER_hh_tes_in!M4=0,"",SER_hh_tes_in!M4/SER_hh_fec_in!M4)</f>
        <v>0.79742095939322188</v>
      </c>
      <c r="N4" s="136">
        <f>IF(SER_hh_tes_in!N4=0,"",SER_hh_tes_in!N4/SER_hh_fec_in!N4)</f>
        <v>0.79436566557695309</v>
      </c>
      <c r="O4" s="136">
        <f>IF(SER_hh_tes_in!O4=0,"",SER_hh_tes_in!O4/SER_hh_fec_in!O4)</f>
        <v>0.83522353422930662</v>
      </c>
      <c r="P4" s="136">
        <f>IF(SER_hh_tes_in!P4=0,"",SER_hh_tes_in!P4/SER_hh_fec_in!P4)</f>
        <v>0.89868634430425587</v>
      </c>
      <c r="Q4" s="136">
        <f>IF(SER_hh_tes_in!Q4=0,"",SER_hh_tes_in!Q4/SER_hh_fec_in!Q4)</f>
        <v>0.89888608458346408</v>
      </c>
      <c r="R4" s="136">
        <f>IF(SER_hh_tes_in!R4=0,"",SER_hh_tes_in!R4/SER_hh_fec_in!R4)</f>
        <v>0.92237377248218033</v>
      </c>
      <c r="S4" s="136">
        <f>IF(SER_hh_tes_in!S4=0,"",SER_hh_tes_in!S4/SER_hh_fec_in!S4)</f>
        <v>0.92687536498232814</v>
      </c>
      <c r="T4" s="136">
        <f>IF(SER_hh_tes_in!T4=0,"",SER_hh_tes_in!T4/SER_hh_fec_in!T4)</f>
        <v>0.93728853957024105</v>
      </c>
      <c r="U4" s="136">
        <f>IF(SER_hh_tes_in!U4=0,"",SER_hh_tes_in!U4/SER_hh_fec_in!U4)</f>
        <v>0.9593027125652569</v>
      </c>
      <c r="V4" s="136">
        <f>IF(SER_hh_tes_in!V4=0,"",SER_hh_tes_in!V4/SER_hh_fec_in!V4)</f>
        <v>1.0188012702252385</v>
      </c>
      <c r="W4" s="136">
        <f>IF(SER_hh_tes_in!W4=0,"",SER_hh_tes_in!W4/SER_hh_fec_in!W4)</f>
        <v>0.97298146494054849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0.51070160017869226</v>
      </c>
      <c r="D7" s="137">
        <f>IF(SER_hh_tes_in!D7=0,"",SER_hh_tes_in!D7/SER_hh_fec_in!D7)</f>
        <v>0.51759811824054902</v>
      </c>
      <c r="E7" s="137">
        <f>IF(SER_hh_tes_in!E7=0,"",SER_hh_tes_in!E7/SER_hh_fec_in!E7)</f>
        <v>0.5247394480353692</v>
      </c>
      <c r="F7" s="137" t="str">
        <f>IF(SER_hh_tes_in!F7=0,"",SER_hh_tes_in!F7/SER_hh_fec_in!F7)</f>
        <v/>
      </c>
      <c r="G7" s="137" t="str">
        <f>IF(SER_hh_tes_in!G7=0,"",SER_hh_tes_in!G7/SER_hh_fec_in!G7)</f>
        <v/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>
        <f>IF(SER_hh_tes_in!K7=0,"",SER_hh_tes_in!K7/SER_hh_fec_in!K7)</f>
        <v>0.57134072388916157</v>
      </c>
      <c r="L7" s="137">
        <f>IF(SER_hh_tes_in!L7=0,"",SER_hh_tes_in!L7/SER_hh_fec_in!L7)</f>
        <v>0.58082982840120456</v>
      </c>
      <c r="M7" s="137">
        <f>IF(SER_hh_tes_in!M7=0,"",SER_hh_tes_in!M7/SER_hh_fec_in!M7)</f>
        <v>0.59604095887869946</v>
      </c>
      <c r="N7" s="137">
        <f>IF(SER_hh_tes_in!N7=0,"",SER_hh_tes_in!N7/SER_hh_fec_in!N7)</f>
        <v>0.61844486106104346</v>
      </c>
      <c r="O7" s="137">
        <f>IF(SER_hh_tes_in!O7=0,"",SER_hh_tes_in!O7/SER_hh_fec_in!O7)</f>
        <v>0.64887386953257398</v>
      </c>
      <c r="P7" s="137" t="str">
        <f>IF(SER_hh_tes_in!P7=0,"",SER_hh_tes_in!P7/SER_hh_fec_in!P7)</f>
        <v/>
      </c>
      <c r="Q7" s="137">
        <f>IF(SER_hh_tes_in!Q7=0,"",SER_hh_tes_in!Q7/SER_hh_fec_in!Q7)</f>
        <v>0.71262557183101494</v>
      </c>
      <c r="R7" s="137">
        <f>IF(SER_hh_tes_in!R7=0,"",SER_hh_tes_in!R7/SER_hh_fec_in!R7)</f>
        <v>0.7267462424504002</v>
      </c>
      <c r="S7" s="137">
        <f>IF(SER_hh_tes_in!S7=0,"",SER_hh_tes_in!S7/SER_hh_fec_in!S7)</f>
        <v>0.73684940831995593</v>
      </c>
      <c r="T7" s="137">
        <f>IF(SER_hh_tes_in!T7=0,"",SER_hh_tes_in!T7/SER_hh_fec_in!T7)</f>
        <v>0.74425088480731205</v>
      </c>
      <c r="U7" s="137">
        <f>IF(SER_hh_tes_in!U7=0,"",SER_hh_tes_in!U7/SER_hh_fec_in!U7)</f>
        <v>0.75001631203773511</v>
      </c>
      <c r="V7" s="137">
        <f>IF(SER_hh_tes_in!V7=0,"",SER_hh_tes_in!V7/SER_hh_fec_in!V7)</f>
        <v>0.7550184162834076</v>
      </c>
      <c r="W7" s="137" t="str">
        <f>IF(SER_hh_tes_in!W7=0,"",SER_hh_tes_in!W7/SER_hh_fec_in!W7)</f>
        <v/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0.58294003949862272</v>
      </c>
      <c r="D9" s="137">
        <f>IF(SER_hh_tes_in!D9=0,"",SER_hh_tes_in!D9/SER_hh_fec_in!D9)</f>
        <v>0.59090787580095583</v>
      </c>
      <c r="E9" s="137">
        <f>IF(SER_hh_tes_in!E9=0,"",SER_hh_tes_in!E9/SER_hh_fec_in!E9)</f>
        <v>0.59887830174944612</v>
      </c>
      <c r="F9" s="137">
        <f>IF(SER_hh_tes_in!F9=0,"",SER_hh_tes_in!F9/SER_hh_fec_in!F9)</f>
        <v>0.6067503713472252</v>
      </c>
      <c r="G9" s="137">
        <f>IF(SER_hh_tes_in!G9=0,"",SER_hh_tes_in!G9/SER_hh_fec_in!G9)</f>
        <v>0.61461718751300665</v>
      </c>
      <c r="H9" s="137">
        <f>IF(SER_hh_tes_in!H9=0,"",SER_hh_tes_in!H9/SER_hh_fec_in!H9)</f>
        <v>0.62246832088610382</v>
      </c>
      <c r="I9" s="137">
        <f>IF(SER_hh_tes_in!I9=0,"",SER_hh_tes_in!I9/SER_hh_fec_in!I9)</f>
        <v>0.6303276886217809</v>
      </c>
      <c r="J9" s="137">
        <f>IF(SER_hh_tes_in!J9=0,"",SER_hh_tes_in!J9/SER_hh_fec_in!J9)</f>
        <v>0.63829103628256423</v>
      </c>
      <c r="K9" s="137">
        <f>IF(SER_hh_tes_in!K9=0,"",SER_hh_tes_in!K9/SER_hh_fec_in!K9)</f>
        <v>0.64644099030116264</v>
      </c>
      <c r="L9" s="137">
        <f>IF(SER_hh_tes_in!L9=0,"",SER_hh_tes_in!L9/SER_hh_fec_in!L9)</f>
        <v>0.65480178972377057</v>
      </c>
      <c r="M9" s="137">
        <f>IF(SER_hh_tes_in!M9=0,"",SER_hh_tes_in!M9/SER_hh_fec_in!M9)</f>
        <v>0.66548892479800847</v>
      </c>
      <c r="N9" s="137">
        <f>IF(SER_hh_tes_in!N9=0,"",SER_hh_tes_in!N9/SER_hh_fec_in!N9)</f>
        <v>0.6792028444860202</v>
      </c>
      <c r="O9" s="137">
        <f>IF(SER_hh_tes_in!O9=0,"",SER_hh_tes_in!O9/SER_hh_fec_in!O9)</f>
        <v>0.69634845421125424</v>
      </c>
      <c r="P9" s="137">
        <f>IF(SER_hh_tes_in!P9=0,"",SER_hh_tes_in!P9/SER_hh_fec_in!P9)</f>
        <v>0.71539059521561943</v>
      </c>
      <c r="Q9" s="137" t="str">
        <f>IF(SER_hh_tes_in!Q9=0,"",SER_hh_tes_in!Q9/SER_hh_fec_in!Q9)</f>
        <v/>
      </c>
      <c r="R9" s="137" t="str">
        <f>IF(SER_hh_tes_in!R9=0,"",SER_hh_tes_in!R9/SER_hh_fec_in!R9)</f>
        <v/>
      </c>
      <c r="S9" s="137">
        <f>IF(SER_hh_tes_in!S9=0,"",SER_hh_tes_in!S9/SER_hh_fec_in!S9)</f>
        <v>0.74779875514627858</v>
      </c>
      <c r="T9" s="137">
        <f>IF(SER_hh_tes_in!T9=0,"",SER_hh_tes_in!T9/SER_hh_fec_in!T9)</f>
        <v>0.7534441695999391</v>
      </c>
      <c r="U9" s="137">
        <f>IF(SER_hh_tes_in!U9=0,"",SER_hh_tes_in!U9/SER_hh_fec_in!U9)</f>
        <v>0.75814476245497397</v>
      </c>
      <c r="V9" s="137">
        <f>IF(SER_hh_tes_in!V9=0,"",SER_hh_tes_in!V9/SER_hh_fec_in!V9)</f>
        <v>0.76222549475842327</v>
      </c>
      <c r="W9" s="137">
        <f>IF(SER_hh_tes_in!W9=0,"",SER_hh_tes_in!W9/SER_hh_fec_in!W9)</f>
        <v>0.76504868131292947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0.53850049853895243</v>
      </c>
      <c r="D10" s="137">
        <f>IF(SER_hh_tes_in!D10=0,"",SER_hh_tes_in!D10/SER_hh_fec_in!D10)</f>
        <v>0.53877052322732932</v>
      </c>
      <c r="E10" s="137">
        <f>IF(SER_hh_tes_in!E10=0,"",SER_hh_tes_in!E10/SER_hh_fec_in!E10)</f>
        <v>0.53904311489899026</v>
      </c>
      <c r="F10" s="137">
        <f>IF(SER_hh_tes_in!F10=0,"",SER_hh_tes_in!F10/SER_hh_fec_in!F10)</f>
        <v>0.53931801151184833</v>
      </c>
      <c r="G10" s="137">
        <f>IF(SER_hh_tes_in!G10=0,"",SER_hh_tes_in!G10/SER_hh_fec_in!G10)</f>
        <v>0.53959495258091672</v>
      </c>
      <c r="H10" s="137">
        <f>IF(SER_hh_tes_in!H10=0,"",SER_hh_tes_in!H10/SER_hh_fec_in!H10)</f>
        <v>0.53987362775858538</v>
      </c>
      <c r="I10" s="137">
        <f>IF(SER_hh_tes_in!I10=0,"",SER_hh_tes_in!I10/SER_hh_fec_in!I10)</f>
        <v>0.54015362895975949</v>
      </c>
      <c r="J10" s="137">
        <f>IF(SER_hh_tes_in!J10=0,"",SER_hh_tes_in!J10/SER_hh_fec_in!J10)</f>
        <v>0.5404340762902351</v>
      </c>
      <c r="K10" s="137">
        <f>IF(SER_hh_tes_in!K10=0,"",SER_hh_tes_in!K10/SER_hh_fec_in!K10)</f>
        <v>0.54071380579885986</v>
      </c>
      <c r="L10" s="137">
        <f>IF(SER_hh_tes_in!L10=0,"",SER_hh_tes_in!L10/SER_hh_fec_in!L10)</f>
        <v>0.54099178441025064</v>
      </c>
      <c r="M10" s="137">
        <f>IF(SER_hh_tes_in!M10=0,"",SER_hh_tes_in!M10/SER_hh_fec_in!M10)</f>
        <v>0.54124779169668158</v>
      </c>
      <c r="N10" s="137">
        <f>IF(SER_hh_tes_in!N10=0,"",SER_hh_tes_in!N10/SER_hh_fec_in!N10)</f>
        <v>0.54147097286858048</v>
      </c>
      <c r="O10" s="137">
        <f>IF(SER_hh_tes_in!O10=0,"",SER_hh_tes_in!O10/SER_hh_fec_in!O10)</f>
        <v>0.54165545568141493</v>
      </c>
      <c r="P10" s="137">
        <f>IF(SER_hh_tes_in!P10=0,"",SER_hh_tes_in!P10/SER_hh_fec_in!P10)</f>
        <v>0.54181704571278599</v>
      </c>
      <c r="Q10" s="137">
        <f>IF(SER_hh_tes_in!Q10=0,"",SER_hh_tes_in!Q10/SER_hh_fec_in!Q10)</f>
        <v>0.54200942219408865</v>
      </c>
      <c r="R10" s="137">
        <f>IF(SER_hh_tes_in!R10=0,"",SER_hh_tes_in!R10/SER_hh_fec_in!R10)</f>
        <v>0.5422930752410321</v>
      </c>
      <c r="S10" s="137">
        <f>IF(SER_hh_tes_in!S10=0,"",SER_hh_tes_in!S10/SER_hh_fec_in!S10)</f>
        <v>0.54261098540092356</v>
      </c>
      <c r="T10" s="137">
        <f>IF(SER_hh_tes_in!T10=0,"",SER_hh_tes_in!T10/SER_hh_fec_in!T10)</f>
        <v>0.54293043760276494</v>
      </c>
      <c r="U10" s="137">
        <f>IF(SER_hh_tes_in!U10=0,"",SER_hh_tes_in!U10/SER_hh_fec_in!U10)</f>
        <v>0.54322469602358425</v>
      </c>
      <c r="V10" s="137" t="str">
        <f>IF(SER_hh_tes_in!V10=0,"",SER_hh_tes_in!V10/SER_hh_fec_in!V10)</f>
        <v/>
      </c>
      <c r="W10" s="137">
        <f>IF(SER_hh_tes_in!W10=0,"",SER_hh_tes_in!W10/SER_hh_fec_in!W10)</f>
        <v>0.54366975122907413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0.78869438246642243</v>
      </c>
      <c r="D12" s="137">
        <f>IF(SER_hh_tes_in!D12=0,"",SER_hh_tes_in!D12/SER_hh_fec_in!D12)</f>
        <v>0.79044032023492261</v>
      </c>
      <c r="E12" s="137">
        <f>IF(SER_hh_tes_in!E12=0,"",SER_hh_tes_in!E12/SER_hh_fec_in!E12)</f>
        <v>0.79223339376817026</v>
      </c>
      <c r="F12" s="137">
        <f>IF(SER_hh_tes_in!F12=0,"",SER_hh_tes_in!F12/SER_hh_fec_in!F12)</f>
        <v>0.7940328949057015</v>
      </c>
      <c r="G12" s="137">
        <f>IF(SER_hh_tes_in!G12=0,"",SER_hh_tes_in!G12/SER_hh_fec_in!G12)</f>
        <v>0.79587580531008484</v>
      </c>
      <c r="H12" s="137">
        <f>IF(SER_hh_tes_in!H12=0,"",SER_hh_tes_in!H12/SER_hh_fec_in!H12)</f>
        <v>0.79775759889662479</v>
      </c>
      <c r="I12" s="137">
        <f>IF(SER_hh_tes_in!I12=0,"",SER_hh_tes_in!I12/SER_hh_fec_in!I12)</f>
        <v>0.79968738794805883</v>
      </c>
      <c r="J12" s="137">
        <f>IF(SER_hh_tes_in!J12=0,"",SER_hh_tes_in!J12/SER_hh_fec_in!J12)</f>
        <v>0.80170250227041573</v>
      </c>
      <c r="K12" s="137">
        <f>IF(SER_hh_tes_in!K12=0,"",SER_hh_tes_in!K12/SER_hh_fec_in!K12)</f>
        <v>0.80383468201772645</v>
      </c>
      <c r="L12" s="137">
        <f>IF(SER_hh_tes_in!L12=0,"",SER_hh_tes_in!L12/SER_hh_fec_in!L12)</f>
        <v>0.80609241898247452</v>
      </c>
      <c r="M12" s="137">
        <f>IF(SER_hh_tes_in!M12=0,"",SER_hh_tes_in!M12/SER_hh_fec_in!M12)</f>
        <v>0.80921853766827712</v>
      </c>
      <c r="N12" s="137">
        <f>IF(SER_hh_tes_in!N12=0,"",SER_hh_tes_in!N12/SER_hh_fec_in!N12)</f>
        <v>0.81344790054776994</v>
      </c>
      <c r="O12" s="137">
        <f>IF(SER_hh_tes_in!O12=0,"",SER_hh_tes_in!O12/SER_hh_fec_in!O12)</f>
        <v>0.81898639311737986</v>
      </c>
      <c r="P12" s="137">
        <f>IF(SER_hh_tes_in!P12=0,"",SER_hh_tes_in!P12/SER_hh_fec_in!P12)</f>
        <v>0.8254423031252146</v>
      </c>
      <c r="Q12" s="137">
        <f>IF(SER_hh_tes_in!Q12=0,"",SER_hh_tes_in!Q12/SER_hh_fec_in!Q12)</f>
        <v>0.83153330609252296</v>
      </c>
      <c r="R12" s="137">
        <f>IF(SER_hh_tes_in!R12=0,"",SER_hh_tes_in!R12/SER_hh_fec_in!R12)</f>
        <v>0.83620063837386371</v>
      </c>
      <c r="S12" s="137">
        <f>IF(SER_hh_tes_in!S12=0,"",SER_hh_tes_in!S12/SER_hh_fec_in!S12)</f>
        <v>0.8407411724535836</v>
      </c>
      <c r="T12" s="137">
        <f>IF(SER_hh_tes_in!T12=0,"",SER_hh_tes_in!T12/SER_hh_fec_in!T12)</f>
        <v>0.8451245704298318</v>
      </c>
      <c r="U12" s="137">
        <f>IF(SER_hh_tes_in!U12=0,"",SER_hh_tes_in!U12/SER_hh_fec_in!U12)</f>
        <v>0.84932049440077195</v>
      </c>
      <c r="V12" s="137">
        <f>IF(SER_hh_tes_in!V12=0,"",SER_hh_tes_in!V12/SER_hh_fec_in!V12)</f>
        <v>0.85329860646456168</v>
      </c>
      <c r="W12" s="137">
        <f>IF(SER_hh_tes_in!W12=0,"",SER_hh_tes_in!W12/SER_hh_fec_in!W12)</f>
        <v>0.85696321443716472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1.3819082444033293</v>
      </c>
      <c r="D13" s="137">
        <f>IF(SER_hh_tes_in!D13=0,"",SER_hh_tes_in!D13/SER_hh_fec_in!D13)</f>
        <v>1.4962550950804461</v>
      </c>
      <c r="E13" s="137">
        <f>IF(SER_hh_tes_in!E13=0,"",SER_hh_tes_in!E13/SER_hh_fec_in!E13)</f>
        <v>1.6138768586192727</v>
      </c>
      <c r="F13" s="137">
        <f>IF(SER_hh_tes_in!F13=0,"",SER_hh_tes_in!F13/SER_hh_fec_in!F13)</f>
        <v>1.7342845993234595</v>
      </c>
      <c r="G13" s="137">
        <f>IF(SER_hh_tes_in!G13=0,"",SER_hh_tes_in!G13/SER_hh_fec_in!G13)</f>
        <v>1.8578845195572233</v>
      </c>
      <c r="H13" s="137">
        <f>IF(SER_hh_tes_in!H13=0,"",SER_hh_tes_in!H13/SER_hh_fec_in!H13)</f>
        <v>1.9845999730395643</v>
      </c>
      <c r="I13" s="137">
        <f>IF(SER_hh_tes_in!I13=0,"",SER_hh_tes_in!I13/SER_hh_fec_in!I13)</f>
        <v>2.1145029956155357</v>
      </c>
      <c r="J13" s="137">
        <f>IF(SER_hh_tes_in!J13=0,"",SER_hh_tes_in!J13/SER_hh_fec_in!J13)</f>
        <v>2.2479511714063389</v>
      </c>
      <c r="K13" s="137">
        <f>IF(SER_hh_tes_in!K13=0,"",SER_hh_tes_in!K13/SER_hh_fec_in!K13)</f>
        <v>2.3852091400324573</v>
      </c>
      <c r="L13" s="137">
        <f>IF(SER_hh_tes_in!L13=0,"",SER_hh_tes_in!L13/SER_hh_fec_in!L13)</f>
        <v>2.5262763365371179</v>
      </c>
      <c r="M13" s="137">
        <f>IF(SER_hh_tes_in!M13=0,"",SER_hh_tes_in!M13/SER_hh_fec_in!M13)</f>
        <v>2.6813908334613257</v>
      </c>
      <c r="N13" s="137">
        <f>IF(SER_hh_tes_in!N13=0,"",SER_hh_tes_in!N13/SER_hh_fec_in!N13)</f>
        <v>2.8531534247493573</v>
      </c>
      <c r="O13" s="137">
        <f>IF(SER_hh_tes_in!O13=0,"",SER_hh_tes_in!O13/SER_hh_fec_in!O13)</f>
        <v>3.0398285151604849</v>
      </c>
      <c r="P13" s="137">
        <f>IF(SER_hh_tes_in!P13=0,"",SER_hh_tes_in!P13/SER_hh_fec_in!P13)</f>
        <v>3.2272036395659245</v>
      </c>
      <c r="Q13" s="137">
        <f>IF(SER_hh_tes_in!Q13=0,"",SER_hh_tes_in!Q13/SER_hh_fec_in!Q13)</f>
        <v>3.3808020217089854</v>
      </c>
      <c r="R13" s="137">
        <f>IF(SER_hh_tes_in!R13=0,"",SER_hh_tes_in!R13/SER_hh_fec_in!R13)</f>
        <v>3.4394412472967737</v>
      </c>
      <c r="S13" s="137">
        <f>IF(SER_hh_tes_in!S13=0,"",SER_hh_tes_in!S13/SER_hh_fec_in!S13)</f>
        <v>3.4765575755769174</v>
      </c>
      <c r="T13" s="137">
        <f>IF(SER_hh_tes_in!T13=0,"",SER_hh_tes_in!T13/SER_hh_fec_in!T13)</f>
        <v>3.5003627252787006</v>
      </c>
      <c r="U13" s="137">
        <f>IF(SER_hh_tes_in!U13=0,"",SER_hh_tes_in!U13/SER_hh_fec_in!U13)</f>
        <v>3.5193083594226535</v>
      </c>
      <c r="V13" s="137">
        <f>IF(SER_hh_tes_in!V13=0,"",SER_hh_tes_in!V13/SER_hh_fec_in!V13)</f>
        <v>3.5421781248661173</v>
      </c>
      <c r="W13" s="137">
        <f>IF(SER_hh_tes_in!W13=0,"",SER_hh_tes_in!W13/SER_hh_fec_in!W13)</f>
        <v>3.5683229440080213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0.71544002947851226</v>
      </c>
      <c r="D14" s="138">
        <f>IF(SER_hh_tes_in!D14=0,"",SER_hh_tes_in!D14/SER_hh_fec_in!D14)</f>
        <v>0.71952066029032868</v>
      </c>
      <c r="E14" s="138">
        <f>IF(SER_hh_tes_in!E14=0,"",SER_hh_tes_in!E14/SER_hh_fec_in!E14)</f>
        <v>0.72370598218580251</v>
      </c>
      <c r="F14" s="138">
        <f>IF(SER_hh_tes_in!F14=0,"",SER_hh_tes_in!F14/SER_hh_fec_in!F14)</f>
        <v>0.72790544397321111</v>
      </c>
      <c r="G14" s="138">
        <f>IF(SER_hh_tes_in!G14=0,"",SER_hh_tes_in!G14/SER_hh_fec_in!G14)</f>
        <v>0.73220125486917109</v>
      </c>
      <c r="H14" s="138">
        <f>IF(SER_hh_tes_in!H14=0,"",SER_hh_tes_in!H14/SER_hh_fec_in!H14)</f>
        <v>0.73658329516724941</v>
      </c>
      <c r="I14" s="138">
        <f>IF(SER_hh_tes_in!I14=0,"",SER_hh_tes_in!I14/SER_hh_fec_in!I14)</f>
        <v>0.74107173726700604</v>
      </c>
      <c r="J14" s="138">
        <f>IF(SER_hh_tes_in!J14=0,"",SER_hh_tes_in!J14/SER_hh_fec_in!J14)</f>
        <v>0.74574935946410315</v>
      </c>
      <c r="K14" s="138" t="str">
        <f>IF(SER_hh_tes_in!K14=0,"",SER_hh_tes_in!K14/SER_hh_fec_in!K14)</f>
        <v/>
      </c>
      <c r="L14" s="138">
        <f>IF(SER_hh_tes_in!L14=0,"",SER_hh_tes_in!L14/SER_hh_fec_in!L14)</f>
        <v>0.75590083744741687</v>
      </c>
      <c r="M14" s="138">
        <f>IF(SER_hh_tes_in!M14=0,"",SER_hh_tes_in!M14/SER_hh_fec_in!M14)</f>
        <v>0.76283406348205129</v>
      </c>
      <c r="N14" s="138">
        <f>IF(SER_hh_tes_in!N14=0,"",SER_hh_tes_in!N14/SER_hh_fec_in!N14)</f>
        <v>0.77191368171657748</v>
      </c>
      <c r="O14" s="138">
        <f>IF(SER_hh_tes_in!O14=0,"",SER_hh_tes_in!O14/SER_hh_fec_in!O14)</f>
        <v>0.78370107526209953</v>
      </c>
      <c r="P14" s="138">
        <f>IF(SER_hh_tes_in!P14=0,"",SER_hh_tes_in!P14/SER_hh_fec_in!P14)</f>
        <v>0.79780483953856918</v>
      </c>
      <c r="Q14" s="138">
        <f>IF(SER_hh_tes_in!Q14=0,"",SER_hh_tes_in!Q14/SER_hh_fec_in!Q14)</f>
        <v>0.81279558163764953</v>
      </c>
      <c r="R14" s="138">
        <f>IF(SER_hh_tes_in!R14=0,"",SER_hh_tes_in!R14/SER_hh_fec_in!R14)</f>
        <v>0.82890654783353235</v>
      </c>
      <c r="S14" s="138">
        <f>IF(SER_hh_tes_in!S14=0,"",SER_hh_tes_in!S14/SER_hh_fec_in!S14)</f>
        <v>0.84766804337708779</v>
      </c>
      <c r="T14" s="138">
        <f>IF(SER_hh_tes_in!T14=0,"",SER_hh_tes_in!T14/SER_hh_fec_in!T14)</f>
        <v>0.86665149274856534</v>
      </c>
      <c r="U14" s="138">
        <f>IF(SER_hh_tes_in!U14=0,"",SER_hh_tes_in!U14/SER_hh_fec_in!U14)</f>
        <v>0.8834353297643589</v>
      </c>
      <c r="V14" s="138">
        <f>IF(SER_hh_tes_in!V14=0,"",SER_hh_tes_in!V14/SER_hh_fec_in!V14)</f>
        <v>0.89559103655441685</v>
      </c>
      <c r="W14" s="138">
        <f>IF(SER_hh_tes_in!W14=0,"",SER_hh_tes_in!W14/SER_hh_fec_in!W14)</f>
        <v>0.90169753517312712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2.5486069136120326</v>
      </c>
      <c r="D16" s="136">
        <f>IF(SER_hh_tes_in!D16=0,"",SER_hh_tes_in!D16/SER_hh_fec_in!D16)</f>
        <v>2.6387290231373655</v>
      </c>
      <c r="E16" s="136">
        <f>IF(SER_hh_tes_in!E16=0,"",SER_hh_tes_in!E16/SER_hh_fec_in!E16)</f>
        <v>2.7298026980369197</v>
      </c>
      <c r="F16" s="136">
        <f>IF(SER_hh_tes_in!F16=0,"",SER_hh_tes_in!F16/SER_hh_fec_in!F16)</f>
        <v>2.8209741834474231</v>
      </c>
      <c r="G16" s="136">
        <f>IF(SER_hh_tes_in!G16=0,"",SER_hh_tes_in!G16/SER_hh_fec_in!G16)</f>
        <v>2.9130120235919139</v>
      </c>
      <c r="H16" s="136">
        <f>IF(SER_hh_tes_in!H16=0,"",SER_hh_tes_in!H16/SER_hh_fec_in!H16)</f>
        <v>3.0058171638526798</v>
      </c>
      <c r="I16" s="136">
        <f>IF(SER_hh_tes_in!I16=0,"",SER_hh_tes_in!I16/SER_hh_fec_in!I16)</f>
        <v>3.0995737821315954</v>
      </c>
      <c r="J16" s="136">
        <f>IF(SER_hh_tes_in!J16=0,"",SER_hh_tes_in!J16/SER_hh_fec_in!J16)</f>
        <v>3.1950479751892482</v>
      </c>
      <c r="K16" s="136">
        <f>IF(SER_hh_tes_in!K16=0,"",SER_hh_tes_in!K16/SER_hh_fec_in!K16)</f>
        <v>3.2928838935421201</v>
      </c>
      <c r="L16" s="136">
        <f>IF(SER_hh_tes_in!L16=0,"",SER_hh_tes_in!L16/SER_hh_fec_in!L16)</f>
        <v>3.393240799633503</v>
      </c>
      <c r="M16" s="136">
        <f>IF(SER_hh_tes_in!M16=0,"",SER_hh_tes_in!M16/SER_hh_fec_in!M16)</f>
        <v>3.5131076674472435</v>
      </c>
      <c r="N16" s="136">
        <f>IF(SER_hh_tes_in!N16=0,"",SER_hh_tes_in!N16/SER_hh_fec_in!N16)</f>
        <v>3.658044309333047</v>
      </c>
      <c r="O16" s="136">
        <f>IF(SER_hh_tes_in!O16=0,"",SER_hh_tes_in!O16/SER_hh_fec_in!O16)</f>
        <v>3.8311244553791903</v>
      </c>
      <c r="P16" s="136">
        <f>IF(SER_hh_tes_in!P16=0,"",SER_hh_tes_in!P16/SER_hh_fec_in!P16)</f>
        <v>4.0188261468156288</v>
      </c>
      <c r="Q16" s="136">
        <f>IF(SER_hh_tes_in!Q16=0,"",SER_hh_tes_in!Q16/SER_hh_fec_in!Q16)</f>
        <v>4.1801338995312198</v>
      </c>
      <c r="R16" s="136">
        <f>IF(SER_hh_tes_in!R16=0,"",SER_hh_tes_in!R16/SER_hh_fec_in!R16)</f>
        <v>4.2813316435789002</v>
      </c>
      <c r="S16" s="136">
        <f>IF(SER_hh_tes_in!S16=0,"",SER_hh_tes_in!S16/SER_hh_fec_in!S16)</f>
        <v>4.3618800790920442</v>
      </c>
      <c r="T16" s="136">
        <f>IF(SER_hh_tes_in!T16=0,"",SER_hh_tes_in!T16/SER_hh_fec_in!T16)</f>
        <v>4.429181363212586</v>
      </c>
      <c r="U16" s="136">
        <f>IF(SER_hh_tes_in!U16=0,"",SER_hh_tes_in!U16/SER_hh_fec_in!U16)</f>
        <v>4.4904505482343922</v>
      </c>
      <c r="V16" s="136">
        <f>IF(SER_hh_tes_in!V16=0,"",SER_hh_tes_in!V16/SER_hh_fec_in!V16)</f>
        <v>4.5529211847571318</v>
      </c>
      <c r="W16" s="136">
        <f>IF(SER_hh_tes_in!W16=0,"",SER_hh_tes_in!W16/SER_hh_fec_in!W16)</f>
        <v>4.6140808105379669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2.5486069136120326</v>
      </c>
      <c r="D18" s="137">
        <f>IF(SER_hh_tes_in!D18=0,"",SER_hh_tes_in!D18/SER_hh_fec_in!D18)</f>
        <v>2.6387290231373655</v>
      </c>
      <c r="E18" s="137">
        <f>IF(SER_hh_tes_in!E18=0,"",SER_hh_tes_in!E18/SER_hh_fec_in!E18)</f>
        <v>2.7298026980369197</v>
      </c>
      <c r="F18" s="137">
        <f>IF(SER_hh_tes_in!F18=0,"",SER_hh_tes_in!F18/SER_hh_fec_in!F18)</f>
        <v>2.8209741834474231</v>
      </c>
      <c r="G18" s="137">
        <f>IF(SER_hh_tes_in!G18=0,"",SER_hh_tes_in!G18/SER_hh_fec_in!G18)</f>
        <v>2.9130120235919139</v>
      </c>
      <c r="H18" s="137">
        <f>IF(SER_hh_tes_in!H18=0,"",SER_hh_tes_in!H18/SER_hh_fec_in!H18)</f>
        <v>3.0058171638526798</v>
      </c>
      <c r="I18" s="137">
        <f>IF(SER_hh_tes_in!I18=0,"",SER_hh_tes_in!I18/SER_hh_fec_in!I18)</f>
        <v>3.0995737821315954</v>
      </c>
      <c r="J18" s="137">
        <f>IF(SER_hh_tes_in!J18=0,"",SER_hh_tes_in!J18/SER_hh_fec_in!J18)</f>
        <v>3.1950479751892482</v>
      </c>
      <c r="K18" s="137">
        <f>IF(SER_hh_tes_in!K18=0,"",SER_hh_tes_in!K18/SER_hh_fec_in!K18)</f>
        <v>3.2928838935421201</v>
      </c>
      <c r="L18" s="137">
        <f>IF(SER_hh_tes_in!L18=0,"",SER_hh_tes_in!L18/SER_hh_fec_in!L18)</f>
        <v>3.393240799633503</v>
      </c>
      <c r="M18" s="137">
        <f>IF(SER_hh_tes_in!M18=0,"",SER_hh_tes_in!M18/SER_hh_fec_in!M18)</f>
        <v>3.5131076674472435</v>
      </c>
      <c r="N18" s="137">
        <f>IF(SER_hh_tes_in!N18=0,"",SER_hh_tes_in!N18/SER_hh_fec_in!N18)</f>
        <v>3.658044309333047</v>
      </c>
      <c r="O18" s="137">
        <f>IF(SER_hh_tes_in!O18=0,"",SER_hh_tes_in!O18/SER_hh_fec_in!O18)</f>
        <v>3.8311244553791903</v>
      </c>
      <c r="P18" s="137">
        <f>IF(SER_hh_tes_in!P18=0,"",SER_hh_tes_in!P18/SER_hh_fec_in!P18)</f>
        <v>4.0188261468156288</v>
      </c>
      <c r="Q18" s="137">
        <f>IF(SER_hh_tes_in!Q18=0,"",SER_hh_tes_in!Q18/SER_hh_fec_in!Q18)</f>
        <v>4.1801338995312198</v>
      </c>
      <c r="R18" s="137">
        <f>IF(SER_hh_tes_in!R18=0,"",SER_hh_tes_in!R18/SER_hh_fec_in!R18)</f>
        <v>4.2813316435789002</v>
      </c>
      <c r="S18" s="137">
        <f>IF(SER_hh_tes_in!S18=0,"",SER_hh_tes_in!S18/SER_hh_fec_in!S18)</f>
        <v>4.3618800790920442</v>
      </c>
      <c r="T18" s="137">
        <f>IF(SER_hh_tes_in!T18=0,"",SER_hh_tes_in!T18/SER_hh_fec_in!T18)</f>
        <v>4.429181363212586</v>
      </c>
      <c r="U18" s="137">
        <f>IF(SER_hh_tes_in!U18=0,"",SER_hh_tes_in!U18/SER_hh_fec_in!U18)</f>
        <v>4.4904505482343922</v>
      </c>
      <c r="V18" s="137">
        <f>IF(SER_hh_tes_in!V18=0,"",SER_hh_tes_in!V18/SER_hh_fec_in!V18)</f>
        <v>4.5529211847571318</v>
      </c>
      <c r="W18" s="137">
        <f>IF(SER_hh_tes_in!W18=0,"",SER_hh_tes_in!W18/SER_hh_fec_in!W18)</f>
        <v>4.6140808105379669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0.67796038443733897</v>
      </c>
      <c r="D19" s="136">
        <f>IF(SER_hh_tes_in!D19=0,"",SER_hh_tes_in!D19/SER_hh_fec_in!D19)</f>
        <v>0.6929602005887987</v>
      </c>
      <c r="E19" s="136">
        <f>IF(SER_hh_tes_in!E19=0,"",SER_hh_tes_in!E19/SER_hh_fec_in!E19)</f>
        <v>0.71737509436456359</v>
      </c>
      <c r="F19" s="136">
        <f>IF(SER_hh_tes_in!F19=0,"",SER_hh_tes_in!F19/SER_hh_fec_in!F19)</f>
        <v>0.74195827474734255</v>
      </c>
      <c r="G19" s="136">
        <f>IF(SER_hh_tes_in!G19=0,"",SER_hh_tes_in!G19/SER_hh_fec_in!G19)</f>
        <v>0.73770675793878326</v>
      </c>
      <c r="H19" s="136">
        <f>IF(SER_hh_tes_in!H19=0,"",SER_hh_tes_in!H19/SER_hh_fec_in!H19)</f>
        <v>0.74372445879768501</v>
      </c>
      <c r="I19" s="136">
        <f>IF(SER_hh_tes_in!I19=0,"",SER_hh_tes_in!I19/SER_hh_fec_in!I19)</f>
        <v>0.72797116408217089</v>
      </c>
      <c r="J19" s="136">
        <f>IF(SER_hh_tes_in!J19=0,"",SER_hh_tes_in!J19/SER_hh_fec_in!J19)</f>
        <v>0.73032546047249292</v>
      </c>
      <c r="K19" s="136">
        <f>IF(SER_hh_tes_in!K19=0,"",SER_hh_tes_in!K19/SER_hh_fec_in!K19)</f>
        <v>0.73285041763169834</v>
      </c>
      <c r="L19" s="136">
        <f>IF(SER_hh_tes_in!L19=0,"",SER_hh_tes_in!L19/SER_hh_fec_in!L19)</f>
        <v>0.75067584313457336</v>
      </c>
      <c r="M19" s="136">
        <f>IF(SER_hh_tes_in!M19=0,"",SER_hh_tes_in!M19/SER_hh_fec_in!M19)</f>
        <v>0.72891959380644855</v>
      </c>
      <c r="N19" s="136">
        <f>IF(SER_hh_tes_in!N19=0,"",SER_hh_tes_in!N19/SER_hh_fec_in!N19)</f>
        <v>0.72312158927419712</v>
      </c>
      <c r="O19" s="136">
        <f>IF(SER_hh_tes_in!O19=0,"",SER_hh_tes_in!O19/SER_hh_fec_in!O19)</f>
        <v>0.74952478163075453</v>
      </c>
      <c r="P19" s="136">
        <f>IF(SER_hh_tes_in!P19=0,"",SER_hh_tes_in!P19/SER_hh_fec_in!P19)</f>
        <v>0.79858751628647717</v>
      </c>
      <c r="Q19" s="136">
        <f>IF(SER_hh_tes_in!Q19=0,"",SER_hh_tes_in!Q19/SER_hh_fec_in!Q19)</f>
        <v>0.80075421969379579</v>
      </c>
      <c r="R19" s="136">
        <f>IF(SER_hh_tes_in!R19=0,"",SER_hh_tes_in!R19/SER_hh_fec_in!R19)</f>
        <v>0.82298053258507253</v>
      </c>
      <c r="S19" s="136">
        <f>IF(SER_hh_tes_in!S19=0,"",SER_hh_tes_in!S19/SER_hh_fec_in!S19)</f>
        <v>0.83384838820830842</v>
      </c>
      <c r="T19" s="136">
        <f>IF(SER_hh_tes_in!T19=0,"",SER_hh_tes_in!T19/SER_hh_fec_in!T19)</f>
        <v>0.85206706986874292</v>
      </c>
      <c r="U19" s="136">
        <f>IF(SER_hh_tes_in!U19=0,"",SER_hh_tes_in!U19/SER_hh_fec_in!U19)</f>
        <v>0.86655049351701507</v>
      </c>
      <c r="V19" s="136">
        <f>IF(SER_hh_tes_in!V19=0,"",SER_hh_tes_in!V19/SER_hh_fec_in!V19)</f>
        <v>0.87921089965240762</v>
      </c>
      <c r="W19" s="136">
        <f>IF(SER_hh_tes_in!W19=0,"",SER_hh_tes_in!W19/SER_hh_fec_in!W19)</f>
        <v>0.88957347363770722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0.51844221331800933</v>
      </c>
      <c r="D22" s="137">
        <f>IF(SER_hh_tes_in!D22=0,"",SER_hh_tes_in!D22/SER_hh_fec_in!D22)</f>
        <v>0.52077321482348238</v>
      </c>
      <c r="E22" s="137">
        <f>IF(SER_hh_tes_in!E22=0,"",SER_hh_tes_in!E22/SER_hh_fec_in!E22)</f>
        <v>0.52349009947835079</v>
      </c>
      <c r="F22" s="137" t="str">
        <f>IF(SER_hh_tes_in!F22=0,"",SER_hh_tes_in!F22/SER_hh_fec_in!F22)</f>
        <v/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 t="str">
        <f>IF(SER_hh_tes_in!I22=0,"",SER_hh_tes_in!I22/SER_hh_fec_in!I22)</f>
        <v/>
      </c>
      <c r="J22" s="137" t="str">
        <f>IF(SER_hh_tes_in!J22=0,"",SER_hh_tes_in!J22/SER_hh_fec_in!J22)</f>
        <v/>
      </c>
      <c r="K22" s="137" t="str">
        <f>IF(SER_hh_tes_in!K22=0,"",SER_hh_tes_in!K22/SER_hh_fec_in!K22)</f>
        <v/>
      </c>
      <c r="L22" s="137" t="str">
        <f>IF(SER_hh_tes_in!L22=0,"",SER_hh_tes_in!L22/SER_hh_fec_in!L22)</f>
        <v/>
      </c>
      <c r="M22" s="137">
        <f>IF(SER_hh_tes_in!M22=0,"",SER_hh_tes_in!M22/SER_hh_fec_in!M22)</f>
        <v>0.56692740695127208</v>
      </c>
      <c r="N22" s="137">
        <f>IF(SER_hh_tes_in!N22=0,"",SER_hh_tes_in!N22/SER_hh_fec_in!N22)</f>
        <v>0.58979365894784519</v>
      </c>
      <c r="O22" s="137">
        <f>IF(SER_hh_tes_in!O22=0,"",SER_hh_tes_in!O22/SER_hh_fec_in!O22)</f>
        <v>0.62344493072470686</v>
      </c>
      <c r="P22" s="137">
        <f>IF(SER_hh_tes_in!P22=0,"",SER_hh_tes_in!P22/SER_hh_fec_in!P22)</f>
        <v>0.66444748432445044</v>
      </c>
      <c r="Q22" s="137">
        <f>IF(SER_hh_tes_in!Q22=0,"",SER_hh_tes_in!Q22/SER_hh_fec_in!Q22)</f>
        <v>0.70167583316967042</v>
      </c>
      <c r="R22" s="137">
        <f>IF(SER_hh_tes_in!R22=0,"",SER_hh_tes_in!R22/SER_hh_fec_in!R22)</f>
        <v>0.72680041435100506</v>
      </c>
      <c r="S22" s="137">
        <f>IF(SER_hh_tes_in!S22=0,"",SER_hh_tes_in!S22/SER_hh_fec_in!S22)</f>
        <v>0.75101137439850052</v>
      </c>
      <c r="T22" s="137">
        <f>IF(SER_hh_tes_in!T22=0,"",SER_hh_tes_in!T22/SER_hh_fec_in!T22)</f>
        <v>0.77293828161130618</v>
      </c>
      <c r="U22" s="137">
        <f>IF(SER_hh_tes_in!U22=0,"",SER_hh_tes_in!U22/SER_hh_fec_in!U22)</f>
        <v>0.79121070428864881</v>
      </c>
      <c r="V22" s="137">
        <f>IF(SER_hh_tes_in!V22=0,"",SER_hh_tes_in!V22/SER_hh_fec_in!V22)</f>
        <v>0.80445821072972223</v>
      </c>
      <c r="W22" s="137" t="str">
        <f>IF(SER_hh_tes_in!W22=0,"",SER_hh_tes_in!W22/SER_hh_fec_in!W22)</f>
        <v/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0.56614266941168145</v>
      </c>
      <c r="D23" s="137">
        <f>IF(SER_hh_tes_in!D23=0,"",SER_hh_tes_in!D23/SER_hh_fec_in!D23)</f>
        <v>0.57264477225950394</v>
      </c>
      <c r="E23" s="137">
        <f>IF(SER_hh_tes_in!E23=0,"",SER_hh_tes_in!E23/SER_hh_fec_in!E23)</f>
        <v>0.57942800439398168</v>
      </c>
      <c r="F23" s="137">
        <f>IF(SER_hh_tes_in!F23=0,"",SER_hh_tes_in!F23/SER_hh_fec_in!F23)</f>
        <v>0.5862660650372451</v>
      </c>
      <c r="G23" s="137">
        <f>IF(SER_hh_tes_in!G23=0,"",SER_hh_tes_in!G23/SER_hh_fec_in!G23)</f>
        <v>0.59336073278637258</v>
      </c>
      <c r="H23" s="137">
        <f>IF(SER_hh_tes_in!H23=0,"",SER_hh_tes_in!H23/SER_hh_fec_in!H23)</f>
        <v>0.60068468960009869</v>
      </c>
      <c r="I23" s="137">
        <f>IF(SER_hh_tes_in!I23=0,"",SER_hh_tes_in!I23/SER_hh_fec_in!I23)</f>
        <v>0.60828500643238836</v>
      </c>
      <c r="J23" s="137">
        <f>IF(SER_hh_tes_in!J23=0,"",SER_hh_tes_in!J23/SER_hh_fec_in!J23)</f>
        <v>0.61636058742928757</v>
      </c>
      <c r="K23" s="137">
        <f>IF(SER_hh_tes_in!K23=0,"",SER_hh_tes_in!K23/SER_hh_fec_in!K23)</f>
        <v>0.6250772884779876</v>
      </c>
      <c r="L23" s="137">
        <f>IF(SER_hh_tes_in!L23=0,"",SER_hh_tes_in!L23/SER_hh_fec_in!L23)</f>
        <v>0.63447378134864507</v>
      </c>
      <c r="M23" s="137">
        <f>IF(SER_hh_tes_in!M23=0,"",SER_hh_tes_in!M23/SER_hh_fec_in!M23)</f>
        <v>0.64868369111458057</v>
      </c>
      <c r="N23" s="137">
        <f>IF(SER_hh_tes_in!N23=0,"",SER_hh_tes_in!N23/SER_hh_fec_in!N23)</f>
        <v>0.6689793878340663</v>
      </c>
      <c r="O23" s="137">
        <f>IF(SER_hh_tes_in!O23=0,"",SER_hh_tes_in!O23/SER_hh_fec_in!O23)</f>
        <v>0.69630036181324062</v>
      </c>
      <c r="P23" s="137">
        <f>IF(SER_hh_tes_in!P23=0,"",SER_hh_tes_in!P23/SER_hh_fec_in!P23)</f>
        <v>0.72809267783168641</v>
      </c>
      <c r="Q23" s="137">
        <f>IF(SER_hh_tes_in!Q23=0,"",SER_hh_tes_in!Q23/SER_hh_fec_in!Q23)</f>
        <v>0.75634413981258652</v>
      </c>
      <c r="R23" s="137">
        <f>IF(SER_hh_tes_in!R23=0,"",SER_hh_tes_in!R23/SER_hh_fec_in!R23)</f>
        <v>0.77492019060983908</v>
      </c>
      <c r="S23" s="137">
        <f>IF(SER_hh_tes_in!S23=0,"",SER_hh_tes_in!S23/SER_hh_fec_in!S23)</f>
        <v>0.79186964066724697</v>
      </c>
      <c r="T23" s="137">
        <f>IF(SER_hh_tes_in!T23=0,"",SER_hh_tes_in!T23/SER_hh_fec_in!T23)</f>
        <v>0.80675248407861377</v>
      </c>
      <c r="U23" s="137">
        <f>IF(SER_hh_tes_in!U23=0,"",SER_hh_tes_in!U23/SER_hh_fec_in!U23)</f>
        <v>0.81907847752491902</v>
      </c>
      <c r="V23" s="137">
        <f>IF(SER_hh_tes_in!V23=0,"",SER_hh_tes_in!V23/SER_hh_fec_in!V23)</f>
        <v>0.82830965487358976</v>
      </c>
      <c r="W23" s="137">
        <f>IF(SER_hh_tes_in!W23=0,"",SER_hh_tes_in!W23/SER_hh_fec_in!W23)</f>
        <v>0.83307400215004057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0.79088472225776629</v>
      </c>
      <c r="D25" s="137">
        <f>IF(SER_hh_tes_in!D25=0,"",SER_hh_tes_in!D25/SER_hh_fec_in!D25)</f>
        <v>0.79297292520266571</v>
      </c>
      <c r="E25" s="137">
        <f>IF(SER_hh_tes_in!E25=0,"",SER_hh_tes_in!E25/SER_hh_fec_in!E25)</f>
        <v>0.79511750417913485</v>
      </c>
      <c r="F25" s="137">
        <f>IF(SER_hh_tes_in!F25=0,"",SER_hh_tes_in!F25/SER_hh_fec_in!F25)</f>
        <v>0.79726977079627248</v>
      </c>
      <c r="G25" s="137">
        <f>IF(SER_hh_tes_in!G25=0,"",SER_hh_tes_in!G25/SER_hh_fec_in!G25)</f>
        <v>0.79947395642250185</v>
      </c>
      <c r="H25" s="137">
        <f>IF(SER_hh_tes_in!H25=0,"",SER_hh_tes_in!H25/SER_hh_fec_in!H25)</f>
        <v>0.80172464770142493</v>
      </c>
      <c r="I25" s="137">
        <f>IF(SER_hh_tes_in!I25=0,"",SER_hh_tes_in!I25/SER_hh_fec_in!I25)</f>
        <v>0.80403274324351337</v>
      </c>
      <c r="J25" s="137">
        <f>IF(SER_hh_tes_in!J25=0,"",SER_hh_tes_in!J25/SER_hh_fec_in!J25)</f>
        <v>0.80644289080900744</v>
      </c>
      <c r="K25" s="137">
        <f>IF(SER_hh_tes_in!K25=0,"",SER_hh_tes_in!K25/SER_hh_fec_in!K25)</f>
        <v>0.80899305273786815</v>
      </c>
      <c r="L25" s="137">
        <f>IF(SER_hh_tes_in!L25=0,"",SER_hh_tes_in!L25/SER_hh_fec_in!L25)</f>
        <v>0.81169338551241221</v>
      </c>
      <c r="M25" s="137">
        <f>IF(SER_hh_tes_in!M25=0,"",SER_hh_tes_in!M25/SER_hh_fec_in!M25)</f>
        <v>0.81543233335097454</v>
      </c>
      <c r="N25" s="137">
        <f>IF(SER_hh_tes_in!N25=0,"",SER_hh_tes_in!N25/SER_hh_fec_in!N25)</f>
        <v>0.82049080002678976</v>
      </c>
      <c r="O25" s="137">
        <f>IF(SER_hh_tes_in!O25=0,"",SER_hh_tes_in!O25/SER_hh_fec_in!O25)</f>
        <v>0.82711503183093826</v>
      </c>
      <c r="P25" s="137">
        <f>IF(SER_hh_tes_in!P25=0,"",SER_hh_tes_in!P25/SER_hh_fec_in!P25)</f>
        <v>0.83483652714056067</v>
      </c>
      <c r="Q25" s="137">
        <f>IF(SER_hh_tes_in!Q25=0,"",SER_hh_tes_in!Q25/SER_hh_fec_in!Q25)</f>
        <v>0.84212158080238197</v>
      </c>
      <c r="R25" s="137">
        <f>IF(SER_hh_tes_in!R25=0,"",SER_hh_tes_in!R25/SER_hh_fec_in!R25)</f>
        <v>0.84770387427845051</v>
      </c>
      <c r="S25" s="137">
        <f>IF(SER_hh_tes_in!S25=0,"",SER_hh_tes_in!S25/SER_hh_fec_in!S25)</f>
        <v>0.85313451264812867</v>
      </c>
      <c r="T25" s="137">
        <f>IF(SER_hh_tes_in!T25=0,"",SER_hh_tes_in!T25/SER_hh_fec_in!T25)</f>
        <v>0.85837721071435535</v>
      </c>
      <c r="U25" s="137">
        <f>IF(SER_hh_tes_in!U25=0,"",SER_hh_tes_in!U25/SER_hh_fec_in!U25)</f>
        <v>0.86339568328008598</v>
      </c>
      <c r="V25" s="137">
        <f>IF(SER_hh_tes_in!V25=0,"",SER_hh_tes_in!V25/SER_hh_fec_in!V25)</f>
        <v>0.86815364514826976</v>
      </c>
      <c r="W25" s="137">
        <f>IF(SER_hh_tes_in!W25=0,"",SER_hh_tes_in!W25/SER_hh_fec_in!W25)</f>
        <v>0.87253664510299622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0.65482938515553979</v>
      </c>
      <c r="D26" s="138">
        <f>IF(SER_hh_tes_in!D26=0,"",SER_hh_tes_in!D26/SER_hh_fec_in!D26)</f>
        <v>0.65764896051870247</v>
      </c>
      <c r="E26" s="138">
        <f>IF(SER_hh_tes_in!E26=0,"",SER_hh_tes_in!E26/SER_hh_fec_in!E26)</f>
        <v>0.66068540110239748</v>
      </c>
      <c r="F26" s="138">
        <f>IF(SER_hh_tes_in!F26=0,"",SER_hh_tes_in!F26/SER_hh_fec_in!F26)</f>
        <v>0.66375100947145405</v>
      </c>
      <c r="G26" s="138">
        <f>IF(SER_hh_tes_in!G26=0,"",SER_hh_tes_in!G26/SER_hh_fec_in!G26)</f>
        <v>0.66701807628168863</v>
      </c>
      <c r="H26" s="138">
        <f>IF(SER_hh_tes_in!H26=0,"",SER_hh_tes_in!H26/SER_hh_fec_in!H26)</f>
        <v>0.67046729006702854</v>
      </c>
      <c r="I26" s="138">
        <f>IF(SER_hh_tes_in!I26=0,"",SER_hh_tes_in!I26/SER_hh_fec_in!I26)</f>
        <v>0.67414352288731194</v>
      </c>
      <c r="J26" s="138">
        <f>IF(SER_hh_tes_in!J26=0,"",SER_hh_tes_in!J26/SER_hh_fec_in!J26)</f>
        <v>0.67822639043646105</v>
      </c>
      <c r="K26" s="138">
        <f>IF(SER_hh_tes_in!K26=0,"",SER_hh_tes_in!K26/SER_hh_fec_in!K26)</f>
        <v>0.68287506819583277</v>
      </c>
      <c r="L26" s="138">
        <f>IF(SER_hh_tes_in!L26=0,"",SER_hh_tes_in!L26/SER_hh_fec_in!L26)</f>
        <v>0.68814526555473665</v>
      </c>
      <c r="M26" s="138">
        <f>IF(SER_hh_tes_in!M26=0,"",SER_hh_tes_in!M26/SER_hh_fec_in!M26)</f>
        <v>0.69768876442731964</v>
      </c>
      <c r="N26" s="138">
        <f>IF(SER_hh_tes_in!N26=0,"",SER_hh_tes_in!N26/SER_hh_fec_in!N26)</f>
        <v>0.71311010292150478</v>
      </c>
      <c r="O26" s="138">
        <f>IF(SER_hh_tes_in!O26=0,"",SER_hh_tes_in!O26/SER_hh_fec_in!O26)</f>
        <v>0.73646691397676056</v>
      </c>
      <c r="P26" s="138">
        <f>IF(SER_hh_tes_in!P26=0,"",SER_hh_tes_in!P26/SER_hh_fec_in!P26)</f>
        <v>0.76685112683786005</v>
      </c>
      <c r="Q26" s="138">
        <f>IF(SER_hh_tes_in!Q26=0,"",SER_hh_tes_in!Q26/SER_hh_fec_in!Q26)</f>
        <v>0.7966653471098506</v>
      </c>
      <c r="R26" s="138">
        <f>IF(SER_hh_tes_in!R26=0,"",SER_hh_tes_in!R26/SER_hh_fec_in!R26)</f>
        <v>0.81803784014959424</v>
      </c>
      <c r="S26" s="138">
        <f>IF(SER_hh_tes_in!S26=0,"",SER_hh_tes_in!S26/SER_hh_fec_in!S26)</f>
        <v>0.83919963286487076</v>
      </c>
      <c r="T26" s="138">
        <f>IF(SER_hh_tes_in!T26=0,"",SER_hh_tes_in!T26/SER_hh_fec_in!T26)</f>
        <v>0.859707001771983</v>
      </c>
      <c r="U26" s="138">
        <f>IF(SER_hh_tes_in!U26=0,"",SER_hh_tes_in!U26/SER_hh_fec_in!U26)</f>
        <v>0.87897104352224853</v>
      </c>
      <c r="V26" s="138">
        <f>IF(SER_hh_tes_in!V26=0,"",SER_hh_tes_in!V26/SER_hh_fec_in!V26)</f>
        <v>0.89608826246831608</v>
      </c>
      <c r="W26" s="138">
        <f>IF(SER_hh_tes_in!W26=0,"",SER_hh_tes_in!W26/SER_hh_fec_in!W26)</f>
        <v>0.9095628229373196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 t="str">
        <f>IF(SER_hh_tes_in!L27=0,"",SER_hh_tes_in!L27/SER_hh_fec_in!L27)</f>
        <v/>
      </c>
      <c r="M27" s="149" t="str">
        <f>IF(SER_hh_tes_in!M27=0,"",SER_hh_tes_in!M27/SER_hh_fec_in!M27)</f>
        <v/>
      </c>
      <c r="N27" s="149" t="str">
        <f>IF(SER_hh_tes_in!N27=0,"",SER_hh_tes_in!N27/SER_hh_fec_in!N27)</f>
        <v/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 t="str">
        <f>IF(SER_hh_tes_in!S27=0,"",SER_hh_tes_in!S27/SER_hh_fec_in!S27)</f>
        <v/>
      </c>
      <c r="T27" s="149" t="str">
        <f>IF(SER_hh_tes_in!T27=0,"",SER_hh_tes_in!T27/SER_hh_fec_in!T27)</f>
        <v/>
      </c>
      <c r="U27" s="149" t="str">
        <f>IF(SER_hh_tes_in!U27=0,"",SER_hh_tes_in!U27/SER_hh_fec_in!U27)</f>
        <v/>
      </c>
      <c r="V27" s="149" t="str">
        <f>IF(SER_hh_tes_in!V27=0,"",SER_hh_tes_in!V27/SER_hh_fec_in!V27)</f>
        <v/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0.7929234252619447</v>
      </c>
      <c r="D29" s="136">
        <f>IF(SER_hh_tes_in!D29=0,"",SER_hh_tes_in!D29/SER_hh_fec_in!D29)</f>
        <v>0.8014071941829608</v>
      </c>
      <c r="E29" s="136">
        <f>IF(SER_hh_tes_in!E29=0,"",SER_hh_tes_in!E29/SER_hh_fec_in!E29)</f>
        <v>0.82440493533193149</v>
      </c>
      <c r="F29" s="136">
        <f>IF(SER_hh_tes_in!F29=0,"",SER_hh_tes_in!F29/SER_hh_fec_in!F29)</f>
        <v>0.812771576398299</v>
      </c>
      <c r="G29" s="136">
        <f>IF(SER_hh_tes_in!G29=0,"",SER_hh_tes_in!G29/SER_hh_fec_in!G29)</f>
        <v>0.77127650207043841</v>
      </c>
      <c r="H29" s="136">
        <f>IF(SER_hh_tes_in!H29=0,"",SER_hh_tes_in!H29/SER_hh_fec_in!H29)</f>
        <v>0.7134532608353672</v>
      </c>
      <c r="I29" s="136">
        <f>IF(SER_hh_tes_in!I29=0,"",SER_hh_tes_in!I29/SER_hh_fec_in!I29)</f>
        <v>0.72064433330080746</v>
      </c>
      <c r="J29" s="136">
        <f>IF(SER_hh_tes_in!J29=0,"",SER_hh_tes_in!J29/SER_hh_fec_in!J29)</f>
        <v>0.78404480834598922</v>
      </c>
      <c r="K29" s="136">
        <f>IF(SER_hh_tes_in!K29=0,"",SER_hh_tes_in!K29/SER_hh_fec_in!K29)</f>
        <v>0.83465360218413154</v>
      </c>
      <c r="L29" s="136">
        <f>IF(SER_hh_tes_in!L29=0,"",SER_hh_tes_in!L29/SER_hh_fec_in!L29)</f>
        <v>0.8147740019799502</v>
      </c>
      <c r="M29" s="136">
        <f>IF(SER_hh_tes_in!M29=0,"",SER_hh_tes_in!M29/SER_hh_fec_in!M29)</f>
        <v>0.84461367171417823</v>
      </c>
      <c r="N29" s="136">
        <f>IF(SER_hh_tes_in!N29=0,"",SER_hh_tes_in!N29/SER_hh_fec_in!N29)</f>
        <v>0.8449845286609835</v>
      </c>
      <c r="O29" s="136">
        <f>IF(SER_hh_tes_in!O29=0,"",SER_hh_tes_in!O29/SER_hh_fec_in!O29)</f>
        <v>0.84604874361999927</v>
      </c>
      <c r="P29" s="136">
        <f>IF(SER_hh_tes_in!P29=0,"",SER_hh_tes_in!P29/SER_hh_fec_in!P29)</f>
        <v>0.84904918850575528</v>
      </c>
      <c r="Q29" s="136">
        <f>IF(SER_hh_tes_in!Q29=0,"",SER_hh_tes_in!Q29/SER_hh_fec_in!Q29)</f>
        <v>0.8583285911917049</v>
      </c>
      <c r="R29" s="136">
        <f>IF(SER_hh_tes_in!R29=0,"",SER_hh_tes_in!R29/SER_hh_fec_in!R29)</f>
        <v>0.86722557018809288</v>
      </c>
      <c r="S29" s="136">
        <f>IF(SER_hh_tes_in!S29=0,"",SER_hh_tes_in!S29/SER_hh_fec_in!S29)</f>
        <v>0.87243224887363346</v>
      </c>
      <c r="T29" s="136">
        <f>IF(SER_hh_tes_in!T29=0,"",SER_hh_tes_in!T29/SER_hh_fec_in!T29)</f>
        <v>0.85597367396523594</v>
      </c>
      <c r="U29" s="136">
        <f>IF(SER_hh_tes_in!U29=0,"",SER_hh_tes_in!U29/SER_hh_fec_in!U29)</f>
        <v>0.86346176582822165</v>
      </c>
      <c r="V29" s="136">
        <f>IF(SER_hh_tes_in!V29=0,"",SER_hh_tes_in!V29/SER_hh_fec_in!V29)</f>
        <v>0.88780562508471028</v>
      </c>
      <c r="W29" s="136">
        <f>IF(SER_hh_tes_in!W29=0,"",SER_hh_tes_in!W29/SER_hh_fec_in!W29)</f>
        <v>0.91023917597128523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0.62988279890752652</v>
      </c>
      <c r="D30" s="137">
        <f>IF(SER_hh_tes_in!D30=0,"",SER_hh_tes_in!D30/SER_hh_fec_in!D30)</f>
        <v>0.63032018293981451</v>
      </c>
      <c r="E30" s="137" t="str">
        <f>IF(SER_hh_tes_in!E30=0,"",SER_hh_tes_in!E30/SER_hh_fec_in!E30)</f>
        <v/>
      </c>
      <c r="F30" s="137">
        <f>IF(SER_hh_tes_in!F30=0,"",SER_hh_tes_in!F30/SER_hh_fec_in!F30)</f>
        <v>0.63118177295680966</v>
      </c>
      <c r="G30" s="137">
        <f>IF(SER_hh_tes_in!G30=0,"",SER_hh_tes_in!G30/SER_hh_fec_in!G30)</f>
        <v>0.63160646661171538</v>
      </c>
      <c r="H30" s="137">
        <f>IF(SER_hh_tes_in!H30=0,"",SER_hh_tes_in!H30/SER_hh_fec_in!H30)</f>
        <v>0.63202607179758175</v>
      </c>
      <c r="I30" s="137">
        <f>IF(SER_hh_tes_in!I30=0,"",SER_hh_tes_in!I30/SER_hh_fec_in!I30)</f>
        <v>0.63243939603051136</v>
      </c>
      <c r="J30" s="137">
        <f>IF(SER_hh_tes_in!J30=0,"",SER_hh_tes_in!J30/SER_hh_fec_in!J30)</f>
        <v>0.63284155412488696</v>
      </c>
      <c r="K30" s="137">
        <f>IF(SER_hh_tes_in!K30=0,"",SER_hh_tes_in!K30/SER_hh_fec_in!K30)</f>
        <v>0.63322839238797679</v>
      </c>
      <c r="L30" s="137">
        <f>IF(SER_hh_tes_in!L30=0,"",SER_hh_tes_in!L30/SER_hh_fec_in!L30)</f>
        <v>0.63359879953668263</v>
      </c>
      <c r="M30" s="137" t="str">
        <f>IF(SER_hh_tes_in!M30=0,"",SER_hh_tes_in!M30/SER_hh_fec_in!M30)</f>
        <v/>
      </c>
      <c r="N30" s="137" t="str">
        <f>IF(SER_hh_tes_in!N30=0,"",SER_hh_tes_in!N30/SER_hh_fec_in!N30)</f>
        <v/>
      </c>
      <c r="O30" s="137" t="str">
        <f>IF(SER_hh_tes_in!O30=0,"",SER_hh_tes_in!O30/SER_hh_fec_in!O30)</f>
        <v/>
      </c>
      <c r="P30" s="137" t="str">
        <f>IF(SER_hh_tes_in!P30=0,"",SER_hh_tes_in!P30/SER_hh_fec_in!P30)</f>
        <v/>
      </c>
      <c r="Q30" s="137" t="str">
        <f>IF(SER_hh_tes_in!Q30=0,"",SER_hh_tes_in!Q30/SER_hh_fec_in!Q30)</f>
        <v/>
      </c>
      <c r="R30" s="137" t="str">
        <f>IF(SER_hh_tes_in!R30=0,"",SER_hh_tes_in!R30/SER_hh_fec_in!R30)</f>
        <v/>
      </c>
      <c r="S30" s="137">
        <f>IF(SER_hh_tes_in!S30=0,"",SER_hh_tes_in!S30/SER_hh_fec_in!S30)</f>
        <v>0.63711665461734091</v>
      </c>
      <c r="T30" s="137">
        <f>IF(SER_hh_tes_in!T30=0,"",SER_hh_tes_in!T30/SER_hh_fec_in!T30)</f>
        <v>0.63951909223339942</v>
      </c>
      <c r="U30" s="137">
        <f>IF(SER_hh_tes_in!U30=0,"",SER_hh_tes_in!U30/SER_hh_fec_in!U30)</f>
        <v>0.64200733119288911</v>
      </c>
      <c r="V30" s="137">
        <f>IF(SER_hh_tes_in!V30=0,"",SER_hh_tes_in!V30/SER_hh_fec_in!V30)</f>
        <v>0.64432396746551746</v>
      </c>
      <c r="W30" s="137">
        <f>IF(SER_hh_tes_in!W30=0,"",SER_hh_tes_in!W30/SER_hh_fec_in!W30)</f>
        <v>0.64646900105128335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0.63301548032150834</v>
      </c>
      <c r="D31" s="137">
        <f>IF(SER_hh_tes_in!D31=0,"",SER_hh_tes_in!D31/SER_hh_fec_in!D31)</f>
        <v>0.63326576575013838</v>
      </c>
      <c r="E31" s="137">
        <f>IF(SER_hh_tes_in!E31=0,"",SER_hh_tes_in!E31/SER_hh_fec_in!E31)</f>
        <v>0.63351252139146819</v>
      </c>
      <c r="F31" s="137">
        <f>IF(SER_hh_tes_in!F31=0,"",SER_hh_tes_in!F31/SER_hh_fec_in!F31)</f>
        <v>0.63375879569816607</v>
      </c>
      <c r="G31" s="137">
        <f>IF(SER_hh_tes_in!G31=0,"",SER_hh_tes_in!G31/SER_hh_fec_in!G31)</f>
        <v>0.63400181927837895</v>
      </c>
      <c r="H31" s="137">
        <f>IF(SER_hh_tes_in!H31=0,"",SER_hh_tes_in!H31/SER_hh_fec_in!H31)</f>
        <v>0.63424193107041349</v>
      </c>
      <c r="I31" s="137">
        <f>IF(SER_hh_tes_in!I31=0,"",SER_hh_tes_in!I31/SER_hh_fec_in!I31)</f>
        <v>0.63447844869603609</v>
      </c>
      <c r="J31" s="137">
        <f>IF(SER_hh_tes_in!J31=0,"",SER_hh_tes_in!J31/SER_hh_fec_in!J31)</f>
        <v>0.63470857669248204</v>
      </c>
      <c r="K31" s="137">
        <f>IF(SER_hh_tes_in!K31=0,"",SER_hh_tes_in!K31/SER_hh_fec_in!K31)</f>
        <v>0.63492993818110688</v>
      </c>
      <c r="L31" s="137">
        <f>IF(SER_hh_tes_in!L31=0,"",SER_hh_tes_in!L31/SER_hh_fec_in!L31)</f>
        <v>0.63514189724942605</v>
      </c>
      <c r="M31" s="137">
        <f>IF(SER_hh_tes_in!M31=0,"",SER_hh_tes_in!M31/SER_hh_fec_in!M31)</f>
        <v>0.63525595929099998</v>
      </c>
      <c r="N31" s="137">
        <f>IF(SER_hh_tes_in!N31=0,"",SER_hh_tes_in!N31/SER_hh_fec_in!N31)</f>
        <v>0.63525595929099998</v>
      </c>
      <c r="O31" s="137">
        <f>IF(SER_hh_tes_in!O31=0,"",SER_hh_tes_in!O31/SER_hh_fec_in!O31)</f>
        <v>0.63525595929099998</v>
      </c>
      <c r="P31" s="137">
        <f>IF(SER_hh_tes_in!P31=0,"",SER_hh_tes_in!P31/SER_hh_fec_in!P31)</f>
        <v>0.63525595929099998</v>
      </c>
      <c r="Q31" s="137">
        <f>IF(SER_hh_tes_in!Q31=0,"",SER_hh_tes_in!Q31/SER_hh_fec_in!Q31)</f>
        <v>0.63525595929099998</v>
      </c>
      <c r="R31" s="137">
        <f>IF(SER_hh_tes_in!R31=0,"",SER_hh_tes_in!R31/SER_hh_fec_in!R31)</f>
        <v>0.63597656887744403</v>
      </c>
      <c r="S31" s="137">
        <f>IF(SER_hh_tes_in!S31=0,"",SER_hh_tes_in!S31/SER_hh_fec_in!S31)</f>
        <v>0.63715492882288216</v>
      </c>
      <c r="T31" s="137">
        <f>IF(SER_hh_tes_in!T31=0,"",SER_hh_tes_in!T31/SER_hh_fec_in!T31)</f>
        <v>0.638529682092559</v>
      </c>
      <c r="U31" s="137">
        <f>IF(SER_hh_tes_in!U31=0,"",SER_hh_tes_in!U31/SER_hh_fec_in!U31)</f>
        <v>0.63995353369329588</v>
      </c>
      <c r="V31" s="137">
        <f>IF(SER_hh_tes_in!V31=0,"",SER_hh_tes_in!V31/SER_hh_fec_in!V31)</f>
        <v>0.64127918863191313</v>
      </c>
      <c r="W31" s="137">
        <f>IF(SER_hh_tes_in!W31=0,"",SER_hh_tes_in!W31/SER_hh_fec_in!W31)</f>
        <v>0.64250664690840986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0.83251384242836357</v>
      </c>
      <c r="D33" s="150">
        <f>IF(SER_hh_tes_in!D33=0,"",SER_hh_tes_in!D33/SER_hh_fec_in!D33)</f>
        <v>0.83357597986124254</v>
      </c>
      <c r="E33" s="150">
        <f>IF(SER_hh_tes_in!E33=0,"",SER_hh_tes_in!E33/SER_hh_fec_in!E33)</f>
        <v>0.83467739256196261</v>
      </c>
      <c r="F33" s="150">
        <f>IF(SER_hh_tes_in!F33=0,"",SER_hh_tes_in!F33/SER_hh_fec_in!F33)</f>
        <v>0.8357841609810247</v>
      </c>
      <c r="G33" s="150">
        <f>IF(SER_hh_tes_in!G33=0,"",SER_hh_tes_in!G33/SER_hh_fec_in!G33)</f>
        <v>0.83692709961163481</v>
      </c>
      <c r="H33" s="150">
        <f>IF(SER_hh_tes_in!H33=0,"",SER_hh_tes_in!H33/SER_hh_fec_in!H33)</f>
        <v>0.83810243715211519</v>
      </c>
      <c r="I33" s="150">
        <f>IF(SER_hh_tes_in!I33=0,"",SER_hh_tes_in!I33/SER_hh_fec_in!I33)</f>
        <v>0.83931776629449206</v>
      </c>
      <c r="J33" s="150">
        <f>IF(SER_hh_tes_in!J33=0,"",SER_hh_tes_in!J33/SER_hh_fec_in!J33)</f>
        <v>0.8406041916180188</v>
      </c>
      <c r="K33" s="150">
        <f>IF(SER_hh_tes_in!K33=0,"",SER_hh_tes_in!K33/SER_hh_fec_in!K33)</f>
        <v>0.84198816019653722</v>
      </c>
      <c r="L33" s="150">
        <f>IF(SER_hh_tes_in!L33=0,"",SER_hh_tes_in!L33/SER_hh_fec_in!L33)</f>
        <v>0.84347674770657532</v>
      </c>
      <c r="M33" s="150">
        <f>IF(SER_hh_tes_in!M33=0,"",SER_hh_tes_in!M33/SER_hh_fec_in!M33)</f>
        <v>0.84550201905070355</v>
      </c>
      <c r="N33" s="150">
        <f>IF(SER_hh_tes_in!N33=0,"",SER_hh_tes_in!N33/SER_hh_fec_in!N33)</f>
        <v>0.8481864878286437</v>
      </c>
      <c r="O33" s="150">
        <f>IF(SER_hh_tes_in!O33=0,"",SER_hh_tes_in!O33/SER_hh_fec_in!O33)</f>
        <v>0.85182804330665518</v>
      </c>
      <c r="P33" s="150">
        <f>IF(SER_hh_tes_in!P33=0,"",SER_hh_tes_in!P33/SER_hh_fec_in!P33)</f>
        <v>0.85658313961599442</v>
      </c>
      <c r="Q33" s="150">
        <f>IF(SER_hh_tes_in!Q33=0,"",SER_hh_tes_in!Q33/SER_hh_fec_in!Q33)</f>
        <v>0.8627118252234055</v>
      </c>
      <c r="R33" s="150">
        <f>IF(SER_hh_tes_in!R33=0,"",SER_hh_tes_in!R33/SER_hh_fec_in!R33)</f>
        <v>0.87104895698078533</v>
      </c>
      <c r="S33" s="150">
        <f>IF(SER_hh_tes_in!S33=0,"",SER_hh_tes_in!S33/SER_hh_fec_in!S33)</f>
        <v>0.88145447719991121</v>
      </c>
      <c r="T33" s="150">
        <f>IF(SER_hh_tes_in!T33=0,"",SER_hh_tes_in!T33/SER_hh_fec_in!T33)</f>
        <v>0.89264209903237235</v>
      </c>
      <c r="U33" s="150">
        <f>IF(SER_hh_tes_in!U33=0,"",SER_hh_tes_in!U33/SER_hh_fec_in!U33)</f>
        <v>0.90332553562979001</v>
      </c>
      <c r="V33" s="150">
        <f>IF(SER_hh_tes_in!V33=0,"",SER_hh_tes_in!V33/SER_hh_fec_in!V33)</f>
        <v>0.9122185001437717</v>
      </c>
      <c r="W33" s="150">
        <f>IF(SER_hh_tes_in!W33=0,"",SER_hh_tes_in!W33/SER_hh_fec_in!W33)</f>
        <v>0.91886916148943953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26.535266118232052</v>
      </c>
      <c r="D3" s="126">
        <f t="shared" si="0"/>
        <v>39.527494793512183</v>
      </c>
      <c r="E3" s="126">
        <f t="shared" si="0"/>
        <v>16.143569711737481</v>
      </c>
      <c r="F3" s="126">
        <f t="shared" si="0"/>
        <v>6.5563084881247189</v>
      </c>
      <c r="G3" s="126">
        <f t="shared" si="0"/>
        <v>6.8207499655419825</v>
      </c>
      <c r="H3" s="126">
        <f t="shared" si="0"/>
        <v>12.564379463287029</v>
      </c>
      <c r="I3" s="126">
        <f t="shared" si="0"/>
        <v>10.215244868208002</v>
      </c>
      <c r="J3" s="126">
        <f t="shared" si="0"/>
        <v>3.337480526937711</v>
      </c>
      <c r="K3" s="126">
        <f t="shared" si="0"/>
        <v>8.2062596902770988</v>
      </c>
      <c r="L3" s="126">
        <f t="shared" si="0"/>
        <v>28.767269067153531</v>
      </c>
      <c r="M3" s="126">
        <f t="shared" si="0"/>
        <v>24.292942441241397</v>
      </c>
      <c r="N3" s="126">
        <f t="shared" si="0"/>
        <v>18.716663262870998</v>
      </c>
      <c r="O3" s="126">
        <f t="shared" si="0"/>
        <v>17.724172248451172</v>
      </c>
      <c r="P3" s="126">
        <f t="shared" si="0"/>
        <v>2.0386618493265032</v>
      </c>
      <c r="Q3" s="126">
        <f t="shared" si="0"/>
        <v>4.2470439130079125</v>
      </c>
      <c r="R3" s="126">
        <f t="shared" ref="R3:W3" si="1">SUM(R4,R16,R19,R29)</f>
        <v>5.245540476062323</v>
      </c>
      <c r="S3" s="126">
        <f t="shared" si="1"/>
        <v>9.9032725390552443</v>
      </c>
      <c r="T3" s="126">
        <f t="shared" si="1"/>
        <v>8.8607540165079755</v>
      </c>
      <c r="U3" s="126">
        <f t="shared" si="1"/>
        <v>7.9371561318364456</v>
      </c>
      <c r="V3" s="126">
        <f t="shared" si="1"/>
        <v>4.8337775550561233</v>
      </c>
      <c r="W3" s="126">
        <f t="shared" si="1"/>
        <v>1.387571576515189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20.890698973291592</v>
      </c>
      <c r="D4" s="131">
        <f t="shared" si="2"/>
        <v>35.564709699189265</v>
      </c>
      <c r="E4" s="131">
        <f t="shared" si="2"/>
        <v>14.892114274154743</v>
      </c>
      <c r="F4" s="131">
        <f t="shared" si="2"/>
        <v>5.0554710571088135</v>
      </c>
      <c r="G4" s="131">
        <f t="shared" si="2"/>
        <v>3.24538903479931</v>
      </c>
      <c r="H4" s="131">
        <f t="shared" si="2"/>
        <v>2.502123644071871</v>
      </c>
      <c r="I4" s="131">
        <f t="shared" si="2"/>
        <v>0.49213892628433797</v>
      </c>
      <c r="J4" s="131">
        <f t="shared" si="2"/>
        <v>0.45174444764970428</v>
      </c>
      <c r="K4" s="131">
        <f t="shared" si="2"/>
        <v>7.7067913671971873</v>
      </c>
      <c r="L4" s="131">
        <f t="shared" si="2"/>
        <v>26.866781861828702</v>
      </c>
      <c r="M4" s="131">
        <f t="shared" si="2"/>
        <v>21.801811702918659</v>
      </c>
      <c r="N4" s="131">
        <f t="shared" si="2"/>
        <v>14.984764815195193</v>
      </c>
      <c r="O4" s="131">
        <f t="shared" si="2"/>
        <v>13.072564690401478</v>
      </c>
      <c r="P4" s="131">
        <f t="shared" si="2"/>
        <v>0.77286524171721416</v>
      </c>
      <c r="Q4" s="131">
        <f t="shared" si="2"/>
        <v>0.76959268244260393</v>
      </c>
      <c r="R4" s="131">
        <f t="shared" ref="R4:W4" si="3">SUM(R5:R15)</f>
        <v>2.8652938980711165</v>
      </c>
      <c r="S4" s="131">
        <f t="shared" si="3"/>
        <v>7.3066217785263525</v>
      </c>
      <c r="T4" s="131">
        <f t="shared" si="3"/>
        <v>5.8349924526736636</v>
      </c>
      <c r="U4" s="131">
        <f t="shared" si="3"/>
        <v>5.2597670834538617</v>
      </c>
      <c r="V4" s="131">
        <f t="shared" si="3"/>
        <v>3.2993970256489109</v>
      </c>
      <c r="W4" s="131">
        <f t="shared" si="3"/>
        <v>0.83194376084658284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18.468008947448862</v>
      </c>
      <c r="D7" s="133">
        <v>26.622149165080636</v>
      </c>
      <c r="E7" s="133">
        <v>7.3202817280657566</v>
      </c>
      <c r="F7" s="133">
        <v>0</v>
      </c>
      <c r="G7" s="133">
        <v>0</v>
      </c>
      <c r="H7" s="133">
        <v>0</v>
      </c>
      <c r="I7" s="133">
        <v>0</v>
      </c>
      <c r="J7" s="133">
        <v>0</v>
      </c>
      <c r="K7" s="133">
        <v>6.84145303910595</v>
      </c>
      <c r="L7" s="133">
        <v>23.666934342301825</v>
      </c>
      <c r="M7" s="133">
        <v>18.781872276637817</v>
      </c>
      <c r="N7" s="133">
        <v>11.602938283620079</v>
      </c>
      <c r="O7" s="133">
        <v>11.880401568964123</v>
      </c>
      <c r="P7" s="133">
        <v>0</v>
      </c>
      <c r="Q7" s="133">
        <v>0.76959268244260393</v>
      </c>
      <c r="R7" s="133">
        <v>2.8652938980711165</v>
      </c>
      <c r="S7" s="133">
        <v>6.0075432597081768</v>
      </c>
      <c r="T7" s="133">
        <v>3.9530812501984327</v>
      </c>
      <c r="U7" s="133">
        <v>2.1139408768043189</v>
      </c>
      <c r="V7" s="133">
        <v>1.5839144580276041</v>
      </c>
      <c r="W7" s="133">
        <v>0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2.4226900258427309</v>
      </c>
      <c r="D9" s="133">
        <v>8.9425605341086261</v>
      </c>
      <c r="E9" s="133">
        <v>7.5718325460889861</v>
      </c>
      <c r="F9" s="133">
        <v>5.0554710571088135</v>
      </c>
      <c r="G9" s="133">
        <v>3.24538903479931</v>
      </c>
      <c r="H9" s="133">
        <v>2.502123644071871</v>
      </c>
      <c r="I9" s="133">
        <v>0.49213892628433797</v>
      </c>
      <c r="J9" s="133">
        <v>0.45174444764970428</v>
      </c>
      <c r="K9" s="133">
        <v>0.86533832809123712</v>
      </c>
      <c r="L9" s="133">
        <v>3.1998475195268781</v>
      </c>
      <c r="M9" s="133">
        <v>3.0199394262808434</v>
      </c>
      <c r="N9" s="133">
        <v>3.3818265315751144</v>
      </c>
      <c r="O9" s="133">
        <v>1.1921631214373545</v>
      </c>
      <c r="P9" s="133">
        <v>0.77286524171721416</v>
      </c>
      <c r="Q9" s="133">
        <v>0</v>
      </c>
      <c r="R9" s="133">
        <v>0</v>
      </c>
      <c r="S9" s="133">
        <v>1.2990785188181757</v>
      </c>
      <c r="T9" s="133">
        <v>1.8819112024752305</v>
      </c>
      <c r="U9" s="133">
        <v>3.1458262066495428</v>
      </c>
      <c r="V9" s="133">
        <v>1.7154825676213068</v>
      </c>
      <c r="W9" s="133">
        <v>0.83194376084658284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3.4331853530388003</v>
      </c>
      <c r="D19" s="131">
        <f t="shared" si="6"/>
        <v>2.3404329405623825</v>
      </c>
      <c r="E19" s="131">
        <f t="shared" si="6"/>
        <v>0.83125526785818571</v>
      </c>
      <c r="F19" s="131">
        <f t="shared" si="6"/>
        <v>0.22473814199896</v>
      </c>
      <c r="G19" s="131">
        <f t="shared" si="6"/>
        <v>0.21865794366832306</v>
      </c>
      <c r="H19" s="131">
        <f t="shared" si="6"/>
        <v>0.36687187479375455</v>
      </c>
      <c r="I19" s="131">
        <f t="shared" si="6"/>
        <v>0.22825496100716738</v>
      </c>
      <c r="J19" s="131">
        <f t="shared" si="6"/>
        <v>0.16669729017897381</v>
      </c>
      <c r="K19" s="131">
        <f t="shared" si="6"/>
        <v>0.11952780859606137</v>
      </c>
      <c r="L19" s="131">
        <f t="shared" si="6"/>
        <v>0.17224059716451695</v>
      </c>
      <c r="M19" s="131">
        <f t="shared" si="6"/>
        <v>2.4538820678753832</v>
      </c>
      <c r="N19" s="131">
        <f t="shared" si="6"/>
        <v>3.5995738073848078</v>
      </c>
      <c r="O19" s="131">
        <f t="shared" si="6"/>
        <v>4.2973653720294571</v>
      </c>
      <c r="P19" s="131">
        <f t="shared" si="6"/>
        <v>0.91115713601821802</v>
      </c>
      <c r="Q19" s="131">
        <f t="shared" si="6"/>
        <v>3.2335240253402509</v>
      </c>
      <c r="R19" s="131">
        <f t="shared" ref="R19:W19" si="7">SUM(R20:R27)</f>
        <v>2.1763285920044271</v>
      </c>
      <c r="S19" s="131">
        <f t="shared" si="7"/>
        <v>2.0431290210418958</v>
      </c>
      <c r="T19" s="131">
        <f t="shared" si="7"/>
        <v>1.025316426329234</v>
      </c>
      <c r="U19" s="131">
        <f t="shared" si="7"/>
        <v>0.69667552630201723</v>
      </c>
      <c r="V19" s="131">
        <f t="shared" si="7"/>
        <v>0.44875944845730925</v>
      </c>
      <c r="W19" s="131">
        <f t="shared" si="7"/>
        <v>0.19682949963956989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3.3254427433115361</v>
      </c>
      <c r="D22" s="133">
        <v>2.0974569591570544</v>
      </c>
      <c r="E22" s="133">
        <v>0.61169591604652784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2.3426131577557219</v>
      </c>
      <c r="N22" s="133">
        <v>3.4862393909771607</v>
      </c>
      <c r="O22" s="133">
        <v>4.1111010698522845</v>
      </c>
      <c r="P22" s="133">
        <v>0.62377485183716719</v>
      </c>
      <c r="Q22" s="133">
        <v>3.127983104064457</v>
      </c>
      <c r="R22" s="133">
        <v>2.108318046897494</v>
      </c>
      <c r="S22" s="133">
        <v>1.9347836398595526</v>
      </c>
      <c r="T22" s="133">
        <v>0.84638390104668482</v>
      </c>
      <c r="U22" s="133">
        <v>0.21041664493010723</v>
      </c>
      <c r="V22" s="133">
        <v>0.10464647933170194</v>
      </c>
      <c r="W22" s="133">
        <v>0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0.10774260972726436</v>
      </c>
      <c r="D23" s="133">
        <v>0.24297598140532808</v>
      </c>
      <c r="E23" s="133">
        <v>0.21955935181165787</v>
      </c>
      <c r="F23" s="133">
        <v>0.22473814199896</v>
      </c>
      <c r="G23" s="133">
        <v>0.21865794366832306</v>
      </c>
      <c r="H23" s="133">
        <v>0.36687187479375455</v>
      </c>
      <c r="I23" s="133">
        <v>0.22825496100716738</v>
      </c>
      <c r="J23" s="133">
        <v>0.16669729017897381</v>
      </c>
      <c r="K23" s="133">
        <v>0.11952780859606137</v>
      </c>
      <c r="L23" s="133">
        <v>0.17224059716451695</v>
      </c>
      <c r="M23" s="133">
        <v>0.11126891011966121</v>
      </c>
      <c r="N23" s="133">
        <v>0.11333441640764726</v>
      </c>
      <c r="O23" s="133">
        <v>0.1862643021771728</v>
      </c>
      <c r="P23" s="133">
        <v>0.28738228418105088</v>
      </c>
      <c r="Q23" s="133">
        <v>0.10554092127579401</v>
      </c>
      <c r="R23" s="133">
        <v>6.8010545106933232E-2</v>
      </c>
      <c r="S23" s="133">
        <v>0.1083453811823433</v>
      </c>
      <c r="T23" s="133">
        <v>0.1789325252825493</v>
      </c>
      <c r="U23" s="133">
        <v>0.48625888137190998</v>
      </c>
      <c r="V23" s="133">
        <v>0.34411296912560729</v>
      </c>
      <c r="W23" s="133">
        <v>0.19682949963956989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2.2113817919016587</v>
      </c>
      <c r="D29" s="131">
        <f t="shared" si="8"/>
        <v>1.6223521537605354</v>
      </c>
      <c r="E29" s="131">
        <f t="shared" si="8"/>
        <v>0.42020016972455154</v>
      </c>
      <c r="F29" s="131">
        <f t="shared" si="8"/>
        <v>1.2760992890169456</v>
      </c>
      <c r="G29" s="131">
        <f t="shared" si="8"/>
        <v>3.3567029870743497</v>
      </c>
      <c r="H29" s="131">
        <f t="shared" si="8"/>
        <v>9.6953839444214029</v>
      </c>
      <c r="I29" s="131">
        <f t="shared" si="8"/>
        <v>9.494850980916496</v>
      </c>
      <c r="J29" s="131">
        <f t="shared" si="8"/>
        <v>2.7190387891090331</v>
      </c>
      <c r="K29" s="131">
        <f t="shared" si="8"/>
        <v>0.3799405144838513</v>
      </c>
      <c r="L29" s="131">
        <f t="shared" si="8"/>
        <v>1.7282466081603132</v>
      </c>
      <c r="M29" s="131">
        <f t="shared" si="8"/>
        <v>3.7248670447353915E-2</v>
      </c>
      <c r="N29" s="131">
        <f t="shared" si="8"/>
        <v>0.13232464029099722</v>
      </c>
      <c r="O29" s="131">
        <f t="shared" si="8"/>
        <v>0.35424218602023599</v>
      </c>
      <c r="P29" s="131">
        <f t="shared" si="8"/>
        <v>0.35463947159107118</v>
      </c>
      <c r="Q29" s="131">
        <f t="shared" si="8"/>
        <v>0.24392720522505779</v>
      </c>
      <c r="R29" s="131">
        <f t="shared" ref="R29:W29" si="9">SUM(R30:R33)</f>
        <v>0.20391798598677996</v>
      </c>
      <c r="S29" s="131">
        <f t="shared" si="9"/>
        <v>0.55352173948699579</v>
      </c>
      <c r="T29" s="131">
        <f t="shared" si="9"/>
        <v>2.000445137505078</v>
      </c>
      <c r="U29" s="131">
        <f t="shared" si="9"/>
        <v>1.9807135220805669</v>
      </c>
      <c r="V29" s="131">
        <f t="shared" si="9"/>
        <v>1.0856210809499034</v>
      </c>
      <c r="W29" s="131">
        <f t="shared" si="9"/>
        <v>0.35879831602903622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1.8047923314056864</v>
      </c>
      <c r="D30" s="133">
        <v>1.1356174650952704</v>
      </c>
      <c r="E30" s="133">
        <v>0</v>
      </c>
      <c r="F30" s="133">
        <v>0.84628158787757046</v>
      </c>
      <c r="G30" s="133">
        <v>3.0307363447119506</v>
      </c>
      <c r="H30" s="133">
        <v>9.3496564540005931</v>
      </c>
      <c r="I30" s="133">
        <v>9.2025856226581926</v>
      </c>
      <c r="J30" s="133">
        <v>2.5471822202833718</v>
      </c>
      <c r="K30" s="133">
        <v>0.26783472540453435</v>
      </c>
      <c r="L30" s="133">
        <v>1.6747083744124396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0.40159670986569246</v>
      </c>
      <c r="T30" s="133">
        <v>1.7675272659359789</v>
      </c>
      <c r="U30" s="133">
        <v>1.4246437998356862</v>
      </c>
      <c r="V30" s="133">
        <v>0.71359116425875913</v>
      </c>
      <c r="W30" s="133">
        <v>0.15569040397776851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0.40658946049597233</v>
      </c>
      <c r="D31" s="133">
        <v>0.48673468866526509</v>
      </c>
      <c r="E31" s="133">
        <v>0.42020016972455154</v>
      </c>
      <c r="F31" s="133">
        <v>0.42981770113937517</v>
      </c>
      <c r="G31" s="133">
        <v>0.32596664236239914</v>
      </c>
      <c r="H31" s="133">
        <v>0.3457274904208098</v>
      </c>
      <c r="I31" s="133">
        <v>0.29226535825830335</v>
      </c>
      <c r="J31" s="133">
        <v>0.1718565688256613</v>
      </c>
      <c r="K31" s="133">
        <v>0.11210578907931694</v>
      </c>
      <c r="L31" s="133">
        <v>5.3538233747873545E-2</v>
      </c>
      <c r="M31" s="133">
        <v>3.7248670447353915E-2</v>
      </c>
      <c r="N31" s="133">
        <v>0.13232464029099722</v>
      </c>
      <c r="O31" s="133">
        <v>0.35424218602023599</v>
      </c>
      <c r="P31" s="133">
        <v>0.35463947159107118</v>
      </c>
      <c r="Q31" s="133">
        <v>0.24392720522505779</v>
      </c>
      <c r="R31" s="133">
        <v>0.20391798598677996</v>
      </c>
      <c r="S31" s="133">
        <v>0.1519250296213033</v>
      </c>
      <c r="T31" s="133">
        <v>0.23291787156909929</v>
      </c>
      <c r="U31" s="133">
        <v>0.5560697222448806</v>
      </c>
      <c r="V31" s="133">
        <v>0.37202991669114427</v>
      </c>
      <c r="W31" s="133">
        <v>0.20310791205126769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252350.47384563959</v>
      </c>
      <c r="D3" s="126">
        <f>IF(SER_hh_fec_in!D3=0,0,11630*1000*SER_hh_fec_in!D3/SER_hh_num_in!D3)</f>
        <v>246050.41733064363</v>
      </c>
      <c r="E3" s="126">
        <f>IF(SER_hh_fec_in!E3=0,0,11630*1000*SER_hh_fec_in!E3/SER_hh_num_in!E3)</f>
        <v>224838.89112941039</v>
      </c>
      <c r="F3" s="126">
        <f>IF(SER_hh_fec_in!F3=0,0,11630*1000*SER_hh_fec_in!F3/SER_hh_num_in!F3)</f>
        <v>206366.64720122976</v>
      </c>
      <c r="G3" s="126">
        <f>IF(SER_hh_fec_in!G3=0,0,11630*1000*SER_hh_fec_in!G3/SER_hh_num_in!G3)</f>
        <v>186420.82899938873</v>
      </c>
      <c r="H3" s="126">
        <f>IF(SER_hh_fec_in!H3=0,0,11630*1000*SER_hh_fec_in!H3/SER_hh_num_in!H3)</f>
        <v>181392.66057821375</v>
      </c>
      <c r="I3" s="126">
        <f>IF(SER_hh_fec_in!I3=0,0,11630*1000*SER_hh_fec_in!I3/SER_hh_num_in!I3)</f>
        <v>178276.40608675653</v>
      </c>
      <c r="J3" s="126">
        <f>IF(SER_hh_fec_in!J3=0,0,11630*1000*SER_hh_fec_in!J3/SER_hh_num_in!J3)</f>
        <v>165652.82828674224</v>
      </c>
      <c r="K3" s="126">
        <f>IF(SER_hh_fec_in!K3=0,0,11630*1000*SER_hh_fec_in!K3/SER_hh_num_in!K3)</f>
        <v>160272.81649705573</v>
      </c>
      <c r="L3" s="126">
        <f>IF(SER_hh_fec_in!L3=0,0,11630*1000*SER_hh_fec_in!L3/SER_hh_num_in!L3)</f>
        <v>173528.67768616386</v>
      </c>
      <c r="M3" s="126">
        <f>IF(SER_hh_fec_in!M3=0,0,11630*1000*SER_hh_fec_in!M3/SER_hh_num_in!M3)</f>
        <v>146619.27348439582</v>
      </c>
      <c r="N3" s="126">
        <f>IF(SER_hh_fec_in!N3=0,0,11630*1000*SER_hh_fec_in!N3/SER_hh_num_in!N3)</f>
        <v>153247.6277762333</v>
      </c>
      <c r="O3" s="126">
        <f>IF(SER_hh_fec_in!O3=0,0,11630*1000*SER_hh_fec_in!O3/SER_hh_num_in!O3)</f>
        <v>137198.7422321031</v>
      </c>
      <c r="P3" s="126">
        <f>IF(SER_hh_fec_in!P3=0,0,11630*1000*SER_hh_fec_in!P3/SER_hh_num_in!P3)</f>
        <v>122467.55656396234</v>
      </c>
      <c r="Q3" s="126">
        <f>IF(SER_hh_fec_in!Q3=0,0,11630*1000*SER_hh_fec_in!Q3/SER_hh_num_in!Q3)</f>
        <v>120518.12377035577</v>
      </c>
      <c r="R3" s="126">
        <f>IF(SER_hh_fec_in!R3=0,0,11630*1000*SER_hh_fec_in!R3/SER_hh_num_in!R3)</f>
        <v>118469.9789109056</v>
      </c>
      <c r="S3" s="126">
        <f>IF(SER_hh_fec_in!S3=0,0,11630*1000*SER_hh_fec_in!S3/SER_hh_num_in!S3)</f>
        <v>104604.75488756124</v>
      </c>
      <c r="T3" s="126">
        <f>IF(SER_hh_fec_in!T3=0,0,11630*1000*SER_hh_fec_in!T3/SER_hh_num_in!T3)</f>
        <v>101360.44343030728</v>
      </c>
      <c r="U3" s="126">
        <f>IF(SER_hh_fec_in!U3=0,0,11630*1000*SER_hh_fec_in!U3/SER_hh_num_in!U3)</f>
        <v>91819.519058875376</v>
      </c>
      <c r="V3" s="126">
        <f>IF(SER_hh_fec_in!V3=0,0,11630*1000*SER_hh_fec_in!V3/SER_hh_num_in!V3)</f>
        <v>78677.13815692997</v>
      </c>
      <c r="W3" s="126">
        <f>IF(SER_hh_fec_in!W3=0,0,11630*1000*SER_hh_fec_in!W3/SER_hh_num_in!W3)</f>
        <v>72868.56459929535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200026.82228510926</v>
      </c>
      <c r="D4" s="131">
        <f>IF(SER_hh_fec_in!D4=0,0,11630*1000*SER_hh_fec_in!D4/SER_hh_num_in!D4)</f>
        <v>195037.82771638455</v>
      </c>
      <c r="E4" s="131">
        <f>IF(SER_hh_fec_in!E4=0,0,11630*1000*SER_hh_fec_in!E4/SER_hh_num_in!E4)</f>
        <v>175634.6429876835</v>
      </c>
      <c r="F4" s="131">
        <f>IF(SER_hh_fec_in!F4=0,0,11630*1000*SER_hh_fec_in!F4/SER_hh_num_in!F4)</f>
        <v>158092.34601766086</v>
      </c>
      <c r="G4" s="131">
        <f>IF(SER_hh_fec_in!G4=0,0,11630*1000*SER_hh_fec_in!G4/SER_hh_num_in!G4)</f>
        <v>138083.05573267135</v>
      </c>
      <c r="H4" s="131">
        <f>IF(SER_hh_fec_in!H4=0,0,11630*1000*SER_hh_fec_in!H4/SER_hh_num_in!H4)</f>
        <v>130763.7524200358</v>
      </c>
      <c r="I4" s="131">
        <f>IF(SER_hh_fec_in!I4=0,0,11630*1000*SER_hh_fec_in!I4/SER_hh_num_in!I4)</f>
        <v>126163.28163261492</v>
      </c>
      <c r="J4" s="131">
        <f>IF(SER_hh_fec_in!J4=0,0,11630*1000*SER_hh_fec_in!J4/SER_hh_num_in!J4)</f>
        <v>117033.37091382594</v>
      </c>
      <c r="K4" s="131">
        <f>IF(SER_hh_fec_in!K4=0,0,11630*1000*SER_hh_fec_in!K4/SER_hh_num_in!K4)</f>
        <v>111662.16872909717</v>
      </c>
      <c r="L4" s="131">
        <f>IF(SER_hh_fec_in!L4=0,0,11630*1000*SER_hh_fec_in!L4/SER_hh_num_in!L4)</f>
        <v>126819.44067544113</v>
      </c>
      <c r="M4" s="131">
        <f>IF(SER_hh_fec_in!M4=0,0,11630*1000*SER_hh_fec_in!M4/SER_hh_num_in!M4)</f>
        <v>101406.18972225137</v>
      </c>
      <c r="N4" s="131">
        <f>IF(SER_hh_fec_in!N4=0,0,11630*1000*SER_hh_fec_in!N4/SER_hh_num_in!N4)</f>
        <v>105128.97328672165</v>
      </c>
      <c r="O4" s="131">
        <f>IF(SER_hh_fec_in!O4=0,0,11630*1000*SER_hh_fec_in!O4/SER_hh_num_in!O4)</f>
        <v>91241.390383177451</v>
      </c>
      <c r="P4" s="131">
        <f>IF(SER_hh_fec_in!P4=0,0,11630*1000*SER_hh_fec_in!P4/SER_hh_num_in!P4)</f>
        <v>79000.007394809989</v>
      </c>
      <c r="Q4" s="131">
        <f>IF(SER_hh_fec_in!Q4=0,0,11630*1000*SER_hh_fec_in!Q4/SER_hh_num_in!Q4)</f>
        <v>77427.106920131482</v>
      </c>
      <c r="R4" s="131">
        <f>IF(SER_hh_fec_in!R4=0,0,11630*1000*SER_hh_fec_in!R4/SER_hh_num_in!R4)</f>
        <v>76339.18133994902</v>
      </c>
      <c r="S4" s="131">
        <f>IF(SER_hh_fec_in!S4=0,0,11630*1000*SER_hh_fec_in!S4/SER_hh_num_in!S4)</f>
        <v>63532.814408476712</v>
      </c>
      <c r="T4" s="131">
        <f>IF(SER_hh_fec_in!T4=0,0,11630*1000*SER_hh_fec_in!T4/SER_hh_num_in!T4)</f>
        <v>60605.498255119986</v>
      </c>
      <c r="U4" s="131">
        <f>IF(SER_hh_fec_in!U4=0,0,11630*1000*SER_hh_fec_in!U4/SER_hh_num_in!U4)</f>
        <v>51729.335644061845</v>
      </c>
      <c r="V4" s="131">
        <f>IF(SER_hh_fec_in!V4=0,0,11630*1000*SER_hh_fec_in!V4/SER_hh_num_in!V4)</f>
        <v>41144.949371992654</v>
      </c>
      <c r="W4" s="131">
        <f>IF(SER_hh_fec_in!W4=0,0,11630*1000*SER_hh_fec_in!W4/SER_hh_num_in!W4)</f>
        <v>36586.718243047384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268533.03514575138</v>
      </c>
      <c r="D7" s="133">
        <f>IF(SER_hh_fec_in!D7=0,0,11630*1000*SER_hh_fec_in!D7/SER_hh_num_in!D7)</f>
        <v>262186.10410463624</v>
      </c>
      <c r="E7" s="133">
        <f>IF(SER_hh_fec_in!E7=0,0,11630*1000*SER_hh_fec_in!E7/SER_hh_num_in!E7)</f>
        <v>285497.95949729136</v>
      </c>
      <c r="F7" s="133">
        <f>IF(SER_hh_fec_in!F7=0,0,11630*1000*SER_hh_fec_in!F7/SER_hh_num_in!F7)</f>
        <v>0</v>
      </c>
      <c r="G7" s="133">
        <f>IF(SER_hh_fec_in!G7=0,0,11630*1000*SER_hh_fec_in!G7/SER_hh_num_in!G7)</f>
        <v>0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156472.45828227454</v>
      </c>
      <c r="L7" s="133">
        <f>IF(SER_hh_fec_in!L7=0,0,11630*1000*SER_hh_fec_in!L7/SER_hh_num_in!L7)</f>
        <v>159399.75634636972</v>
      </c>
      <c r="M7" s="133">
        <f>IF(SER_hh_fec_in!M7=0,0,11630*1000*SER_hh_fec_in!M7/SER_hh_num_in!M7)</f>
        <v>140256.93283311743</v>
      </c>
      <c r="N7" s="133">
        <f>IF(SER_hh_fec_in!N7=0,0,11630*1000*SER_hh_fec_in!N7/SER_hh_num_in!N7)</f>
        <v>133309.31676517799</v>
      </c>
      <c r="O7" s="133">
        <f>IF(SER_hh_fec_in!O7=0,0,11630*1000*SER_hh_fec_in!O7/SER_hh_num_in!O7)</f>
        <v>115064.35808503978</v>
      </c>
      <c r="P7" s="133">
        <f>IF(SER_hh_fec_in!P7=0,0,11630*1000*SER_hh_fec_in!P7/SER_hh_num_in!P7)</f>
        <v>0</v>
      </c>
      <c r="Q7" s="133">
        <f>IF(SER_hh_fec_in!Q7=0,0,11630*1000*SER_hh_fec_in!Q7/SER_hh_num_in!Q7)</f>
        <v>94270.130929470906</v>
      </c>
      <c r="R7" s="133">
        <f>IF(SER_hh_fec_in!R7=0,0,11630*1000*SER_hh_fec_in!R7/SER_hh_num_in!R7)</f>
        <v>86985.476720633815</v>
      </c>
      <c r="S7" s="133">
        <f>IF(SER_hh_fec_in!S7=0,0,11630*1000*SER_hh_fec_in!S7/SER_hh_num_in!S7)</f>
        <v>81310.645061861316</v>
      </c>
      <c r="T7" s="133">
        <f>IF(SER_hh_fec_in!T7=0,0,11630*1000*SER_hh_fec_in!T7/SER_hh_num_in!T7)</f>
        <v>74661.053848940064</v>
      </c>
      <c r="U7" s="133">
        <f>IF(SER_hh_fec_in!U7=0,0,11630*1000*SER_hh_fec_in!U7/SER_hh_num_in!U7)</f>
        <v>64528.105838417978</v>
      </c>
      <c r="V7" s="133">
        <f>IF(SER_hh_fec_in!V7=0,0,11630*1000*SER_hh_fec_in!V7/SER_hh_num_in!V7)</f>
        <v>57031.197501301707</v>
      </c>
      <c r="W7" s="133">
        <f>IF(SER_hh_fec_in!W7=0,0,11630*1000*SER_hh_fec_in!W7/SER_hh_num_in!W7)</f>
        <v>0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170767.35070570707</v>
      </c>
      <c r="D9" s="133">
        <f>IF(SER_hh_fec_in!D9=0,0,11630*1000*SER_hh_fec_in!D9/SER_hh_num_in!D9)</f>
        <v>234950.308934548</v>
      </c>
      <c r="E9" s="133">
        <f>IF(SER_hh_fec_in!E9=0,0,11630*1000*SER_hh_fec_in!E9/SER_hh_num_in!E9)</f>
        <v>242640.60654069632</v>
      </c>
      <c r="F9" s="133">
        <f>IF(SER_hh_fec_in!F9=0,0,11630*1000*SER_hh_fec_in!F9/SER_hh_num_in!F9)</f>
        <v>198173.80744115115</v>
      </c>
      <c r="G9" s="133">
        <f>IF(SER_hh_fec_in!G9=0,0,11630*1000*SER_hh_fec_in!G9/SER_hh_num_in!G9)</f>
        <v>180663.53990336481</v>
      </c>
      <c r="H9" s="133">
        <f>IF(SER_hh_fec_in!H9=0,0,11630*1000*SER_hh_fec_in!H9/SER_hh_num_in!H9)</f>
        <v>167133.59125400102</v>
      </c>
      <c r="I9" s="133">
        <f>IF(SER_hh_fec_in!I9=0,0,11630*1000*SER_hh_fec_in!I9/SER_hh_num_in!I9)</f>
        <v>167764.90890613315</v>
      </c>
      <c r="J9" s="133">
        <f>IF(SER_hh_fec_in!J9=0,0,11630*1000*SER_hh_fec_in!J9/SER_hh_num_in!J9)</f>
        <v>172141.00782594903</v>
      </c>
      <c r="K9" s="133">
        <f>IF(SER_hh_fec_in!K9=0,0,11630*1000*SER_hh_fec_in!K9/SER_hh_num_in!K9)</f>
        <v>77769.72694510709</v>
      </c>
      <c r="L9" s="133">
        <f>IF(SER_hh_fec_in!L9=0,0,11630*1000*SER_hh_fec_in!L9/SER_hh_num_in!L9)</f>
        <v>157487.41355424421</v>
      </c>
      <c r="M9" s="133">
        <f>IF(SER_hh_fec_in!M9=0,0,11630*1000*SER_hh_fec_in!M9/SER_hh_num_in!M9)</f>
        <v>117074.26689585601</v>
      </c>
      <c r="N9" s="133">
        <f>IF(SER_hh_fec_in!N9=0,0,11630*1000*SER_hh_fec_in!N9/SER_hh_num_in!N9)</f>
        <v>133699.53779615316</v>
      </c>
      <c r="O9" s="133">
        <f>IF(SER_hh_fec_in!O9=0,0,11630*1000*SER_hh_fec_in!O9/SER_hh_num_in!O9)</f>
        <v>108635.60405503989</v>
      </c>
      <c r="P9" s="133">
        <f>IF(SER_hh_fec_in!P9=0,0,11630*1000*SER_hh_fec_in!P9/SER_hh_num_in!P9)</f>
        <v>98098.979887003225</v>
      </c>
      <c r="Q9" s="133">
        <f>IF(SER_hh_fec_in!Q9=0,0,11630*1000*SER_hh_fec_in!Q9/SER_hh_num_in!Q9)</f>
        <v>0</v>
      </c>
      <c r="R9" s="133">
        <f>IF(SER_hh_fec_in!R9=0,0,11630*1000*SER_hh_fec_in!R9/SER_hh_num_in!R9)</f>
        <v>0</v>
      </c>
      <c r="S9" s="133">
        <f>IF(SER_hh_fec_in!S9=0,0,11630*1000*SER_hh_fec_in!S9/SER_hh_num_in!S9)</f>
        <v>50890.916812582305</v>
      </c>
      <c r="T9" s="133">
        <f>IF(SER_hh_fec_in!T9=0,0,11630*1000*SER_hh_fec_in!T9/SER_hh_num_in!T9)</f>
        <v>68995.588410486816</v>
      </c>
      <c r="U9" s="133">
        <f>IF(SER_hh_fec_in!U9=0,0,11630*1000*SER_hh_fec_in!U9/SER_hh_num_in!U9)</f>
        <v>74591.327127108045</v>
      </c>
      <c r="V9" s="133">
        <f>IF(SER_hh_fec_in!V9=0,0,11630*1000*SER_hh_fec_in!V9/SER_hh_num_in!V9)</f>
        <v>59722.618969853662</v>
      </c>
      <c r="W9" s="133">
        <f>IF(SER_hh_fec_in!W9=0,0,11630*1000*SER_hh_fec_in!W9/SER_hh_num_in!W9)</f>
        <v>43491.706473588041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331607.38497555838</v>
      </c>
      <c r="D10" s="133">
        <f>IF(SER_hh_fec_in!D10=0,0,11630*1000*SER_hh_fec_in!D10/SER_hh_num_in!D10)</f>
        <v>223367.79659757068</v>
      </c>
      <c r="E10" s="133">
        <f>IF(SER_hh_fec_in!E10=0,0,11630*1000*SER_hh_fec_in!E10/SER_hh_num_in!E10)</f>
        <v>159407.76489832412</v>
      </c>
      <c r="F10" s="133">
        <f>IF(SER_hh_fec_in!F10=0,0,11630*1000*SER_hh_fec_in!F10/SER_hh_num_in!F10)</f>
        <v>263249.51391798572</v>
      </c>
      <c r="G10" s="133">
        <f>IF(SER_hh_fec_in!G10=0,0,11630*1000*SER_hh_fec_in!G10/SER_hh_num_in!G10)</f>
        <v>252733.950014973</v>
      </c>
      <c r="H10" s="133">
        <f>IF(SER_hh_fec_in!H10=0,0,11630*1000*SER_hh_fec_in!H10/SER_hh_num_in!H10)</f>
        <v>174387.54092932297</v>
      </c>
      <c r="I10" s="133">
        <f>IF(SER_hh_fec_in!I10=0,0,11630*1000*SER_hh_fec_in!I10/SER_hh_num_in!I10)</f>
        <v>180599.04717540741</v>
      </c>
      <c r="J10" s="133">
        <f>IF(SER_hh_fec_in!J10=0,0,11630*1000*SER_hh_fec_in!J10/SER_hh_num_in!J10)</f>
        <v>183033.33792925888</v>
      </c>
      <c r="K10" s="133">
        <f>IF(SER_hh_fec_in!K10=0,0,11630*1000*SER_hh_fec_in!K10/SER_hh_num_in!K10)</f>
        <v>174547.18310181692</v>
      </c>
      <c r="L10" s="133">
        <f>IF(SER_hh_fec_in!L10=0,0,11630*1000*SER_hh_fec_in!L10/SER_hh_num_in!L10)</f>
        <v>168104.02380263846</v>
      </c>
      <c r="M10" s="133">
        <f>IF(SER_hh_fec_in!M10=0,0,11630*1000*SER_hh_fec_in!M10/SER_hh_num_in!M10)</f>
        <v>146009.17518157538</v>
      </c>
      <c r="N10" s="133">
        <f>IF(SER_hh_fec_in!N10=0,0,11630*1000*SER_hh_fec_in!N10/SER_hh_num_in!N10)</f>
        <v>179605.20668708085</v>
      </c>
      <c r="O10" s="133">
        <f>IF(SER_hh_fec_in!O10=0,0,11630*1000*SER_hh_fec_in!O10/SER_hh_num_in!O10)</f>
        <v>97943.256886544084</v>
      </c>
      <c r="P10" s="133">
        <f>IF(SER_hh_fec_in!P10=0,0,11630*1000*SER_hh_fec_in!P10/SER_hh_num_in!P10)</f>
        <v>128350.28218625741</v>
      </c>
      <c r="Q10" s="133">
        <f>IF(SER_hh_fec_in!Q10=0,0,11630*1000*SER_hh_fec_in!Q10/SER_hh_num_in!Q10)</f>
        <v>114359.77835049274</v>
      </c>
      <c r="R10" s="133">
        <f>IF(SER_hh_fec_in!R10=0,0,11630*1000*SER_hh_fec_in!R10/SER_hh_num_in!R10)</f>
        <v>172159.47678361347</v>
      </c>
      <c r="S10" s="133">
        <f>IF(SER_hh_fec_in!S10=0,0,11630*1000*SER_hh_fec_in!S10/SER_hh_num_in!S10)</f>
        <v>158801.20681823359</v>
      </c>
      <c r="T10" s="133">
        <f>IF(SER_hh_fec_in!T10=0,0,11630*1000*SER_hh_fec_in!T10/SER_hh_num_in!T10)</f>
        <v>148613.16031034107</v>
      </c>
      <c r="U10" s="133">
        <f>IF(SER_hh_fec_in!U10=0,0,11630*1000*SER_hh_fec_in!U10/SER_hh_num_in!U10)</f>
        <v>80737.219944654382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64143.508126234919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179572.84311093393</v>
      </c>
      <c r="D12" s="133">
        <f>IF(SER_hh_fec_in!D12=0,0,11630*1000*SER_hh_fec_in!D12/SER_hh_num_in!D12)</f>
        <v>173807.79076814058</v>
      </c>
      <c r="E12" s="133">
        <f>IF(SER_hh_fec_in!E12=0,0,11630*1000*SER_hh_fec_in!E12/SER_hh_num_in!E12)</f>
        <v>167340.88938312585</v>
      </c>
      <c r="F12" s="133">
        <f>IF(SER_hh_fec_in!F12=0,0,11630*1000*SER_hh_fec_in!F12/SER_hh_num_in!F12)</f>
        <v>150326.70746267782</v>
      </c>
      <c r="G12" s="133">
        <f>IF(SER_hh_fec_in!G12=0,0,11630*1000*SER_hh_fec_in!G12/SER_hh_num_in!G12)</f>
        <v>141963.95615100674</v>
      </c>
      <c r="H12" s="133">
        <f>IF(SER_hh_fec_in!H12=0,0,11630*1000*SER_hh_fec_in!H12/SER_hh_num_in!H12)</f>
        <v>133524.38822487075</v>
      </c>
      <c r="I12" s="133">
        <f>IF(SER_hh_fec_in!I12=0,0,11630*1000*SER_hh_fec_in!I12/SER_hh_num_in!I12)</f>
        <v>122370.43266296877</v>
      </c>
      <c r="J12" s="133">
        <f>IF(SER_hh_fec_in!J12=0,0,11630*1000*SER_hh_fec_in!J12/SER_hh_num_in!J12)</f>
        <v>119223.4252795872</v>
      </c>
      <c r="K12" s="133">
        <f>IF(SER_hh_fec_in!K12=0,0,11630*1000*SER_hh_fec_in!K12/SER_hh_num_in!K12)</f>
        <v>116941.67092905556</v>
      </c>
      <c r="L12" s="133">
        <f>IF(SER_hh_fec_in!L12=0,0,11630*1000*SER_hh_fec_in!L12/SER_hh_num_in!L12)</f>
        <v>123759.85691627348</v>
      </c>
      <c r="M12" s="133">
        <f>IF(SER_hh_fec_in!M12=0,0,11630*1000*SER_hh_fec_in!M12/SER_hh_num_in!M12)</f>
        <v>97376.557598555664</v>
      </c>
      <c r="N12" s="133">
        <f>IF(SER_hh_fec_in!N12=0,0,11630*1000*SER_hh_fec_in!N12/SER_hh_num_in!N12)</f>
        <v>101830.2533605419</v>
      </c>
      <c r="O12" s="133">
        <f>IF(SER_hh_fec_in!O12=0,0,11630*1000*SER_hh_fec_in!O12/SER_hh_num_in!O12)</f>
        <v>96170.65735106972</v>
      </c>
      <c r="P12" s="133">
        <f>IF(SER_hh_fec_in!P12=0,0,11630*1000*SER_hh_fec_in!P12/SER_hh_num_in!P12)</f>
        <v>86828.939194273305</v>
      </c>
      <c r="Q12" s="133">
        <f>IF(SER_hh_fec_in!Q12=0,0,11630*1000*SER_hh_fec_in!Q12/SER_hh_num_in!Q12)</f>
        <v>79935.779668936477</v>
      </c>
      <c r="R12" s="133">
        <f>IF(SER_hh_fec_in!R12=0,0,11630*1000*SER_hh_fec_in!R12/SER_hh_num_in!R12)</f>
        <v>80488.354794934698</v>
      </c>
      <c r="S12" s="133">
        <f>IF(SER_hh_fec_in!S12=0,0,11630*1000*SER_hh_fec_in!S12/SER_hh_num_in!S12)</f>
        <v>69664.667369205563</v>
      </c>
      <c r="T12" s="133">
        <f>IF(SER_hh_fec_in!T12=0,0,11630*1000*SER_hh_fec_in!T12/SER_hh_num_in!T12)</f>
        <v>66406.440622967217</v>
      </c>
      <c r="U12" s="133">
        <f>IF(SER_hh_fec_in!U12=0,0,11630*1000*SER_hh_fec_in!U12/SER_hh_num_in!U12)</f>
        <v>58571.340227454806</v>
      </c>
      <c r="V12" s="133">
        <f>IF(SER_hh_fec_in!V12=0,0,11630*1000*SER_hh_fec_in!V12/SER_hh_num_in!V12)</f>
        <v>46171.413381921026</v>
      </c>
      <c r="W12" s="133">
        <f>IF(SER_hh_fec_in!W12=0,0,11630*1000*SER_hh_fec_in!W12/SER_hh_num_in!W12)</f>
        <v>41981.071685826944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102232.73599205332</v>
      </c>
      <c r="D13" s="133">
        <f>IF(SER_hh_fec_in!D13=0,0,11630*1000*SER_hh_fec_in!D13/SER_hh_num_in!D13)</f>
        <v>89250.892171904416</v>
      </c>
      <c r="E13" s="133">
        <f>IF(SER_hh_fec_in!E13=0,0,11630*1000*SER_hh_fec_in!E13/SER_hh_num_in!E13)</f>
        <v>73035.922923767313</v>
      </c>
      <c r="F13" s="133">
        <f>IF(SER_hh_fec_in!F13=0,0,11630*1000*SER_hh_fec_in!F13/SER_hh_num_in!F13)</f>
        <v>68925.837953976254</v>
      </c>
      <c r="G13" s="133">
        <f>IF(SER_hh_fec_in!G13=0,0,11630*1000*SER_hh_fec_in!G13/SER_hh_num_in!G13)</f>
        <v>53327.432512093095</v>
      </c>
      <c r="H13" s="133">
        <f>IF(SER_hh_fec_in!H13=0,0,11630*1000*SER_hh_fec_in!H13/SER_hh_num_in!H13)</f>
        <v>52929.998667497886</v>
      </c>
      <c r="I13" s="133">
        <f>IF(SER_hh_fec_in!I13=0,0,11630*1000*SER_hh_fec_in!I13/SER_hh_num_in!I13)</f>
        <v>51309.422252058044</v>
      </c>
      <c r="J13" s="133">
        <f>IF(SER_hh_fec_in!J13=0,0,11630*1000*SER_hh_fec_in!J13/SER_hh_num_in!J13)</f>
        <v>44700.823582384233</v>
      </c>
      <c r="K13" s="133">
        <f>IF(SER_hh_fec_in!K13=0,0,11630*1000*SER_hh_fec_in!K13/SER_hh_num_in!K13)</f>
        <v>39487.958420563074</v>
      </c>
      <c r="L13" s="133">
        <f>IF(SER_hh_fec_in!L13=0,0,11630*1000*SER_hh_fec_in!L13/SER_hh_num_in!L13)</f>
        <v>35728.380050892025</v>
      </c>
      <c r="M13" s="133">
        <f>IF(SER_hh_fec_in!M13=0,0,11630*1000*SER_hh_fec_in!M13/SER_hh_num_in!M13)</f>
        <v>31622.234597102088</v>
      </c>
      <c r="N13" s="133">
        <f>IF(SER_hh_fec_in!N13=0,0,11630*1000*SER_hh_fec_in!N13/SER_hh_num_in!N13)</f>
        <v>28747.204916116749</v>
      </c>
      <c r="O13" s="133">
        <f>IF(SER_hh_fec_in!O13=0,0,11630*1000*SER_hh_fec_in!O13/SER_hh_num_in!O13)</f>
        <v>25700.022863492442</v>
      </c>
      <c r="P13" s="133">
        <f>IF(SER_hh_fec_in!P13=0,0,11630*1000*SER_hh_fec_in!P13/SER_hh_num_in!P13)</f>
        <v>22401.510260932679</v>
      </c>
      <c r="Q13" s="133">
        <f>IF(SER_hh_fec_in!Q13=0,0,11630*1000*SER_hh_fec_in!Q13/SER_hh_num_in!Q13)</f>
        <v>19678.052942855356</v>
      </c>
      <c r="R13" s="133">
        <f>IF(SER_hh_fec_in!R13=0,0,11630*1000*SER_hh_fec_in!R13/SER_hh_num_in!R13)</f>
        <v>20179.7816720111</v>
      </c>
      <c r="S13" s="133">
        <f>IF(SER_hh_fec_in!S13=0,0,11630*1000*SER_hh_fec_in!S13/SER_hh_num_in!S13)</f>
        <v>17530.982030398551</v>
      </c>
      <c r="T13" s="133">
        <f>IF(SER_hh_fec_in!T13=0,0,11630*1000*SER_hh_fec_in!T13/SER_hh_num_in!T13)</f>
        <v>16039.182357061391</v>
      </c>
      <c r="U13" s="133">
        <f>IF(SER_hh_fec_in!U13=0,0,11630*1000*SER_hh_fec_in!U13/SER_hh_num_in!U13)</f>
        <v>13854.452337440389</v>
      </c>
      <c r="V13" s="133">
        <f>IF(SER_hh_fec_in!V13=0,0,11630*1000*SER_hh_fec_in!V13/SER_hh_num_in!V13)</f>
        <v>12519.944603694306</v>
      </c>
      <c r="W13" s="133">
        <f>IF(SER_hh_fec_in!W13=0,0,11630*1000*SER_hh_fec_in!W13/SER_hh_num_in!W13)</f>
        <v>9404.0028490365567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205753.77598333615</v>
      </c>
      <c r="D14" s="65">
        <f>IF(SER_hh_fec_in!D14=0,0,11630*1000*SER_hh_fec_in!D14/SER_hh_num_in!D14)</f>
        <v>197196.87242386222</v>
      </c>
      <c r="E14" s="65">
        <f>IF(SER_hh_fec_in!E14=0,0,11630*1000*SER_hh_fec_in!E14/SER_hh_num_in!E14)</f>
        <v>178556.15817319319</v>
      </c>
      <c r="F14" s="65">
        <f>IF(SER_hh_fec_in!F14=0,0,11630*1000*SER_hh_fec_in!F14/SER_hh_num_in!F14)</f>
        <v>171917.84737615197</v>
      </c>
      <c r="G14" s="65">
        <f>IF(SER_hh_fec_in!G14=0,0,11630*1000*SER_hh_fec_in!G14/SER_hh_num_in!G14)</f>
        <v>137826.41965399665</v>
      </c>
      <c r="H14" s="65">
        <f>IF(SER_hh_fec_in!H14=0,0,11630*1000*SER_hh_fec_in!H14/SER_hh_num_in!H14)</f>
        <v>142366.01401702574</v>
      </c>
      <c r="I14" s="65">
        <f>IF(SER_hh_fec_in!I14=0,0,11630*1000*SER_hh_fec_in!I14/SER_hh_num_in!I14)</f>
        <v>149514.78053786454</v>
      </c>
      <c r="J14" s="65">
        <f>IF(SER_hh_fec_in!J14=0,0,11630*1000*SER_hh_fec_in!J14/SER_hh_num_in!J14)</f>
        <v>139520.81558411356</v>
      </c>
      <c r="K14" s="65">
        <f>IF(SER_hh_fec_in!K14=0,0,11630*1000*SER_hh_fec_in!K14/SER_hh_num_in!K14)</f>
        <v>0</v>
      </c>
      <c r="L14" s="65">
        <f>IF(SER_hh_fec_in!L14=0,0,11630*1000*SER_hh_fec_in!L14/SER_hh_num_in!L14)</f>
        <v>131023.80269016368</v>
      </c>
      <c r="M14" s="65">
        <f>IF(SER_hh_fec_in!M14=0,0,11630*1000*SER_hh_fec_in!M14/SER_hh_num_in!M14)</f>
        <v>97598.385064558097</v>
      </c>
      <c r="N14" s="65">
        <f>IF(SER_hh_fec_in!N14=0,0,11630*1000*SER_hh_fec_in!N14/SER_hh_num_in!N14)</f>
        <v>105689.55756612</v>
      </c>
      <c r="O14" s="65">
        <f>IF(SER_hh_fec_in!O14=0,0,11630*1000*SER_hh_fec_in!O14/SER_hh_num_in!O14)</f>
        <v>91705.925071176709</v>
      </c>
      <c r="P14" s="65">
        <f>IF(SER_hh_fec_in!P14=0,0,11630*1000*SER_hh_fec_in!P14/SER_hh_num_in!P14)</f>
        <v>88014.840081589937</v>
      </c>
      <c r="Q14" s="65">
        <f>IF(SER_hh_fec_in!Q14=0,0,11630*1000*SER_hh_fec_in!Q14/SER_hh_num_in!Q14)</f>
        <v>89490.340732126395</v>
      </c>
      <c r="R14" s="65">
        <f>IF(SER_hh_fec_in!R14=0,0,11630*1000*SER_hh_fec_in!R14/SER_hh_num_in!R14)</f>
        <v>89164.817574525077</v>
      </c>
      <c r="S14" s="65">
        <f>IF(SER_hh_fec_in!S14=0,0,11630*1000*SER_hh_fec_in!S14/SER_hh_num_in!S14)</f>
        <v>67678.659091237205</v>
      </c>
      <c r="T14" s="65">
        <f>IF(SER_hh_fec_in!T14=0,0,11630*1000*SER_hh_fec_in!T14/SER_hh_num_in!T14)</f>
        <v>66256.064820254614</v>
      </c>
      <c r="U14" s="65">
        <f>IF(SER_hh_fec_in!U14=0,0,11630*1000*SER_hh_fec_in!U14/SER_hh_num_in!U14)</f>
        <v>53553.406591247236</v>
      </c>
      <c r="V14" s="65">
        <f>IF(SER_hh_fec_in!V14=0,0,11630*1000*SER_hh_fec_in!V14/SER_hh_num_in!V14)</f>
        <v>47433.326767424282</v>
      </c>
      <c r="W14" s="65">
        <f>IF(SER_hh_fec_in!W14=0,0,11630*1000*SER_hh_fec_in!W14/SER_hh_num_in!W14)</f>
        <v>39873.980936296866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1109.9502419063679</v>
      </c>
      <c r="D15" s="135">
        <f>IF(SER_hh_fec_in!D15=0,0,11630*1000*SER_hh_fec_in!D15/SER_hh_num_in!D15)</f>
        <v>1265.712933624819</v>
      </c>
      <c r="E15" s="135">
        <f>IF(SER_hh_fec_in!E15=0,0,11630*1000*SER_hh_fec_in!E15/SER_hh_num_in!E15)</f>
        <v>954.83924380967551</v>
      </c>
      <c r="F15" s="135">
        <f>IF(SER_hh_fec_in!F15=0,0,11630*1000*SER_hh_fec_in!F15/SER_hh_num_in!F15)</f>
        <v>712.26608287957947</v>
      </c>
      <c r="G15" s="135">
        <f>IF(SER_hh_fec_in!G15=0,0,11630*1000*SER_hh_fec_in!G15/SER_hh_num_in!G15)</f>
        <v>621.84231880629841</v>
      </c>
      <c r="H15" s="135">
        <f>IF(SER_hh_fec_in!H15=0,0,11630*1000*SER_hh_fec_in!H15/SER_hh_num_in!H15)</f>
        <v>552.73229780844542</v>
      </c>
      <c r="I15" s="135">
        <f>IF(SER_hh_fec_in!I15=0,0,11630*1000*SER_hh_fec_in!I15/SER_hh_num_in!I15)</f>
        <v>447.9356116464109</v>
      </c>
      <c r="J15" s="135">
        <f>IF(SER_hh_fec_in!J15=0,0,11630*1000*SER_hh_fec_in!J15/SER_hh_num_in!J15)</f>
        <v>432.64248231836473</v>
      </c>
      <c r="K15" s="135">
        <f>IF(SER_hh_fec_in!K15=0,0,11630*1000*SER_hh_fec_in!K15/SER_hh_num_in!K15)</f>
        <v>509.11621380510206</v>
      </c>
      <c r="L15" s="135">
        <f>IF(SER_hh_fec_in!L15=0,0,11630*1000*SER_hh_fec_in!L15/SER_hh_num_in!L15)</f>
        <v>726.35750610281707</v>
      </c>
      <c r="M15" s="135">
        <f>IF(SER_hh_fec_in!M15=0,0,11630*1000*SER_hh_fec_in!M15/SER_hh_num_in!M15)</f>
        <v>677.42364617546809</v>
      </c>
      <c r="N15" s="135">
        <f>IF(SER_hh_fec_in!N15=0,0,11630*1000*SER_hh_fec_in!N15/SER_hh_num_in!N15)</f>
        <v>687.84851799745388</v>
      </c>
      <c r="O15" s="135">
        <f>IF(SER_hh_fec_in!O15=0,0,11630*1000*SER_hh_fec_in!O15/SER_hh_num_in!O15)</f>
        <v>536.00242182987847</v>
      </c>
      <c r="P15" s="135">
        <f>IF(SER_hh_fec_in!P15=0,0,11630*1000*SER_hh_fec_in!P15/SER_hh_num_in!P15)</f>
        <v>351.15130627780252</v>
      </c>
      <c r="Q15" s="135">
        <f>IF(SER_hh_fec_in!Q15=0,0,11630*1000*SER_hh_fec_in!Q15/SER_hh_num_in!Q15)</f>
        <v>316.67701209145361</v>
      </c>
      <c r="R15" s="135">
        <f>IF(SER_hh_fec_in!R15=0,0,11630*1000*SER_hh_fec_in!R15/SER_hh_num_in!R15)</f>
        <v>357.00972969097029</v>
      </c>
      <c r="S15" s="135">
        <f>IF(SER_hh_fec_in!S15=0,0,11630*1000*SER_hh_fec_in!S15/SER_hh_num_in!S15)</f>
        <v>367.40273666859167</v>
      </c>
      <c r="T15" s="135">
        <f>IF(SER_hh_fec_in!T15=0,0,11630*1000*SER_hh_fec_in!T15/SER_hh_num_in!T15)</f>
        <v>353.97535048400835</v>
      </c>
      <c r="U15" s="135">
        <f>IF(SER_hh_fec_in!U15=0,0,11630*1000*SER_hh_fec_in!U15/SER_hh_num_in!U15)</f>
        <v>321.99996058358181</v>
      </c>
      <c r="V15" s="135">
        <f>IF(SER_hh_fec_in!V15=0,0,11630*1000*SER_hh_fec_in!V15/SER_hh_num_in!V15)</f>
        <v>257.3350816114891</v>
      </c>
      <c r="W15" s="135">
        <f>IF(SER_hh_fec_in!W15=0,0,11630*1000*SER_hh_fec_in!W15/SER_hh_num_in!W15)</f>
        <v>166.11210911481172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9003.5370501083798</v>
      </c>
      <c r="D16" s="131">
        <f>IF(SER_hh_fec_in!D16=0,0,11630*1000*SER_hh_fec_in!D16/SER_hh_num_in!D16)</f>
        <v>8632.1613476200291</v>
      </c>
      <c r="E16" s="131">
        <f>IF(SER_hh_fec_in!E16=0,0,11630*1000*SER_hh_fec_in!E16/SER_hh_num_in!E16)</f>
        <v>8282.516295194695</v>
      </c>
      <c r="F16" s="131">
        <f>IF(SER_hh_fec_in!F16=0,0,11630*1000*SER_hh_fec_in!F16/SER_hh_num_in!F16)</f>
        <v>7953.1452462336392</v>
      </c>
      <c r="G16" s="131">
        <f>IF(SER_hh_fec_in!G16=0,0,11630*1000*SER_hh_fec_in!G16/SER_hh_num_in!G16)</f>
        <v>7637.4228740376611</v>
      </c>
      <c r="H16" s="131">
        <f>IF(SER_hh_fec_in!H16=0,0,11630*1000*SER_hh_fec_in!H16/SER_hh_num_in!H16)</f>
        <v>7338.1176487881048</v>
      </c>
      <c r="I16" s="131">
        <f>IF(SER_hh_fec_in!I16=0,0,11630*1000*SER_hh_fec_in!I16/SER_hh_num_in!I16)</f>
        <v>7047.042061159309</v>
      </c>
      <c r="J16" s="131">
        <f>IF(SER_hh_fec_in!J16=0,0,11630*1000*SER_hh_fec_in!J16/SER_hh_num_in!J16)</f>
        <v>6810.6421693875391</v>
      </c>
      <c r="K16" s="131">
        <f>IF(SER_hh_fec_in!K16=0,0,11630*1000*SER_hh_fec_in!K16/SER_hh_num_in!K16)</f>
        <v>6512.741149915666</v>
      </c>
      <c r="L16" s="131">
        <f>IF(SER_hh_fec_in!L16=0,0,11630*1000*SER_hh_fec_in!L16/SER_hh_num_in!L16)</f>
        <v>6320.3264740054792</v>
      </c>
      <c r="M16" s="131">
        <f>IF(SER_hh_fec_in!M16=0,0,11630*1000*SER_hh_fec_in!M16/SER_hh_num_in!M16)</f>
        <v>5904.0149101177431</v>
      </c>
      <c r="N16" s="131">
        <f>IF(SER_hh_fec_in!N16=0,0,11630*1000*SER_hh_fec_in!N16/SER_hh_num_in!N16)</f>
        <v>5553.5487225793477</v>
      </c>
      <c r="O16" s="131">
        <f>IF(SER_hh_fec_in!O16=0,0,11630*1000*SER_hh_fec_in!O16/SER_hh_num_in!O16)</f>
        <v>5202.4278979747023</v>
      </c>
      <c r="P16" s="131">
        <f>IF(SER_hh_fec_in!P16=0,0,11630*1000*SER_hh_fec_in!P16/SER_hh_num_in!P16)</f>
        <v>4908.9383805556045</v>
      </c>
      <c r="Q16" s="131">
        <f>IF(SER_hh_fec_in!Q16=0,0,11630*1000*SER_hh_fec_in!Q16/SER_hh_num_in!Q16)</f>
        <v>4547.7356130398866</v>
      </c>
      <c r="R16" s="131">
        <f>IF(SER_hh_fec_in!R16=0,0,11630*1000*SER_hh_fec_in!R16/SER_hh_num_in!R16)</f>
        <v>4336.2207959579091</v>
      </c>
      <c r="S16" s="131">
        <f>IF(SER_hh_fec_in!S16=0,0,11630*1000*SER_hh_fec_in!S16/SER_hh_num_in!S16)</f>
        <v>4135.4511432771069</v>
      </c>
      <c r="T16" s="131">
        <f>IF(SER_hh_fec_in!T16=0,0,11630*1000*SER_hh_fec_in!T16/SER_hh_num_in!T16)</f>
        <v>3974.1206365621938</v>
      </c>
      <c r="U16" s="131">
        <f>IF(SER_hh_fec_in!U16=0,0,11630*1000*SER_hh_fec_in!U16/SER_hh_num_in!U16)</f>
        <v>3727.8194633724488</v>
      </c>
      <c r="V16" s="131">
        <f>IF(SER_hh_fec_in!V16=0,0,11630*1000*SER_hh_fec_in!V16/SER_hh_num_in!V16)</f>
        <v>3469.1136405800257</v>
      </c>
      <c r="W16" s="131">
        <f>IF(SER_hh_fec_in!W16=0,0,11630*1000*SER_hh_fec_in!W16/SER_hh_num_in!W16)</f>
        <v>3002.1446983274736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9003.5370501083798</v>
      </c>
      <c r="D18" s="133">
        <f>IF(SER_hh_fec_in!D18=0,0,11630*1000*SER_hh_fec_in!D18/SER_hh_num_in!D18)</f>
        <v>8632.1613476200291</v>
      </c>
      <c r="E18" s="133">
        <f>IF(SER_hh_fec_in!E18=0,0,11630*1000*SER_hh_fec_in!E18/SER_hh_num_in!E18)</f>
        <v>8282.516295194695</v>
      </c>
      <c r="F18" s="133">
        <f>IF(SER_hh_fec_in!F18=0,0,11630*1000*SER_hh_fec_in!F18/SER_hh_num_in!F18)</f>
        <v>7953.1452462336392</v>
      </c>
      <c r="G18" s="133">
        <f>IF(SER_hh_fec_in!G18=0,0,11630*1000*SER_hh_fec_in!G18/SER_hh_num_in!G18)</f>
        <v>7637.4228740376611</v>
      </c>
      <c r="H18" s="133">
        <f>IF(SER_hh_fec_in!H18=0,0,11630*1000*SER_hh_fec_in!H18/SER_hh_num_in!H18)</f>
        <v>7338.1176487881048</v>
      </c>
      <c r="I18" s="133">
        <f>IF(SER_hh_fec_in!I18=0,0,11630*1000*SER_hh_fec_in!I18/SER_hh_num_in!I18)</f>
        <v>7047.042061159309</v>
      </c>
      <c r="J18" s="133">
        <f>IF(SER_hh_fec_in!J18=0,0,11630*1000*SER_hh_fec_in!J18/SER_hh_num_in!J18)</f>
        <v>6810.6421693875391</v>
      </c>
      <c r="K18" s="133">
        <f>IF(SER_hh_fec_in!K18=0,0,11630*1000*SER_hh_fec_in!K18/SER_hh_num_in!K18)</f>
        <v>6512.741149915666</v>
      </c>
      <c r="L18" s="133">
        <f>IF(SER_hh_fec_in!L18=0,0,11630*1000*SER_hh_fec_in!L18/SER_hh_num_in!L18)</f>
        <v>6320.3264740054792</v>
      </c>
      <c r="M18" s="133">
        <f>IF(SER_hh_fec_in!M18=0,0,11630*1000*SER_hh_fec_in!M18/SER_hh_num_in!M18)</f>
        <v>5904.0149101177431</v>
      </c>
      <c r="N18" s="133">
        <f>IF(SER_hh_fec_in!N18=0,0,11630*1000*SER_hh_fec_in!N18/SER_hh_num_in!N18)</f>
        <v>5553.5487225793477</v>
      </c>
      <c r="O18" s="133">
        <f>IF(SER_hh_fec_in!O18=0,0,11630*1000*SER_hh_fec_in!O18/SER_hh_num_in!O18)</f>
        <v>5202.4278979747023</v>
      </c>
      <c r="P18" s="133">
        <f>IF(SER_hh_fec_in!P18=0,0,11630*1000*SER_hh_fec_in!P18/SER_hh_num_in!P18)</f>
        <v>4908.9383805556045</v>
      </c>
      <c r="Q18" s="133">
        <f>IF(SER_hh_fec_in!Q18=0,0,11630*1000*SER_hh_fec_in!Q18/SER_hh_num_in!Q18)</f>
        <v>4547.7356130398866</v>
      </c>
      <c r="R18" s="133">
        <f>IF(SER_hh_fec_in!R18=0,0,11630*1000*SER_hh_fec_in!R18/SER_hh_num_in!R18)</f>
        <v>4336.2207959579091</v>
      </c>
      <c r="S18" s="133">
        <f>IF(SER_hh_fec_in!S18=0,0,11630*1000*SER_hh_fec_in!S18/SER_hh_num_in!S18)</f>
        <v>4135.4511432771069</v>
      </c>
      <c r="T18" s="133">
        <f>IF(SER_hh_fec_in!T18=0,0,11630*1000*SER_hh_fec_in!T18/SER_hh_num_in!T18)</f>
        <v>3974.1206365621938</v>
      </c>
      <c r="U18" s="133">
        <f>IF(SER_hh_fec_in!U18=0,0,11630*1000*SER_hh_fec_in!U18/SER_hh_num_in!U18)</f>
        <v>3727.8194633724488</v>
      </c>
      <c r="V18" s="133">
        <f>IF(SER_hh_fec_in!V18=0,0,11630*1000*SER_hh_fec_in!V18/SER_hh_num_in!V18)</f>
        <v>3469.1136405800257</v>
      </c>
      <c r="W18" s="133">
        <f>IF(SER_hh_fec_in!W18=0,0,11630*1000*SER_hh_fec_in!W18/SER_hh_num_in!W18)</f>
        <v>3002.1446983274736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24426.493621270529</v>
      </c>
      <c r="D19" s="131">
        <f>IF(SER_hh_fec_in!D19=0,0,11630*1000*SER_hh_fec_in!D19/SER_hh_num_in!D19)</f>
        <v>23638.605789580426</v>
      </c>
      <c r="E19" s="131">
        <f>IF(SER_hh_fec_in!E19=0,0,11630*1000*SER_hh_fec_in!E19/SER_hh_num_in!E19)</f>
        <v>22524.228053523515</v>
      </c>
      <c r="F19" s="131">
        <f>IF(SER_hh_fec_in!F19=0,0,11630*1000*SER_hh_fec_in!F19/SER_hh_num_in!F19)</f>
        <v>21532.649673435109</v>
      </c>
      <c r="G19" s="131">
        <f>IF(SER_hh_fec_in!G19=0,0,11630*1000*SER_hh_fec_in!G19/SER_hh_num_in!G19)</f>
        <v>22146.316844767534</v>
      </c>
      <c r="H19" s="131">
        <f>IF(SER_hh_fec_in!H19=0,0,11630*1000*SER_hh_fec_in!H19/SER_hh_num_in!H19)</f>
        <v>21521.756330207721</v>
      </c>
      <c r="I19" s="131">
        <f>IF(SER_hh_fec_in!I19=0,0,11630*1000*SER_hh_fec_in!I19/SER_hh_num_in!I19)</f>
        <v>21924.221306229811</v>
      </c>
      <c r="J19" s="131">
        <f>IF(SER_hh_fec_in!J19=0,0,11630*1000*SER_hh_fec_in!J19/SER_hh_num_in!J19)</f>
        <v>21721.618095665515</v>
      </c>
      <c r="K19" s="131">
        <f>IF(SER_hh_fec_in!K19=0,0,11630*1000*SER_hh_fec_in!K19/SER_hh_num_in!K19)</f>
        <v>21967.438666805509</v>
      </c>
      <c r="L19" s="131">
        <f>IF(SER_hh_fec_in!L19=0,0,11630*1000*SER_hh_fec_in!L19/SER_hh_num_in!L19)</f>
        <v>21152.406665779519</v>
      </c>
      <c r="M19" s="131">
        <f>IF(SER_hh_fec_in!M19=0,0,11630*1000*SER_hh_fec_in!M19/SER_hh_num_in!M19)</f>
        <v>21212.657413580462</v>
      </c>
      <c r="N19" s="131">
        <f>IF(SER_hh_fec_in!N19=0,0,11630*1000*SER_hh_fec_in!N19/SER_hh_num_in!N19)</f>
        <v>22297.713670979763</v>
      </c>
      <c r="O19" s="131">
        <f>IF(SER_hh_fec_in!O19=0,0,11630*1000*SER_hh_fec_in!O19/SER_hh_num_in!O19)</f>
        <v>21346.364484225986</v>
      </c>
      <c r="P19" s="131">
        <f>IF(SER_hh_fec_in!P19=0,0,11630*1000*SER_hh_fec_in!P19/SER_hh_num_in!P19)</f>
        <v>19645.658367737826</v>
      </c>
      <c r="Q19" s="131">
        <f>IF(SER_hh_fec_in!Q19=0,0,11630*1000*SER_hh_fec_in!Q19/SER_hh_num_in!Q19)</f>
        <v>19548.420724859108</v>
      </c>
      <c r="R19" s="131">
        <f>IF(SER_hh_fec_in!R19=0,0,11630*1000*SER_hh_fec_in!R19/SER_hh_num_in!R19)</f>
        <v>18971.117218453823</v>
      </c>
      <c r="S19" s="131">
        <f>IF(SER_hh_fec_in!S19=0,0,11630*1000*SER_hh_fec_in!S19/SER_hh_num_in!S19)</f>
        <v>18194.981134002039</v>
      </c>
      <c r="T19" s="131">
        <f>IF(SER_hh_fec_in!T19=0,0,11630*1000*SER_hh_fec_in!T19/SER_hh_num_in!T19)</f>
        <v>17710.632717486595</v>
      </c>
      <c r="U19" s="131">
        <f>IF(SER_hh_fec_in!U19=0,0,11630*1000*SER_hh_fec_in!U19/SER_hh_num_in!U19)</f>
        <v>17220.633377289243</v>
      </c>
      <c r="V19" s="131">
        <f>IF(SER_hh_fec_in!V19=0,0,11630*1000*SER_hh_fec_in!V19/SER_hh_num_in!V19)</f>
        <v>16328.518797613266</v>
      </c>
      <c r="W19" s="131">
        <f>IF(SER_hh_fec_in!W19=0,0,11630*1000*SER_hh_fec_in!W19/SER_hh_num_in!W19)</f>
        <v>15808.215169984276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32153.80169977251</v>
      </c>
      <c r="D22" s="133">
        <f>IF(SER_hh_fec_in!D22=0,0,11630*1000*SER_hh_fec_in!D22/SER_hh_num_in!D22)</f>
        <v>31687.582034747593</v>
      </c>
      <c r="E22" s="133">
        <f>IF(SER_hh_fec_in!E22=0,0,11630*1000*SER_hh_fec_in!E22/SER_hh_num_in!E22)</f>
        <v>32665.996813244234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0</v>
      </c>
      <c r="J22" s="133">
        <f>IF(SER_hh_fec_in!J22=0,0,11630*1000*SER_hh_fec_in!J22/SER_hh_num_in!J22)</f>
        <v>0</v>
      </c>
      <c r="K22" s="133">
        <f>IF(SER_hh_fec_in!K22=0,0,11630*1000*SER_hh_fec_in!K22/SER_hh_num_in!K22)</f>
        <v>0</v>
      </c>
      <c r="L22" s="133">
        <f>IF(SER_hh_fec_in!L22=0,0,11630*1000*SER_hh_fec_in!L22/SER_hh_num_in!L22)</f>
        <v>0</v>
      </c>
      <c r="M22" s="133">
        <f>IF(SER_hh_fec_in!M22=0,0,11630*1000*SER_hh_fec_in!M22/SER_hh_num_in!M22)</f>
        <v>24065.362859251367</v>
      </c>
      <c r="N22" s="133">
        <f>IF(SER_hh_fec_in!N22=0,0,11630*1000*SER_hh_fec_in!N22/SER_hh_num_in!N22)</f>
        <v>29610.879919410705</v>
      </c>
      <c r="O22" s="133">
        <f>IF(SER_hh_fec_in!O22=0,0,11630*1000*SER_hh_fec_in!O22/SER_hh_num_in!O22)</f>
        <v>28209.970922339086</v>
      </c>
      <c r="P22" s="133">
        <f>IF(SER_hh_fec_in!P22=0,0,11630*1000*SER_hh_fec_in!P22/SER_hh_num_in!P22)</f>
        <v>18861.97026864655</v>
      </c>
      <c r="Q22" s="133">
        <f>IF(SER_hh_fec_in!Q22=0,0,11630*1000*SER_hh_fec_in!Q22/SER_hh_num_in!Q22)</f>
        <v>23612.485621940046</v>
      </c>
      <c r="R22" s="133">
        <f>IF(SER_hh_fec_in!R22=0,0,11630*1000*SER_hh_fec_in!R22/SER_hh_num_in!R22)</f>
        <v>21661.527268727354</v>
      </c>
      <c r="S22" s="133">
        <f>IF(SER_hh_fec_in!S22=0,0,11630*1000*SER_hh_fec_in!S22/SER_hh_num_in!S22)</f>
        <v>20698.616872078022</v>
      </c>
      <c r="T22" s="133">
        <f>IF(SER_hh_fec_in!T22=0,0,11630*1000*SER_hh_fec_in!T22/SER_hh_num_in!T22)</f>
        <v>20115.236917225964</v>
      </c>
      <c r="U22" s="133">
        <f>IF(SER_hh_fec_in!U22=0,0,11630*1000*SER_hh_fec_in!U22/SER_hh_num_in!U22)</f>
        <v>18931.328403163374</v>
      </c>
      <c r="V22" s="133">
        <f>IF(SER_hh_fec_in!V22=0,0,11630*1000*SER_hh_fec_in!V22/SER_hh_num_in!V22)</f>
        <v>18481.709615322463</v>
      </c>
      <c r="W22" s="133">
        <f>IF(SER_hh_fec_in!W22=0,0,11630*1000*SER_hh_fec_in!W22/SER_hh_num_in!W22)</f>
        <v>0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26659.064684915957</v>
      </c>
      <c r="D23" s="133">
        <f>IF(SER_hh_fec_in!D23=0,0,11630*1000*SER_hh_fec_in!D23/SER_hh_num_in!D23)</f>
        <v>28591.739445445692</v>
      </c>
      <c r="E23" s="133">
        <f>IF(SER_hh_fec_in!E23=0,0,11630*1000*SER_hh_fec_in!E23/SER_hh_num_in!E23)</f>
        <v>29599.237091441704</v>
      </c>
      <c r="F23" s="133">
        <f>IF(SER_hh_fec_in!F23=0,0,11630*1000*SER_hh_fec_in!F23/SER_hh_num_in!F23)</f>
        <v>25935.293027323678</v>
      </c>
      <c r="G23" s="133">
        <f>IF(SER_hh_fec_in!G23=0,0,11630*1000*SER_hh_fec_in!G23/SER_hh_num_in!G23)</f>
        <v>26078.471752218775</v>
      </c>
      <c r="H23" s="133">
        <f>IF(SER_hh_fec_in!H23=0,0,11630*1000*SER_hh_fec_in!H23/SER_hh_num_in!H23)</f>
        <v>28560.751249322362</v>
      </c>
      <c r="I23" s="133">
        <f>IF(SER_hh_fec_in!I23=0,0,11630*1000*SER_hh_fec_in!I23/SER_hh_num_in!I23)</f>
        <v>26053.84675172696</v>
      </c>
      <c r="J23" s="133">
        <f>IF(SER_hh_fec_in!J23=0,0,11630*1000*SER_hh_fec_in!J23/SER_hh_num_in!J23)</f>
        <v>26417.914713592938</v>
      </c>
      <c r="K23" s="133">
        <f>IF(SER_hh_fec_in!K23=0,0,11630*1000*SER_hh_fec_in!K23/SER_hh_num_in!K23)</f>
        <v>25208.104457967886</v>
      </c>
      <c r="L23" s="133">
        <f>IF(SER_hh_fec_in!L23=0,0,11630*1000*SER_hh_fec_in!L23/SER_hh_num_in!L23)</f>
        <v>25267.432979047142</v>
      </c>
      <c r="M23" s="133">
        <f>IF(SER_hh_fec_in!M23=0,0,11630*1000*SER_hh_fec_in!M23/SER_hh_num_in!M23)</f>
        <v>24113.426694080659</v>
      </c>
      <c r="N23" s="133">
        <f>IF(SER_hh_fec_in!N23=0,0,11630*1000*SER_hh_fec_in!N23/SER_hh_num_in!N23)</f>
        <v>23311.75770858366</v>
      </c>
      <c r="O23" s="133">
        <f>IF(SER_hh_fec_in!O23=0,0,11630*1000*SER_hh_fec_in!O23/SER_hh_num_in!O23)</f>
        <v>22416.632386396806</v>
      </c>
      <c r="P23" s="133">
        <f>IF(SER_hh_fec_in!P23=0,0,11630*1000*SER_hh_fec_in!P23/SER_hh_num_in!P23)</f>
        <v>22112.898802293745</v>
      </c>
      <c r="Q23" s="133">
        <f>IF(SER_hh_fec_in!Q23=0,0,11630*1000*SER_hh_fec_in!Q23/SER_hh_num_in!Q23)</f>
        <v>21405.340972270275</v>
      </c>
      <c r="R23" s="133">
        <f>IF(SER_hh_fec_in!R23=0,0,11630*1000*SER_hh_fec_in!R23/SER_hh_num_in!R23)</f>
        <v>22379.934065297432</v>
      </c>
      <c r="S23" s="133">
        <f>IF(SER_hh_fec_in!S23=0,0,11630*1000*SER_hh_fec_in!S23/SER_hh_num_in!S23)</f>
        <v>12757.962337274012</v>
      </c>
      <c r="T23" s="133">
        <f>IF(SER_hh_fec_in!T23=0,0,11630*1000*SER_hh_fec_in!T23/SER_hh_num_in!T23)</f>
        <v>16839.122469362057</v>
      </c>
      <c r="U23" s="133">
        <f>IF(SER_hh_fec_in!U23=0,0,11630*1000*SER_hh_fec_in!U23/SER_hh_num_in!U23)</f>
        <v>20352.983526688397</v>
      </c>
      <c r="V23" s="133">
        <f>IF(SER_hh_fec_in!V23=0,0,11630*1000*SER_hh_fec_in!V23/SER_hh_num_in!V23)</f>
        <v>17995.996765282751</v>
      </c>
      <c r="W23" s="133">
        <f>IF(SER_hh_fec_in!W23=0,0,11630*1000*SER_hh_fec_in!W23/SER_hh_num_in!W23)</f>
        <v>17272.703642559201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20852.031614072734</v>
      </c>
      <c r="D25" s="133">
        <f>IF(SER_hh_fec_in!D25=0,0,11630*1000*SER_hh_fec_in!D25/SER_hh_num_in!D25)</f>
        <v>20436.511096308452</v>
      </c>
      <c r="E25" s="133">
        <f>IF(SER_hh_fec_in!E25=0,0,11630*1000*SER_hh_fec_in!E25/SER_hh_num_in!E25)</f>
        <v>20053.372648277455</v>
      </c>
      <c r="F25" s="133">
        <f>IF(SER_hh_fec_in!F25=0,0,11630*1000*SER_hh_fec_in!F25/SER_hh_num_in!F25)</f>
        <v>20130.682783683296</v>
      </c>
      <c r="G25" s="133">
        <f>IF(SER_hh_fec_in!G25=0,0,11630*1000*SER_hh_fec_in!G25/SER_hh_num_in!G25)</f>
        <v>20419.484161945169</v>
      </c>
      <c r="H25" s="133">
        <f>IF(SER_hh_fec_in!H25=0,0,11630*1000*SER_hh_fec_in!H25/SER_hh_num_in!H25)</f>
        <v>20402.84082628541</v>
      </c>
      <c r="I25" s="133">
        <f>IF(SER_hh_fec_in!I25=0,0,11630*1000*SER_hh_fec_in!I25/SER_hh_num_in!I25)</f>
        <v>19658.95838294717</v>
      </c>
      <c r="J25" s="133">
        <f>IF(SER_hh_fec_in!J25=0,0,11630*1000*SER_hh_fec_in!J25/SER_hh_num_in!J25)</f>
        <v>19814.187393593216</v>
      </c>
      <c r="K25" s="133">
        <f>IF(SER_hh_fec_in!K25=0,0,11630*1000*SER_hh_fec_in!K25/SER_hh_num_in!K25)</f>
        <v>19611.753373763218</v>
      </c>
      <c r="L25" s="133">
        <f>IF(SER_hh_fec_in!L25=0,0,11630*1000*SER_hh_fec_in!L25/SER_hh_num_in!L25)</f>
        <v>19307.402871446393</v>
      </c>
      <c r="M25" s="133">
        <f>IF(SER_hh_fec_in!M25=0,0,11630*1000*SER_hh_fec_in!M25/SER_hh_num_in!M25)</f>
        <v>19311.454206774273</v>
      </c>
      <c r="N25" s="133">
        <f>IF(SER_hh_fec_in!N25=0,0,11630*1000*SER_hh_fec_in!N25/SER_hh_num_in!N25)</f>
        <v>19466.418776422506</v>
      </c>
      <c r="O25" s="133">
        <f>IF(SER_hh_fec_in!O25=0,0,11630*1000*SER_hh_fec_in!O25/SER_hh_num_in!O25)</f>
        <v>19063.796266305999</v>
      </c>
      <c r="P25" s="133">
        <f>IF(SER_hh_fec_in!P25=0,0,11630*1000*SER_hh_fec_in!P25/SER_hh_num_in!P25)</f>
        <v>18694.232487987767</v>
      </c>
      <c r="Q25" s="133">
        <f>IF(SER_hh_fec_in!Q25=0,0,11630*1000*SER_hh_fec_in!Q25/SER_hh_num_in!Q25)</f>
        <v>18213.478129644154</v>
      </c>
      <c r="R25" s="133">
        <f>IF(SER_hh_fec_in!R25=0,0,11630*1000*SER_hh_fec_in!R25/SER_hh_num_in!R25)</f>
        <v>18754.988640121876</v>
      </c>
      <c r="S25" s="133">
        <f>IF(SER_hh_fec_in!S25=0,0,11630*1000*SER_hh_fec_in!S25/SER_hh_num_in!S25)</f>
        <v>17459.157346095817</v>
      </c>
      <c r="T25" s="133">
        <f>IF(SER_hh_fec_in!T25=0,0,11630*1000*SER_hh_fec_in!T25/SER_hh_num_in!T25)</f>
        <v>17962.934205311794</v>
      </c>
      <c r="U25" s="133">
        <f>IF(SER_hh_fec_in!U25=0,0,11630*1000*SER_hh_fec_in!U25/SER_hh_num_in!U25)</f>
        <v>17517.276468863496</v>
      </c>
      <c r="V25" s="133">
        <f>IF(SER_hh_fec_in!V25=0,0,11630*1000*SER_hh_fec_in!V25/SER_hh_num_in!V25)</f>
        <v>15020.737709539942</v>
      </c>
      <c r="W25" s="133">
        <f>IF(SER_hh_fec_in!W25=0,0,11630*1000*SER_hh_fec_in!W25/SER_hh_num_in!W25)</f>
        <v>18229.902881659338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25378.758804035686</v>
      </c>
      <c r="D26" s="65">
        <f>IF(SER_hh_fec_in!D26=0,0,11630*1000*SER_hh_fec_in!D26/SER_hh_num_in!D26)</f>
        <v>25169.664891679451</v>
      </c>
      <c r="E26" s="65">
        <f>IF(SER_hh_fec_in!E26=0,0,11630*1000*SER_hh_fec_in!E26/SER_hh_num_in!E26)</f>
        <v>24712.320471945601</v>
      </c>
      <c r="F26" s="65">
        <f>IF(SER_hh_fec_in!F26=0,0,11630*1000*SER_hh_fec_in!F26/SER_hh_num_in!F26)</f>
        <v>23918.796740391488</v>
      </c>
      <c r="G26" s="65">
        <f>IF(SER_hh_fec_in!G26=0,0,11630*1000*SER_hh_fec_in!G26/SER_hh_num_in!G26)</f>
        <v>24577.037413602055</v>
      </c>
      <c r="H26" s="65">
        <f>IF(SER_hh_fec_in!H26=0,0,11630*1000*SER_hh_fec_in!H26/SER_hh_num_in!H26)</f>
        <v>22943.580766478903</v>
      </c>
      <c r="I26" s="65">
        <f>IF(SER_hh_fec_in!I26=0,0,11630*1000*SER_hh_fec_in!I26/SER_hh_num_in!I26)</f>
        <v>23888.185890052184</v>
      </c>
      <c r="J26" s="65">
        <f>IF(SER_hh_fec_in!J26=0,0,11630*1000*SER_hh_fec_in!J26/SER_hh_num_in!J26)</f>
        <v>23228.151034766157</v>
      </c>
      <c r="K26" s="65">
        <f>IF(SER_hh_fec_in!K26=0,0,11630*1000*SER_hh_fec_in!K26/SER_hh_num_in!K26)</f>
        <v>23867.914122635368</v>
      </c>
      <c r="L26" s="65">
        <f>IF(SER_hh_fec_in!L26=0,0,11630*1000*SER_hh_fec_in!L26/SER_hh_num_in!L26)</f>
        <v>23463.422906228549</v>
      </c>
      <c r="M26" s="65">
        <f>IF(SER_hh_fec_in!M26=0,0,11630*1000*SER_hh_fec_in!M26/SER_hh_num_in!M26)</f>
        <v>22817.913792949719</v>
      </c>
      <c r="N26" s="65">
        <f>IF(SER_hh_fec_in!N26=0,0,11630*1000*SER_hh_fec_in!N26/SER_hh_num_in!N26)</f>
        <v>21511.329239688144</v>
      </c>
      <c r="O26" s="65">
        <f>IF(SER_hh_fec_in!O26=0,0,11630*1000*SER_hh_fec_in!O26/SER_hh_num_in!O26)</f>
        <v>21036.11426539945</v>
      </c>
      <c r="P26" s="65">
        <f>IF(SER_hh_fec_in!P26=0,0,11630*1000*SER_hh_fec_in!P26/SER_hh_num_in!P26)</f>
        <v>21222.906332755145</v>
      </c>
      <c r="Q26" s="65">
        <f>IF(SER_hh_fec_in!Q26=0,0,11630*1000*SER_hh_fec_in!Q26/SER_hh_num_in!Q26)</f>
        <v>19742.587296115438</v>
      </c>
      <c r="R26" s="65">
        <f>IF(SER_hh_fec_in!R26=0,0,11630*1000*SER_hh_fec_in!R26/SER_hh_num_in!R26)</f>
        <v>17931.138729395974</v>
      </c>
      <c r="S26" s="65">
        <f>IF(SER_hh_fec_in!S26=0,0,11630*1000*SER_hh_fec_in!S26/SER_hh_num_in!S26)</f>
        <v>18613.531805236016</v>
      </c>
      <c r="T26" s="65">
        <f>IF(SER_hh_fec_in!T26=0,0,11630*1000*SER_hh_fec_in!T26/SER_hh_num_in!T26)</f>
        <v>17048.273602526606</v>
      </c>
      <c r="U26" s="65">
        <f>IF(SER_hh_fec_in!U26=0,0,11630*1000*SER_hh_fec_in!U26/SER_hh_num_in!U26)</f>
        <v>16532.362683564279</v>
      </c>
      <c r="V26" s="65">
        <f>IF(SER_hh_fec_in!V26=0,0,11630*1000*SER_hh_fec_in!V26/SER_hh_num_in!V26)</f>
        <v>17789.254947185724</v>
      </c>
      <c r="W26" s="65">
        <f>IF(SER_hh_fec_in!W26=0,0,11630*1000*SER_hh_fec_in!W26/SER_hh_num_in!W26)</f>
        <v>13853.73328179133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0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0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18893.620889151432</v>
      </c>
      <c r="D29" s="131">
        <f>IF(SER_hh_fec_in!D29=0,0,11630*1000*SER_hh_fec_in!D29/SER_hh_num_in!D29)</f>
        <v>18741.822477058631</v>
      </c>
      <c r="E29" s="131">
        <f>IF(SER_hh_fec_in!E29=0,0,11630*1000*SER_hh_fec_in!E29/SER_hh_num_in!E29)</f>
        <v>18397.50379300872</v>
      </c>
      <c r="F29" s="131">
        <f>IF(SER_hh_fec_in!F29=0,0,11630*1000*SER_hh_fec_in!F29/SER_hh_num_in!F29)</f>
        <v>18788.506263900155</v>
      </c>
      <c r="G29" s="131">
        <f>IF(SER_hh_fec_in!G29=0,0,11630*1000*SER_hh_fec_in!G29/SER_hh_num_in!G29)</f>
        <v>18554.033547912219</v>
      </c>
      <c r="H29" s="131">
        <f>IF(SER_hh_fec_in!H29=0,0,11630*1000*SER_hh_fec_in!H29/SER_hh_num_in!H29)</f>
        <v>21769.034179182123</v>
      </c>
      <c r="I29" s="131">
        <f>IF(SER_hh_fec_in!I29=0,0,11630*1000*SER_hh_fec_in!I29/SER_hh_num_in!I29)</f>
        <v>23141.861086752466</v>
      </c>
      <c r="J29" s="131">
        <f>IF(SER_hh_fec_in!J29=0,0,11630*1000*SER_hh_fec_in!J29/SER_hh_num_in!J29)</f>
        <v>20087.197107863271</v>
      </c>
      <c r="K29" s="131">
        <f>IF(SER_hh_fec_in!K29=0,0,11630*1000*SER_hh_fec_in!K29/SER_hh_num_in!K29)</f>
        <v>20130.467951237362</v>
      </c>
      <c r="L29" s="131">
        <f>IF(SER_hh_fec_in!L29=0,0,11630*1000*SER_hh_fec_in!L29/SER_hh_num_in!L29)</f>
        <v>19236.503870937715</v>
      </c>
      <c r="M29" s="131">
        <f>IF(SER_hh_fec_in!M29=0,0,11630*1000*SER_hh_fec_in!M29/SER_hh_num_in!M29)</f>
        <v>18096.411438446259</v>
      </c>
      <c r="N29" s="131">
        <f>IF(SER_hh_fec_in!N29=0,0,11630*1000*SER_hh_fec_in!N29/SER_hh_num_in!N29)</f>
        <v>20267.392095952549</v>
      </c>
      <c r="O29" s="131">
        <f>IF(SER_hh_fec_in!O29=0,0,11630*1000*SER_hh_fec_in!O29/SER_hh_num_in!O29)</f>
        <v>19408.559466724975</v>
      </c>
      <c r="P29" s="131">
        <f>IF(SER_hh_fec_in!P29=0,0,11630*1000*SER_hh_fec_in!P29/SER_hh_num_in!P29)</f>
        <v>18912.95242085895</v>
      </c>
      <c r="Q29" s="131">
        <f>IF(SER_hh_fec_in!Q29=0,0,11630*1000*SER_hh_fec_in!Q29/SER_hh_num_in!Q29)</f>
        <v>18994.860512325286</v>
      </c>
      <c r="R29" s="131">
        <f>IF(SER_hh_fec_in!R29=0,0,11630*1000*SER_hh_fec_in!R29/SER_hh_num_in!R29)</f>
        <v>18823.459556544862</v>
      </c>
      <c r="S29" s="131">
        <f>IF(SER_hh_fec_in!S29=0,0,11630*1000*SER_hh_fec_in!S29/SER_hh_num_in!S29)</f>
        <v>18741.508201805405</v>
      </c>
      <c r="T29" s="131">
        <f>IF(SER_hh_fec_in!T29=0,0,11630*1000*SER_hh_fec_in!T29/SER_hh_num_in!T29)</f>
        <v>19070.191821138513</v>
      </c>
      <c r="U29" s="131">
        <f>IF(SER_hh_fec_in!U29=0,0,11630*1000*SER_hh_fec_in!U29/SER_hh_num_in!U29)</f>
        <v>19141.730574151839</v>
      </c>
      <c r="V29" s="131">
        <f>IF(SER_hh_fec_in!V29=0,0,11630*1000*SER_hh_fec_in!V29/SER_hh_num_in!V29)</f>
        <v>17734.55634674403</v>
      </c>
      <c r="W29" s="131">
        <f>IF(SER_hh_fec_in!W29=0,0,11630*1000*SER_hh_fec_in!W29/SER_hh_num_in!W29)</f>
        <v>17471.486487936221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29205.180487184094</v>
      </c>
      <c r="D30" s="133">
        <f>IF(SER_hh_fec_in!D30=0,0,11630*1000*SER_hh_fec_in!D30/SER_hh_num_in!D30)</f>
        <v>24909.287627388447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20374.605165904504</v>
      </c>
      <c r="G30" s="133">
        <f>IF(SER_hh_fec_in!G30=0,0,11630*1000*SER_hh_fec_in!G30/SER_hh_num_in!G30)</f>
        <v>17340.157781930418</v>
      </c>
      <c r="H30" s="133">
        <f>IF(SER_hh_fec_in!H30=0,0,11630*1000*SER_hh_fec_in!H30/SER_hh_num_in!H30)</f>
        <v>24780.364043653259</v>
      </c>
      <c r="I30" s="133">
        <f>IF(SER_hh_fec_in!I30=0,0,11630*1000*SER_hh_fec_in!I30/SER_hh_num_in!I30)</f>
        <v>30589.534005872862</v>
      </c>
      <c r="J30" s="133">
        <f>IF(SER_hh_fec_in!J30=0,0,11630*1000*SER_hh_fec_in!J30/SER_hh_num_in!J30)</f>
        <v>27000.154678618615</v>
      </c>
      <c r="K30" s="133">
        <f>IF(SER_hh_fec_in!K30=0,0,11630*1000*SER_hh_fec_in!K30/SER_hh_num_in!K30)</f>
        <v>18895.310671717718</v>
      </c>
      <c r="L30" s="133">
        <f>IF(SER_hh_fec_in!L30=0,0,11630*1000*SER_hh_fec_in!L30/SER_hh_num_in!L30)</f>
        <v>30432.2258704304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0</v>
      </c>
      <c r="O30" s="133">
        <f>IF(SER_hh_fec_in!O30=0,0,11630*1000*SER_hh_fec_in!O30/SER_hh_num_in!O30)</f>
        <v>0</v>
      </c>
      <c r="P30" s="133">
        <f>IF(SER_hh_fec_in!P30=0,0,11630*1000*SER_hh_fec_in!P30/SER_hh_num_in!P30)</f>
        <v>0</v>
      </c>
      <c r="Q30" s="133">
        <f>IF(SER_hh_fec_in!Q30=0,0,11630*1000*SER_hh_fec_in!Q30/SER_hh_num_in!Q30)</f>
        <v>0</v>
      </c>
      <c r="R30" s="133">
        <f>IF(SER_hh_fec_in!R30=0,0,11630*1000*SER_hh_fec_in!R30/SER_hh_num_in!R30)</f>
        <v>0</v>
      </c>
      <c r="S30" s="133">
        <f>IF(SER_hh_fec_in!S30=0,0,11630*1000*SER_hh_fec_in!S30/SER_hh_num_in!S30)</f>
        <v>25748.225187108743</v>
      </c>
      <c r="T30" s="133">
        <f>IF(SER_hh_fec_in!T30=0,0,11630*1000*SER_hh_fec_in!T30/SER_hh_num_in!T30)</f>
        <v>25139.34069446582</v>
      </c>
      <c r="U30" s="133">
        <f>IF(SER_hh_fec_in!U30=0,0,11630*1000*SER_hh_fec_in!U30/SER_hh_num_in!U30)</f>
        <v>25233.513757746976</v>
      </c>
      <c r="V30" s="133">
        <f>IF(SER_hh_fec_in!V30=0,0,11630*1000*SER_hh_fec_in!V30/SER_hh_num_in!V30)</f>
        <v>24799.970863397259</v>
      </c>
      <c r="W30" s="133">
        <f>IF(SER_hh_fec_in!W30=0,0,11630*1000*SER_hh_fec_in!W30/SER_hh_num_in!W30)</f>
        <v>24524.29093744744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22750.714158445026</v>
      </c>
      <c r="D31" s="133">
        <f>IF(SER_hh_fec_in!D31=0,0,11630*1000*SER_hh_fec_in!D31/SER_hh_num_in!D31)</f>
        <v>23658.56975289169</v>
      </c>
      <c r="E31" s="133">
        <f>IF(SER_hh_fec_in!E31=0,0,11630*1000*SER_hh_fec_in!E31/SER_hh_num_in!E31)</f>
        <v>24633.561151169928</v>
      </c>
      <c r="F31" s="133">
        <f>IF(SER_hh_fec_in!F31=0,0,11630*1000*SER_hh_fec_in!F31/SER_hh_num_in!F31)</f>
        <v>24097.263365849423</v>
      </c>
      <c r="G31" s="133">
        <f>IF(SER_hh_fec_in!G31=0,0,11630*1000*SER_hh_fec_in!G31/SER_hh_num_in!G31)</f>
        <v>24178.962140140535</v>
      </c>
      <c r="H31" s="133">
        <f>IF(SER_hh_fec_in!H31=0,0,11630*1000*SER_hh_fec_in!H31/SER_hh_num_in!H31)</f>
        <v>24508.91213953383</v>
      </c>
      <c r="I31" s="133">
        <f>IF(SER_hh_fec_in!I31=0,0,11630*1000*SER_hh_fec_in!I31/SER_hh_num_in!I31)</f>
        <v>24906.402746320447</v>
      </c>
      <c r="J31" s="133">
        <f>IF(SER_hh_fec_in!J31=0,0,11630*1000*SER_hh_fec_in!J31/SER_hh_num_in!J31)</f>
        <v>25993.934854616567</v>
      </c>
      <c r="K31" s="133">
        <f>IF(SER_hh_fec_in!K31=0,0,11630*1000*SER_hh_fec_in!K31/SER_hh_num_in!K31)</f>
        <v>25385.812360508637</v>
      </c>
      <c r="L31" s="133">
        <f>IF(SER_hh_fec_in!L31=0,0,11630*1000*SER_hh_fec_in!L31/SER_hh_num_in!L31)</f>
        <v>24046.436543965276</v>
      </c>
      <c r="M31" s="133">
        <f>IF(SER_hh_fec_in!M31=0,0,11630*1000*SER_hh_fec_in!M31/SER_hh_num_in!M31)</f>
        <v>25047.563997591813</v>
      </c>
      <c r="N31" s="133">
        <f>IF(SER_hh_fec_in!N31=0,0,11630*1000*SER_hh_fec_in!N31/SER_hh_num_in!N31)</f>
        <v>25145.389031221541</v>
      </c>
      <c r="O31" s="133">
        <f>IF(SER_hh_fec_in!O31=0,0,11630*1000*SER_hh_fec_in!O31/SER_hh_num_in!O31)</f>
        <v>25237.577022703917</v>
      </c>
      <c r="P31" s="133">
        <f>IF(SER_hh_fec_in!P31=0,0,11630*1000*SER_hh_fec_in!P31/SER_hh_num_in!P31)</f>
        <v>26140.264812284808</v>
      </c>
      <c r="Q31" s="133">
        <f>IF(SER_hh_fec_in!Q31=0,0,11630*1000*SER_hh_fec_in!Q31/SER_hh_num_in!Q31)</f>
        <v>25968.968689971243</v>
      </c>
      <c r="R31" s="133">
        <f>IF(SER_hh_fec_in!R31=0,0,11630*1000*SER_hh_fec_in!R31/SER_hh_num_in!R31)</f>
        <v>28743.25548354003</v>
      </c>
      <c r="S31" s="133">
        <f>IF(SER_hh_fec_in!S31=0,0,11630*1000*SER_hh_fec_in!S31/SER_hh_num_in!S31)</f>
        <v>16937.460840865209</v>
      </c>
      <c r="T31" s="133">
        <f>IF(SER_hh_fec_in!T31=0,0,11630*1000*SER_hh_fec_in!T31/SER_hh_num_in!T31)</f>
        <v>23534.446907150526</v>
      </c>
      <c r="U31" s="133">
        <f>IF(SER_hh_fec_in!U31=0,0,11630*1000*SER_hh_fec_in!U31/SER_hh_num_in!U31)</f>
        <v>29175.735172279597</v>
      </c>
      <c r="V31" s="133">
        <f>IF(SER_hh_fec_in!V31=0,0,11630*1000*SER_hh_fec_in!V31/SER_hh_num_in!V31)</f>
        <v>23720.426017621732</v>
      </c>
      <c r="W31" s="133">
        <f>IF(SER_hh_fec_in!W31=0,0,11630*1000*SER_hh_fec_in!W31/SER_hh_num_in!W31)</f>
        <v>25390.312964430188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17544.864002291208</v>
      </c>
      <c r="D33" s="68">
        <f>IF(SER_hh_fec_in!D33=0,0,11630*1000*SER_hh_fec_in!D33/SER_hh_num_in!D33)</f>
        <v>17945.818700614793</v>
      </c>
      <c r="E33" s="68">
        <f>IF(SER_hh_fec_in!E33=0,0,11630*1000*SER_hh_fec_in!E33/SER_hh_num_in!E33)</f>
        <v>18150.245382182155</v>
      </c>
      <c r="F33" s="68">
        <f>IF(SER_hh_fec_in!F33=0,0,11630*1000*SER_hh_fec_in!F33/SER_hh_num_in!F33)</f>
        <v>18482.543041754019</v>
      </c>
      <c r="G33" s="68">
        <f>IF(SER_hh_fec_in!G33=0,0,11630*1000*SER_hh_fec_in!G33/SER_hh_num_in!G33)</f>
        <v>18881.714147432951</v>
      </c>
      <c r="H33" s="68">
        <f>IF(SER_hh_fec_in!H33=0,0,11630*1000*SER_hh_fec_in!H33/SER_hh_num_in!H33)</f>
        <v>18360.801910280225</v>
      </c>
      <c r="I33" s="68">
        <f>IF(SER_hh_fec_in!I33=0,0,11630*1000*SER_hh_fec_in!I33/SER_hh_num_in!I33)</f>
        <v>17535.069527948523</v>
      </c>
      <c r="J33" s="68">
        <f>IF(SER_hh_fec_in!J33=0,0,11630*1000*SER_hh_fec_in!J33/SER_hh_num_in!J33)</f>
        <v>18342.991550412498</v>
      </c>
      <c r="K33" s="68">
        <f>IF(SER_hh_fec_in!K33=0,0,11630*1000*SER_hh_fec_in!K33/SER_hh_num_in!K33)</f>
        <v>20113.581263905322</v>
      </c>
      <c r="L33" s="68">
        <f>IF(SER_hh_fec_in!L33=0,0,11630*1000*SER_hh_fec_in!L33/SER_hh_num_in!L33)</f>
        <v>18192.793302179511</v>
      </c>
      <c r="M33" s="68">
        <f>IF(SER_hh_fec_in!M33=0,0,11630*1000*SER_hh_fec_in!M33/SER_hh_num_in!M33)</f>
        <v>18075.126788211441</v>
      </c>
      <c r="N33" s="68">
        <f>IF(SER_hh_fec_in!N33=0,0,11630*1000*SER_hh_fec_in!N33/SER_hh_num_in!N33)</f>
        <v>20207.543374273395</v>
      </c>
      <c r="O33" s="68">
        <f>IF(SER_hh_fec_in!O33=0,0,11630*1000*SER_hh_fec_in!O33/SER_hh_num_in!O33)</f>
        <v>19286.43040083833</v>
      </c>
      <c r="P33" s="68">
        <f>IF(SER_hh_fec_in!P33=0,0,11630*1000*SER_hh_fec_in!P33/SER_hh_num_in!P33)</f>
        <v>18730.460288979684</v>
      </c>
      <c r="Q33" s="68">
        <f>IF(SER_hh_fec_in!Q33=0,0,11630*1000*SER_hh_fec_in!Q33/SER_hh_num_in!Q33)</f>
        <v>18895.151886213891</v>
      </c>
      <c r="R33" s="68">
        <f>IF(SER_hh_fec_in!R33=0,0,11630*1000*SER_hh_fec_in!R33/SER_hh_num_in!R33)</f>
        <v>18716.661453844034</v>
      </c>
      <c r="S33" s="68">
        <f>IF(SER_hh_fec_in!S33=0,0,11630*1000*SER_hh_fec_in!S33/SER_hh_num_in!S33)</f>
        <v>18627.869444479311</v>
      </c>
      <c r="T33" s="68">
        <f>IF(SER_hh_fec_in!T33=0,0,11630*1000*SER_hh_fec_in!T33/SER_hh_num_in!T33)</f>
        <v>18341.253983815102</v>
      </c>
      <c r="U33" s="68">
        <f>IF(SER_hh_fec_in!U33=0,0,11630*1000*SER_hh_fec_in!U33/SER_hh_num_in!U33)</f>
        <v>18248.508313697264</v>
      </c>
      <c r="V33" s="68">
        <f>IF(SER_hh_fec_in!V33=0,0,11630*1000*SER_hh_fec_in!V33/SER_hh_num_in!V33)</f>
        <v>17264.391161911215</v>
      </c>
      <c r="W33" s="68">
        <f>IF(SER_hh_fec_in!W33=0,0,11630*1000*SER_hh_fec_in!W33/SER_hh_num_in!W33)</f>
        <v>17302.022869045526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198160.16667041031</v>
      </c>
      <c r="D3" s="126">
        <f>IF(SER_hh_tes_in!D3=0,0,11630*1000*SER_hh_tes_in!D3/SER_hh_num_in!D3)</f>
        <v>192924.18863302213</v>
      </c>
      <c r="E3" s="126">
        <f>IF(SER_hh_tes_in!E3=0,0,11630*1000*SER_hh_tes_in!E3/SER_hh_num_in!E3)</f>
        <v>185986.58154376596</v>
      </c>
      <c r="F3" s="126">
        <f>IF(SER_hh_tes_in!F3=0,0,11630*1000*SER_hh_tes_in!F3/SER_hh_num_in!F3)</f>
        <v>176016.29795935604</v>
      </c>
      <c r="G3" s="126">
        <f>IF(SER_hh_tes_in!G3=0,0,11630*1000*SER_hh_tes_in!G3/SER_hh_num_in!G3)</f>
        <v>162082.61599881886</v>
      </c>
      <c r="H3" s="126">
        <f>IF(SER_hh_tes_in!H3=0,0,11630*1000*SER_hh_tes_in!H3/SER_hh_num_in!H3)</f>
        <v>159337.29491433376</v>
      </c>
      <c r="I3" s="126">
        <f>IF(SER_hh_tes_in!I3=0,0,11630*1000*SER_hh_tes_in!I3/SER_hh_num_in!I3)</f>
        <v>159360.18796305876</v>
      </c>
      <c r="J3" s="126">
        <f>IF(SER_hh_tes_in!J3=0,0,11630*1000*SER_hh_tes_in!J3/SER_hh_num_in!J3)</f>
        <v>151923.17784119394</v>
      </c>
      <c r="K3" s="126">
        <f>IF(SER_hh_tes_in!K3=0,0,11630*1000*SER_hh_tes_in!K3/SER_hh_num_in!K3)</f>
        <v>147507.21694741599</v>
      </c>
      <c r="L3" s="126">
        <f>IF(SER_hh_tes_in!L3=0,0,11630*1000*SER_hh_tes_in!L3/SER_hh_num_in!L3)</f>
        <v>151331.86251547467</v>
      </c>
      <c r="M3" s="126">
        <f>IF(SER_hh_tes_in!M3=0,0,11630*1000*SER_hh_tes_in!M3/SER_hh_num_in!M3)</f>
        <v>132351.65928152521</v>
      </c>
      <c r="N3" s="126">
        <f>IF(SER_hh_tes_in!N3=0,0,11630*1000*SER_hh_tes_in!N3/SER_hh_num_in!N3)</f>
        <v>137075.56504188926</v>
      </c>
      <c r="O3" s="126">
        <f>IF(SER_hh_tes_in!O3=0,0,11630*1000*SER_hh_tes_in!O3/SER_hh_num_in!O3)</f>
        <v>128558.32182205783</v>
      </c>
      <c r="P3" s="126">
        <f>IF(SER_hh_tes_in!P3=0,0,11630*1000*SER_hh_tes_in!P3/SER_hh_num_in!P3)</f>
        <v>122471.20218941724</v>
      </c>
      <c r="Q3" s="126">
        <f>IF(SER_hh_tes_in!Q3=0,0,11630*1000*SER_hh_tes_in!Q3/SER_hh_num_in!Q3)</f>
        <v>120565.60502944332</v>
      </c>
      <c r="R3" s="126">
        <f>IF(SER_hh_tes_in!R3=0,0,11630*1000*SER_hh_tes_in!R3/SER_hh_num_in!R3)</f>
        <v>120915.10358702361</v>
      </c>
      <c r="S3" s="126">
        <f>IF(SER_hh_tes_in!S3=0,0,11630*1000*SER_hh_tes_in!S3/SER_hh_num_in!S3)</f>
        <v>108447.89434298308</v>
      </c>
      <c r="T3" s="126">
        <f>IF(SER_hh_tes_in!T3=0,0,11630*1000*SER_hh_tes_in!T3/SER_hh_num_in!T3)</f>
        <v>105821.16908956005</v>
      </c>
      <c r="U3" s="126">
        <f>IF(SER_hh_tes_in!U3=0,0,11630*1000*SER_hh_tes_in!U3/SER_hh_num_in!U3)</f>
        <v>97814.381789897583</v>
      </c>
      <c r="V3" s="126">
        <f>IF(SER_hh_tes_in!V3=0,0,11630*1000*SER_hh_tes_in!V3/SER_hh_num_in!V3)</f>
        <v>87814.178255127874</v>
      </c>
      <c r="W3" s="126">
        <f>IF(SER_hh_tes_in!W3=0,0,11630*1000*SER_hh_tes_in!W3/SER_hh_num_in!W3)</f>
        <v>79416.137301046139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143672.30030058263</v>
      </c>
      <c r="D4" s="131">
        <f>IF(SER_hh_tes_in!D4=0,0,11630*1000*SER_hh_tes_in!D4/SER_hh_num_in!D4)</f>
        <v>138745.80957785071</v>
      </c>
      <c r="E4" s="131">
        <f>IF(SER_hh_tes_in!E4=0,0,11630*1000*SER_hh_tes_in!E4/SER_hh_num_in!E4)</f>
        <v>132051.63306447901</v>
      </c>
      <c r="F4" s="131">
        <f>IF(SER_hh_tes_in!F4=0,0,11630*1000*SER_hh_tes_in!F4/SER_hh_num_in!F4)</f>
        <v>122333.58908580308</v>
      </c>
      <c r="G4" s="131">
        <f>IF(SER_hh_tes_in!G4=0,0,11630*1000*SER_hh_tes_in!G4/SER_hh_num_in!G4)</f>
        <v>109186.93364352142</v>
      </c>
      <c r="H4" s="131">
        <f>IF(SER_hh_tes_in!H4=0,0,11630*1000*SER_hh_tes_in!H4/SER_hh_num_in!H4)</f>
        <v>105742.80993580278</v>
      </c>
      <c r="I4" s="131">
        <f>IF(SER_hh_tes_in!I4=0,0,11630*1000*SER_hh_tes_in!I4/SER_hh_num_in!I4)</f>
        <v>104880.10918861692</v>
      </c>
      <c r="J4" s="131">
        <f>IF(SER_hh_tes_in!J4=0,0,11630*1000*SER_hh_tes_in!J4/SER_hh_num_in!J4)</f>
        <v>98549.736023586462</v>
      </c>
      <c r="K4" s="131">
        <f>IF(SER_hh_tes_in!K4=0,0,11630*1000*SER_hh_tes_in!K4/SER_hh_num_in!K4)</f>
        <v>93160.702321630088</v>
      </c>
      <c r="L4" s="131">
        <f>IF(SER_hh_tes_in!L4=0,0,11630*1000*SER_hh_tes_in!L4/SER_hh_num_in!L4)</f>
        <v>98333.468905689384</v>
      </c>
      <c r="M4" s="131">
        <f>IF(SER_hh_tes_in!M4=0,0,11630*1000*SER_hh_tes_in!M4/SER_hh_num_in!M4)</f>
        <v>80863.421096728751</v>
      </c>
      <c r="N4" s="131">
        <f>IF(SER_hh_tes_in!N4=0,0,11630*1000*SER_hh_tes_in!N4/SER_hh_num_in!N4)</f>
        <v>83510.846836328376</v>
      </c>
      <c r="O4" s="131">
        <f>IF(SER_hh_tes_in!O4=0,0,11630*1000*SER_hh_tes_in!O4/SER_hh_num_in!O4)</f>
        <v>76206.956543833337</v>
      </c>
      <c r="P4" s="131">
        <f>IF(SER_hh_tes_in!P4=0,0,11630*1000*SER_hh_tes_in!P4/SER_hh_num_in!P4)</f>
        <v>70996.227845650967</v>
      </c>
      <c r="Q4" s="131">
        <f>IF(SER_hh_tes_in!Q4=0,0,11630*1000*SER_hh_tes_in!Q4/SER_hh_num_in!Q4)</f>
        <v>69598.148980062222</v>
      </c>
      <c r="R4" s="131">
        <f>IF(SER_hh_tes_in!R4=0,0,11630*1000*SER_hh_tes_in!R4/SER_hh_num_in!R4)</f>
        <v>70413.258680730039</v>
      </c>
      <c r="S4" s="131">
        <f>IF(SER_hh_tes_in!S4=0,0,11630*1000*SER_hh_tes_in!S4/SER_hh_num_in!S4)</f>
        <v>58887.000543211376</v>
      </c>
      <c r="T4" s="131">
        <f>IF(SER_hh_tes_in!T4=0,0,11630*1000*SER_hh_tes_in!T4/SER_hh_num_in!T4)</f>
        <v>56804.838949468212</v>
      </c>
      <c r="U4" s="131">
        <f>IF(SER_hh_tes_in!U4=0,0,11630*1000*SER_hh_tes_in!U4/SER_hh_num_in!U4)</f>
        <v>49624.092002547157</v>
      </c>
      <c r="V4" s="131">
        <f>IF(SER_hh_tes_in!V4=0,0,11630*1000*SER_hh_tes_in!V4/SER_hh_num_in!V4)</f>
        <v>41918.526683539239</v>
      </c>
      <c r="W4" s="131">
        <f>IF(SER_hh_tes_in!W4=0,0,11630*1000*SER_hh_tes_in!W4/SER_hh_num_in!W4)</f>
        <v>35598.198713487342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137140.25074977626</v>
      </c>
      <c r="D7" s="133">
        <f>IF(SER_hh_tes_in!D7=0,0,11630*1000*SER_hh_tes_in!D7/SER_hh_num_in!D7)</f>
        <v>135707.03411338039</v>
      </c>
      <c r="E7" s="133">
        <f>IF(SER_hh_tes_in!E7=0,0,11630*1000*SER_hh_tes_in!E7/SER_hh_num_in!E7)</f>
        <v>149812.04168183287</v>
      </c>
      <c r="F7" s="133">
        <f>IF(SER_hh_tes_in!F7=0,0,11630*1000*SER_hh_tes_in!F7/SER_hh_num_in!F7)</f>
        <v>0</v>
      </c>
      <c r="G7" s="133">
        <f>IF(SER_hh_tes_in!G7=0,0,11630*1000*SER_hh_tes_in!G7/SER_hh_num_in!G7)</f>
        <v>0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89399.087583711371</v>
      </c>
      <c r="L7" s="133">
        <f>IF(SER_hh_tes_in!L7=0,0,11630*1000*SER_hh_tes_in!L7/SER_hh_num_in!L7)</f>
        <v>92584.133125855733</v>
      </c>
      <c r="M7" s="133">
        <f>IF(SER_hh_tes_in!M7=0,0,11630*1000*SER_hh_tes_in!M7/SER_hh_num_in!M7)</f>
        <v>83598.87673523667</v>
      </c>
      <c r="N7" s="133">
        <f>IF(SER_hh_tes_in!N7=0,0,11630*1000*SER_hh_tes_in!N7/SER_hh_num_in!N7)</f>
        <v>82444.461884983146</v>
      </c>
      <c r="O7" s="133">
        <f>IF(SER_hh_tes_in!O7=0,0,11630*1000*SER_hh_tes_in!O7/SER_hh_num_in!O7)</f>
        <v>74662.255275921474</v>
      </c>
      <c r="P7" s="133">
        <f>IF(SER_hh_tes_in!P7=0,0,11630*1000*SER_hh_tes_in!P7/SER_hh_num_in!P7)</f>
        <v>0</v>
      </c>
      <c r="Q7" s="133">
        <f>IF(SER_hh_tes_in!Q7=0,0,11630*1000*SER_hh_tes_in!Q7/SER_hh_num_in!Q7)</f>
        <v>67179.30596019885</v>
      </c>
      <c r="R7" s="133">
        <f>IF(SER_hh_tes_in!R7=0,0,11630*1000*SER_hh_tes_in!R7/SER_hh_num_in!R7)</f>
        <v>63216.368354477381</v>
      </c>
      <c r="S7" s="133">
        <f>IF(SER_hh_tes_in!S7=0,0,11630*1000*SER_hh_tes_in!S7/SER_hh_num_in!S7)</f>
        <v>59913.700703946452</v>
      </c>
      <c r="T7" s="133">
        <f>IF(SER_hh_tes_in!T7=0,0,11630*1000*SER_hh_tes_in!T7/SER_hh_num_in!T7)</f>
        <v>55566.555387720007</v>
      </c>
      <c r="U7" s="133">
        <f>IF(SER_hh_tes_in!U7=0,0,11630*1000*SER_hh_tes_in!U7/SER_hh_num_in!U7)</f>
        <v>48397.13196371089</v>
      </c>
      <c r="V7" s="133">
        <f>IF(SER_hh_tes_in!V7=0,0,11630*1000*SER_hh_tes_in!V7/SER_hh_num_in!V7)</f>
        <v>43059.604416179041</v>
      </c>
      <c r="W7" s="133">
        <f>IF(SER_hh_tes_in!W7=0,0,11630*1000*SER_hh_tes_in!W7/SER_hh_num_in!W7)</f>
        <v>0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99547.126165460024</v>
      </c>
      <c r="D9" s="133">
        <f>IF(SER_hh_tes_in!D9=0,0,11630*1000*SER_hh_tes_in!D9/SER_hh_num_in!D9)</f>
        <v>138833.98797129208</v>
      </c>
      <c r="E9" s="133">
        <f>IF(SER_hh_tes_in!E9=0,0,11630*1000*SER_hh_tes_in!E9/SER_hh_num_in!E9)</f>
        <v>145312.19438054773</v>
      </c>
      <c r="F9" s="133">
        <f>IF(SER_hh_tes_in!F9=0,0,11630*1000*SER_hh_tes_in!F9/SER_hh_num_in!F9)</f>
        <v>120242.03125621197</v>
      </c>
      <c r="G9" s="133">
        <f>IF(SER_hh_tes_in!G9=0,0,11630*1000*SER_hh_tes_in!G9/SER_hh_num_in!G9)</f>
        <v>111038.91678154992</v>
      </c>
      <c r="H9" s="133">
        <f>IF(SER_hh_tes_in!H9=0,0,11630*1000*SER_hh_tes_in!H9/SER_hh_num_in!H9)</f>
        <v>104035.36591154241</v>
      </c>
      <c r="I9" s="133">
        <f>IF(SER_hh_tes_in!I9=0,0,11630*1000*SER_hh_tes_in!I9/SER_hh_num_in!I9)</f>
        <v>105746.86726264653</v>
      </c>
      <c r="J9" s="133">
        <f>IF(SER_hh_tes_in!J9=0,0,11630*1000*SER_hh_tes_in!J9/SER_hh_num_in!J9)</f>
        <v>109876.06227194998</v>
      </c>
      <c r="K9" s="133">
        <f>IF(SER_hh_tes_in!K9=0,0,11630*1000*SER_hh_tes_in!K9/SER_hh_num_in!K9)</f>
        <v>50273.539301846038</v>
      </c>
      <c r="L9" s="133">
        <f>IF(SER_hh_tes_in!L9=0,0,11630*1000*SER_hh_tes_in!L9/SER_hh_num_in!L9)</f>
        <v>103123.04025428671</v>
      </c>
      <c r="M9" s="133">
        <f>IF(SER_hh_tes_in!M9=0,0,11630*1000*SER_hh_tes_in!M9/SER_hh_num_in!M9)</f>
        <v>77911.627998038282</v>
      </c>
      <c r="N9" s="133">
        <f>IF(SER_hh_tes_in!N9=0,0,11630*1000*SER_hh_tes_in!N9/SER_hh_num_in!N9)</f>
        <v>90809.106377613396</v>
      </c>
      <c r="O9" s="133">
        <f>IF(SER_hh_tes_in!O9=0,0,11630*1000*SER_hh_tes_in!O9/SER_hh_num_in!O9)</f>
        <v>75648.234956032888</v>
      </c>
      <c r="P9" s="133">
        <f>IF(SER_hh_tes_in!P9=0,0,11630*1000*SER_hh_tes_in!P9/SER_hh_num_in!P9)</f>
        <v>70179.087611408322</v>
      </c>
      <c r="Q9" s="133">
        <f>IF(SER_hh_tes_in!Q9=0,0,11630*1000*SER_hh_tes_in!Q9/SER_hh_num_in!Q9)</f>
        <v>0</v>
      </c>
      <c r="R9" s="133">
        <f>IF(SER_hh_tes_in!R9=0,0,11630*1000*SER_hh_tes_in!R9/SER_hh_num_in!R9)</f>
        <v>0</v>
      </c>
      <c r="S9" s="133">
        <f>IF(SER_hh_tes_in!S9=0,0,11630*1000*SER_hh_tes_in!S9/SER_hh_num_in!S9)</f>
        <v>38056.164240701866</v>
      </c>
      <c r="T9" s="133">
        <f>IF(SER_hh_tes_in!T9=0,0,11630*1000*SER_hh_tes_in!T9/SER_hh_num_in!T9)</f>
        <v>51984.323815998425</v>
      </c>
      <c r="U9" s="133">
        <f>IF(SER_hh_tes_in!U9=0,0,11630*1000*SER_hh_tes_in!U9/SER_hh_num_in!U9)</f>
        <v>56551.023985982589</v>
      </c>
      <c r="V9" s="133">
        <f>IF(SER_hh_tes_in!V9=0,0,11630*1000*SER_hh_tes_in!V9/SER_hh_num_in!V9)</f>
        <v>45522.102792565507</v>
      </c>
      <c r="W9" s="133">
        <f>IF(SER_hh_tes_in!W9=0,0,11630*1000*SER_hh_tes_in!W9/SER_hh_num_in!W9)</f>
        <v>33273.272685667529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178570.74212853651</v>
      </c>
      <c r="D10" s="133">
        <f>IF(SER_hh_tes_in!D10=0,0,11630*1000*SER_hh_tes_in!D10/SER_hh_num_in!D10)</f>
        <v>120343.98464500882</v>
      </c>
      <c r="E10" s="133">
        <f>IF(SER_hh_tes_in!E10=0,0,11630*1000*SER_hh_tes_in!E10/SER_hh_num_in!E10)</f>
        <v>85927.65812987856</v>
      </c>
      <c r="F10" s="133">
        <f>IF(SER_hh_tes_in!F10=0,0,11630*1000*SER_hh_tes_in!F10/SER_hh_num_in!F10)</f>
        <v>141975.20437770872</v>
      </c>
      <c r="G10" s="133">
        <f>IF(SER_hh_tes_in!G10=0,0,11630*1000*SER_hh_tes_in!G10/SER_hh_num_in!G10)</f>
        <v>136373.96377391712</v>
      </c>
      <c r="H10" s="133">
        <f>IF(SER_hh_tes_in!H10=0,0,11630*1000*SER_hh_tes_in!H10/SER_hh_num_in!H10)</f>
        <v>94147.234357412395</v>
      </c>
      <c r="I10" s="133">
        <f>IF(SER_hh_tes_in!I10=0,0,11630*1000*SER_hh_tes_in!I10/SER_hh_num_in!I10)</f>
        <v>97551.23071847111</v>
      </c>
      <c r="J10" s="133">
        <f>IF(SER_hh_tes_in!J10=0,0,11630*1000*SER_hh_tes_in!J10/SER_hh_num_in!J10)</f>
        <v>98917.452914117472</v>
      </c>
      <c r="K10" s="133">
        <f>IF(SER_hh_tes_in!K10=0,0,11630*1000*SER_hh_tes_in!K10/SER_hh_num_in!K10)</f>
        <v>94380.071666453878</v>
      </c>
      <c r="L10" s="133">
        <f>IF(SER_hh_tes_in!L10=0,0,11630*1000*SER_hh_tes_in!L10/SER_hh_num_in!L10)</f>
        <v>90942.895803532636</v>
      </c>
      <c r="M10" s="133">
        <f>IF(SER_hh_tes_in!M10=0,0,11630*1000*SER_hh_tes_in!M10/SER_hh_num_in!M10)</f>
        <v>79027.143634481603</v>
      </c>
      <c r="N10" s="133">
        <f>IF(SER_hh_tes_in!N10=0,0,11630*1000*SER_hh_tes_in!N10/SER_hh_num_in!N10)</f>
        <v>97251.005997116154</v>
      </c>
      <c r="O10" s="133">
        <f>IF(SER_hh_tes_in!O10=0,0,11630*1000*SER_hh_tes_in!O10/SER_hh_num_in!O10)</f>
        <v>53051.499439802923</v>
      </c>
      <c r="P10" s="133">
        <f>IF(SER_hh_tes_in!P10=0,0,11630*1000*SER_hh_tes_in!P10/SER_hh_num_in!P10)</f>
        <v>69542.370710560412</v>
      </c>
      <c r="Q10" s="133">
        <f>IF(SER_hh_tes_in!Q10=0,0,11630*1000*SER_hh_tes_in!Q10/SER_hh_num_in!Q10)</f>
        <v>61984.077385994613</v>
      </c>
      <c r="R10" s="133">
        <f>IF(SER_hh_tes_in!R10=0,0,11630*1000*SER_hh_tes_in!R10/SER_hh_num_in!R10)</f>
        <v>93360.89209687282</v>
      </c>
      <c r="S10" s="133">
        <f>IF(SER_hh_tes_in!S10=0,0,11630*1000*SER_hh_tes_in!S10/SER_hh_num_in!S10)</f>
        <v>86167.279314497588</v>
      </c>
      <c r="T10" s="133">
        <f>IF(SER_hh_tes_in!T10=0,0,11630*1000*SER_hh_tes_in!T10/SER_hh_num_in!T10)</f>
        <v>80686.608160823336</v>
      </c>
      <c r="U10" s="133">
        <f>IF(SER_hh_tes_in!U10=0,0,11630*1000*SER_hh_tes_in!U10/SER_hh_num_in!U10)</f>
        <v>43858.45176222414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34872.885105950241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141628.0926051178</v>
      </c>
      <c r="D12" s="133">
        <f>IF(SER_hh_tes_in!D12=0,0,11630*1000*SER_hh_tes_in!D12/SER_hh_num_in!D12)</f>
        <v>137384.68579409347</v>
      </c>
      <c r="E12" s="133">
        <f>IF(SER_hh_tes_in!E12=0,0,11630*1000*SER_hh_tes_in!E12/SER_hh_num_in!E12)</f>
        <v>132573.04071217775</v>
      </c>
      <c r="F12" s="133">
        <f>IF(SER_hh_tes_in!F12=0,0,11630*1000*SER_hh_tes_in!F12/SER_hh_num_in!F12)</f>
        <v>119364.3507082326</v>
      </c>
      <c r="G12" s="133">
        <f>IF(SER_hh_tes_in!G12=0,0,11630*1000*SER_hh_tes_in!G12/SER_hh_num_in!G12)</f>
        <v>112985.67792668805</v>
      </c>
      <c r="H12" s="133">
        <f>IF(SER_hh_tes_in!H12=0,0,11630*1000*SER_hh_tes_in!H12/SER_hh_num_in!H12)</f>
        <v>106520.09534441367</v>
      </c>
      <c r="I12" s="133">
        <f>IF(SER_hh_tes_in!I12=0,0,11630*1000*SER_hh_tes_in!I12/SER_hh_num_in!I12)</f>
        <v>97858.091658323334</v>
      </c>
      <c r="J12" s="133">
        <f>IF(SER_hh_tes_in!J12=0,0,11630*1000*SER_hh_tes_in!J12/SER_hh_num_in!J12)</f>
        <v>95581.718375894969</v>
      </c>
      <c r="K12" s="133">
        <f>IF(SER_hh_tes_in!K12=0,0,11630*1000*SER_hh_tes_in!K12/SER_hh_num_in!K12)</f>
        <v>94001.770865878992</v>
      </c>
      <c r="L12" s="133">
        <f>IF(SER_hh_tes_in!L12=0,0,11630*1000*SER_hh_tes_in!L12/SER_hh_num_in!L12)</f>
        <v>99761.882434563799</v>
      </c>
      <c r="M12" s="133">
        <f>IF(SER_hh_tes_in!M12=0,0,11630*1000*SER_hh_tes_in!M12/SER_hh_num_in!M12)</f>
        <v>78798.915543073992</v>
      </c>
      <c r="N12" s="133">
        <f>IF(SER_hh_tes_in!N12=0,0,11630*1000*SER_hh_tes_in!N12/SER_hh_num_in!N12)</f>
        <v>82833.605808380293</v>
      </c>
      <c r="O12" s="133">
        <f>IF(SER_hh_tes_in!O12=0,0,11630*1000*SER_hh_tes_in!O12/SER_hh_num_in!O12)</f>
        <v>78762.459787680025</v>
      </c>
      <c r="P12" s="133">
        <f>IF(SER_hh_tes_in!P12=0,0,11630*1000*SER_hh_tes_in!P12/SER_hh_num_in!P12)</f>
        <v>71672.279546440172</v>
      </c>
      <c r="Q12" s="133">
        <f>IF(SER_hh_tes_in!Q12=0,0,11630*1000*SER_hh_tes_in!Q12/SER_hh_num_in!Q12)</f>
        <v>66469.263143194214</v>
      </c>
      <c r="R12" s="133">
        <f>IF(SER_hh_tes_in!R12=0,0,11630*1000*SER_hh_tes_in!R12/SER_hh_num_in!R12)</f>
        <v>67304.413661186438</v>
      </c>
      <c r="S12" s="133">
        <f>IF(SER_hh_tes_in!S12=0,0,11630*1000*SER_hh_tes_in!S12/SER_hh_num_in!S12)</f>
        <v>58569.954122574789</v>
      </c>
      <c r="T12" s="133">
        <f>IF(SER_hh_tes_in!T12=0,0,11630*1000*SER_hh_tes_in!T12/SER_hh_num_in!T12)</f>
        <v>56121.714605259302</v>
      </c>
      <c r="U12" s="133">
        <f>IF(SER_hh_tes_in!U12=0,0,11630*1000*SER_hh_tes_in!U12/SER_hh_num_in!U12)</f>
        <v>49745.839639697733</v>
      </c>
      <c r="V12" s="133">
        <f>IF(SER_hh_tes_in!V12=0,0,11630*1000*SER_hh_tes_in!V12/SER_hh_num_in!V12)</f>
        <v>39398.002697292432</v>
      </c>
      <c r="W12" s="133">
        <f>IF(SER_hh_tes_in!W12=0,0,11630*1000*SER_hh_tes_in!W12/SER_hh_num_in!W12)</f>
        <v>35976.234137403299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141276.26071532746</v>
      </c>
      <c r="D13" s="133">
        <f>IF(SER_hh_tes_in!D13=0,0,11630*1000*SER_hh_tes_in!D13/SER_hh_num_in!D13)</f>
        <v>133542.1021526875</v>
      </c>
      <c r="E13" s="133">
        <f>IF(SER_hh_tes_in!E13=0,0,11630*1000*SER_hh_tes_in!E13/SER_hh_num_in!E13)</f>
        <v>117870.98585456891</v>
      </c>
      <c r="F13" s="133">
        <f>IF(SER_hh_tes_in!F13=0,0,11630*1000*SER_hh_tes_in!F13/SER_hh_num_in!F13)</f>
        <v>119537.01925904541</v>
      </c>
      <c r="G13" s="133">
        <f>IF(SER_hh_tes_in!G13=0,0,11630*1000*SER_hh_tes_in!G13/SER_hh_num_in!G13)</f>
        <v>99076.211331950341</v>
      </c>
      <c r="H13" s="133">
        <f>IF(SER_hh_tes_in!H13=0,0,11630*1000*SER_hh_tes_in!H13/SER_hh_num_in!H13)</f>
        <v>105044.87392850048</v>
      </c>
      <c r="I13" s="133">
        <f>IF(SER_hh_tes_in!I13=0,0,11630*1000*SER_hh_tes_in!I13/SER_hh_num_in!I13)</f>
        <v>108493.92705527916</v>
      </c>
      <c r="J13" s="133">
        <f>IF(SER_hh_tes_in!J13=0,0,11630*1000*SER_hh_tes_in!J13/SER_hh_num_in!J13)</f>
        <v>100485.26873484875</v>
      </c>
      <c r="K13" s="133">
        <f>IF(SER_hh_tes_in!K13=0,0,11630*1000*SER_hh_tes_in!K13/SER_hh_num_in!K13)</f>
        <v>94187.03934594868</v>
      </c>
      <c r="L13" s="133">
        <f>IF(SER_hh_tes_in!L13=0,0,11630*1000*SER_hh_tes_in!L13/SER_hh_num_in!L13)</f>
        <v>90259.761065373357</v>
      </c>
      <c r="M13" s="133">
        <f>IF(SER_hh_tes_in!M13=0,0,11630*1000*SER_hh_tes_in!M13/SER_hh_num_in!M13)</f>
        <v>84791.569982233137</v>
      </c>
      <c r="N13" s="133">
        <f>IF(SER_hh_tes_in!N13=0,0,11630*1000*SER_hh_tes_in!N13/SER_hh_num_in!N13)</f>
        <v>82020.186158390046</v>
      </c>
      <c r="O13" s="133">
        <f>IF(SER_hh_tes_in!O13=0,0,11630*1000*SER_hh_tes_in!O13/SER_hh_num_in!O13)</f>
        <v>78123.662340720737</v>
      </c>
      <c r="P13" s="133">
        <f>IF(SER_hh_tes_in!P13=0,0,11630*1000*SER_hh_tes_in!P13/SER_hh_num_in!P13)</f>
        <v>72294.235445855345</v>
      </c>
      <c r="Q13" s="133">
        <f>IF(SER_hh_tes_in!Q13=0,0,11630*1000*SER_hh_tes_in!Q13/SER_hh_num_in!Q13)</f>
        <v>66527.601172501832</v>
      </c>
      <c r="R13" s="133">
        <f>IF(SER_hh_tes_in!R13=0,0,11630*1000*SER_hh_tes_in!R13/SER_hh_num_in!R13)</f>
        <v>69407.173444158427</v>
      </c>
      <c r="S13" s="133">
        <f>IF(SER_hh_tes_in!S13=0,0,11630*1000*SER_hh_tes_in!S13/SER_hh_num_in!S13)</f>
        <v>60947.468385084881</v>
      </c>
      <c r="T13" s="133">
        <f>IF(SER_hh_tes_in!T13=0,0,11630*1000*SER_hh_tes_in!T13/SER_hh_num_in!T13)</f>
        <v>56142.956066605468</v>
      </c>
      <c r="U13" s="133">
        <f>IF(SER_hh_tes_in!U13=0,0,11630*1000*SER_hh_tes_in!U13/SER_hh_num_in!U13)</f>
        <v>48758.089926376684</v>
      </c>
      <c r="V13" s="133">
        <f>IF(SER_hh_tes_in!V13=0,0,11630*1000*SER_hh_tes_in!V13/SER_hh_num_in!V13)</f>
        <v>44347.873899741564</v>
      </c>
      <c r="W13" s="133">
        <f>IF(SER_hh_tes_in!W13=0,0,11630*1000*SER_hh_tes_in!W13/SER_hh_num_in!W13)</f>
        <v>33556.519131733949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147204.48755483323</v>
      </c>
      <c r="D14" s="65">
        <f>IF(SER_hh_tes_in!D14=0,0,11630*1000*SER_hh_tes_in!D14/SER_hh_num_in!D14)</f>
        <v>141887.22385360507</v>
      </c>
      <c r="E14" s="65">
        <f>IF(SER_hh_tes_in!E14=0,0,11630*1000*SER_hh_tes_in!E14/SER_hh_num_in!E14)</f>
        <v>129222.15982605431</v>
      </c>
      <c r="F14" s="65">
        <f>IF(SER_hh_tes_in!F14=0,0,11630*1000*SER_hh_tes_in!F14/SER_hh_num_in!F14)</f>
        <v>125139.93702125666</v>
      </c>
      <c r="G14" s="65">
        <f>IF(SER_hh_tes_in!G14=0,0,11630*1000*SER_hh_tes_in!G14/SER_hh_num_in!G14)</f>
        <v>100916.67742478134</v>
      </c>
      <c r="H14" s="65">
        <f>IF(SER_hh_tes_in!H14=0,0,11630*1000*SER_hh_tes_in!H14/SER_hh_num_in!H14)</f>
        <v>104864.42772448763</v>
      </c>
      <c r="I14" s="65">
        <f>IF(SER_hh_tes_in!I14=0,0,11630*1000*SER_hh_tes_in!I14/SER_hh_num_in!I14)</f>
        <v>110801.17816029042</v>
      </c>
      <c r="J14" s="65">
        <f>IF(SER_hh_tes_in!J14=0,0,11630*1000*SER_hh_tes_in!J14/SER_hh_num_in!J14)</f>
        <v>104047.55885376196</v>
      </c>
      <c r="K14" s="65">
        <f>IF(SER_hh_tes_in!K14=0,0,11630*1000*SER_hh_tes_in!K14/SER_hh_num_in!K14)</f>
        <v>0</v>
      </c>
      <c r="L14" s="65">
        <f>IF(SER_hh_tes_in!L14=0,0,11630*1000*SER_hh_tes_in!L14/SER_hh_num_in!L14)</f>
        <v>99041.002179039831</v>
      </c>
      <c r="M14" s="65">
        <f>IF(SER_hh_tes_in!M14=0,0,11630*1000*SER_hh_tes_in!M14/SER_hh_num_in!M14)</f>
        <v>74451.372668082797</v>
      </c>
      <c r="N14" s="65">
        <f>IF(SER_hh_tes_in!N14=0,0,11630*1000*SER_hh_tes_in!N14/SER_hh_num_in!N14)</f>
        <v>81583.215499859842</v>
      </c>
      <c r="O14" s="65">
        <f>IF(SER_hh_tes_in!O14=0,0,11630*1000*SER_hh_tes_in!O14/SER_hh_num_in!O14)</f>
        <v>71870.032086186722</v>
      </c>
      <c r="P14" s="65">
        <f>IF(SER_hh_tes_in!P14=0,0,11630*1000*SER_hh_tes_in!P14/SER_hh_num_in!P14)</f>
        <v>70218.665368305679</v>
      </c>
      <c r="Q14" s="65">
        <f>IF(SER_hh_tes_in!Q14=0,0,11630*1000*SER_hh_tes_in!Q14/SER_hh_num_in!Q14)</f>
        <v>72737.353546320111</v>
      </c>
      <c r="R14" s="65">
        <f>IF(SER_hh_tes_in!R14=0,0,11630*1000*SER_hh_tes_in!R14/SER_hh_num_in!R14)</f>
        <v>73909.301123906247</v>
      </c>
      <c r="S14" s="65">
        <f>IF(SER_hh_tes_in!S14=0,0,11630*1000*SER_hh_tes_in!S14/SER_hh_num_in!S14)</f>
        <v>57369.036530254001</v>
      </c>
      <c r="T14" s="65">
        <f>IF(SER_hh_tes_in!T14=0,0,11630*1000*SER_hh_tes_in!T14/SER_hh_num_in!T14)</f>
        <v>57420.917480119373</v>
      </c>
      <c r="U14" s="65">
        <f>IF(SER_hh_tes_in!U14=0,0,11630*1000*SER_hh_tes_in!U14/SER_hh_num_in!U14)</f>
        <v>47310.971411943297</v>
      </c>
      <c r="V14" s="65">
        <f>IF(SER_hh_tes_in!V14=0,0,11630*1000*SER_hh_tes_in!V14/SER_hh_num_in!V14)</f>
        <v>42480.862286861877</v>
      </c>
      <c r="W14" s="65">
        <f>IF(SER_hh_tes_in!W14=0,0,11630*1000*SER_hh_tes_in!W14/SER_hh_num_in!W14)</f>
        <v>35954.270327799146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1109.9502419063679</v>
      </c>
      <c r="D15" s="135">
        <f>IF(SER_hh_tes_in!D15=0,0,11630*1000*SER_hh_tes_in!D15/SER_hh_num_in!D15)</f>
        <v>1265.712933624819</v>
      </c>
      <c r="E15" s="135">
        <f>IF(SER_hh_tes_in!E15=0,0,11630*1000*SER_hh_tes_in!E15/SER_hh_num_in!E15)</f>
        <v>954.83924380967551</v>
      </c>
      <c r="F15" s="135">
        <f>IF(SER_hh_tes_in!F15=0,0,11630*1000*SER_hh_tes_in!F15/SER_hh_num_in!F15)</f>
        <v>712.26608287957947</v>
      </c>
      <c r="G15" s="135">
        <f>IF(SER_hh_tes_in!G15=0,0,11630*1000*SER_hh_tes_in!G15/SER_hh_num_in!G15)</f>
        <v>621.84231880629841</v>
      </c>
      <c r="H15" s="135">
        <f>IF(SER_hh_tes_in!H15=0,0,11630*1000*SER_hh_tes_in!H15/SER_hh_num_in!H15)</f>
        <v>552.73229780844542</v>
      </c>
      <c r="I15" s="135">
        <f>IF(SER_hh_tes_in!I15=0,0,11630*1000*SER_hh_tes_in!I15/SER_hh_num_in!I15)</f>
        <v>447.9356116464109</v>
      </c>
      <c r="J15" s="135">
        <f>IF(SER_hh_tes_in!J15=0,0,11630*1000*SER_hh_tes_in!J15/SER_hh_num_in!J15)</f>
        <v>432.64248231836473</v>
      </c>
      <c r="K15" s="135">
        <f>IF(SER_hh_tes_in!K15=0,0,11630*1000*SER_hh_tes_in!K15/SER_hh_num_in!K15)</f>
        <v>509.11621380510206</v>
      </c>
      <c r="L15" s="135">
        <f>IF(SER_hh_tes_in!L15=0,0,11630*1000*SER_hh_tes_in!L15/SER_hh_num_in!L15)</f>
        <v>726.35750610281707</v>
      </c>
      <c r="M15" s="135">
        <f>IF(SER_hh_tes_in!M15=0,0,11630*1000*SER_hh_tes_in!M15/SER_hh_num_in!M15)</f>
        <v>677.42364617546809</v>
      </c>
      <c r="N15" s="135">
        <f>IF(SER_hh_tes_in!N15=0,0,11630*1000*SER_hh_tes_in!N15/SER_hh_num_in!N15)</f>
        <v>687.84851799745388</v>
      </c>
      <c r="O15" s="135">
        <f>IF(SER_hh_tes_in!O15=0,0,11630*1000*SER_hh_tes_in!O15/SER_hh_num_in!O15)</f>
        <v>536.00242182987847</v>
      </c>
      <c r="P15" s="135">
        <f>IF(SER_hh_tes_in!P15=0,0,11630*1000*SER_hh_tes_in!P15/SER_hh_num_in!P15)</f>
        <v>351.15130627780252</v>
      </c>
      <c r="Q15" s="135">
        <f>IF(SER_hh_tes_in!Q15=0,0,11630*1000*SER_hh_tes_in!Q15/SER_hh_num_in!Q15)</f>
        <v>316.67701209145361</v>
      </c>
      <c r="R15" s="135">
        <f>IF(SER_hh_tes_in!R15=0,0,11630*1000*SER_hh_tes_in!R15/SER_hh_num_in!R15)</f>
        <v>357.00972969097029</v>
      </c>
      <c r="S15" s="135">
        <f>IF(SER_hh_tes_in!S15=0,0,11630*1000*SER_hh_tes_in!S15/SER_hh_num_in!S15)</f>
        <v>367.40273666859167</v>
      </c>
      <c r="T15" s="135">
        <f>IF(SER_hh_tes_in!T15=0,0,11630*1000*SER_hh_tes_in!T15/SER_hh_num_in!T15)</f>
        <v>353.97535048400835</v>
      </c>
      <c r="U15" s="135">
        <f>IF(SER_hh_tes_in!U15=0,0,11630*1000*SER_hh_tes_in!U15/SER_hh_num_in!U15)</f>
        <v>321.99996058358181</v>
      </c>
      <c r="V15" s="135">
        <f>IF(SER_hh_tes_in!V15=0,0,11630*1000*SER_hh_tes_in!V15/SER_hh_num_in!V15)</f>
        <v>257.3350816114891</v>
      </c>
      <c r="W15" s="135">
        <f>IF(SER_hh_tes_in!W15=0,0,11630*1000*SER_hh_tes_in!W15/SER_hh_num_in!W15)</f>
        <v>166.11210911481172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22946.4767728683</v>
      </c>
      <c r="D16" s="131">
        <f>IF(SER_hh_tes_in!D16=0,0,11630*1000*SER_hh_tes_in!D16/SER_hh_num_in!D16)</f>
        <v>22777.934680369519</v>
      </c>
      <c r="E16" s="131">
        <f>IF(SER_hh_tes_in!E16=0,0,11630*1000*SER_hh_tes_in!E16/SER_hh_num_in!E16)</f>
        <v>22609.635329157234</v>
      </c>
      <c r="F16" s="131">
        <f>IF(SER_hh_tes_in!F16=0,0,11630*1000*SER_hh_tes_in!F16/SER_hh_num_in!F16)</f>
        <v>22435.617416832698</v>
      </c>
      <c r="G16" s="131">
        <f>IF(SER_hh_tes_in!G16=0,0,11630*1000*SER_hh_tes_in!G16/SER_hh_num_in!G16)</f>
        <v>22247.904661327619</v>
      </c>
      <c r="H16" s="131">
        <f>IF(SER_hh_tes_in!H16=0,0,11630*1000*SER_hh_tes_in!H16/SER_hh_num_in!H16)</f>
        <v>22057.039979097561</v>
      </c>
      <c r="I16" s="131">
        <f>IF(SER_hh_tes_in!I16=0,0,11630*1000*SER_hh_tes_in!I16/SER_hh_num_in!I16)</f>
        <v>21842.826814347995</v>
      </c>
      <c r="J16" s="131">
        <f>IF(SER_hh_tes_in!J16=0,0,11630*1000*SER_hh_tes_in!J16/SER_hh_num_in!J16)</f>
        <v>21760.328473040168</v>
      </c>
      <c r="K16" s="131">
        <f>IF(SER_hh_tes_in!K16=0,0,11630*1000*SER_hh_tes_in!K16/SER_hh_num_in!K16)</f>
        <v>21445.700435366281</v>
      </c>
      <c r="L16" s="131">
        <f>IF(SER_hh_tes_in!L16=0,0,11630*1000*SER_hh_tes_in!L16/SER_hh_num_in!L16)</f>
        <v>21446.38965859915</v>
      </c>
      <c r="M16" s="131">
        <f>IF(SER_hh_tes_in!M16=0,0,11630*1000*SER_hh_tes_in!M16/SER_hh_num_in!M16)</f>
        <v>20741.440049457495</v>
      </c>
      <c r="N16" s="131">
        <f>IF(SER_hh_tes_in!N16=0,0,11630*1000*SER_hh_tes_in!N16/SER_hh_num_in!N16)</f>
        <v>20315.127301235196</v>
      </c>
      <c r="O16" s="131">
        <f>IF(SER_hh_tes_in!O16=0,0,11630*1000*SER_hh_tes_in!O16/SER_hh_num_in!O16)</f>
        <v>19931.148747277839</v>
      </c>
      <c r="P16" s="131">
        <f>IF(SER_hh_tes_in!P16=0,0,11630*1000*SER_hh_tes_in!P16/SER_hh_num_in!P16)</f>
        <v>19728.169916883635</v>
      </c>
      <c r="Q16" s="131">
        <f>IF(SER_hh_tes_in!Q16=0,0,11630*1000*SER_hh_tes_in!Q16/SER_hh_num_in!Q16)</f>
        <v>19010.143802173421</v>
      </c>
      <c r="R16" s="131">
        <f>IF(SER_hh_tes_in!R16=0,0,11630*1000*SER_hh_tes_in!R16/SER_hh_num_in!R16)</f>
        <v>18564.799307279482</v>
      </c>
      <c r="S16" s="131">
        <f>IF(SER_hh_tes_in!S16=0,0,11630*1000*SER_hh_tes_in!S16/SER_hh_num_in!S16)</f>
        <v>18038.341959918827</v>
      </c>
      <c r="T16" s="131">
        <f>IF(SER_hh_tes_in!T16=0,0,11630*1000*SER_hh_tes_in!T16/SER_hh_num_in!T16)</f>
        <v>17602.101058619806</v>
      </c>
      <c r="U16" s="131">
        <f>IF(SER_hh_tes_in!U16=0,0,11630*1000*SER_hh_tes_in!U16/SER_hh_num_in!U16)</f>
        <v>16739.588953019651</v>
      </c>
      <c r="V16" s="131">
        <f>IF(SER_hh_tes_in!V16=0,0,11630*1000*SER_hh_tes_in!V16/SER_hh_num_in!V16)</f>
        <v>15794.600986526739</v>
      </c>
      <c r="W16" s="131">
        <f>IF(SER_hh_tes_in!W16=0,0,11630*1000*SER_hh_tes_in!W16/SER_hh_num_in!W16)</f>
        <v>13852.13824301109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22946.4767728683</v>
      </c>
      <c r="D18" s="133">
        <f>IF(SER_hh_tes_in!D18=0,0,11630*1000*SER_hh_tes_in!D18/SER_hh_num_in!D18)</f>
        <v>22777.934680369519</v>
      </c>
      <c r="E18" s="133">
        <f>IF(SER_hh_tes_in!E18=0,0,11630*1000*SER_hh_tes_in!E18/SER_hh_num_in!E18)</f>
        <v>22609.635329157234</v>
      </c>
      <c r="F18" s="133">
        <f>IF(SER_hh_tes_in!F18=0,0,11630*1000*SER_hh_tes_in!F18/SER_hh_num_in!F18)</f>
        <v>22435.617416832698</v>
      </c>
      <c r="G18" s="133">
        <f>IF(SER_hh_tes_in!G18=0,0,11630*1000*SER_hh_tes_in!G18/SER_hh_num_in!G18)</f>
        <v>22247.904661327619</v>
      </c>
      <c r="H18" s="133">
        <f>IF(SER_hh_tes_in!H18=0,0,11630*1000*SER_hh_tes_in!H18/SER_hh_num_in!H18)</f>
        <v>22057.039979097561</v>
      </c>
      <c r="I18" s="133">
        <f>IF(SER_hh_tes_in!I18=0,0,11630*1000*SER_hh_tes_in!I18/SER_hh_num_in!I18)</f>
        <v>21842.826814347995</v>
      </c>
      <c r="J18" s="133">
        <f>IF(SER_hh_tes_in!J18=0,0,11630*1000*SER_hh_tes_in!J18/SER_hh_num_in!J18)</f>
        <v>21760.328473040168</v>
      </c>
      <c r="K18" s="133">
        <f>IF(SER_hh_tes_in!K18=0,0,11630*1000*SER_hh_tes_in!K18/SER_hh_num_in!K18)</f>
        <v>21445.700435366281</v>
      </c>
      <c r="L18" s="133">
        <f>IF(SER_hh_tes_in!L18=0,0,11630*1000*SER_hh_tes_in!L18/SER_hh_num_in!L18)</f>
        <v>21446.38965859915</v>
      </c>
      <c r="M18" s="133">
        <f>IF(SER_hh_tes_in!M18=0,0,11630*1000*SER_hh_tes_in!M18/SER_hh_num_in!M18)</f>
        <v>20741.440049457495</v>
      </c>
      <c r="N18" s="133">
        <f>IF(SER_hh_tes_in!N18=0,0,11630*1000*SER_hh_tes_in!N18/SER_hh_num_in!N18)</f>
        <v>20315.127301235196</v>
      </c>
      <c r="O18" s="133">
        <f>IF(SER_hh_tes_in!O18=0,0,11630*1000*SER_hh_tes_in!O18/SER_hh_num_in!O18)</f>
        <v>19931.148747277839</v>
      </c>
      <c r="P18" s="133">
        <f>IF(SER_hh_tes_in!P18=0,0,11630*1000*SER_hh_tes_in!P18/SER_hh_num_in!P18)</f>
        <v>19728.169916883635</v>
      </c>
      <c r="Q18" s="133">
        <f>IF(SER_hh_tes_in!Q18=0,0,11630*1000*SER_hh_tes_in!Q18/SER_hh_num_in!Q18)</f>
        <v>19010.143802173421</v>
      </c>
      <c r="R18" s="133">
        <f>IF(SER_hh_tes_in!R18=0,0,11630*1000*SER_hh_tes_in!R18/SER_hh_num_in!R18)</f>
        <v>18564.799307279482</v>
      </c>
      <c r="S18" s="133">
        <f>IF(SER_hh_tes_in!S18=0,0,11630*1000*SER_hh_tes_in!S18/SER_hh_num_in!S18)</f>
        <v>18038.341959918827</v>
      </c>
      <c r="T18" s="133">
        <f>IF(SER_hh_tes_in!T18=0,0,11630*1000*SER_hh_tes_in!T18/SER_hh_num_in!T18)</f>
        <v>17602.101058619806</v>
      </c>
      <c r="U18" s="133">
        <f>IF(SER_hh_tes_in!U18=0,0,11630*1000*SER_hh_tes_in!U18/SER_hh_num_in!U18)</f>
        <v>16739.588953019651</v>
      </c>
      <c r="V18" s="133">
        <f>IF(SER_hh_tes_in!V18=0,0,11630*1000*SER_hh_tes_in!V18/SER_hh_num_in!V18)</f>
        <v>15794.600986526739</v>
      </c>
      <c r="W18" s="133">
        <f>IF(SER_hh_tes_in!W18=0,0,11630*1000*SER_hh_tes_in!W18/SER_hh_num_in!W18)</f>
        <v>13852.13824301109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16560.195005932776</v>
      </c>
      <c r="D19" s="131">
        <f>IF(SER_hh_tes_in!D19=0,0,11630*1000*SER_hh_tes_in!D19/SER_hh_num_in!D19)</f>
        <v>16380.613009587189</v>
      </c>
      <c r="E19" s="131">
        <f>IF(SER_hh_tes_in!E19=0,0,11630*1000*SER_hh_tes_in!E19/SER_hh_num_in!E19)</f>
        <v>16158.320225385381</v>
      </c>
      <c r="F19" s="131">
        <f>IF(SER_hh_tes_in!F19=0,0,11630*1000*SER_hh_tes_in!F19/SER_hh_num_in!F19)</f>
        <v>15976.327602440844</v>
      </c>
      <c r="G19" s="131">
        <f>IF(SER_hh_tes_in!G19=0,0,11630*1000*SER_hh_tes_in!G19/SER_hh_num_in!G19)</f>
        <v>16337.48759983852</v>
      </c>
      <c r="H19" s="131">
        <f>IF(SER_hh_tes_in!H19=0,0,11630*1000*SER_hh_tes_in!H19/SER_hh_num_in!H19)</f>
        <v>16006.256579059387</v>
      </c>
      <c r="I19" s="131">
        <f>IF(SER_hh_tes_in!I19=0,0,11630*1000*SER_hh_tes_in!I19/SER_hh_num_in!I19)</f>
        <v>15960.200905891244</v>
      </c>
      <c r="J19" s="131">
        <f>IF(SER_hh_tes_in!J19=0,0,11630*1000*SER_hh_tes_in!J19/SER_hh_num_in!J19)</f>
        <v>15863.850737924557</v>
      </c>
      <c r="K19" s="131">
        <f>IF(SER_hh_tes_in!K19=0,0,11630*1000*SER_hh_tes_in!K19/SER_hh_num_in!K19)</f>
        <v>16098.846601267132</v>
      </c>
      <c r="L19" s="131">
        <f>IF(SER_hh_tes_in!L19=0,0,11630*1000*SER_hh_tes_in!L19/SER_hh_num_in!L19)</f>
        <v>15878.600708159409</v>
      </c>
      <c r="M19" s="131">
        <f>IF(SER_hh_tes_in!M19=0,0,11630*1000*SER_hh_tes_in!M19/SER_hh_num_in!M19)</f>
        <v>15462.321625462417</v>
      </c>
      <c r="N19" s="131">
        <f>IF(SER_hh_tes_in!N19=0,0,11630*1000*SER_hh_tes_in!N19/SER_hh_num_in!N19)</f>
        <v>16123.958146939878</v>
      </c>
      <c r="O19" s="131">
        <f>IF(SER_hh_tes_in!O19=0,0,11630*1000*SER_hh_tes_in!O19/SER_hh_num_in!O19)</f>
        <v>15999.629178649975</v>
      </c>
      <c r="P19" s="131">
        <f>IF(SER_hh_tes_in!P19=0,0,11630*1000*SER_hh_tes_in!P19/SER_hh_num_in!P19)</f>
        <v>15688.777521704396</v>
      </c>
      <c r="Q19" s="131">
        <f>IF(SER_hh_tes_in!Q19=0,0,11630*1000*SER_hh_tes_in!Q19/SER_hh_num_in!Q19)</f>
        <v>15653.480383780581</v>
      </c>
      <c r="R19" s="131">
        <f>IF(SER_hh_tes_in!R19=0,0,11630*1000*SER_hh_tes_in!R19/SER_hh_num_in!R19)</f>
        <v>15612.860152176967</v>
      </c>
      <c r="S19" s="131">
        <f>IF(SER_hh_tes_in!S19=0,0,11630*1000*SER_hh_tes_in!S19/SER_hh_num_in!S19)</f>
        <v>15171.85569206818</v>
      </c>
      <c r="T19" s="131">
        <f>IF(SER_hh_tes_in!T19=0,0,11630*1000*SER_hh_tes_in!T19/SER_hh_num_in!T19)</f>
        <v>15090.646925110295</v>
      </c>
      <c r="U19" s="131">
        <f>IF(SER_hh_tes_in!U19=0,0,11630*1000*SER_hh_tes_in!U19/SER_hh_num_in!U19)</f>
        <v>14922.548351765576</v>
      </c>
      <c r="V19" s="131">
        <f>IF(SER_hh_tes_in!V19=0,0,11630*1000*SER_hh_tes_in!V19/SER_hh_num_in!V19)</f>
        <v>14356.211702040808</v>
      </c>
      <c r="W19" s="131">
        <f>IF(SER_hh_tes_in!W19=0,0,11630*1000*SER_hh_tes_in!W19/SER_hh_num_in!W19)</f>
        <v>14062.568880775212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16669.888119818432</v>
      </c>
      <c r="D22" s="133">
        <f>IF(SER_hh_tes_in!D22=0,0,11630*1000*SER_hh_tes_in!D22/SER_hh_num_in!D22)</f>
        <v>16502.043966218331</v>
      </c>
      <c r="E22" s="133">
        <f>IF(SER_hh_tes_in!E22=0,0,11630*1000*SER_hh_tes_in!E22/SER_hh_num_in!E22)</f>
        <v>17100.325921324715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0</v>
      </c>
      <c r="J22" s="133">
        <f>IF(SER_hh_tes_in!J22=0,0,11630*1000*SER_hh_tes_in!J22/SER_hh_num_in!J22)</f>
        <v>0</v>
      </c>
      <c r="K22" s="133">
        <f>IF(SER_hh_tes_in!K22=0,0,11630*1000*SER_hh_tes_in!K22/SER_hh_num_in!K22)</f>
        <v>0</v>
      </c>
      <c r="L22" s="133">
        <f>IF(SER_hh_tes_in!L22=0,0,11630*1000*SER_hh_tes_in!L22/SER_hh_num_in!L22)</f>
        <v>0</v>
      </c>
      <c r="M22" s="133">
        <f>IF(SER_hh_tes_in!M22=0,0,11630*1000*SER_hh_tes_in!M22/SER_hh_num_in!M22)</f>
        <v>13643.313763136828</v>
      </c>
      <c r="N22" s="133">
        <f>IF(SER_hh_tes_in!N22=0,0,11630*1000*SER_hh_tes_in!N22/SER_hh_num_in!N22)</f>
        <v>17464.309212334516</v>
      </c>
      <c r="O22" s="133">
        <f>IF(SER_hh_tes_in!O22=0,0,11630*1000*SER_hh_tes_in!O22/SER_hh_num_in!O22)</f>
        <v>17587.363367423684</v>
      </c>
      <c r="P22" s="133">
        <f>IF(SER_hh_tes_in!P22=0,0,11630*1000*SER_hh_tes_in!P22/SER_hh_num_in!P22)</f>
        <v>12532.788694404779</v>
      </c>
      <c r="Q22" s="133">
        <f>IF(SER_hh_tes_in!Q22=0,0,11630*1000*SER_hh_tes_in!Q22/SER_hh_num_in!Q22)</f>
        <v>16568.310521981646</v>
      </c>
      <c r="R22" s="133">
        <f>IF(SER_hh_tes_in!R22=0,0,11630*1000*SER_hh_tes_in!R22/SER_hh_num_in!R22)</f>
        <v>15743.606994386633</v>
      </c>
      <c r="S22" s="133">
        <f>IF(SER_hh_tes_in!S22=0,0,11630*1000*SER_hh_tes_in!S22/SER_hh_num_in!S22)</f>
        <v>15544.896705247305</v>
      </c>
      <c r="T22" s="133">
        <f>IF(SER_hh_tes_in!T22=0,0,11630*1000*SER_hh_tes_in!T22/SER_hh_num_in!T22)</f>
        <v>15547.836657004942</v>
      </c>
      <c r="U22" s="133">
        <f>IF(SER_hh_tes_in!U22=0,0,11630*1000*SER_hh_tes_in!U22/SER_hh_num_in!U22)</f>
        <v>14978.669678986596</v>
      </c>
      <c r="V22" s="133">
        <f>IF(SER_hh_tes_in!V22=0,0,11630*1000*SER_hh_tes_in!V22/SER_hh_num_in!V22)</f>
        <v>14867.763048368613</v>
      </c>
      <c r="W22" s="133">
        <f>IF(SER_hh_tes_in!W22=0,0,11630*1000*SER_hh_tes_in!W22/SER_hh_num_in!W22)</f>
        <v>0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15092.834044737006</v>
      </c>
      <c r="D23" s="133">
        <f>IF(SER_hh_tes_in!D23=0,0,11630*1000*SER_hh_tes_in!D23/SER_hh_num_in!D23)</f>
        <v>16372.910123240326</v>
      </c>
      <c r="E23" s="133">
        <f>IF(SER_hh_tes_in!E23=0,0,11630*1000*SER_hh_tes_in!E23/SER_hh_num_in!E23)</f>
        <v>17150.626879478386</v>
      </c>
      <c r="F23" s="133">
        <f>IF(SER_hh_tes_in!F23=0,0,11630*1000*SER_hh_tes_in!F23/SER_hh_num_in!F23)</f>
        <v>15204.982188716951</v>
      </c>
      <c r="G23" s="133">
        <f>IF(SER_hh_tes_in!G23=0,0,11630*1000*SER_hh_tes_in!G23/SER_hh_num_in!G23)</f>
        <v>15473.941108845249</v>
      </c>
      <c r="H23" s="133">
        <f>IF(SER_hh_tes_in!H23=0,0,11630*1000*SER_hh_tes_in!H23/SER_hh_num_in!H23)</f>
        <v>17156.005998944835</v>
      </c>
      <c r="I23" s="133">
        <f>IF(SER_hh_tes_in!I23=0,0,11630*1000*SER_hh_tes_in!I23/SER_hh_num_in!I23)</f>
        <v>15848.164338962693</v>
      </c>
      <c r="J23" s="133">
        <f>IF(SER_hh_tes_in!J23=0,0,11630*1000*SER_hh_tes_in!J23/SER_hh_num_in!J23)</f>
        <v>16282.961431526965</v>
      </c>
      <c r="K23" s="133">
        <f>IF(SER_hh_tes_in!K23=0,0,11630*1000*SER_hh_tes_in!K23/SER_hh_num_in!K23)</f>
        <v>15757.013582256435</v>
      </c>
      <c r="L23" s="133">
        <f>IF(SER_hh_tes_in!L23=0,0,11630*1000*SER_hh_tes_in!L23/SER_hh_num_in!L23)</f>
        <v>16031.5237471895</v>
      </c>
      <c r="M23" s="133">
        <f>IF(SER_hh_tes_in!M23=0,0,11630*1000*SER_hh_tes_in!M23/SER_hh_num_in!M23)</f>
        <v>15641.986633337097</v>
      </c>
      <c r="N23" s="133">
        <f>IF(SER_hh_tes_in!N23=0,0,11630*1000*SER_hh_tes_in!N23/SER_hh_num_in!N23)</f>
        <v>15595.085401224374</v>
      </c>
      <c r="O23" s="133">
        <f>IF(SER_hh_tes_in!O23=0,0,11630*1000*SER_hh_tes_in!O23/SER_hh_num_in!O23)</f>
        <v>15608.709241282502</v>
      </c>
      <c r="P23" s="133">
        <f>IF(SER_hh_tes_in!P23=0,0,11630*1000*SER_hh_tes_in!P23/SER_hh_num_in!P23)</f>
        <v>16100.239703583142</v>
      </c>
      <c r="Q23" s="133">
        <f>IF(SER_hh_tes_in!Q23=0,0,11630*1000*SER_hh_tes_in!Q23/SER_hh_num_in!Q23)</f>
        <v>16189.804205066876</v>
      </c>
      <c r="R23" s="133">
        <f>IF(SER_hh_tes_in!R23=0,0,11630*1000*SER_hh_tes_in!R23/SER_hh_num_in!R23)</f>
        <v>17342.662771715917</v>
      </c>
      <c r="S23" s="133">
        <f>IF(SER_hh_tes_in!S23=0,0,11630*1000*SER_hh_tes_in!S23/SER_hh_num_in!S23)</f>
        <v>10102.643051663441</v>
      </c>
      <c r="T23" s="133">
        <f>IF(SER_hh_tes_in!T23=0,0,11630*1000*SER_hh_tes_in!T23/SER_hh_num_in!T23)</f>
        <v>13585.003881861841</v>
      </c>
      <c r="U23" s="133">
        <f>IF(SER_hh_tes_in!U23=0,0,11630*1000*SER_hh_tes_in!U23/SER_hh_num_in!U23)</f>
        <v>16670.690760129688</v>
      </c>
      <c r="V23" s="133">
        <f>IF(SER_hh_tes_in!V23=0,0,11630*1000*SER_hh_tes_in!V23/SER_hh_num_in!V23)</f>
        <v>14906.257869757594</v>
      </c>
      <c r="W23" s="133">
        <f>IF(SER_hh_tes_in!W23=0,0,11630*1000*SER_hh_tes_in!W23/SER_hh_num_in!W23)</f>
        <v>14389.440351458377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16491.553231606078</v>
      </c>
      <c r="D25" s="133">
        <f>IF(SER_hh_tes_in!D25=0,0,11630*1000*SER_hh_tes_in!D25/SER_hh_num_in!D25)</f>
        <v>16205.59998497645</v>
      </c>
      <c r="E25" s="133">
        <f>IF(SER_hh_tes_in!E25=0,0,11630*1000*SER_hh_tes_in!E25/SER_hh_num_in!E25)</f>
        <v>15944.787610472496</v>
      </c>
      <c r="F25" s="133">
        <f>IF(SER_hh_tes_in!F25=0,0,11630*1000*SER_hh_tes_in!F25/SER_hh_num_in!F25)</f>
        <v>16049.584848919651</v>
      </c>
      <c r="G25" s="133">
        <f>IF(SER_hh_tes_in!G25=0,0,11630*1000*SER_hh_tes_in!G25/SER_hh_num_in!G25)</f>
        <v>16324.84579105692</v>
      </c>
      <c r="H25" s="133">
        <f>IF(SER_hh_tes_in!H25=0,0,11630*1000*SER_hh_tes_in!H25/SER_hh_num_in!H25)</f>
        <v>16357.46037356192</v>
      </c>
      <c r="I25" s="133">
        <f>IF(SER_hh_tes_in!I25=0,0,11630*1000*SER_hh_tes_in!I25/SER_hh_num_in!I25)</f>
        <v>15806.446237951081</v>
      </c>
      <c r="J25" s="133">
        <f>IF(SER_hh_tes_in!J25=0,0,11630*1000*SER_hh_tes_in!J25/SER_hh_num_in!J25)</f>
        <v>15979.010560720706</v>
      </c>
      <c r="K25" s="133">
        <f>IF(SER_hh_tes_in!K25=0,0,11630*1000*SER_hh_tes_in!K25/SER_hh_num_in!K25)</f>
        <v>15865.772231382891</v>
      </c>
      <c r="L25" s="133">
        <f>IF(SER_hh_tes_in!L25=0,0,11630*1000*SER_hh_tes_in!L25/SER_hh_num_in!L25)</f>
        <v>15671.691202176391</v>
      </c>
      <c r="M25" s="133">
        <f>IF(SER_hh_tes_in!M25=0,0,11630*1000*SER_hh_tes_in!M25/SER_hh_num_in!M25)</f>
        <v>15747.184164230441</v>
      </c>
      <c r="N25" s="133">
        <f>IF(SER_hh_tes_in!N25=0,0,11630*1000*SER_hh_tes_in!N25/SER_hh_num_in!N25)</f>
        <v>15972.017515523425</v>
      </c>
      <c r="O25" s="133">
        <f>IF(SER_hh_tes_in!O25=0,0,11630*1000*SER_hh_tes_in!O25/SER_hh_num_in!O25)</f>
        <v>15767.952455624207</v>
      </c>
      <c r="P25" s="133">
        <f>IF(SER_hh_tes_in!P25=0,0,11630*1000*SER_hh_tes_in!P25/SER_hh_num_in!P25)</f>
        <v>15606.62812782995</v>
      </c>
      <c r="Q25" s="133">
        <f>IF(SER_hh_tes_in!Q25=0,0,11630*1000*SER_hh_tes_in!Q25/SER_hh_num_in!Q25)</f>
        <v>15337.96299444555</v>
      </c>
      <c r="R25" s="133">
        <f>IF(SER_hh_tes_in!R25=0,0,11630*1000*SER_hh_tes_in!R25/SER_hh_num_in!R25)</f>
        <v>15898.676532279642</v>
      </c>
      <c r="S25" s="133">
        <f>IF(SER_hh_tes_in!S25=0,0,11630*1000*SER_hh_tes_in!S25/SER_hh_num_in!S25)</f>
        <v>14895.009693708451</v>
      </c>
      <c r="T25" s="133">
        <f>IF(SER_hh_tes_in!T25=0,0,11630*1000*SER_hh_tes_in!T25/SER_hh_num_in!T25)</f>
        <v>15418.973359401021</v>
      </c>
      <c r="U25" s="133">
        <f>IF(SER_hh_tes_in!U25=0,0,11630*1000*SER_hh_tes_in!U25/SER_hh_num_in!U25)</f>
        <v>15124.340886040569</v>
      </c>
      <c r="V25" s="133">
        <f>IF(SER_hh_tes_in!V25=0,0,11630*1000*SER_hh_tes_in!V25/SER_hh_num_in!V25)</f>
        <v>13040.308195353175</v>
      </c>
      <c r="W25" s="133">
        <f>IF(SER_hh_tes_in!W25=0,0,11630*1000*SER_hh_tes_in!W25/SER_hh_num_in!W25)</f>
        <v>15906.258300916481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16618.757023657432</v>
      </c>
      <c r="D26" s="65">
        <f>IF(SER_hh_tes_in!D26=0,0,11630*1000*SER_hh_tes_in!D26/SER_hh_num_in!D26)</f>
        <v>16552.803952617072</v>
      </c>
      <c r="E26" s="65">
        <f>IF(SER_hh_tes_in!E26=0,0,11630*1000*SER_hh_tes_in!E26/SER_hh_num_in!E26)</f>
        <v>16327.069363178371</v>
      </c>
      <c r="F26" s="65">
        <f>IF(SER_hh_tes_in!F26=0,0,11630*1000*SER_hh_tes_in!F26/SER_hh_num_in!F26)</f>
        <v>15876.125481777375</v>
      </c>
      <c r="G26" s="65">
        <f>IF(SER_hh_tes_in!G26=0,0,11630*1000*SER_hh_tes_in!G26/SER_hh_num_in!G26)</f>
        <v>16393.328216323931</v>
      </c>
      <c r="H26" s="65">
        <f>IF(SER_hh_tes_in!H26=0,0,11630*1000*SER_hh_tes_in!H26/SER_hh_num_in!H26)</f>
        <v>15382.920420935106</v>
      </c>
      <c r="I26" s="65">
        <f>IF(SER_hh_tes_in!I26=0,0,11630*1000*SER_hh_tes_in!I26/SER_hh_num_in!I26)</f>
        <v>16104.065791306757</v>
      </c>
      <c r="J26" s="65">
        <f>IF(SER_hh_tes_in!J26=0,0,11630*1000*SER_hh_tes_in!J26/SER_hh_num_in!J26)</f>
        <v>15753.945032822397</v>
      </c>
      <c r="K26" s="65">
        <f>IF(SER_hh_tes_in!K26=0,0,11630*1000*SER_hh_tes_in!K26/SER_hh_num_in!K26)</f>
        <v>16298.803484186908</v>
      </c>
      <c r="L26" s="65">
        <f>IF(SER_hh_tes_in!L26=0,0,11630*1000*SER_hh_tes_in!L26/SER_hh_num_in!L26)</f>
        <v>16146.243386629736</v>
      </c>
      <c r="M26" s="65">
        <f>IF(SER_hh_tes_in!M26=0,0,11630*1000*SER_hh_tes_in!M26/SER_hh_num_in!M26)</f>
        <v>15919.802081012182</v>
      </c>
      <c r="N26" s="65">
        <f>IF(SER_hh_tes_in!N26=0,0,11630*1000*SER_hh_tes_in!N26/SER_hh_num_in!N26)</f>
        <v>15339.946208092388</v>
      </c>
      <c r="O26" s="65">
        <f>IF(SER_hh_tes_in!O26=0,0,11630*1000*SER_hh_tes_in!O26/SER_hh_num_in!O26)</f>
        <v>15492.402155101243</v>
      </c>
      <c r="P26" s="65">
        <f>IF(SER_hh_tes_in!P26=0,0,11630*1000*SER_hh_tes_in!P26/SER_hh_num_in!P26)</f>
        <v>16274.809636047639</v>
      </c>
      <c r="Q26" s="65">
        <f>IF(SER_hh_tes_in!Q26=0,0,11630*1000*SER_hh_tes_in!Q26/SER_hh_num_in!Q26)</f>
        <v>15728.235161106331</v>
      </c>
      <c r="R26" s="65">
        <f>IF(SER_hh_tes_in!R26=0,0,11630*1000*SER_hh_tes_in!R26/SER_hh_num_in!R26)</f>
        <v>14668.349997617823</v>
      </c>
      <c r="S26" s="65">
        <f>IF(SER_hh_tes_in!S26=0,0,11630*1000*SER_hh_tes_in!S26/SER_hh_num_in!S26)</f>
        <v>15620.469057272658</v>
      </c>
      <c r="T26" s="65">
        <f>IF(SER_hh_tes_in!T26=0,0,11630*1000*SER_hh_tes_in!T26/SER_hh_num_in!T26)</f>
        <v>14656.52018421659</v>
      </c>
      <c r="U26" s="65">
        <f>IF(SER_hh_tes_in!U26=0,0,11630*1000*SER_hh_tes_in!U26/SER_hh_num_in!U26)</f>
        <v>14531.468079860775</v>
      </c>
      <c r="V26" s="65">
        <f>IF(SER_hh_tes_in!V26=0,0,11630*1000*SER_hh_tes_in!V26/SER_hh_num_in!V26)</f>
        <v>15940.742556229552</v>
      </c>
      <c r="W26" s="65">
        <f>IF(SER_hh_tes_in!W26=0,0,11630*1000*SER_hh_tes_in!W26/SER_hh_num_in!W26)</f>
        <v>12600.840752006819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0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0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14981.194591026584</v>
      </c>
      <c r="D29" s="131">
        <f>IF(SER_hh_tes_in!D29=0,0,11630*1000*SER_hh_tes_in!D29/SER_hh_num_in!D29)</f>
        <v>15019.831365214706</v>
      </c>
      <c r="E29" s="131">
        <f>IF(SER_hh_tes_in!E29=0,0,11630*1000*SER_hh_tes_in!E29/SER_hh_num_in!E29)</f>
        <v>15166.992924744316</v>
      </c>
      <c r="F29" s="131">
        <f>IF(SER_hh_tes_in!F29=0,0,11630*1000*SER_hh_tes_in!F29/SER_hh_num_in!F29)</f>
        <v>15270.763854279447</v>
      </c>
      <c r="G29" s="131">
        <f>IF(SER_hh_tes_in!G29=0,0,11630*1000*SER_hh_tes_in!G29/SER_hh_num_in!G29)</f>
        <v>14310.290094131302</v>
      </c>
      <c r="H29" s="131">
        <f>IF(SER_hh_tes_in!H29=0,0,11630*1000*SER_hh_tes_in!H29/SER_hh_num_in!H29)</f>
        <v>15531.188420374045</v>
      </c>
      <c r="I29" s="131">
        <f>IF(SER_hh_tes_in!I29=0,0,11630*1000*SER_hh_tes_in!I29/SER_hh_num_in!I29)</f>
        <v>16677.051054202628</v>
      </c>
      <c r="J29" s="131">
        <f>IF(SER_hh_tes_in!J29=0,0,11630*1000*SER_hh_tes_in!J29/SER_hh_num_in!J29)</f>
        <v>15749.262606642764</v>
      </c>
      <c r="K29" s="131">
        <f>IF(SER_hh_tes_in!K29=0,0,11630*1000*SER_hh_tes_in!K29/SER_hh_num_in!K29)</f>
        <v>16801.967589152478</v>
      </c>
      <c r="L29" s="131">
        <f>IF(SER_hh_tes_in!L29=0,0,11630*1000*SER_hh_tes_in!L29/SER_hh_num_in!L29)</f>
        <v>15673.403243026725</v>
      </c>
      <c r="M29" s="131">
        <f>IF(SER_hh_tes_in!M29=0,0,11630*1000*SER_hh_tes_in!M29/SER_hh_num_in!M29)</f>
        <v>15284.476509876549</v>
      </c>
      <c r="N29" s="131">
        <f>IF(SER_hh_tes_in!N29=0,0,11630*1000*SER_hh_tes_in!N29/SER_hh_num_in!N29)</f>
        <v>17125.632757385807</v>
      </c>
      <c r="O29" s="131">
        <f>IF(SER_hh_tes_in!O29=0,0,11630*1000*SER_hh_tes_in!O29/SER_hh_num_in!O29)</f>
        <v>16420.587352296709</v>
      </c>
      <c r="P29" s="131">
        <f>IF(SER_hh_tes_in!P29=0,0,11630*1000*SER_hh_tes_in!P29/SER_hh_num_in!P29)</f>
        <v>16058.026905178252</v>
      </c>
      <c r="Q29" s="131">
        <f>IF(SER_hh_tes_in!Q29=0,0,11630*1000*SER_hh_tes_in!Q29/SER_hh_num_in!Q29)</f>
        <v>16303.831863427107</v>
      </c>
      <c r="R29" s="131">
        <f>IF(SER_hh_tes_in!R29=0,0,11630*1000*SER_hh_tes_in!R29/SER_hh_num_in!R29)</f>
        <v>16324.185446837124</v>
      </c>
      <c r="S29" s="131">
        <f>IF(SER_hh_tes_in!S29=0,0,11630*1000*SER_hh_tes_in!S29/SER_hh_num_in!S29)</f>
        <v>16350.696147784734</v>
      </c>
      <c r="T29" s="131">
        <f>IF(SER_hh_tes_in!T29=0,0,11630*1000*SER_hh_tes_in!T29/SER_hh_num_in!T29)</f>
        <v>16323.582156361726</v>
      </c>
      <c r="U29" s="131">
        <f>IF(SER_hh_tes_in!U29=0,0,11630*1000*SER_hh_tes_in!U29/SER_hh_num_in!U29)</f>
        <v>16528.152482565205</v>
      </c>
      <c r="V29" s="131">
        <f>IF(SER_hh_tes_in!V29=0,0,11630*1000*SER_hh_tes_in!V29/SER_hh_num_in!V29)</f>
        <v>15744.838883021099</v>
      </c>
      <c r="W29" s="131">
        <f>IF(SER_hh_tes_in!W29=0,0,11630*1000*SER_hh_tes_in!W29/SER_hh_num_in!W29)</f>
        <v>15903.23146377251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18395.840827866996</v>
      </c>
      <c r="D30" s="133">
        <f>IF(SER_hh_tes_in!D30=0,0,11630*1000*SER_hh_tes_in!D30/SER_hh_num_in!D30)</f>
        <v>15700.826734195945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12860.079411910578</v>
      </c>
      <c r="G30" s="133">
        <f>IF(SER_hh_tes_in!G30=0,0,11630*1000*SER_hh_tes_in!G30/SER_hh_num_in!G30)</f>
        <v>10952.15578713471</v>
      </c>
      <c r="H30" s="133">
        <f>IF(SER_hh_tes_in!H30=0,0,11630*1000*SER_hh_tes_in!H30/SER_hh_num_in!H30)</f>
        <v>15661.836144224208</v>
      </c>
      <c r="I30" s="133">
        <f>IF(SER_hh_tes_in!I30=0,0,11630*1000*SER_hh_tes_in!I30/SER_hh_num_in!I30)</f>
        <v>19346.026411529019</v>
      </c>
      <c r="J30" s="133">
        <f>IF(SER_hh_tes_in!J30=0,0,11630*1000*SER_hh_tes_in!J30/SER_hh_num_in!J30)</f>
        <v>17086.819848429339</v>
      </c>
      <c r="K30" s="133">
        <f>IF(SER_hh_tes_in!K30=0,0,11630*1000*SER_hh_tes_in!K30/SER_hh_num_in!K30)</f>
        <v>11965.047200323193</v>
      </c>
      <c r="L30" s="133">
        <f>IF(SER_hh_tes_in!L30=0,0,11630*1000*SER_hh_tes_in!L30/SER_hh_num_in!L30)</f>
        <v>19281.821778733876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0</v>
      </c>
      <c r="O30" s="133">
        <f>IF(SER_hh_tes_in!O30=0,0,11630*1000*SER_hh_tes_in!O30/SER_hh_num_in!O30)</f>
        <v>0</v>
      </c>
      <c r="P30" s="133">
        <f>IF(SER_hh_tes_in!P30=0,0,11630*1000*SER_hh_tes_in!P30/SER_hh_num_in!P30)</f>
        <v>0</v>
      </c>
      <c r="Q30" s="133">
        <f>IF(SER_hh_tes_in!Q30=0,0,11630*1000*SER_hh_tes_in!Q30/SER_hh_num_in!Q30)</f>
        <v>0</v>
      </c>
      <c r="R30" s="133">
        <f>IF(SER_hh_tes_in!R30=0,0,11630*1000*SER_hh_tes_in!R30/SER_hh_num_in!R30)</f>
        <v>0</v>
      </c>
      <c r="S30" s="133">
        <f>IF(SER_hh_tes_in!S30=0,0,11630*1000*SER_hh_tes_in!S30/SER_hh_num_in!S30)</f>
        <v>16404.62309354468</v>
      </c>
      <c r="T30" s="133">
        <f>IF(SER_hh_tes_in!T30=0,0,11630*1000*SER_hh_tes_in!T30/SER_hh_num_in!T30)</f>
        <v>16077.088340270937</v>
      </c>
      <c r="U30" s="133">
        <f>IF(SER_hh_tes_in!U30=0,0,11630*1000*SER_hh_tes_in!U30/SER_hh_num_in!U30)</f>
        <v>16200.100824230185</v>
      </c>
      <c r="V30" s="133">
        <f>IF(SER_hh_tes_in!V30=0,0,11630*1000*SER_hh_tes_in!V30/SER_hh_num_in!V30)</f>
        <v>15979.215619733357</v>
      </c>
      <c r="W30" s="133">
        <f>IF(SER_hh_tes_in!W30=0,0,11630*1000*SER_hh_tes_in!W30/SER_hh_num_in!W30)</f>
        <v>15854.193863822687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14401.55425066542</v>
      </c>
      <c r="D31" s="133">
        <f>IF(SER_hh_tes_in!D31=0,0,11630*1000*SER_hh_tes_in!D31/SER_hh_num_in!D31)</f>
        <v>14982.16229111802</v>
      </c>
      <c r="E31" s="133">
        <f>IF(SER_hh_tes_in!E31=0,0,11630*1000*SER_hh_tes_in!E31/SER_hh_num_in!E31)</f>
        <v>15605.66943572858</v>
      </c>
      <c r="F31" s="133">
        <f>IF(SER_hh_tes_in!F31=0,0,11630*1000*SER_hh_tes_in!F31/SER_hh_num_in!F31)</f>
        <v>15271.852610362266</v>
      </c>
      <c r="G31" s="133">
        <f>IF(SER_hh_tes_in!G31=0,0,11630*1000*SER_hh_tes_in!G31/SER_hh_num_in!G31)</f>
        <v>15329.505985112148</v>
      </c>
      <c r="H31" s="133">
        <f>IF(SER_hh_tes_in!H31=0,0,11630*1000*SER_hh_tes_in!H31/SER_hh_num_in!H31)</f>
        <v>15544.579763813037</v>
      </c>
      <c r="I31" s="133">
        <f>IF(SER_hh_tes_in!I31=0,0,11630*1000*SER_hh_tes_in!I31/SER_hh_num_in!I31)</f>
        <v>15802.57577708409</v>
      </c>
      <c r="J31" s="133">
        <f>IF(SER_hh_tes_in!J31=0,0,11630*1000*SER_hh_tes_in!J31/SER_hh_num_in!J31)</f>
        <v>16498.57339421078</v>
      </c>
      <c r="K31" s="133">
        <f>IF(SER_hh_tes_in!K31=0,0,11630*1000*SER_hh_tes_in!K31/SER_hh_num_in!K31)</f>
        <v>16118.212272734927</v>
      </c>
      <c r="L31" s="133">
        <f>IF(SER_hh_tes_in!L31=0,0,11630*1000*SER_hh_tes_in!L31/SER_hh_num_in!L31)</f>
        <v>15272.899328622036</v>
      </c>
      <c r="M31" s="133">
        <f>IF(SER_hh_tes_in!M31=0,0,11630*1000*SER_hh_tes_in!M31/SER_hh_num_in!M31)</f>
        <v>15911.614295192903</v>
      </c>
      <c r="N31" s="133">
        <f>IF(SER_hh_tes_in!N31=0,0,11630*1000*SER_hh_tes_in!N31/SER_hh_num_in!N31)</f>
        <v>15973.758230774029</v>
      </c>
      <c r="O31" s="133">
        <f>IF(SER_hh_tes_in!O31=0,0,11630*1000*SER_hh_tes_in!O31/SER_hh_num_in!O31)</f>
        <v>16032.321201738276</v>
      </c>
      <c r="P31" s="133">
        <f>IF(SER_hh_tes_in!P31=0,0,11630*1000*SER_hh_tes_in!P31/SER_hh_num_in!P31)</f>
        <v>16605.758999448757</v>
      </c>
      <c r="Q31" s="133">
        <f>IF(SER_hh_tes_in!Q31=0,0,11630*1000*SER_hh_tes_in!Q31/SER_hh_num_in!Q31)</f>
        <v>16496.942116945625</v>
      </c>
      <c r="R31" s="133">
        <f>IF(SER_hh_tes_in!R31=0,0,11630*1000*SER_hh_tes_in!R31/SER_hh_num_in!R31)</f>
        <v>18280.037000789569</v>
      </c>
      <c r="S31" s="133">
        <f>IF(SER_hh_tes_in!S31=0,0,11630*1000*SER_hh_tes_in!S31/SER_hh_num_in!S31)</f>
        <v>10791.786656501827</v>
      </c>
      <c r="T31" s="133">
        <f>IF(SER_hh_tes_in!T31=0,0,11630*1000*SER_hh_tes_in!T31/SER_hh_num_in!T31)</f>
        <v>15027.442901847035</v>
      </c>
      <c r="U31" s="133">
        <f>IF(SER_hh_tes_in!U31=0,0,11630*1000*SER_hh_tes_in!U31/SER_hh_num_in!U31)</f>
        <v>18671.114821600109</v>
      </c>
      <c r="V31" s="133">
        <f>IF(SER_hh_tes_in!V31=0,0,11630*1000*SER_hh_tes_in!V31/SER_hh_num_in!V31)</f>
        <v>15211.415550583786</v>
      </c>
      <c r="W31" s="133">
        <f>IF(SER_hh_tes_in!W31=0,0,11630*1000*SER_hh_tes_in!W31/SER_hh_num_in!W31)</f>
        <v>16313.444846731165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14606.342145430532</v>
      </c>
      <c r="D33" s="68">
        <f>IF(SER_hh_tes_in!D33=0,0,11630*1000*SER_hh_tes_in!D33/SER_hh_num_in!D33)</f>
        <v>14959.203407777184</v>
      </c>
      <c r="E33" s="68">
        <f>IF(SER_hh_tes_in!E33=0,0,11630*1000*SER_hh_tes_in!E33/SER_hh_num_in!E33)</f>
        <v>15149.599489959603</v>
      </c>
      <c r="F33" s="68">
        <f>IF(SER_hh_tes_in!F33=0,0,11630*1000*SER_hh_tes_in!F33/SER_hh_num_in!F33)</f>
        <v>15447.416728948061</v>
      </c>
      <c r="G33" s="68">
        <f>IF(SER_hh_tes_in!G33=0,0,11630*1000*SER_hh_tes_in!G33/SER_hh_num_in!G33)</f>
        <v>15802.618257107031</v>
      </c>
      <c r="H33" s="68">
        <f>IF(SER_hh_tes_in!H33=0,0,11630*1000*SER_hh_tes_in!H33/SER_hh_num_in!H33)</f>
        <v>15388.232829073066</v>
      </c>
      <c r="I33" s="68">
        <f>IF(SER_hh_tes_in!I33=0,0,11630*1000*SER_hh_tes_in!I33/SER_hh_num_in!I33)</f>
        <v>14717.495388016368</v>
      </c>
      <c r="J33" s="68">
        <f>IF(SER_hh_tes_in!J33=0,0,11630*1000*SER_hh_tes_in!J33/SER_hh_num_in!J33)</f>
        <v>15419.195584090647</v>
      </c>
      <c r="K33" s="68">
        <f>IF(SER_hh_tes_in!K33=0,0,11630*1000*SER_hh_tes_in!K33/SER_hh_num_in!K33)</f>
        <v>16935.397283359187</v>
      </c>
      <c r="L33" s="68">
        <f>IF(SER_hh_tes_in!L33=0,0,11630*1000*SER_hh_tes_in!L33/SER_hh_num_in!L33)</f>
        <v>15345.198126220343</v>
      </c>
      <c r="M33" s="68">
        <f>IF(SER_hh_tes_in!M33=0,0,11630*1000*SER_hh_tes_in!M33/SER_hh_num_in!M33)</f>
        <v>15282.556194030229</v>
      </c>
      <c r="N33" s="68">
        <f>IF(SER_hh_tes_in!N33=0,0,11630*1000*SER_hh_tes_in!N33/SER_hh_num_in!N33)</f>
        <v>17139.765242269936</v>
      </c>
      <c r="O33" s="68">
        <f>IF(SER_hh_tes_in!O33=0,0,11630*1000*SER_hh_tes_in!O33/SER_hh_num_in!O33)</f>
        <v>16428.722270716102</v>
      </c>
      <c r="P33" s="68">
        <f>IF(SER_hh_tes_in!P33=0,0,11630*1000*SER_hh_tes_in!P33/SER_hh_num_in!P33)</f>
        <v>16044.196480786924</v>
      </c>
      <c r="Q33" s="68">
        <f>IF(SER_hh_tes_in!Q33=0,0,11630*1000*SER_hh_tes_in!Q33/SER_hh_num_in!Q33)</f>
        <v>16301.070971629058</v>
      </c>
      <c r="R33" s="68">
        <f>IF(SER_hh_tes_in!R33=0,0,11630*1000*SER_hh_tes_in!R33/SER_hh_num_in!R33)</f>
        <v>16303.128437533316</v>
      </c>
      <c r="S33" s="68">
        <f>IF(SER_hh_tes_in!S33=0,0,11630*1000*SER_hh_tes_in!S33/SER_hh_num_in!S33)</f>
        <v>16419.61892253171</v>
      </c>
      <c r="T33" s="68">
        <f>IF(SER_hh_tes_in!T33=0,0,11630*1000*SER_hh_tes_in!T33/SER_hh_num_in!T33)</f>
        <v>16372.175454998573</v>
      </c>
      <c r="U33" s="68">
        <f>IF(SER_hh_tes_in!U33=0,0,11630*1000*SER_hh_tes_in!U33/SER_hh_num_in!U33)</f>
        <v>16484.343546915257</v>
      </c>
      <c r="V33" s="68">
        <f>IF(SER_hh_tes_in!V33=0,0,11630*1000*SER_hh_tes_in!V33/SER_hh_num_in!V33)</f>
        <v>15748.897011614037</v>
      </c>
      <c r="W33" s="68">
        <f>IF(SER_hh_tes_in!W33=0,0,11630*1000*SER_hh_tes_in!W33/SER_hh_num_in!W33)</f>
        <v>15898.295245750969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9825.0798695356116</v>
      </c>
      <c r="D3" s="126">
        <f>IF(SER_hh_emi_in!D3=0,0,1000000*SER_hh_emi_in!D3/SER_hh_num_in!D3)</f>
        <v>15849.40759138909</v>
      </c>
      <c r="E3" s="126">
        <f>IF(SER_hh_emi_in!E3=0,0,1000000*SER_hh_emi_in!E3/SER_hh_num_in!E3)</f>
        <v>7231.0642401518744</v>
      </c>
      <c r="F3" s="126">
        <f>IF(SER_hh_emi_in!F3=0,0,1000000*SER_hh_emi_in!F3/SER_hh_num_in!F3)</f>
        <v>2369.7254931213274</v>
      </c>
      <c r="G3" s="126">
        <f>IF(SER_hh_emi_in!G3=0,0,1000000*SER_hh_emi_in!G3/SER_hh_num_in!G3)</f>
        <v>2704.1377952049215</v>
      </c>
      <c r="H3" s="126">
        <f>IF(SER_hh_emi_in!H3=0,0,1000000*SER_hh_emi_in!H3/SER_hh_num_in!H3)</f>
        <v>3858.1952611278944</v>
      </c>
      <c r="I3" s="126">
        <f>IF(SER_hh_emi_in!I3=0,0,1000000*SER_hh_emi_in!I3/SER_hh_num_in!I3)</f>
        <v>3232.0082885430243</v>
      </c>
      <c r="J3" s="126">
        <f>IF(SER_hh_emi_in!J3=0,0,1000000*SER_hh_emi_in!J3/SER_hh_num_in!J3)</f>
        <v>1512.5498691322998</v>
      </c>
      <c r="K3" s="126">
        <f>IF(SER_hh_emi_in!K3=0,0,1000000*SER_hh_emi_in!K3/SER_hh_num_in!K3)</f>
        <v>3334.511235286137</v>
      </c>
      <c r="L3" s="126">
        <f>IF(SER_hh_emi_in!L3=0,0,1000000*SER_hh_emi_in!L3/SER_hh_num_in!L3)</f>
        <v>9908.6103334124382</v>
      </c>
      <c r="M3" s="126">
        <f>IF(SER_hh_emi_in!M3=0,0,1000000*SER_hh_emi_in!M3/SER_hh_num_in!M3)</f>
        <v>10071.220591010651</v>
      </c>
      <c r="N3" s="126">
        <f>IF(SER_hh_emi_in!N3=0,0,1000000*SER_hh_emi_in!N3/SER_hh_num_in!N3)</f>
        <v>8706.2030869966366</v>
      </c>
      <c r="O3" s="126">
        <f>IF(SER_hh_emi_in!O3=0,0,1000000*SER_hh_emi_in!O3/SER_hh_num_in!O3)</f>
        <v>5233.5585500088046</v>
      </c>
      <c r="P3" s="126">
        <f>IF(SER_hh_emi_in!P3=0,0,1000000*SER_hh_emi_in!P3/SER_hh_num_in!P3)</f>
        <v>747.43058113029088</v>
      </c>
      <c r="Q3" s="126">
        <f>IF(SER_hh_emi_in!Q3=0,0,1000000*SER_hh_emi_in!Q3/SER_hh_num_in!Q3)</f>
        <v>1287.1391499487868</v>
      </c>
      <c r="R3" s="126">
        <f>IF(SER_hh_emi_in!R3=0,0,1000000*SER_hh_emi_in!R3/SER_hh_num_in!R3)</f>
        <v>1590.5456305104774</v>
      </c>
      <c r="S3" s="126">
        <f>IF(SER_hh_emi_in!S3=0,0,1000000*SER_hh_emi_in!S3/SER_hh_num_in!S3)</f>
        <v>2719.5644533071313</v>
      </c>
      <c r="T3" s="126">
        <f>IF(SER_hh_emi_in!T3=0,0,1000000*SER_hh_emi_in!T3/SER_hh_num_in!T3)</f>
        <v>2738.4725917537889</v>
      </c>
      <c r="U3" s="126">
        <f>IF(SER_hh_emi_in!U3=0,0,1000000*SER_hh_emi_in!U3/SER_hh_num_in!U3)</f>
        <v>2561.9573458887407</v>
      </c>
      <c r="V3" s="126">
        <f>IF(SER_hh_emi_in!V3=0,0,1000000*SER_hh_emi_in!V3/SER_hh_num_in!V3)</f>
        <v>1561.0279462833382</v>
      </c>
      <c r="W3" s="126">
        <f>IF(SER_hh_emi_in!W3=0,0,1000000*SER_hh_emi_in!W3/SER_hh_num_in!W3)</f>
        <v>450.28530057561005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7735.0943091536901</v>
      </c>
      <c r="D4" s="131">
        <f>IF(SER_hh_emi_in!D4=0,0,1000000*SER_hh_emi_in!D4/SER_hh_num_in!D4)</f>
        <v>14260.442834449472</v>
      </c>
      <c r="E4" s="131">
        <f>IF(SER_hh_emi_in!E4=0,0,1000000*SER_hh_emi_in!E4/SER_hh_num_in!E4)</f>
        <v>6670.5094914540914</v>
      </c>
      <c r="F4" s="131">
        <f>IF(SER_hh_emi_in!F4=0,0,1000000*SER_hh_emi_in!F4/SER_hh_num_in!F4)</f>
        <v>1827.2597553130709</v>
      </c>
      <c r="G4" s="131">
        <f>IF(SER_hh_emi_in!G4=0,0,1000000*SER_hh_emi_in!G4/SER_hh_num_in!G4)</f>
        <v>1286.6589734970719</v>
      </c>
      <c r="H4" s="131">
        <f>IF(SER_hh_emi_in!H4=0,0,1000000*SER_hh_emi_in!H4/SER_hh_num_in!H4)</f>
        <v>768.33731538609572</v>
      </c>
      <c r="I4" s="131">
        <f>IF(SER_hh_emi_in!I4=0,0,1000000*SER_hh_emi_in!I4/SER_hh_num_in!I4)</f>
        <v>155.70817042437412</v>
      </c>
      <c r="J4" s="131">
        <f>IF(SER_hh_emi_in!J4=0,0,1000000*SER_hh_emi_in!J4/SER_hh_num_in!J4)</f>
        <v>204.73108371983491</v>
      </c>
      <c r="K4" s="131">
        <f>IF(SER_hh_emi_in!K4=0,0,1000000*SER_hh_emi_in!K4/SER_hh_num_in!K4)</f>
        <v>3131.5585140905382</v>
      </c>
      <c r="L4" s="131">
        <f>IF(SER_hh_emi_in!L4=0,0,1000000*SER_hh_emi_in!L4/SER_hh_num_in!L4)</f>
        <v>9254.0057160175547</v>
      </c>
      <c r="M4" s="131">
        <f>IF(SER_hh_emi_in!M4=0,0,1000000*SER_hh_emi_in!M4/SER_hh_num_in!M4)</f>
        <v>9038.4627335638252</v>
      </c>
      <c r="N4" s="131">
        <f>IF(SER_hh_emi_in!N4=0,0,1000000*SER_hh_emi_in!N4/SER_hh_num_in!N4)</f>
        <v>6970.2811799136525</v>
      </c>
      <c r="O4" s="131">
        <f>IF(SER_hh_emi_in!O4=0,0,1000000*SER_hh_emi_in!O4/SER_hh_num_in!O4)</f>
        <v>3860.0410640881914</v>
      </c>
      <c r="P4" s="131">
        <f>IF(SER_hh_emi_in!P4=0,0,1000000*SER_hh_emi_in!P4/SER_hh_num_in!P4)</f>
        <v>283.35406234385465</v>
      </c>
      <c r="Q4" s="131">
        <f>IF(SER_hh_emi_in!Q4=0,0,1000000*SER_hh_emi_in!Q4/SER_hh_num_in!Q4)</f>
        <v>233.23819846836005</v>
      </c>
      <c r="R4" s="131">
        <f>IF(SER_hh_emi_in!R4=0,0,1000000*SER_hh_emi_in!R4/SER_hh_num_in!R4)</f>
        <v>868.81050875551387</v>
      </c>
      <c r="S4" s="131">
        <f>IF(SER_hh_emi_in!S4=0,0,1000000*SER_hh_emi_in!S4/SER_hh_num_in!S4)</f>
        <v>2006.4911658520953</v>
      </c>
      <c r="T4" s="131">
        <f>IF(SER_hh_emi_in!T4=0,0,1000000*SER_hh_emi_in!T4/SER_hh_num_in!T4)</f>
        <v>1803.3416653895958</v>
      </c>
      <c r="U4" s="131">
        <f>IF(SER_hh_emi_in!U4=0,0,1000000*SER_hh_emi_in!U4/SER_hh_num_in!U4)</f>
        <v>1697.7490039622787</v>
      </c>
      <c r="V4" s="131">
        <f>IF(SER_hh_emi_in!V4=0,0,1000000*SER_hh_emi_in!V4/SER_hh_num_in!V4)</f>
        <v>1065.5126149805367</v>
      </c>
      <c r="W4" s="131">
        <f>IF(SER_hh_emi_in!W4=0,0,1000000*SER_hh_emi_in!W4/SER_hh_num_in!W4)</f>
        <v>269.97673687985514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71666.930502020361</v>
      </c>
      <c r="D7" s="133">
        <f>IF(SER_hh_emi_in!D7=0,0,1000000*SER_hh_emi_in!D7/SER_hh_num_in!D7)</f>
        <v>70052.419311194331</v>
      </c>
      <c r="E7" s="133">
        <f>IF(SER_hh_emi_in!E7=0,0,1000000*SER_hh_emi_in!E7/SER_hh_num_in!E7)</f>
        <v>76362.541392122905</v>
      </c>
      <c r="F7" s="133">
        <f>IF(SER_hh_emi_in!F7=0,0,1000000*SER_hh_emi_in!F7/SER_hh_num_in!F7)</f>
        <v>0</v>
      </c>
      <c r="G7" s="133">
        <f>IF(SER_hh_emi_in!G7=0,0,1000000*SER_hh_emi_in!G7/SER_hh_num_in!G7)</f>
        <v>0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39780.636723919197</v>
      </c>
      <c r="L7" s="133">
        <f>IF(SER_hh_emi_in!L7=0,0,1000000*SER_hh_emi_in!L7/SER_hh_num_in!L7)</f>
        <v>40483.19403346032</v>
      </c>
      <c r="M7" s="133">
        <f>IF(SER_hh_emi_in!M7=0,0,1000000*SER_hh_emi_in!M7/SER_hh_num_in!M7)</f>
        <v>35267.421101232198</v>
      </c>
      <c r="N7" s="133">
        <f>IF(SER_hh_emi_in!N7=0,0,1000000*SER_hh_emi_in!N7/SER_hh_num_in!N7)</f>
        <v>33189.912483581087</v>
      </c>
      <c r="O7" s="133">
        <f>IF(SER_hh_emi_in!O7=0,0,1000000*SER_hh_emi_in!O7/SER_hh_num_in!O7)</f>
        <v>28045.134342972844</v>
      </c>
      <c r="P7" s="133">
        <f>IF(SER_hh_emi_in!P7=0,0,1000000*SER_hh_emi_in!P7/SER_hh_num_in!P7)</f>
        <v>0</v>
      </c>
      <c r="Q7" s="133">
        <f>IF(SER_hh_emi_in!Q7=0,0,1000000*SER_hh_emi_in!Q7/SER_hh_num_in!Q7)</f>
        <v>21934.956875163101</v>
      </c>
      <c r="R7" s="133">
        <f>IF(SER_hh_emi_in!R7=0,0,1000000*SER_hh_emi_in!R7/SER_hh_num_in!R7)</f>
        <v>19545.446450346666</v>
      </c>
      <c r="S7" s="133">
        <f>IF(SER_hh_emi_in!S7=0,0,1000000*SER_hh_emi_in!S7/SER_hh_num_in!S7)</f>
        <v>17600.259934308197</v>
      </c>
      <c r="T7" s="133">
        <f>IF(SER_hh_emi_in!T7=0,0,1000000*SER_hh_emi_in!T7/SER_hh_num_in!T7)</f>
        <v>15633.289491348061</v>
      </c>
      <c r="U7" s="133">
        <f>IF(SER_hh_emi_in!U7=0,0,1000000*SER_hh_emi_in!U7/SER_hh_num_in!U7)</f>
        <v>13500.353342402268</v>
      </c>
      <c r="V7" s="133">
        <f>IF(SER_hh_emi_in!V7=0,0,1000000*SER_hh_emi_in!V7/SER_hh_num_in!V7)</f>
        <v>11766.722484969569</v>
      </c>
      <c r="W7" s="133">
        <f>IF(SER_hh_emi_in!W7=0,0,1000000*SER_hh_emi_in!W7/SER_hh_num_in!W7)</f>
        <v>0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33761.128624644007</v>
      </c>
      <c r="D9" s="133">
        <f>IF(SER_hh_emi_in!D9=0,0,1000000*SER_hh_emi_in!D9/SER_hh_num_in!D9)</f>
        <v>46990.431060479634</v>
      </c>
      <c r="E9" s="133">
        <f>IF(SER_hh_emi_in!E9=0,0,1000000*SER_hh_emi_in!E9/SER_hh_num_in!E9)</f>
        <v>48611.749731187432</v>
      </c>
      <c r="F9" s="133">
        <f>IF(SER_hh_emi_in!F9=0,0,1000000*SER_hh_emi_in!F9/SER_hh_num_in!F9)</f>
        <v>39650.47343451075</v>
      </c>
      <c r="G9" s="133">
        <f>IF(SER_hh_emi_in!G9=0,0,1000000*SER_hh_emi_in!G9/SER_hh_num_in!G9)</f>
        <v>35880.449478215938</v>
      </c>
      <c r="H9" s="133">
        <f>IF(SER_hh_emi_in!H9=0,0,1000000*SER_hh_emi_in!H9/SER_hh_num_in!H9)</f>
        <v>33207.49951214662</v>
      </c>
      <c r="I9" s="133">
        <f>IF(SER_hh_emi_in!I9=0,0,1000000*SER_hh_emi_in!I9/SER_hh_num_in!I9)</f>
        <v>33566.068029177666</v>
      </c>
      <c r="J9" s="133">
        <f>IF(SER_hh_emi_in!J9=0,0,1000000*SER_hh_emi_in!J9/SER_hh_num_in!J9)</f>
        <v>34374.166794597659</v>
      </c>
      <c r="K9" s="133">
        <f>IF(SER_hh_emi_in!K9=0,0,1000000*SER_hh_emi_in!K9/SER_hh_num_in!K9)</f>
        <v>15399.864894025435</v>
      </c>
      <c r="L9" s="133">
        <f>IF(SER_hh_emi_in!L9=0,0,1000000*SER_hh_emi_in!L9/SER_hh_num_in!L9)</f>
        <v>31531.875787112796</v>
      </c>
      <c r="M9" s="133">
        <f>IF(SER_hh_emi_in!M9=0,0,1000000*SER_hh_emi_in!M9/SER_hh_num_in!M9)</f>
        <v>23644.318942287086</v>
      </c>
      <c r="N9" s="133">
        <f>IF(SER_hh_emi_in!N9=0,0,1000000*SER_hh_emi_in!N9/SER_hh_num_in!N9)</f>
        <v>27001.958653311096</v>
      </c>
      <c r="O9" s="133">
        <f>IF(SER_hh_emi_in!O9=0,0,1000000*SER_hh_emi_in!O9/SER_hh_num_in!O9)</f>
        <v>21940.046594955857</v>
      </c>
      <c r="P9" s="133">
        <f>IF(SER_hh_emi_in!P9=0,0,1000000*SER_hh_emi_in!P9/SER_hh_num_in!P9)</f>
        <v>19812.069977979172</v>
      </c>
      <c r="Q9" s="133">
        <f>IF(SER_hh_emi_in!Q9=0,0,1000000*SER_hh_emi_in!Q9/SER_hh_num_in!Q9)</f>
        <v>0</v>
      </c>
      <c r="R9" s="133">
        <f>IF(SER_hh_emi_in!R9=0,0,1000000*SER_hh_emi_in!R9/SER_hh_num_in!R9)</f>
        <v>0</v>
      </c>
      <c r="S9" s="133">
        <f>IF(SER_hh_emi_in!S9=0,0,1000000*SER_hh_emi_in!S9/SER_hh_num_in!S9)</f>
        <v>10277.929559469123</v>
      </c>
      <c r="T9" s="133">
        <f>IF(SER_hh_emi_in!T9=0,0,1000000*SER_hh_emi_in!T9/SER_hh_num_in!T9)</f>
        <v>13934.349035381918</v>
      </c>
      <c r="U9" s="133">
        <f>IF(SER_hh_emi_in!U9=0,0,1000000*SER_hh_emi_in!U9/SER_hh_num_in!U9)</f>
        <v>15064.464426590745</v>
      </c>
      <c r="V9" s="133">
        <f>IF(SER_hh_emi_in!V9=0,0,1000000*SER_hh_emi_in!V9/SER_hh_num_in!V9)</f>
        <v>12061.580127151648</v>
      </c>
      <c r="W9" s="133">
        <f>IF(SER_hh_emi_in!W9=0,0,1000000*SER_hh_emi_in!W9/SER_hh_num_in!W9)</f>
        <v>8783.5850394058398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1271.1883178495677</v>
      </c>
      <c r="D19" s="131">
        <f>IF(SER_hh_emi_in!D19=0,0,1000000*SER_hh_emi_in!D19/SER_hh_num_in!D19)</f>
        <v>938.44742271334098</v>
      </c>
      <c r="E19" s="131">
        <f>IF(SER_hh_emi_in!E19=0,0,1000000*SER_hh_emi_in!E19/SER_hh_num_in!E19)</f>
        <v>372.33773875160267</v>
      </c>
      <c r="F19" s="131">
        <f>IF(SER_hh_emi_in!F19=0,0,1000000*SER_hh_emi_in!F19/SER_hh_num_in!F19)</f>
        <v>81.229811766222312</v>
      </c>
      <c r="G19" s="131">
        <f>IF(SER_hh_emi_in!G19=0,0,1000000*SER_hh_emi_in!G19/SER_hh_num_in!G19)</f>
        <v>86.688591823834329</v>
      </c>
      <c r="H19" s="131">
        <f>IF(SER_hh_emi_in!H19=0,0,1000000*SER_hh_emi_in!H19/SER_hh_num_in!H19)</f>
        <v>112.65684333287902</v>
      </c>
      <c r="I19" s="131">
        <f>IF(SER_hh_emi_in!I19=0,0,1000000*SER_hh_emi_in!I19/SER_hh_num_in!I19)</f>
        <v>72.217742735876641</v>
      </c>
      <c r="J19" s="131">
        <f>IF(SER_hh_emi_in!J19=0,0,1000000*SER_hh_emi_in!J19/SER_hh_num_in!J19)</f>
        <v>75.547396429684596</v>
      </c>
      <c r="K19" s="131">
        <f>IF(SER_hh_emi_in!K19=0,0,1000000*SER_hh_emi_in!K19/SER_hh_num_in!K19)</f>
        <v>48.568633669359215</v>
      </c>
      <c r="L19" s="131">
        <f>IF(SER_hh_emi_in!L19=0,0,1000000*SER_hh_emi_in!L19/SER_hh_num_in!L19)</f>
        <v>59.32662418922942</v>
      </c>
      <c r="M19" s="131">
        <f>IF(SER_hh_emi_in!M19=0,0,1000000*SER_hh_emi_in!M19/SER_hh_num_in!M19)</f>
        <v>1017.3155297953056</v>
      </c>
      <c r="N19" s="131">
        <f>IF(SER_hh_emi_in!N19=0,0,1000000*SER_hh_emi_in!N19/SER_hh_num_in!N19)</f>
        <v>1674.3700601748569</v>
      </c>
      <c r="O19" s="131">
        <f>IF(SER_hh_emi_in!O19=0,0,1000000*SER_hh_emi_in!O19/SER_hh_num_in!O19)</f>
        <v>1268.9175533859907</v>
      </c>
      <c r="P19" s="131">
        <f>IF(SER_hh_emi_in!P19=0,0,1000000*SER_hh_emi_in!P19/SER_hh_num_in!P19)</f>
        <v>334.05574735216322</v>
      </c>
      <c r="Q19" s="131">
        <f>IF(SER_hh_emi_in!Q19=0,0,1000000*SER_hh_emi_in!Q19/SER_hh_num_in!Q19)</f>
        <v>979.97464838260919</v>
      </c>
      <c r="R19" s="131">
        <f>IF(SER_hh_emi_in!R19=0,0,1000000*SER_hh_emi_in!R19/SER_hh_num_in!R19)</f>
        <v>659.90338809970399</v>
      </c>
      <c r="S19" s="131">
        <f>IF(SER_hh_emi_in!S19=0,0,1000000*SER_hh_emi_in!S19/SER_hh_num_in!S19)</f>
        <v>561.06918568917945</v>
      </c>
      <c r="T19" s="131">
        <f>IF(SER_hh_emi_in!T19=0,0,1000000*SER_hh_emi_in!T19/SER_hh_num_in!T19)</f>
        <v>316.88058670249654</v>
      </c>
      <c r="U19" s="131">
        <f>IF(SER_hh_emi_in!U19=0,0,1000000*SER_hh_emi_in!U19/SER_hh_num_in!U19)</f>
        <v>224.87310979699612</v>
      </c>
      <c r="V19" s="131">
        <f>IF(SER_hh_emi_in!V19=0,0,1000000*SER_hh_emi_in!V19/SER_hh_num_in!V19)</f>
        <v>144.92310252626504</v>
      </c>
      <c r="W19" s="131">
        <f>IF(SER_hh_emi_in!W19=0,0,1000000*SER_hh_emi_in!W19/SER_hh_num_in!W19)</f>
        <v>63.87377192457248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8581.3064695842841</v>
      </c>
      <c r="D22" s="133">
        <f>IF(SER_hh_emi_in!D22=0,0,1000000*SER_hh_emi_in!D22/SER_hh_num_in!D22)</f>
        <v>8466.4738096497567</v>
      </c>
      <c r="E22" s="133">
        <f>IF(SER_hh_emi_in!E22=0,0,1000000*SER_hh_emi_in!E22/SER_hh_num_in!E22)</f>
        <v>8737.2201824440126</v>
      </c>
      <c r="F22" s="133">
        <f>IF(SER_hh_emi_in!F22=0,0,1000000*SER_hh_emi_in!F22/SER_hh_num_in!F22)</f>
        <v>0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0</v>
      </c>
      <c r="J22" s="133">
        <f>IF(SER_hh_emi_in!J22=0,0,1000000*SER_hh_emi_in!J22/SER_hh_num_in!J22)</f>
        <v>0</v>
      </c>
      <c r="K22" s="133">
        <f>IF(SER_hh_emi_in!K22=0,0,1000000*SER_hh_emi_in!K22/SER_hh_num_in!K22)</f>
        <v>0</v>
      </c>
      <c r="L22" s="133">
        <f>IF(SER_hh_emi_in!L22=0,0,1000000*SER_hh_emi_in!L22/SER_hh_num_in!L22)</f>
        <v>0</v>
      </c>
      <c r="M22" s="133">
        <f>IF(SER_hh_emi_in!M22=0,0,1000000*SER_hh_emi_in!M22/SER_hh_num_in!M22)</f>
        <v>6051.2038069520013</v>
      </c>
      <c r="N22" s="133">
        <f>IF(SER_hh_emi_in!N22=0,0,1000000*SER_hh_emi_in!N22/SER_hh_num_in!N22)</f>
        <v>7372.1967596475188</v>
      </c>
      <c r="O22" s="133">
        <f>IF(SER_hh_emi_in!O22=0,0,1000000*SER_hh_emi_in!O22/SER_hh_num_in!O22)</f>
        <v>6875.7383910632507</v>
      </c>
      <c r="P22" s="133">
        <f>IF(SER_hh_emi_in!P22=0,0,1000000*SER_hh_emi_in!P22/SER_hh_num_in!P22)</f>
        <v>4468.3365515958503</v>
      </c>
      <c r="Q22" s="133">
        <f>IF(SER_hh_emi_in!Q22=0,0,1000000*SER_hh_emi_in!Q22/SER_hh_num_in!Q22)</f>
        <v>5494.198944309991</v>
      </c>
      <c r="R22" s="133">
        <f>IF(SER_hh_emi_in!R22=0,0,1000000*SER_hh_emi_in!R22/SER_hh_num_in!R22)</f>
        <v>4867.2978205705886</v>
      </c>
      <c r="S22" s="133">
        <f>IF(SER_hh_emi_in!S22=0,0,1000000*SER_hh_emi_in!S22/SER_hh_num_in!S22)</f>
        <v>4480.3609287820736</v>
      </c>
      <c r="T22" s="133">
        <f>IF(SER_hh_emi_in!T22=0,0,1000000*SER_hh_emi_in!T22/SER_hh_num_in!T22)</f>
        <v>4211.932536477445</v>
      </c>
      <c r="U22" s="133">
        <f>IF(SER_hh_emi_in!U22=0,0,1000000*SER_hh_emi_in!U22/SER_hh_num_in!U22)</f>
        <v>3960.748876214459</v>
      </c>
      <c r="V22" s="133">
        <f>IF(SER_hh_emi_in!V22=0,0,1000000*SER_hh_emi_in!V22/SER_hh_num_in!V22)</f>
        <v>3813.1611752730514</v>
      </c>
      <c r="W22" s="133">
        <f>IF(SER_hh_emi_in!W22=0,0,1000000*SER_hh_emi_in!W22/SER_hh_num_in!W22)</f>
        <v>0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5270.5631850624759</v>
      </c>
      <c r="D23" s="133">
        <f>IF(SER_hh_emi_in!D23=0,0,1000000*SER_hh_emi_in!D23/SER_hh_num_in!D23)</f>
        <v>5718.3928269900362</v>
      </c>
      <c r="E23" s="133">
        <f>IF(SER_hh_emi_in!E23=0,0,1000000*SER_hh_emi_in!E23/SER_hh_num_in!E23)</f>
        <v>5930.0490805602776</v>
      </c>
      <c r="F23" s="133">
        <f>IF(SER_hh_emi_in!F23=0,0,1000000*SER_hh_emi_in!F23/SER_hh_num_in!F23)</f>
        <v>5189.1148506167865</v>
      </c>
      <c r="G23" s="133">
        <f>IF(SER_hh_emi_in!G23=0,0,1000000*SER_hh_emi_in!G23/SER_hh_num_in!G23)</f>
        <v>5179.2812687887536</v>
      </c>
      <c r="H23" s="133">
        <f>IF(SER_hh_emi_in!H23=0,0,1000000*SER_hh_emi_in!H23/SER_hh_num_in!H23)</f>
        <v>5674.6888884654954</v>
      </c>
      <c r="I23" s="133">
        <f>IF(SER_hh_emi_in!I23=0,0,1000000*SER_hh_emi_in!I23/SER_hh_num_in!I23)</f>
        <v>5212.801641251127</v>
      </c>
      <c r="J23" s="133">
        <f>IF(SER_hh_emi_in!J23=0,0,1000000*SER_hh_emi_in!J23/SER_hh_num_in!J23)</f>
        <v>5275.2904040661178</v>
      </c>
      <c r="K23" s="133">
        <f>IF(SER_hh_emi_in!K23=0,0,1000000*SER_hh_emi_in!K23/SER_hh_num_in!K23)</f>
        <v>4991.6775863337343</v>
      </c>
      <c r="L23" s="133">
        <f>IF(SER_hh_emi_in!L23=0,0,1000000*SER_hh_emi_in!L23/SER_hh_num_in!L23)</f>
        <v>5059.0046542360051</v>
      </c>
      <c r="M23" s="133">
        <f>IF(SER_hh_emi_in!M23=0,0,1000000*SER_hh_emi_in!M23/SER_hh_num_in!M23)</f>
        <v>4869.9476551365306</v>
      </c>
      <c r="N23" s="133">
        <f>IF(SER_hh_emi_in!N23=0,0,1000000*SER_hh_emi_in!N23/SER_hh_num_in!N23)</f>
        <v>4708.042586825557</v>
      </c>
      <c r="O23" s="133">
        <f>IF(SER_hh_emi_in!O23=0,0,1000000*SER_hh_emi_in!O23/SER_hh_num_in!O23)</f>
        <v>4527.2630767566998</v>
      </c>
      <c r="P23" s="133">
        <f>IF(SER_hh_emi_in!P23=0,0,1000000*SER_hh_emi_in!P23/SER_hh_num_in!P23)</f>
        <v>4465.9210421112448</v>
      </c>
      <c r="Q23" s="133">
        <f>IF(SER_hh_emi_in!Q23=0,0,1000000*SER_hh_emi_in!Q23/SER_hh_num_in!Q23)</f>
        <v>4323.0226627597049</v>
      </c>
      <c r="R23" s="133">
        <f>IF(SER_hh_emi_in!R23=0,0,1000000*SER_hh_emi_in!R23/SER_hh_num_in!R23)</f>
        <v>4519.8514838274705</v>
      </c>
      <c r="S23" s="133">
        <f>IF(SER_hh_emi_in!S23=0,0,1000000*SER_hh_emi_in!S23/SER_hh_num_in!S23)</f>
        <v>2576.5980736358597</v>
      </c>
      <c r="T23" s="133">
        <f>IF(SER_hh_emi_in!T23=0,0,1000000*SER_hh_emi_in!T23/SER_hh_num_in!T23)</f>
        <v>3400.8291739123615</v>
      </c>
      <c r="U23" s="133">
        <f>IF(SER_hh_emi_in!U23=0,0,1000000*SER_hh_emi_in!U23/SER_hh_num_in!U23)</f>
        <v>4110.4885530499896</v>
      </c>
      <c r="V23" s="133">
        <f>IF(SER_hh_emi_in!V23=0,0,1000000*SER_hh_emi_in!V23/SER_hh_num_in!V23)</f>
        <v>3634.4715067165048</v>
      </c>
      <c r="W23" s="133">
        <f>IF(SER_hh_emi_in!W23=0,0,1000000*SER_hh_emi_in!W23/SER_hh_num_in!W23)</f>
        <v>3488.3952276512573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818.79724253235293</v>
      </c>
      <c r="D29" s="131">
        <f>IF(SER_hh_emi_in!D29=0,0,1000000*SER_hh_emi_in!D29/SER_hh_num_in!D29)</f>
        <v>650.51733422627888</v>
      </c>
      <c r="E29" s="131">
        <f>IF(SER_hh_emi_in!E29=0,0,1000000*SER_hh_emi_in!E29/SER_hh_num_in!E29)</f>
        <v>188.21700994618064</v>
      </c>
      <c r="F29" s="131">
        <f>IF(SER_hh_emi_in!F29=0,0,1000000*SER_hh_emi_in!F29/SER_hh_num_in!F29)</f>
        <v>461.23592604203469</v>
      </c>
      <c r="G29" s="131">
        <f>IF(SER_hh_emi_in!G29=0,0,1000000*SER_hh_emi_in!G29/SER_hh_num_in!G29)</f>
        <v>1330.7902298840154</v>
      </c>
      <c r="H29" s="131">
        <f>IF(SER_hh_emi_in!H29=0,0,1000000*SER_hh_emi_in!H29/SER_hh_num_in!H29)</f>
        <v>2977.2011024089184</v>
      </c>
      <c r="I29" s="131">
        <f>IF(SER_hh_emi_in!I29=0,0,1000000*SER_hh_emi_in!I29/SER_hh_num_in!I29)</f>
        <v>3004.0823753827731</v>
      </c>
      <c r="J29" s="131">
        <f>IF(SER_hh_emi_in!J29=0,0,1000000*SER_hh_emi_in!J29/SER_hh_num_in!J29)</f>
        <v>1232.2713889827803</v>
      </c>
      <c r="K29" s="131">
        <f>IF(SER_hh_emi_in!K29=0,0,1000000*SER_hh_emi_in!K29/SER_hh_num_in!K29)</f>
        <v>154.38408752624034</v>
      </c>
      <c r="L29" s="131">
        <f>IF(SER_hh_emi_in!L29=0,0,1000000*SER_hh_emi_in!L29/SER_hh_num_in!L29)</f>
        <v>595.27799320565521</v>
      </c>
      <c r="M29" s="131">
        <f>IF(SER_hh_emi_in!M29=0,0,1000000*SER_hh_emi_in!M29/SER_hh_num_in!M29)</f>
        <v>15.442327651519793</v>
      </c>
      <c r="N29" s="131">
        <f>IF(SER_hh_emi_in!N29=0,0,1000000*SER_hh_emi_in!N29/SER_hh_num_in!N29)</f>
        <v>61.551846908126947</v>
      </c>
      <c r="O29" s="131">
        <f>IF(SER_hh_emi_in!O29=0,0,1000000*SER_hh_emi_in!O29/SER_hh_num_in!O29)</f>
        <v>104.59993253462218</v>
      </c>
      <c r="P29" s="131">
        <f>IF(SER_hh_emi_in!P29=0,0,1000000*SER_hh_emi_in!P29/SER_hh_num_in!P29)</f>
        <v>130.02077143427306</v>
      </c>
      <c r="Q29" s="131">
        <f>IF(SER_hh_emi_in!Q29=0,0,1000000*SER_hh_emi_in!Q29/SER_hh_num_in!Q29)</f>
        <v>73.926303097817581</v>
      </c>
      <c r="R29" s="131">
        <f>IF(SER_hh_emi_in!R29=0,0,1000000*SER_hh_emi_in!R29/SER_hh_num_in!R29)</f>
        <v>61.831733655259683</v>
      </c>
      <c r="S29" s="131">
        <f>IF(SER_hh_emi_in!S29=0,0,1000000*SER_hh_emi_in!S29/SER_hh_num_in!S29)</f>
        <v>152.00410176585638</v>
      </c>
      <c r="T29" s="131">
        <f>IF(SER_hh_emi_in!T29=0,0,1000000*SER_hh_emi_in!T29/SER_hh_num_in!T29)</f>
        <v>618.25033966169622</v>
      </c>
      <c r="U29" s="131">
        <f>IF(SER_hh_emi_in!U29=0,0,1000000*SER_hh_emi_in!U29/SER_hh_num_in!U29)</f>
        <v>639.33523212946614</v>
      </c>
      <c r="V29" s="131">
        <f>IF(SER_hh_emi_in!V29=0,0,1000000*SER_hh_emi_in!V29/SER_hh_num_in!V29)</f>
        <v>350.5922287765369</v>
      </c>
      <c r="W29" s="131">
        <f>IF(SER_hh_emi_in!W29=0,0,1000000*SER_hh_emi_in!W29/SER_hh_num_in!W29)</f>
        <v>116.4347917711824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6634.2487994687399</v>
      </c>
      <c r="D30" s="133">
        <f>IF(SER_hh_emi_in!D30=0,0,1000000*SER_hh_emi_in!D30/SER_hh_num_in!D30)</f>
        <v>5658.3937774375609</v>
      </c>
      <c r="E30" s="133">
        <f>IF(SER_hh_emi_in!E30=0,0,1000000*SER_hh_emi_in!E30/SER_hh_num_in!E30)</f>
        <v>0</v>
      </c>
      <c r="F30" s="133">
        <f>IF(SER_hh_emi_in!F30=0,0,1000000*SER_hh_emi_in!F30/SER_hh_num_in!F30)</f>
        <v>4628.2953094868672</v>
      </c>
      <c r="G30" s="133">
        <f>IF(SER_hh_emi_in!G30=0,0,1000000*SER_hh_emi_in!G30/SER_hh_num_in!G30)</f>
        <v>3938.9902417433136</v>
      </c>
      <c r="H30" s="133">
        <f>IF(SER_hh_emi_in!H30=0,0,1000000*SER_hh_emi_in!H30/SER_hh_num_in!H30)</f>
        <v>5629.1074961562745</v>
      </c>
      <c r="I30" s="133">
        <f>IF(SER_hh_emi_in!I30=0,0,1000000*SER_hh_emi_in!I30/SER_hh_num_in!I30)</f>
        <v>6948.7185447740812</v>
      </c>
      <c r="J30" s="133">
        <f>IF(SER_hh_emi_in!J30=0,0,1000000*SER_hh_emi_in!J30/SER_hh_num_in!J30)</f>
        <v>6133.3551367950058</v>
      </c>
      <c r="K30" s="133">
        <f>IF(SER_hh_emi_in!K30=0,0,1000000*SER_hh_emi_in!K30/SER_hh_num_in!K30)</f>
        <v>4292.2587721873979</v>
      </c>
      <c r="L30" s="133">
        <f>IF(SER_hh_emi_in!L30=0,0,1000000*SER_hh_emi_in!L30/SER_hh_num_in!L30)</f>
        <v>6912.9844287269698</v>
      </c>
      <c r="M30" s="133">
        <f>IF(SER_hh_emi_in!M30=0,0,1000000*SER_hh_emi_in!M30/SER_hh_num_in!M30)</f>
        <v>0</v>
      </c>
      <c r="N30" s="133">
        <f>IF(SER_hh_emi_in!N30=0,0,1000000*SER_hh_emi_in!N30/SER_hh_num_in!N30)</f>
        <v>0</v>
      </c>
      <c r="O30" s="133">
        <f>IF(SER_hh_emi_in!O30=0,0,1000000*SER_hh_emi_in!O30/SER_hh_num_in!O30)</f>
        <v>0</v>
      </c>
      <c r="P30" s="133">
        <f>IF(SER_hh_emi_in!P30=0,0,1000000*SER_hh_emi_in!P30/SER_hh_num_in!P30)</f>
        <v>0</v>
      </c>
      <c r="Q30" s="133">
        <f>IF(SER_hh_emi_in!Q30=0,0,1000000*SER_hh_emi_in!Q30/SER_hh_num_in!Q30)</f>
        <v>0</v>
      </c>
      <c r="R30" s="133">
        <f>IF(SER_hh_emi_in!R30=0,0,1000000*SER_hh_emi_in!R30/SER_hh_num_in!R30)</f>
        <v>0</v>
      </c>
      <c r="S30" s="133">
        <f>IF(SER_hh_emi_in!S30=0,0,1000000*SER_hh_emi_in!S30/SER_hh_num_in!S30)</f>
        <v>5848.9668335036231</v>
      </c>
      <c r="T30" s="133">
        <f>IF(SER_hh_emi_in!T30=0,0,1000000*SER_hh_emi_in!T30/SER_hh_num_in!T30)</f>
        <v>5710.6526321548563</v>
      </c>
      <c r="U30" s="133">
        <f>IF(SER_hh_emi_in!U30=0,0,1000000*SER_hh_emi_in!U30/SER_hh_num_in!U30)</f>
        <v>5732.0449852098045</v>
      </c>
      <c r="V30" s="133">
        <f>IF(SER_hh_emi_in!V30=0,0,1000000*SER_hh_emi_in!V30/SER_hh_num_in!V30)</f>
        <v>5633.561381329323</v>
      </c>
      <c r="W30" s="133">
        <f>IF(SER_hh_emi_in!W30=0,0,1000000*SER_hh_emi_in!W30/SER_hh_num_in!W30)</f>
        <v>5570.9379293505599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4497.8725958538998</v>
      </c>
      <c r="D31" s="133">
        <f>IF(SER_hh_emi_in!D31=0,0,1000000*SER_hh_emi_in!D31/SER_hh_num_in!D31)</f>
        <v>4731.7511349708775</v>
      </c>
      <c r="E31" s="133">
        <f>IF(SER_hh_emi_in!E31=0,0,1000000*SER_hh_emi_in!E31/SER_hh_num_in!E31)</f>
        <v>4935.2024244455124</v>
      </c>
      <c r="F31" s="133">
        <f>IF(SER_hh_emi_in!F31=0,0,1000000*SER_hh_emi_in!F31/SER_hh_num_in!F31)</f>
        <v>4821.3631925891768</v>
      </c>
      <c r="G31" s="133">
        <f>IF(SER_hh_emi_in!G31=0,0,1000000*SER_hh_emi_in!G31/SER_hh_num_in!G31)</f>
        <v>4802.0316106340752</v>
      </c>
      <c r="H31" s="133">
        <f>IF(SER_hh_emi_in!H31=0,0,1000000*SER_hh_emi_in!H31/SER_hh_num_in!H31)</f>
        <v>4869.6356119095281</v>
      </c>
      <c r="I31" s="133">
        <f>IF(SER_hh_emi_in!I31=0,0,1000000*SER_hh_emi_in!I31/SER_hh_num_in!I31)</f>
        <v>4983.2233355358539</v>
      </c>
      <c r="J31" s="133">
        <f>IF(SER_hh_emi_in!J31=0,0,1000000*SER_hh_emi_in!J31/SER_hh_num_in!J31)</f>
        <v>5190.627518829966</v>
      </c>
      <c r="K31" s="133">
        <f>IF(SER_hh_emi_in!K31=0,0,1000000*SER_hh_emi_in!K31/SER_hh_num_in!K31)</f>
        <v>5026.8670848343518</v>
      </c>
      <c r="L31" s="133">
        <f>IF(SER_hh_emi_in!L31=0,0,1000000*SER_hh_emi_in!L31/SER_hh_num_in!L31)</f>
        <v>4814.5387184598221</v>
      </c>
      <c r="M31" s="133">
        <f>IF(SER_hh_emi_in!M31=0,0,1000000*SER_hh_emi_in!M31/SER_hh_num_in!M31)</f>
        <v>5058.6060249536431</v>
      </c>
      <c r="N31" s="133">
        <f>IF(SER_hh_emi_in!N31=0,0,1000000*SER_hh_emi_in!N31/SER_hh_num_in!N31)</f>
        <v>5078.3627687455037</v>
      </c>
      <c r="O31" s="133">
        <f>IF(SER_hh_emi_in!O31=0,0,1000000*SER_hh_emi_in!O31/SER_hh_num_in!O31)</f>
        <v>5096.9810555052845</v>
      </c>
      <c r="P31" s="133">
        <f>IF(SER_hh_emi_in!P31=0,0,1000000*SER_hh_emi_in!P31/SER_hh_num_in!P31)</f>
        <v>5279.28788148904</v>
      </c>
      <c r="Q31" s="133">
        <f>IF(SER_hh_emi_in!Q31=0,0,1000000*SER_hh_emi_in!Q31/SER_hh_num_in!Q31)</f>
        <v>5244.6929166265936</v>
      </c>
      <c r="R31" s="133">
        <f>IF(SER_hh_emi_in!R31=0,0,1000000*SER_hh_emi_in!R31/SER_hh_num_in!R31)</f>
        <v>5804.9878774557455</v>
      </c>
      <c r="S31" s="133">
        <f>IF(SER_hh_emi_in!S31=0,0,1000000*SER_hh_emi_in!S31/SER_hh_num_in!S31)</f>
        <v>3420.6895914211386</v>
      </c>
      <c r="T31" s="133">
        <f>IF(SER_hh_emi_in!T31=0,0,1000000*SER_hh_emi_in!T31/SER_hh_num_in!T31)</f>
        <v>4753.0168973681202</v>
      </c>
      <c r="U31" s="133">
        <f>IF(SER_hh_emi_in!U31=0,0,1000000*SER_hh_emi_in!U31/SER_hh_num_in!U31)</f>
        <v>5892.3314753935883</v>
      </c>
      <c r="V31" s="133">
        <f>IF(SER_hh_emi_in!V31=0,0,1000000*SER_hh_emi_in!V31/SER_hh_num_in!V31)</f>
        <v>4790.5772385188866</v>
      </c>
      <c r="W31" s="133">
        <f>IF(SER_hh_emi_in!W31=0,0,1000000*SER_hh_emi_in!W31/SER_hh_num_in!W31)</f>
        <v>5127.8276062963214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280.38941538404401</v>
      </c>
      <c r="D3" s="126">
        <f>IF(SER_hh_fech_in!D3=0,0,SER_hh_fech_in!D3/SER_summary!D$27)</f>
        <v>273.38935258960402</v>
      </c>
      <c r="E3" s="126">
        <f>IF(SER_hh_fech_in!E3=0,0,SER_hh_fech_in!E3/SER_summary!E$27)</f>
        <v>249.82099014378932</v>
      </c>
      <c r="F3" s="126">
        <f>IF(SER_hh_fech_in!F3=0,0,SER_hh_fech_in!F3/SER_summary!F$27)</f>
        <v>229.29627466803308</v>
      </c>
      <c r="G3" s="126">
        <f>IF(SER_hh_fech_in!G3=0,0,SER_hh_fech_in!G3/SER_summary!G$27)</f>
        <v>207.13425444376523</v>
      </c>
      <c r="H3" s="126">
        <f>IF(SER_hh_fech_in!H3=0,0,SER_hh_fech_in!H3/SER_summary!H$27)</f>
        <v>201.54740064245971</v>
      </c>
      <c r="I3" s="126">
        <f>IF(SER_hh_fech_in!I3=0,0,SER_hh_fech_in!I3/SER_summary!I$27)</f>
        <v>198.08489565195165</v>
      </c>
      <c r="J3" s="126">
        <f>IF(SER_hh_fech_in!J3=0,0,SER_hh_fech_in!J3/SER_summary!J$27)</f>
        <v>184.05869809638025</v>
      </c>
      <c r="K3" s="126">
        <f>IF(SER_hh_fech_in!K3=0,0,SER_hh_fech_in!K3/SER_summary!K$27)</f>
        <v>178.08090721895084</v>
      </c>
      <c r="L3" s="126">
        <f>IF(SER_hh_fech_in!L3=0,0,SER_hh_fech_in!L3/SER_summary!L$27)</f>
        <v>192.80964187351546</v>
      </c>
      <c r="M3" s="126">
        <f>IF(SER_hh_fech_in!M3=0,0,SER_hh_fech_in!M3/SER_summary!M$27)</f>
        <v>162.91030387155092</v>
      </c>
      <c r="N3" s="126">
        <f>IF(SER_hh_fech_in!N3=0,0,SER_hh_fech_in!N3/SER_summary!N$27)</f>
        <v>170.27514197359255</v>
      </c>
      <c r="O3" s="126">
        <f>IF(SER_hh_fech_in!O3=0,0,SER_hh_fech_in!O3/SER_summary!O$27)</f>
        <v>152.44304692455901</v>
      </c>
      <c r="P3" s="126">
        <f>IF(SER_hh_fech_in!P3=0,0,SER_hh_fech_in!P3/SER_summary!P$27)</f>
        <v>136.07506284884704</v>
      </c>
      <c r="Q3" s="126">
        <f>IF(SER_hh_fech_in!Q3=0,0,SER_hh_fech_in!Q3/SER_summary!Q$27)</f>
        <v>133.9090264115064</v>
      </c>
      <c r="R3" s="126">
        <f>IF(SER_hh_fech_in!R3=0,0,SER_hh_fech_in!R3/SER_summary!R$27)</f>
        <v>131.63330990100621</v>
      </c>
      <c r="S3" s="126">
        <f>IF(SER_hh_fech_in!S3=0,0,SER_hh_fech_in!S3/SER_summary!S$27)</f>
        <v>116.22750543062362</v>
      </c>
      <c r="T3" s="126">
        <f>IF(SER_hh_fech_in!T3=0,0,SER_hh_fech_in!T3/SER_summary!T$27)</f>
        <v>112.62271492256365</v>
      </c>
      <c r="U3" s="126">
        <f>IF(SER_hh_fech_in!U3=0,0,SER_hh_fech_in!U3/SER_summary!U$27)</f>
        <v>102.02168784319487</v>
      </c>
      <c r="V3" s="126">
        <f>IF(SER_hh_fech_in!V3=0,0,SER_hh_fech_in!V3/SER_summary!V$27)</f>
        <v>87.41904239658885</v>
      </c>
      <c r="W3" s="126">
        <f>IF(SER_hh_fech_in!W3=0,0,SER_hh_fech_in!W3/SER_summary!W$27)</f>
        <v>80.965071776994819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222.25202476123255</v>
      </c>
      <c r="D4" s="131">
        <f>IF(SER_hh_fech_in!D4=0,0,SER_hh_fech_in!D4/SER_summary!D$27)</f>
        <v>216.7086974626495</v>
      </c>
      <c r="E4" s="131">
        <f>IF(SER_hh_fech_in!E4=0,0,SER_hh_fech_in!E4/SER_summary!E$27)</f>
        <v>195.14960331964835</v>
      </c>
      <c r="F4" s="131">
        <f>IF(SER_hh_fech_in!F4=0,0,SER_hh_fech_in!F4/SER_summary!F$27)</f>
        <v>175.65816224184542</v>
      </c>
      <c r="G4" s="131">
        <f>IF(SER_hh_fech_in!G4=0,0,SER_hh_fech_in!G4/SER_summary!G$27)</f>
        <v>153.42561748074593</v>
      </c>
      <c r="H4" s="131">
        <f>IF(SER_hh_fech_in!H4=0,0,SER_hh_fech_in!H4/SER_summary!H$27)</f>
        <v>145.29305824448423</v>
      </c>
      <c r="I4" s="131">
        <f>IF(SER_hh_fech_in!I4=0,0,SER_hh_fech_in!I4/SER_summary!I$27)</f>
        <v>140.18142403623875</v>
      </c>
      <c r="J4" s="131">
        <f>IF(SER_hh_fech_in!J4=0,0,SER_hh_fech_in!J4/SER_summary!J$27)</f>
        <v>130.03707879313993</v>
      </c>
      <c r="K4" s="131">
        <f>IF(SER_hh_fech_in!K4=0,0,SER_hh_fech_in!K4/SER_summary!K$27)</f>
        <v>124.06907636566355</v>
      </c>
      <c r="L4" s="131">
        <f>IF(SER_hh_fech_in!L4=0,0,SER_hh_fech_in!L4/SER_summary!L$27)</f>
        <v>140.91048963937908</v>
      </c>
      <c r="M4" s="131">
        <f>IF(SER_hh_fech_in!M4=0,0,SER_hh_fech_in!M4/SER_summary!M$27)</f>
        <v>112.67354413583486</v>
      </c>
      <c r="N4" s="131">
        <f>IF(SER_hh_fech_in!N4=0,0,SER_hh_fech_in!N4/SER_summary!N$27)</f>
        <v>116.80997031857962</v>
      </c>
      <c r="O4" s="131">
        <f>IF(SER_hh_fech_in!O4=0,0,SER_hh_fech_in!O4/SER_summary!O$27)</f>
        <v>101.37932264797494</v>
      </c>
      <c r="P4" s="131">
        <f>IF(SER_hh_fech_in!P4=0,0,SER_hh_fech_in!P4/SER_summary!P$27)</f>
        <v>87.777785994233327</v>
      </c>
      <c r="Q4" s="131">
        <f>IF(SER_hh_fech_in!Q4=0,0,SER_hh_fech_in!Q4/SER_summary!Q$27)</f>
        <v>86.030118800146084</v>
      </c>
      <c r="R4" s="131">
        <f>IF(SER_hh_fech_in!R4=0,0,SER_hh_fech_in!R4/SER_summary!R$27)</f>
        <v>84.821312599943354</v>
      </c>
      <c r="S4" s="131">
        <f>IF(SER_hh_fech_in!S4=0,0,SER_hh_fech_in!S4/SER_summary!S$27)</f>
        <v>70.592016009418572</v>
      </c>
      <c r="T4" s="131">
        <f>IF(SER_hh_fech_in!T4=0,0,SER_hh_fech_in!T4/SER_summary!T$27)</f>
        <v>67.339442505688879</v>
      </c>
      <c r="U4" s="131">
        <f>IF(SER_hh_fech_in!U4=0,0,SER_hh_fech_in!U4/SER_summary!U$27)</f>
        <v>57.477039604513159</v>
      </c>
      <c r="V4" s="131">
        <f>IF(SER_hh_fech_in!V4=0,0,SER_hh_fech_in!V4/SER_summary!V$27)</f>
        <v>45.716610413325164</v>
      </c>
      <c r="W4" s="131">
        <f>IF(SER_hh_fech_in!W4=0,0,SER_hh_fech_in!W4/SER_summary!W$27)</f>
        <v>40.651909158941535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298.37003905083492</v>
      </c>
      <c r="D7" s="133">
        <f>IF(SER_hh_fech_in!D7=0,0,SER_hh_fech_in!D7/SER_summary!D$27)</f>
        <v>291.31789344959583</v>
      </c>
      <c r="E7" s="133">
        <f>IF(SER_hh_fech_in!E7=0,0,SER_hh_fech_in!E7/SER_summary!E$27)</f>
        <v>317.2199549969904</v>
      </c>
      <c r="F7" s="133">
        <f>IF(SER_hh_fech_in!F7=0,0,SER_hh_fech_in!F7/SER_summary!F$27)</f>
        <v>0</v>
      </c>
      <c r="G7" s="133">
        <f>IF(SER_hh_fech_in!G7=0,0,SER_hh_fech_in!G7/SER_summary!G$27)</f>
        <v>0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173.85828698030508</v>
      </c>
      <c r="L7" s="133">
        <f>IF(SER_hh_fech_in!L7=0,0,SER_hh_fech_in!L7/SER_summary!L$27)</f>
        <v>177.11084038485529</v>
      </c>
      <c r="M7" s="133">
        <f>IF(SER_hh_fech_in!M7=0,0,SER_hh_fech_in!M7/SER_summary!M$27)</f>
        <v>155.84103648124162</v>
      </c>
      <c r="N7" s="133">
        <f>IF(SER_hh_fech_in!N7=0,0,SER_hh_fech_in!N7/SER_summary!N$27)</f>
        <v>148.12146307242</v>
      </c>
      <c r="O7" s="133">
        <f>IF(SER_hh_fech_in!O7=0,0,SER_hh_fech_in!O7/SER_summary!O$27)</f>
        <v>127.84928676115531</v>
      </c>
      <c r="P7" s="133">
        <f>IF(SER_hh_fech_in!P7=0,0,SER_hh_fech_in!P7/SER_summary!P$27)</f>
        <v>0</v>
      </c>
      <c r="Q7" s="133">
        <f>IF(SER_hh_fech_in!Q7=0,0,SER_hh_fech_in!Q7/SER_summary!Q$27)</f>
        <v>104.74458992163434</v>
      </c>
      <c r="R7" s="133">
        <f>IF(SER_hh_fech_in!R7=0,0,SER_hh_fech_in!R7/SER_summary!R$27)</f>
        <v>96.650529689593128</v>
      </c>
      <c r="S7" s="133">
        <f>IF(SER_hh_fech_in!S7=0,0,SER_hh_fech_in!S7/SER_summary!S$27)</f>
        <v>90.345161179845917</v>
      </c>
      <c r="T7" s="133">
        <f>IF(SER_hh_fech_in!T7=0,0,SER_hh_fech_in!T7/SER_summary!T$27)</f>
        <v>82.956726498822292</v>
      </c>
      <c r="U7" s="133">
        <f>IF(SER_hh_fech_in!U7=0,0,SER_hh_fech_in!U7/SER_summary!U$27)</f>
        <v>71.697895376019972</v>
      </c>
      <c r="V7" s="133">
        <f>IF(SER_hh_fech_in!V7=0,0,SER_hh_fech_in!V7/SER_summary!V$27)</f>
        <v>63.367997223668553</v>
      </c>
      <c r="W7" s="133">
        <f>IF(SER_hh_fech_in!W7=0,0,SER_hh_fech_in!W7/SER_summary!W$27)</f>
        <v>0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189.74150078411898</v>
      </c>
      <c r="D9" s="133">
        <f>IF(SER_hh_fech_in!D9=0,0,SER_hh_fech_in!D9/SER_summary!D$27)</f>
        <v>261.05589881616442</v>
      </c>
      <c r="E9" s="133">
        <f>IF(SER_hh_fech_in!E9=0,0,SER_hh_fech_in!E9/SER_summary!E$27)</f>
        <v>269.60067393410702</v>
      </c>
      <c r="F9" s="133">
        <f>IF(SER_hh_fech_in!F9=0,0,SER_hh_fech_in!F9/SER_summary!F$27)</f>
        <v>220.19311937905684</v>
      </c>
      <c r="G9" s="133">
        <f>IF(SER_hh_fech_in!G9=0,0,SER_hh_fech_in!G9/SER_summary!G$27)</f>
        <v>200.7372665592942</v>
      </c>
      <c r="H9" s="133">
        <f>IF(SER_hh_fech_in!H9=0,0,SER_hh_fech_in!H9/SER_summary!H$27)</f>
        <v>185.70399028222334</v>
      </c>
      <c r="I9" s="133">
        <f>IF(SER_hh_fech_in!I9=0,0,SER_hh_fech_in!I9/SER_summary!I$27)</f>
        <v>186.40545434014788</v>
      </c>
      <c r="J9" s="133">
        <f>IF(SER_hh_fech_in!J9=0,0,SER_hh_fech_in!J9/SER_summary!J$27)</f>
        <v>191.26778647327666</v>
      </c>
      <c r="K9" s="133">
        <f>IF(SER_hh_fech_in!K9=0,0,SER_hh_fech_in!K9/SER_summary!K$27)</f>
        <v>86.410807716785669</v>
      </c>
      <c r="L9" s="133">
        <f>IF(SER_hh_fech_in!L9=0,0,SER_hh_fech_in!L9/SER_summary!L$27)</f>
        <v>174.9860150602714</v>
      </c>
      <c r="M9" s="133">
        <f>IF(SER_hh_fech_in!M9=0,0,SER_hh_fech_in!M9/SER_summary!M$27)</f>
        <v>130.08251877317335</v>
      </c>
      <c r="N9" s="133">
        <f>IF(SER_hh_fech_in!N9=0,0,SER_hh_fech_in!N9/SER_summary!N$27)</f>
        <v>148.55504199572573</v>
      </c>
      <c r="O9" s="133">
        <f>IF(SER_hh_fech_in!O9=0,0,SER_hh_fech_in!O9/SER_summary!O$27)</f>
        <v>120.7062267278221</v>
      </c>
      <c r="P9" s="133">
        <f>IF(SER_hh_fech_in!P9=0,0,SER_hh_fech_in!P9/SER_summary!P$27)</f>
        <v>108.99886654111469</v>
      </c>
      <c r="Q9" s="133">
        <f>IF(SER_hh_fech_in!Q9=0,0,SER_hh_fech_in!Q9/SER_summary!Q$27)</f>
        <v>0</v>
      </c>
      <c r="R9" s="133">
        <f>IF(SER_hh_fech_in!R9=0,0,SER_hh_fech_in!R9/SER_summary!R$27)</f>
        <v>0</v>
      </c>
      <c r="S9" s="133">
        <f>IF(SER_hh_fech_in!S9=0,0,SER_hh_fech_in!S9/SER_summary!S$27)</f>
        <v>56.545463125091459</v>
      </c>
      <c r="T9" s="133">
        <f>IF(SER_hh_fech_in!T9=0,0,SER_hh_fech_in!T9/SER_summary!T$27)</f>
        <v>76.661764900540902</v>
      </c>
      <c r="U9" s="133">
        <f>IF(SER_hh_fech_in!U9=0,0,SER_hh_fech_in!U9/SER_summary!U$27)</f>
        <v>82.879252363453389</v>
      </c>
      <c r="V9" s="133">
        <f>IF(SER_hh_fech_in!V9=0,0,SER_hh_fech_in!V9/SER_summary!V$27)</f>
        <v>66.358465522059618</v>
      </c>
      <c r="W9" s="133">
        <f>IF(SER_hh_fech_in!W9=0,0,SER_hh_fech_in!W9/SER_summary!W$27)</f>
        <v>48.324118303986708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368.45264997284266</v>
      </c>
      <c r="D10" s="133">
        <f>IF(SER_hh_fech_in!D10=0,0,SER_hh_fech_in!D10/SER_summary!D$27)</f>
        <v>248.18644066396743</v>
      </c>
      <c r="E10" s="133">
        <f>IF(SER_hh_fech_in!E10=0,0,SER_hh_fech_in!E10/SER_summary!E$27)</f>
        <v>177.11973877591569</v>
      </c>
      <c r="F10" s="133">
        <f>IF(SER_hh_fech_in!F10=0,0,SER_hh_fech_in!F10/SER_summary!F$27)</f>
        <v>292.49945990887301</v>
      </c>
      <c r="G10" s="133">
        <f>IF(SER_hh_fech_in!G10=0,0,SER_hh_fech_in!G10/SER_summary!G$27)</f>
        <v>280.81550001663663</v>
      </c>
      <c r="H10" s="133">
        <f>IF(SER_hh_fech_in!H10=0,0,SER_hh_fech_in!H10/SER_summary!H$27)</f>
        <v>193.76393436591442</v>
      </c>
      <c r="I10" s="133">
        <f>IF(SER_hh_fech_in!I10=0,0,SER_hh_fech_in!I10/SER_summary!I$27)</f>
        <v>200.66560797267485</v>
      </c>
      <c r="J10" s="133">
        <f>IF(SER_hh_fech_in!J10=0,0,SER_hh_fech_in!J10/SER_summary!J$27)</f>
        <v>203.37037547695428</v>
      </c>
      <c r="K10" s="133">
        <f>IF(SER_hh_fech_in!K10=0,0,SER_hh_fech_in!K10/SER_summary!K$27)</f>
        <v>193.94131455757437</v>
      </c>
      <c r="L10" s="133">
        <f>IF(SER_hh_fech_in!L10=0,0,SER_hh_fech_in!L10/SER_summary!L$27)</f>
        <v>186.78224866959835</v>
      </c>
      <c r="M10" s="133">
        <f>IF(SER_hh_fech_in!M10=0,0,SER_hh_fech_in!M10/SER_summary!M$27)</f>
        <v>162.23241686841712</v>
      </c>
      <c r="N10" s="133">
        <f>IF(SER_hh_fech_in!N10=0,0,SER_hh_fech_in!N10/SER_summary!N$27)</f>
        <v>199.56134076342317</v>
      </c>
      <c r="O10" s="133">
        <f>IF(SER_hh_fech_in!O10=0,0,SER_hh_fech_in!O10/SER_summary!O$27)</f>
        <v>108.82584098504898</v>
      </c>
      <c r="P10" s="133">
        <f>IF(SER_hh_fech_in!P10=0,0,SER_hh_fech_in!P10/SER_summary!P$27)</f>
        <v>142.61142465139713</v>
      </c>
      <c r="Q10" s="133">
        <f>IF(SER_hh_fech_in!Q10=0,0,SER_hh_fech_in!Q10/SER_summary!Q$27)</f>
        <v>127.06642038943637</v>
      </c>
      <c r="R10" s="133">
        <f>IF(SER_hh_fech_in!R10=0,0,SER_hh_fech_in!R10/SER_summary!R$27)</f>
        <v>191.28830753734829</v>
      </c>
      <c r="S10" s="133">
        <f>IF(SER_hh_fech_in!S10=0,0,SER_hh_fech_in!S10/SER_summary!S$27)</f>
        <v>176.4457853535929</v>
      </c>
      <c r="T10" s="133">
        <f>IF(SER_hh_fech_in!T10=0,0,SER_hh_fech_in!T10/SER_summary!T$27)</f>
        <v>165.12573367815676</v>
      </c>
      <c r="U10" s="133">
        <f>IF(SER_hh_fech_in!U10=0,0,SER_hh_fech_in!U10/SER_summary!U$27)</f>
        <v>89.708022160727097</v>
      </c>
      <c r="V10" s="133">
        <f>IF(SER_hh_fech_in!V10=0,0,SER_hh_fech_in!V10/SER_summary!V$27)</f>
        <v>0</v>
      </c>
      <c r="W10" s="133">
        <f>IF(SER_hh_fech_in!W10=0,0,SER_hh_fech_in!W10/SER_summary!W$27)</f>
        <v>71.270564584705454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199.52538123437105</v>
      </c>
      <c r="D12" s="133">
        <f>IF(SER_hh_fech_in!D12=0,0,SER_hh_fech_in!D12/SER_summary!D$27)</f>
        <v>193.11976752015619</v>
      </c>
      <c r="E12" s="133">
        <f>IF(SER_hh_fech_in!E12=0,0,SER_hh_fech_in!E12/SER_summary!E$27)</f>
        <v>185.93432153680649</v>
      </c>
      <c r="F12" s="133">
        <f>IF(SER_hh_fech_in!F12=0,0,SER_hh_fech_in!F12/SER_summary!F$27)</f>
        <v>167.0296749585309</v>
      </c>
      <c r="G12" s="133">
        <f>IF(SER_hh_fech_in!G12=0,0,SER_hh_fech_in!G12/SER_summary!G$27)</f>
        <v>157.73772905667414</v>
      </c>
      <c r="H12" s="133">
        <f>IF(SER_hh_fech_in!H12=0,0,SER_hh_fech_in!H12/SER_summary!H$27)</f>
        <v>148.36043136096751</v>
      </c>
      <c r="I12" s="133">
        <f>IF(SER_hh_fech_in!I12=0,0,SER_hh_fech_in!I12/SER_summary!I$27)</f>
        <v>135.96714740329861</v>
      </c>
      <c r="J12" s="133">
        <f>IF(SER_hh_fech_in!J12=0,0,SER_hh_fech_in!J12/SER_summary!J$27)</f>
        <v>132.47047253287465</v>
      </c>
      <c r="K12" s="133">
        <f>IF(SER_hh_fech_in!K12=0,0,SER_hh_fech_in!K12/SER_summary!K$27)</f>
        <v>129.93518992117285</v>
      </c>
      <c r="L12" s="133">
        <f>IF(SER_hh_fech_in!L12=0,0,SER_hh_fech_in!L12/SER_summary!L$27)</f>
        <v>137.51095212919279</v>
      </c>
      <c r="M12" s="133">
        <f>IF(SER_hh_fech_in!M12=0,0,SER_hh_fech_in!M12/SER_summary!M$27)</f>
        <v>108.19617510950631</v>
      </c>
      <c r="N12" s="133">
        <f>IF(SER_hh_fech_in!N12=0,0,SER_hh_fech_in!N12/SER_summary!N$27)</f>
        <v>113.14472595615767</v>
      </c>
      <c r="O12" s="133">
        <f>IF(SER_hh_fech_in!O12=0,0,SER_hh_fech_in!O12/SER_summary!O$27)</f>
        <v>106.85628594563302</v>
      </c>
      <c r="P12" s="133">
        <f>IF(SER_hh_fech_in!P12=0,0,SER_hh_fech_in!P12/SER_summary!P$27)</f>
        <v>96.476599104748118</v>
      </c>
      <c r="Q12" s="133">
        <f>IF(SER_hh_fech_in!Q12=0,0,SER_hh_fech_in!Q12/SER_summary!Q$27)</f>
        <v>88.817532965484972</v>
      </c>
      <c r="R12" s="133">
        <f>IF(SER_hh_fech_in!R12=0,0,SER_hh_fech_in!R12/SER_summary!R$27)</f>
        <v>89.431505327705224</v>
      </c>
      <c r="S12" s="133">
        <f>IF(SER_hh_fech_in!S12=0,0,SER_hh_fech_in!S12/SER_summary!S$27)</f>
        <v>77.405185965783971</v>
      </c>
      <c r="T12" s="133">
        <f>IF(SER_hh_fech_in!T12=0,0,SER_hh_fech_in!T12/SER_summary!T$27)</f>
        <v>73.784934025519135</v>
      </c>
      <c r="U12" s="133">
        <f>IF(SER_hh_fech_in!U12=0,0,SER_hh_fech_in!U12/SER_summary!U$27)</f>
        <v>65.079266919394229</v>
      </c>
      <c r="V12" s="133">
        <f>IF(SER_hh_fech_in!V12=0,0,SER_hh_fech_in!V12/SER_summary!V$27)</f>
        <v>51.30157042435669</v>
      </c>
      <c r="W12" s="133">
        <f>IF(SER_hh_fech_in!W12=0,0,SER_hh_fech_in!W12/SER_summary!W$27)</f>
        <v>46.645635206474374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113.59192888005926</v>
      </c>
      <c r="D13" s="133">
        <f>IF(SER_hh_fech_in!D13=0,0,SER_hh_fech_in!D13/SER_summary!D$27)</f>
        <v>99.167657968782677</v>
      </c>
      <c r="E13" s="133">
        <f>IF(SER_hh_fech_in!E13=0,0,SER_hh_fech_in!E13/SER_summary!E$27)</f>
        <v>81.151025470852574</v>
      </c>
      <c r="F13" s="133">
        <f>IF(SER_hh_fech_in!F13=0,0,SER_hh_fech_in!F13/SER_summary!F$27)</f>
        <v>76.584264393306952</v>
      </c>
      <c r="G13" s="133">
        <f>IF(SER_hh_fech_in!G13=0,0,SER_hh_fech_in!G13/SER_summary!G$27)</f>
        <v>59.252702791214546</v>
      </c>
      <c r="H13" s="133">
        <f>IF(SER_hh_fech_in!H13=0,0,SER_hh_fech_in!H13/SER_summary!H$27)</f>
        <v>58.811109630553204</v>
      </c>
      <c r="I13" s="133">
        <f>IF(SER_hh_fech_in!I13=0,0,SER_hh_fech_in!I13/SER_summary!I$27)</f>
        <v>57.010469168953371</v>
      </c>
      <c r="J13" s="133">
        <f>IF(SER_hh_fech_in!J13=0,0,SER_hh_fech_in!J13/SER_summary!J$27)</f>
        <v>49.667581758204697</v>
      </c>
      <c r="K13" s="133">
        <f>IF(SER_hh_fech_in!K13=0,0,SER_hh_fech_in!K13/SER_summary!K$27)</f>
        <v>43.875509356181198</v>
      </c>
      <c r="L13" s="133">
        <f>IF(SER_hh_fech_in!L13=0,0,SER_hh_fech_in!L13/SER_summary!L$27)</f>
        <v>39.698200056546703</v>
      </c>
      <c r="M13" s="133">
        <f>IF(SER_hh_fech_in!M13=0,0,SER_hh_fech_in!M13/SER_summary!M$27)</f>
        <v>35.135816219002322</v>
      </c>
      <c r="N13" s="133">
        <f>IF(SER_hh_fech_in!N13=0,0,SER_hh_fech_in!N13/SER_summary!N$27)</f>
        <v>31.941338795685276</v>
      </c>
      <c r="O13" s="133">
        <f>IF(SER_hh_fech_in!O13=0,0,SER_hh_fech_in!O13/SER_summary!O$27)</f>
        <v>28.555580959436046</v>
      </c>
      <c r="P13" s="133">
        <f>IF(SER_hh_fech_in!P13=0,0,SER_hh_fech_in!P13/SER_summary!P$27)</f>
        <v>24.890566956591865</v>
      </c>
      <c r="Q13" s="133">
        <f>IF(SER_hh_fech_in!Q13=0,0,SER_hh_fech_in!Q13/SER_summary!Q$27)</f>
        <v>21.864503269839286</v>
      </c>
      <c r="R13" s="133">
        <f>IF(SER_hh_fech_in!R13=0,0,SER_hh_fech_in!R13/SER_summary!R$27)</f>
        <v>22.42197963556789</v>
      </c>
      <c r="S13" s="133">
        <f>IF(SER_hh_fech_in!S13=0,0,SER_hh_fech_in!S13/SER_summary!S$27)</f>
        <v>19.478868922665058</v>
      </c>
      <c r="T13" s="133">
        <f>IF(SER_hh_fech_in!T13=0,0,SER_hh_fech_in!T13/SER_summary!T$27)</f>
        <v>17.821313730068212</v>
      </c>
      <c r="U13" s="133">
        <f>IF(SER_hh_fech_in!U13=0,0,SER_hh_fech_in!U13/SER_summary!U$27)</f>
        <v>15.39383593048932</v>
      </c>
      <c r="V13" s="133">
        <f>IF(SER_hh_fech_in!V13=0,0,SER_hh_fech_in!V13/SER_summary!V$27)</f>
        <v>13.911049559660338</v>
      </c>
      <c r="W13" s="133">
        <f>IF(SER_hh_fech_in!W13=0,0,SER_hh_fech_in!W13/SER_summary!W$27)</f>
        <v>10.448892054485061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228.61530664815132</v>
      </c>
      <c r="D14" s="65">
        <f>IF(SER_hh_fech_in!D14=0,0,SER_hh_fech_in!D14/SER_summary!D$27)</f>
        <v>219.10763602651357</v>
      </c>
      <c r="E14" s="65">
        <f>IF(SER_hh_fech_in!E14=0,0,SER_hh_fech_in!E14/SER_summary!E$27)</f>
        <v>198.39573130354799</v>
      </c>
      <c r="F14" s="65">
        <f>IF(SER_hh_fech_in!F14=0,0,SER_hh_fech_in!F14/SER_summary!F$27)</f>
        <v>191.01983041794662</v>
      </c>
      <c r="G14" s="65">
        <f>IF(SER_hh_fech_in!G14=0,0,SER_hh_fech_in!G14/SER_summary!G$27)</f>
        <v>153.14046628221848</v>
      </c>
      <c r="H14" s="65">
        <f>IF(SER_hh_fech_in!H14=0,0,SER_hh_fech_in!H14/SER_summary!H$27)</f>
        <v>158.18446001891749</v>
      </c>
      <c r="I14" s="65">
        <f>IF(SER_hh_fech_in!I14=0,0,SER_hh_fech_in!I14/SER_summary!I$27)</f>
        <v>166.12753393096057</v>
      </c>
      <c r="J14" s="65">
        <f>IF(SER_hh_fech_in!J14=0,0,SER_hh_fech_in!J14/SER_summary!J$27)</f>
        <v>155.02312842679282</v>
      </c>
      <c r="K14" s="65">
        <f>IF(SER_hh_fech_in!K14=0,0,SER_hh_fech_in!K14/SER_summary!K$27)</f>
        <v>0</v>
      </c>
      <c r="L14" s="65">
        <f>IF(SER_hh_fech_in!L14=0,0,SER_hh_fech_in!L14/SER_summary!L$27)</f>
        <v>145.58200298907079</v>
      </c>
      <c r="M14" s="65">
        <f>IF(SER_hh_fech_in!M14=0,0,SER_hh_fech_in!M14/SER_summary!M$27)</f>
        <v>108.44265007173124</v>
      </c>
      <c r="N14" s="65">
        <f>IF(SER_hh_fech_in!N14=0,0,SER_hh_fech_in!N14/SER_summary!N$27)</f>
        <v>117.43284174013333</v>
      </c>
      <c r="O14" s="65">
        <f>IF(SER_hh_fech_in!O14=0,0,SER_hh_fech_in!O14/SER_summary!O$27)</f>
        <v>101.89547230130745</v>
      </c>
      <c r="P14" s="65">
        <f>IF(SER_hh_fech_in!P14=0,0,SER_hh_fech_in!P14/SER_summary!P$27)</f>
        <v>97.794266757322148</v>
      </c>
      <c r="Q14" s="65">
        <f>IF(SER_hh_fech_in!Q14=0,0,SER_hh_fech_in!Q14/SER_summary!Q$27)</f>
        <v>99.433711924584884</v>
      </c>
      <c r="R14" s="65">
        <f>IF(SER_hh_fech_in!R14=0,0,SER_hh_fech_in!R14/SER_summary!R$27)</f>
        <v>99.072019527250092</v>
      </c>
      <c r="S14" s="65">
        <f>IF(SER_hh_fech_in!S14=0,0,SER_hh_fech_in!S14/SER_summary!S$27)</f>
        <v>75.19851010137468</v>
      </c>
      <c r="T14" s="65">
        <f>IF(SER_hh_fech_in!T14=0,0,SER_hh_fech_in!T14/SER_summary!T$27)</f>
        <v>73.617849800282912</v>
      </c>
      <c r="U14" s="65">
        <f>IF(SER_hh_fech_in!U14=0,0,SER_hh_fech_in!U14/SER_summary!U$27)</f>
        <v>59.503785101385816</v>
      </c>
      <c r="V14" s="65">
        <f>IF(SER_hh_fech_in!V14=0,0,SER_hh_fech_in!V14/SER_summary!V$27)</f>
        <v>52.703696408249193</v>
      </c>
      <c r="W14" s="65">
        <f>IF(SER_hh_fech_in!W14=0,0,SER_hh_fech_in!W14/SER_summary!W$27)</f>
        <v>44.304423262552071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1.2332780465626312</v>
      </c>
      <c r="D15" s="135">
        <f>IF(SER_hh_fech_in!D15=0,0,SER_hh_fech_in!D15/SER_summary!D$27)</f>
        <v>1.4063477040275767</v>
      </c>
      <c r="E15" s="135">
        <f>IF(SER_hh_fech_in!E15=0,0,SER_hh_fech_in!E15/SER_summary!E$27)</f>
        <v>1.0609324931218618</v>
      </c>
      <c r="F15" s="135">
        <f>IF(SER_hh_fech_in!F15=0,0,SER_hh_fech_in!F15/SER_summary!F$27)</f>
        <v>0.79140675875508826</v>
      </c>
      <c r="G15" s="135">
        <f>IF(SER_hh_fech_in!G15=0,0,SER_hh_fech_in!G15/SER_summary!G$27)</f>
        <v>0.69093590978477593</v>
      </c>
      <c r="H15" s="135">
        <f>IF(SER_hh_fech_in!H15=0,0,SER_hh_fech_in!H15/SER_summary!H$27)</f>
        <v>0.6141469975649394</v>
      </c>
      <c r="I15" s="135">
        <f>IF(SER_hh_fech_in!I15=0,0,SER_hh_fech_in!I15/SER_summary!I$27)</f>
        <v>0.49770623516267865</v>
      </c>
      <c r="J15" s="135">
        <f>IF(SER_hh_fech_in!J15=0,0,SER_hh_fech_in!J15/SER_summary!J$27)</f>
        <v>0.48071386924262743</v>
      </c>
      <c r="K15" s="135">
        <f>IF(SER_hh_fech_in!K15=0,0,SER_hh_fech_in!K15/SER_summary!K$27)</f>
        <v>0.56568468200566902</v>
      </c>
      <c r="L15" s="135">
        <f>IF(SER_hh_fech_in!L15=0,0,SER_hh_fech_in!L15/SER_summary!L$27)</f>
        <v>0.80706389566979697</v>
      </c>
      <c r="M15" s="135">
        <f>IF(SER_hh_fech_in!M15=0,0,SER_hh_fech_in!M15/SER_summary!M$27)</f>
        <v>0.75269294019496469</v>
      </c>
      <c r="N15" s="135">
        <f>IF(SER_hh_fech_in!N15=0,0,SER_hh_fech_in!N15/SER_summary!N$27)</f>
        <v>0.76427613110828208</v>
      </c>
      <c r="O15" s="135">
        <f>IF(SER_hh_fech_in!O15=0,0,SER_hh_fech_in!O15/SER_summary!O$27)</f>
        <v>0.59555824647764277</v>
      </c>
      <c r="P15" s="135">
        <f>IF(SER_hh_fech_in!P15=0,0,SER_hh_fech_in!P15/SER_summary!P$27)</f>
        <v>0.39016811808644725</v>
      </c>
      <c r="Q15" s="135">
        <f>IF(SER_hh_fech_in!Q15=0,0,SER_hh_fech_in!Q15/SER_summary!Q$27)</f>
        <v>0.35186334676828179</v>
      </c>
      <c r="R15" s="135">
        <f>IF(SER_hh_fech_in!R15=0,0,SER_hh_fech_in!R15/SER_summary!R$27)</f>
        <v>0.39667747743441145</v>
      </c>
      <c r="S15" s="135">
        <f>IF(SER_hh_fech_in!S15=0,0,SER_hh_fech_in!S15/SER_summary!S$27)</f>
        <v>0.40822526296510192</v>
      </c>
      <c r="T15" s="135">
        <f>IF(SER_hh_fech_in!T15=0,0,SER_hh_fech_in!T15/SER_summary!T$27)</f>
        <v>0.39330594498223148</v>
      </c>
      <c r="U15" s="135">
        <f>IF(SER_hh_fech_in!U15=0,0,SER_hh_fech_in!U15/SER_summary!U$27)</f>
        <v>0.35777773398175755</v>
      </c>
      <c r="V15" s="135">
        <f>IF(SER_hh_fech_in!V15=0,0,SER_hh_fech_in!V15/SER_summary!V$27)</f>
        <v>0.28592786845721008</v>
      </c>
      <c r="W15" s="135">
        <f>IF(SER_hh_fech_in!W15=0,0,SER_hh_fech_in!W15/SER_summary!W$27)</f>
        <v>0.18456901012756854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10.003930055675978</v>
      </c>
      <c r="D16" s="131">
        <f>IF(SER_hh_fech_in!D16=0,0,SER_hh_fech_in!D16/SER_summary!D$27)</f>
        <v>9.5912903862444772</v>
      </c>
      <c r="E16" s="131">
        <f>IF(SER_hh_fech_in!E16=0,0,SER_hh_fech_in!E16/SER_summary!E$27)</f>
        <v>9.2027958835496619</v>
      </c>
      <c r="F16" s="131">
        <f>IF(SER_hh_fech_in!F16=0,0,SER_hh_fech_in!F16/SER_summary!F$27)</f>
        <v>8.8368280513707109</v>
      </c>
      <c r="G16" s="131">
        <f>IF(SER_hh_fech_in!G16=0,0,SER_hh_fech_in!G16/SER_summary!G$27)</f>
        <v>8.4860254155973998</v>
      </c>
      <c r="H16" s="131">
        <f>IF(SER_hh_fech_in!H16=0,0,SER_hh_fech_in!H16/SER_summary!H$27)</f>
        <v>8.1534640542090049</v>
      </c>
      <c r="I16" s="131">
        <f>IF(SER_hh_fech_in!I16=0,0,SER_hh_fech_in!I16/SER_summary!I$27)</f>
        <v>7.8300467346214528</v>
      </c>
      <c r="J16" s="131">
        <f>IF(SER_hh_fech_in!J16=0,0,SER_hh_fech_in!J16/SER_summary!J$27)</f>
        <v>7.567380188208376</v>
      </c>
      <c r="K16" s="131">
        <f>IF(SER_hh_fech_in!K16=0,0,SER_hh_fech_in!K16/SER_summary!K$27)</f>
        <v>7.2363790554618523</v>
      </c>
      <c r="L16" s="131">
        <f>IF(SER_hh_fech_in!L16=0,0,SER_hh_fech_in!L16/SER_summary!L$27)</f>
        <v>7.022584971117201</v>
      </c>
      <c r="M16" s="131">
        <f>IF(SER_hh_fech_in!M16=0,0,SER_hh_fech_in!M16/SER_summary!M$27)</f>
        <v>6.5600165667974935</v>
      </c>
      <c r="N16" s="131">
        <f>IF(SER_hh_fech_in!N16=0,0,SER_hh_fech_in!N16/SER_summary!N$27)</f>
        <v>6.170609691754831</v>
      </c>
      <c r="O16" s="131">
        <f>IF(SER_hh_fech_in!O16=0,0,SER_hh_fech_in!O16/SER_summary!O$27)</f>
        <v>5.7804754421941134</v>
      </c>
      <c r="P16" s="131">
        <f>IF(SER_hh_fech_in!P16=0,0,SER_hh_fech_in!P16/SER_summary!P$27)</f>
        <v>5.4543759783951158</v>
      </c>
      <c r="Q16" s="131">
        <f>IF(SER_hh_fech_in!Q16=0,0,SER_hh_fech_in!Q16/SER_summary!Q$27)</f>
        <v>5.0530395700443185</v>
      </c>
      <c r="R16" s="131">
        <f>IF(SER_hh_fech_in!R16=0,0,SER_hh_fech_in!R16/SER_summary!R$27)</f>
        <v>4.8180231066198989</v>
      </c>
      <c r="S16" s="131">
        <f>IF(SER_hh_fech_in!S16=0,0,SER_hh_fech_in!S16/SER_summary!S$27)</f>
        <v>4.5949457147523418</v>
      </c>
      <c r="T16" s="131">
        <f>IF(SER_hh_fech_in!T16=0,0,SER_hh_fech_in!T16/SER_summary!T$27)</f>
        <v>4.4156895961802149</v>
      </c>
      <c r="U16" s="131">
        <f>IF(SER_hh_fech_in!U16=0,0,SER_hh_fech_in!U16/SER_summary!U$27)</f>
        <v>4.1420216259693872</v>
      </c>
      <c r="V16" s="131">
        <f>IF(SER_hh_fech_in!V16=0,0,SER_hh_fech_in!V16/SER_summary!V$27)</f>
        <v>3.8545707117555836</v>
      </c>
      <c r="W16" s="131">
        <f>IF(SER_hh_fech_in!W16=0,0,SER_hh_fech_in!W16/SER_summary!W$27)</f>
        <v>3.3357163314749703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10.003930055675978</v>
      </c>
      <c r="D18" s="133">
        <f>IF(SER_hh_fech_in!D18=0,0,SER_hh_fech_in!D18/SER_summary!D$27)</f>
        <v>9.5912903862444772</v>
      </c>
      <c r="E18" s="133">
        <f>IF(SER_hh_fech_in!E18=0,0,SER_hh_fech_in!E18/SER_summary!E$27)</f>
        <v>9.2027958835496619</v>
      </c>
      <c r="F18" s="133">
        <f>IF(SER_hh_fech_in!F18=0,0,SER_hh_fech_in!F18/SER_summary!F$27)</f>
        <v>8.8368280513707109</v>
      </c>
      <c r="G18" s="133">
        <f>IF(SER_hh_fech_in!G18=0,0,SER_hh_fech_in!G18/SER_summary!G$27)</f>
        <v>8.4860254155973998</v>
      </c>
      <c r="H18" s="133">
        <f>IF(SER_hh_fech_in!H18=0,0,SER_hh_fech_in!H18/SER_summary!H$27)</f>
        <v>8.1534640542090049</v>
      </c>
      <c r="I18" s="133">
        <f>IF(SER_hh_fech_in!I18=0,0,SER_hh_fech_in!I18/SER_summary!I$27)</f>
        <v>7.8300467346214528</v>
      </c>
      <c r="J18" s="133">
        <f>IF(SER_hh_fech_in!J18=0,0,SER_hh_fech_in!J18/SER_summary!J$27)</f>
        <v>7.567380188208376</v>
      </c>
      <c r="K18" s="133">
        <f>IF(SER_hh_fech_in!K18=0,0,SER_hh_fech_in!K18/SER_summary!K$27)</f>
        <v>7.2363790554618523</v>
      </c>
      <c r="L18" s="133">
        <f>IF(SER_hh_fech_in!L18=0,0,SER_hh_fech_in!L18/SER_summary!L$27)</f>
        <v>7.022584971117201</v>
      </c>
      <c r="M18" s="133">
        <f>IF(SER_hh_fech_in!M18=0,0,SER_hh_fech_in!M18/SER_summary!M$27)</f>
        <v>6.5600165667974935</v>
      </c>
      <c r="N18" s="133">
        <f>IF(SER_hh_fech_in!N18=0,0,SER_hh_fech_in!N18/SER_summary!N$27)</f>
        <v>6.170609691754831</v>
      </c>
      <c r="O18" s="133">
        <f>IF(SER_hh_fech_in!O18=0,0,SER_hh_fech_in!O18/SER_summary!O$27)</f>
        <v>5.7804754421941134</v>
      </c>
      <c r="P18" s="133">
        <f>IF(SER_hh_fech_in!P18=0,0,SER_hh_fech_in!P18/SER_summary!P$27)</f>
        <v>5.4543759783951158</v>
      </c>
      <c r="Q18" s="133">
        <f>IF(SER_hh_fech_in!Q18=0,0,SER_hh_fech_in!Q18/SER_summary!Q$27)</f>
        <v>5.0530395700443185</v>
      </c>
      <c r="R18" s="133">
        <f>IF(SER_hh_fech_in!R18=0,0,SER_hh_fech_in!R18/SER_summary!R$27)</f>
        <v>4.8180231066198989</v>
      </c>
      <c r="S18" s="133">
        <f>IF(SER_hh_fech_in!S18=0,0,SER_hh_fech_in!S18/SER_summary!S$27)</f>
        <v>4.5949457147523418</v>
      </c>
      <c r="T18" s="133">
        <f>IF(SER_hh_fech_in!T18=0,0,SER_hh_fech_in!T18/SER_summary!T$27)</f>
        <v>4.4156895961802149</v>
      </c>
      <c r="U18" s="133">
        <f>IF(SER_hh_fech_in!U18=0,0,SER_hh_fech_in!U18/SER_summary!U$27)</f>
        <v>4.1420216259693872</v>
      </c>
      <c r="V18" s="133">
        <f>IF(SER_hh_fech_in!V18=0,0,SER_hh_fech_in!V18/SER_summary!V$27)</f>
        <v>3.8545707117555836</v>
      </c>
      <c r="W18" s="133">
        <f>IF(SER_hh_fech_in!W18=0,0,SER_hh_fech_in!W18/SER_summary!W$27)</f>
        <v>3.3357163314749703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27.140548468078368</v>
      </c>
      <c r="D19" s="131">
        <f>IF(SER_hh_fech_in!D19=0,0,SER_hh_fech_in!D19/SER_summary!D$27)</f>
        <v>26.265117543978253</v>
      </c>
      <c r="E19" s="131">
        <f>IF(SER_hh_fech_in!E19=0,0,SER_hh_fech_in!E19/SER_summary!E$27)</f>
        <v>25.026920059470573</v>
      </c>
      <c r="F19" s="131">
        <f>IF(SER_hh_fech_in!F19=0,0,SER_hh_fech_in!F19/SER_summary!F$27)</f>
        <v>23.925166303816788</v>
      </c>
      <c r="G19" s="131">
        <f>IF(SER_hh_fech_in!G19=0,0,SER_hh_fech_in!G19/SER_summary!G$27)</f>
        <v>24.607018716408369</v>
      </c>
      <c r="H19" s="131">
        <f>IF(SER_hh_fech_in!H19=0,0,SER_hh_fech_in!H19/SER_summary!H$27)</f>
        <v>23.91306258911969</v>
      </c>
      <c r="I19" s="131">
        <f>IF(SER_hh_fech_in!I19=0,0,SER_hh_fech_in!I19/SER_summary!I$27)</f>
        <v>24.360245895810895</v>
      </c>
      <c r="J19" s="131">
        <f>IF(SER_hh_fech_in!J19=0,0,SER_hh_fech_in!J19/SER_summary!J$27)</f>
        <v>24.135131217406126</v>
      </c>
      <c r="K19" s="131">
        <f>IF(SER_hh_fech_in!K19=0,0,SER_hh_fech_in!K19/SER_summary!K$27)</f>
        <v>24.408265185339456</v>
      </c>
      <c r="L19" s="131">
        <f>IF(SER_hh_fech_in!L19=0,0,SER_hh_fech_in!L19/SER_summary!L$27)</f>
        <v>23.502674073088361</v>
      </c>
      <c r="M19" s="131">
        <f>IF(SER_hh_fech_in!M19=0,0,SER_hh_fech_in!M19/SER_summary!M$27)</f>
        <v>23.569619348422737</v>
      </c>
      <c r="N19" s="131">
        <f>IF(SER_hh_fech_in!N19=0,0,SER_hh_fech_in!N19/SER_summary!N$27)</f>
        <v>24.775237412199736</v>
      </c>
      <c r="O19" s="131">
        <f>IF(SER_hh_fech_in!O19=0,0,SER_hh_fech_in!O19/SER_summary!O$27)</f>
        <v>23.718182760251096</v>
      </c>
      <c r="P19" s="131">
        <f>IF(SER_hh_fech_in!P19=0,0,SER_hh_fech_in!P19/SER_summary!P$27)</f>
        <v>21.828509297486473</v>
      </c>
      <c r="Q19" s="131">
        <f>IF(SER_hh_fech_in!Q19=0,0,SER_hh_fech_in!Q19/SER_summary!Q$27)</f>
        <v>21.720467472065675</v>
      </c>
      <c r="R19" s="131">
        <f>IF(SER_hh_fech_in!R19=0,0,SER_hh_fech_in!R19/SER_summary!R$27)</f>
        <v>21.079019131615357</v>
      </c>
      <c r="S19" s="131">
        <f>IF(SER_hh_fech_in!S19=0,0,SER_hh_fech_in!S19/SER_summary!S$27)</f>
        <v>20.216645704446712</v>
      </c>
      <c r="T19" s="131">
        <f>IF(SER_hh_fech_in!T19=0,0,SER_hh_fech_in!T19/SER_summary!T$27)</f>
        <v>19.678480797207328</v>
      </c>
      <c r="U19" s="131">
        <f>IF(SER_hh_fech_in!U19=0,0,SER_hh_fech_in!U19/SER_summary!U$27)</f>
        <v>19.134037085876937</v>
      </c>
      <c r="V19" s="131">
        <f>IF(SER_hh_fech_in!V19=0,0,SER_hh_fech_in!V19/SER_summary!V$27)</f>
        <v>18.142798664014737</v>
      </c>
      <c r="W19" s="131">
        <f>IF(SER_hh_fech_in!W19=0,0,SER_hh_fech_in!W19/SER_summary!W$27)</f>
        <v>17.564683522204749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35.726446333080574</v>
      </c>
      <c r="D22" s="133">
        <f>IF(SER_hh_fech_in!D22=0,0,SER_hh_fech_in!D22/SER_summary!D$27)</f>
        <v>35.20842448305288</v>
      </c>
      <c r="E22" s="133">
        <f>IF(SER_hh_fech_in!E22=0,0,SER_hh_fech_in!E22/SER_summary!E$27)</f>
        <v>36.295552014715817</v>
      </c>
      <c r="F22" s="133">
        <f>IF(SER_hh_fech_in!F22=0,0,SER_hh_fech_in!F22/SER_summary!F$27)</f>
        <v>0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0</v>
      </c>
      <c r="J22" s="133">
        <f>IF(SER_hh_fech_in!J22=0,0,SER_hh_fech_in!J22/SER_summary!J$27)</f>
        <v>0</v>
      </c>
      <c r="K22" s="133">
        <f>IF(SER_hh_fech_in!K22=0,0,SER_hh_fech_in!K22/SER_summary!K$27)</f>
        <v>0</v>
      </c>
      <c r="L22" s="133">
        <f>IF(SER_hh_fech_in!L22=0,0,SER_hh_fech_in!L22/SER_summary!L$27)</f>
        <v>0</v>
      </c>
      <c r="M22" s="133">
        <f>IF(SER_hh_fech_in!M22=0,0,SER_hh_fech_in!M22/SER_summary!M$27)</f>
        <v>26.739292065834857</v>
      </c>
      <c r="N22" s="133">
        <f>IF(SER_hh_fech_in!N22=0,0,SER_hh_fech_in!N22/SER_summary!N$27)</f>
        <v>32.900977688234114</v>
      </c>
      <c r="O22" s="133">
        <f>IF(SER_hh_fech_in!O22=0,0,SER_hh_fech_in!O22/SER_summary!O$27)</f>
        <v>31.344412135932316</v>
      </c>
      <c r="P22" s="133">
        <f>IF(SER_hh_fech_in!P22=0,0,SER_hh_fech_in!P22/SER_summary!P$27)</f>
        <v>20.957744742940612</v>
      </c>
      <c r="Q22" s="133">
        <f>IF(SER_hh_fech_in!Q22=0,0,SER_hh_fech_in!Q22/SER_summary!Q$27)</f>
        <v>26.236095135488942</v>
      </c>
      <c r="R22" s="133">
        <f>IF(SER_hh_fech_in!R22=0,0,SER_hh_fech_in!R22/SER_summary!R$27)</f>
        <v>24.068363631919283</v>
      </c>
      <c r="S22" s="133">
        <f>IF(SER_hh_fech_in!S22=0,0,SER_hh_fech_in!S22/SER_summary!S$27)</f>
        <v>22.998463191197807</v>
      </c>
      <c r="T22" s="133">
        <f>IF(SER_hh_fech_in!T22=0,0,SER_hh_fech_in!T22/SER_summary!T$27)</f>
        <v>22.350263241362182</v>
      </c>
      <c r="U22" s="133">
        <f>IF(SER_hh_fech_in!U22=0,0,SER_hh_fech_in!U22/SER_summary!U$27)</f>
        <v>21.034809336848195</v>
      </c>
      <c r="V22" s="133">
        <f>IF(SER_hh_fech_in!V22=0,0,SER_hh_fech_in!V22/SER_summary!V$27)</f>
        <v>20.535232905913844</v>
      </c>
      <c r="W22" s="133">
        <f>IF(SER_hh_fech_in!W22=0,0,SER_hh_fech_in!W22/SER_summary!W$27)</f>
        <v>0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29.621182983239954</v>
      </c>
      <c r="D23" s="133">
        <f>IF(SER_hh_fech_in!D23=0,0,SER_hh_fech_in!D23/SER_summary!D$27)</f>
        <v>31.768599383828548</v>
      </c>
      <c r="E23" s="133">
        <f>IF(SER_hh_fech_in!E23=0,0,SER_hh_fech_in!E23/SER_summary!E$27)</f>
        <v>32.888041212713006</v>
      </c>
      <c r="F23" s="133">
        <f>IF(SER_hh_fech_in!F23=0,0,SER_hh_fech_in!F23/SER_summary!F$27)</f>
        <v>28.816992252581866</v>
      </c>
      <c r="G23" s="133">
        <f>IF(SER_hh_fech_in!G23=0,0,SER_hh_fech_in!G23/SER_summary!G$27)</f>
        <v>28.976079724687523</v>
      </c>
      <c r="H23" s="133">
        <f>IF(SER_hh_fech_in!H23=0,0,SER_hh_fech_in!H23/SER_summary!H$27)</f>
        <v>31.734168054802623</v>
      </c>
      <c r="I23" s="133">
        <f>IF(SER_hh_fech_in!I23=0,0,SER_hh_fech_in!I23/SER_summary!I$27)</f>
        <v>28.94871861302995</v>
      </c>
      <c r="J23" s="133">
        <f>IF(SER_hh_fech_in!J23=0,0,SER_hh_fech_in!J23/SER_summary!J$27)</f>
        <v>29.353238570658817</v>
      </c>
      <c r="K23" s="133">
        <f>IF(SER_hh_fech_in!K23=0,0,SER_hh_fech_in!K23/SER_summary!K$27)</f>
        <v>28.009004953297655</v>
      </c>
      <c r="L23" s="133">
        <f>IF(SER_hh_fech_in!L23=0,0,SER_hh_fech_in!L23/SER_summary!L$27)</f>
        <v>28.074925532274609</v>
      </c>
      <c r="M23" s="133">
        <f>IF(SER_hh_fech_in!M23=0,0,SER_hh_fech_in!M23/SER_summary!M$27)</f>
        <v>26.792696326756293</v>
      </c>
      <c r="N23" s="133">
        <f>IF(SER_hh_fech_in!N23=0,0,SER_hh_fech_in!N23/SER_summary!N$27)</f>
        <v>25.901953009537401</v>
      </c>
      <c r="O23" s="133">
        <f>IF(SER_hh_fech_in!O23=0,0,SER_hh_fech_in!O23/SER_summary!O$27)</f>
        <v>24.907369318218674</v>
      </c>
      <c r="P23" s="133">
        <f>IF(SER_hh_fech_in!P23=0,0,SER_hh_fech_in!P23/SER_summary!P$27)</f>
        <v>24.56988755810416</v>
      </c>
      <c r="Q23" s="133">
        <f>IF(SER_hh_fech_in!Q23=0,0,SER_hh_fech_in!Q23/SER_summary!Q$27)</f>
        <v>23.783712191411418</v>
      </c>
      <c r="R23" s="133">
        <f>IF(SER_hh_fech_in!R23=0,0,SER_hh_fech_in!R23/SER_summary!R$27)</f>
        <v>24.866593405886036</v>
      </c>
      <c r="S23" s="133">
        <f>IF(SER_hh_fech_in!S23=0,0,SER_hh_fech_in!S23/SER_summary!S$27)</f>
        <v>14.175513708082237</v>
      </c>
      <c r="T23" s="133">
        <f>IF(SER_hh_fech_in!T23=0,0,SER_hh_fech_in!T23/SER_summary!T$27)</f>
        <v>18.710136077068952</v>
      </c>
      <c r="U23" s="133">
        <f>IF(SER_hh_fech_in!U23=0,0,SER_hh_fech_in!U23/SER_summary!U$27)</f>
        <v>22.614426140764884</v>
      </c>
      <c r="V23" s="133">
        <f>IF(SER_hh_fech_in!V23=0,0,SER_hh_fech_in!V23/SER_summary!V$27)</f>
        <v>19.995551961425278</v>
      </c>
      <c r="W23" s="133">
        <f>IF(SER_hh_fech_in!W23=0,0,SER_hh_fech_in!W23/SER_summary!W$27)</f>
        <v>19.191892936176888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23.168924015636374</v>
      </c>
      <c r="D25" s="133">
        <f>IF(SER_hh_fech_in!D25=0,0,SER_hh_fech_in!D25/SER_summary!D$27)</f>
        <v>22.707234551453837</v>
      </c>
      <c r="E25" s="133">
        <f>IF(SER_hh_fech_in!E25=0,0,SER_hh_fech_in!E25/SER_summary!E$27)</f>
        <v>22.281525164752729</v>
      </c>
      <c r="F25" s="133">
        <f>IF(SER_hh_fech_in!F25=0,0,SER_hh_fech_in!F25/SER_summary!F$27)</f>
        <v>22.367425315203661</v>
      </c>
      <c r="G25" s="133">
        <f>IF(SER_hh_fech_in!G25=0,0,SER_hh_fech_in!G25/SER_summary!G$27)</f>
        <v>22.68831573549463</v>
      </c>
      <c r="H25" s="133">
        <f>IF(SER_hh_fech_in!H25=0,0,SER_hh_fech_in!H25/SER_summary!H$27)</f>
        <v>22.669823140317121</v>
      </c>
      <c r="I25" s="133">
        <f>IF(SER_hh_fech_in!I25=0,0,SER_hh_fech_in!I25/SER_summary!I$27)</f>
        <v>21.843287092163518</v>
      </c>
      <c r="J25" s="133">
        <f>IF(SER_hh_fech_in!J25=0,0,SER_hh_fech_in!J25/SER_summary!J$27)</f>
        <v>22.015763770659127</v>
      </c>
      <c r="K25" s="133">
        <f>IF(SER_hh_fech_in!K25=0,0,SER_hh_fech_in!K25/SER_summary!K$27)</f>
        <v>21.790837081959133</v>
      </c>
      <c r="L25" s="133">
        <f>IF(SER_hh_fech_in!L25=0,0,SER_hh_fech_in!L25/SER_summary!L$27)</f>
        <v>21.452669857162665</v>
      </c>
      <c r="M25" s="133">
        <f>IF(SER_hh_fech_in!M25=0,0,SER_hh_fech_in!M25/SER_summary!M$27)</f>
        <v>21.457171340860306</v>
      </c>
      <c r="N25" s="133">
        <f>IF(SER_hh_fech_in!N25=0,0,SER_hh_fech_in!N25/SER_summary!N$27)</f>
        <v>21.629354196025005</v>
      </c>
      <c r="O25" s="133">
        <f>IF(SER_hh_fech_in!O25=0,0,SER_hh_fech_in!O25/SER_summary!O$27)</f>
        <v>21.181995851451109</v>
      </c>
      <c r="P25" s="133">
        <f>IF(SER_hh_fech_in!P25=0,0,SER_hh_fech_in!P25/SER_summary!P$27)</f>
        <v>20.771369431097519</v>
      </c>
      <c r="Q25" s="133">
        <f>IF(SER_hh_fech_in!Q25=0,0,SER_hh_fech_in!Q25/SER_summary!Q$27)</f>
        <v>20.237197921826837</v>
      </c>
      <c r="R25" s="133">
        <f>IF(SER_hh_fech_in!R25=0,0,SER_hh_fech_in!R25/SER_summary!R$27)</f>
        <v>20.838876266802085</v>
      </c>
      <c r="S25" s="133">
        <f>IF(SER_hh_fech_in!S25=0,0,SER_hh_fech_in!S25/SER_summary!S$27)</f>
        <v>19.399063717884243</v>
      </c>
      <c r="T25" s="133">
        <f>IF(SER_hh_fech_in!T25=0,0,SER_hh_fech_in!T25/SER_summary!T$27)</f>
        <v>19.958815783679771</v>
      </c>
      <c r="U25" s="133">
        <f>IF(SER_hh_fech_in!U25=0,0,SER_hh_fech_in!U25/SER_summary!U$27)</f>
        <v>19.463640520959441</v>
      </c>
      <c r="V25" s="133">
        <f>IF(SER_hh_fech_in!V25=0,0,SER_hh_fech_in!V25/SER_summary!V$27)</f>
        <v>16.689708566155488</v>
      </c>
      <c r="W25" s="133">
        <f>IF(SER_hh_fech_in!W25=0,0,SER_hh_fech_in!W25/SER_summary!W$27)</f>
        <v>20.25544764628815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28.198620893372986</v>
      </c>
      <c r="D26" s="65">
        <f>IF(SER_hh_fech_in!D26=0,0,SER_hh_fech_in!D26/SER_summary!D$27)</f>
        <v>27.966294324088278</v>
      </c>
      <c r="E26" s="65">
        <f>IF(SER_hh_fech_in!E26=0,0,SER_hh_fech_in!E26/SER_summary!E$27)</f>
        <v>27.458133857717336</v>
      </c>
      <c r="F26" s="65">
        <f>IF(SER_hh_fech_in!F26=0,0,SER_hh_fech_in!F26/SER_summary!F$27)</f>
        <v>26.576440822657208</v>
      </c>
      <c r="G26" s="65">
        <f>IF(SER_hh_fech_in!G26=0,0,SER_hh_fech_in!G26/SER_summary!G$27)</f>
        <v>27.307819348446724</v>
      </c>
      <c r="H26" s="65">
        <f>IF(SER_hh_fech_in!H26=0,0,SER_hh_fech_in!H26/SER_summary!H$27)</f>
        <v>25.492867518309893</v>
      </c>
      <c r="I26" s="65">
        <f>IF(SER_hh_fech_in!I26=0,0,SER_hh_fech_in!I26/SER_summary!I$27)</f>
        <v>26.54242876672464</v>
      </c>
      <c r="J26" s="65">
        <f>IF(SER_hh_fech_in!J26=0,0,SER_hh_fech_in!J26/SER_summary!J$27)</f>
        <v>25.809056705295728</v>
      </c>
      <c r="K26" s="65">
        <f>IF(SER_hh_fech_in!K26=0,0,SER_hh_fech_in!K26/SER_summary!K$27)</f>
        <v>26.519904580705969</v>
      </c>
      <c r="L26" s="65">
        <f>IF(SER_hh_fech_in!L26=0,0,SER_hh_fech_in!L26/SER_summary!L$27)</f>
        <v>26.070469895809506</v>
      </c>
      <c r="M26" s="65">
        <f>IF(SER_hh_fech_in!M26=0,0,SER_hh_fech_in!M26/SER_summary!M$27)</f>
        <v>25.353237547721914</v>
      </c>
      <c r="N26" s="65">
        <f>IF(SER_hh_fech_in!N26=0,0,SER_hh_fech_in!N26/SER_summary!N$27)</f>
        <v>23.901476932986828</v>
      </c>
      <c r="O26" s="65">
        <f>IF(SER_hh_fech_in!O26=0,0,SER_hh_fech_in!O26/SER_summary!O$27)</f>
        <v>23.373460294888279</v>
      </c>
      <c r="P26" s="65">
        <f>IF(SER_hh_fech_in!P26=0,0,SER_hh_fech_in!P26/SER_summary!P$27)</f>
        <v>23.581007036394606</v>
      </c>
      <c r="Q26" s="65">
        <f>IF(SER_hh_fech_in!Q26=0,0,SER_hh_fech_in!Q26/SER_summary!Q$27)</f>
        <v>21.936208106794933</v>
      </c>
      <c r="R26" s="65">
        <f>IF(SER_hh_fech_in!R26=0,0,SER_hh_fech_in!R26/SER_summary!R$27)</f>
        <v>19.923487477106637</v>
      </c>
      <c r="S26" s="65">
        <f>IF(SER_hh_fech_in!S26=0,0,SER_hh_fech_in!S26/SER_summary!S$27)</f>
        <v>20.681702005817797</v>
      </c>
      <c r="T26" s="65">
        <f>IF(SER_hh_fech_in!T26=0,0,SER_hh_fech_in!T26/SER_summary!T$27)</f>
        <v>18.94252622502956</v>
      </c>
      <c r="U26" s="65">
        <f>IF(SER_hh_fech_in!U26=0,0,SER_hh_fech_in!U26/SER_summary!U$27)</f>
        <v>18.369291870626977</v>
      </c>
      <c r="V26" s="65">
        <f>IF(SER_hh_fech_in!V26=0,0,SER_hh_fech_in!V26/SER_summary!V$27)</f>
        <v>19.765838830206356</v>
      </c>
      <c r="W26" s="65">
        <f>IF(SER_hh_fech_in!W26=0,0,SER_hh_fech_in!W26/SER_summary!W$27)</f>
        <v>15.393036979768143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</v>
      </c>
      <c r="M27" s="146">
        <f>IF(SER_hh_fech_in!M27=0,0,SER_hh_fech_in!M27/SER_summary!M$27)</f>
        <v>0</v>
      </c>
      <c r="N27" s="146">
        <f>IF(SER_hh_fech_in!N27=0,0,SER_hh_fech_in!N27/SER_summary!N$27)</f>
        <v>0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0</v>
      </c>
      <c r="T27" s="146">
        <f>IF(SER_hh_fech_in!T27=0,0,SER_hh_fech_in!T27/SER_summary!T$27)</f>
        <v>0</v>
      </c>
      <c r="U27" s="146">
        <f>IF(SER_hh_fech_in!U27=0,0,SER_hh_fech_in!U27/SER_summary!U$27)</f>
        <v>0</v>
      </c>
      <c r="V27" s="146">
        <f>IF(SER_hh_fech_in!V27=0,0,SER_hh_fech_in!V27/SER_summary!V$27)</f>
        <v>0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0</v>
      </c>
      <c r="M28" s="147">
        <f>IF(SER_hh_fech_in!M28=0,0,SER_hh_fech_in!M28/SER_summary!M$27)</f>
        <v>0</v>
      </c>
      <c r="N28" s="147">
        <f>IF(SER_hh_fech_in!N28=0,0,SER_hh_fech_in!N28/SER_summary!N$27)</f>
        <v>0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0</v>
      </c>
      <c r="T28" s="147">
        <f>IF(SER_hh_fech_in!T28=0,0,SER_hh_fech_in!T28/SER_summary!T$27)</f>
        <v>0</v>
      </c>
      <c r="U28" s="147">
        <f>IF(SER_hh_fech_in!U28=0,0,SER_hh_fech_in!U28/SER_summary!U$27)</f>
        <v>0</v>
      </c>
      <c r="V28" s="147">
        <f>IF(SER_hh_fech_in!V28=0,0,SER_hh_fech_in!V28/SER_summary!V$27)</f>
        <v>0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20.99291209905715</v>
      </c>
      <c r="D29" s="131">
        <f>IF(SER_hh_fech_in!D29=0,0,SER_hh_fech_in!D29/SER_summary!D$27)</f>
        <v>20.824247196731811</v>
      </c>
      <c r="E29" s="131">
        <f>IF(SER_hh_fech_in!E29=0,0,SER_hh_fech_in!E29/SER_summary!E$27)</f>
        <v>20.4416708811208</v>
      </c>
      <c r="F29" s="131">
        <f>IF(SER_hh_fech_in!F29=0,0,SER_hh_fech_in!F29/SER_summary!F$27)</f>
        <v>20.876118071000171</v>
      </c>
      <c r="G29" s="131">
        <f>IF(SER_hh_fech_in!G29=0,0,SER_hh_fech_in!G29/SER_summary!G$27)</f>
        <v>20.615592831013572</v>
      </c>
      <c r="H29" s="131">
        <f>IF(SER_hh_fech_in!H29=0,0,SER_hh_fech_in!H29/SER_summary!H$27)</f>
        <v>24.187815754646802</v>
      </c>
      <c r="I29" s="131">
        <f>IF(SER_hh_fech_in!I29=0,0,SER_hh_fech_in!I29/SER_summary!I$27)</f>
        <v>25.713178985280511</v>
      </c>
      <c r="J29" s="131">
        <f>IF(SER_hh_fech_in!J29=0,0,SER_hh_fech_in!J29/SER_summary!J$27)</f>
        <v>22.319107897625852</v>
      </c>
      <c r="K29" s="131">
        <f>IF(SER_hh_fech_in!K29=0,0,SER_hh_fech_in!K29/SER_summary!K$27)</f>
        <v>22.367186612485963</v>
      </c>
      <c r="L29" s="131">
        <f>IF(SER_hh_fech_in!L29=0,0,SER_hh_fech_in!L29/SER_summary!L$27)</f>
        <v>21.373893189930801</v>
      </c>
      <c r="M29" s="131">
        <f>IF(SER_hh_fech_in!M29=0,0,SER_hh_fech_in!M29/SER_summary!M$27)</f>
        <v>20.107123820495847</v>
      </c>
      <c r="N29" s="131">
        <f>IF(SER_hh_fech_in!N29=0,0,SER_hh_fech_in!N29/SER_summary!N$27)</f>
        <v>22.519324551058389</v>
      </c>
      <c r="O29" s="131">
        <f>IF(SER_hh_fech_in!O29=0,0,SER_hh_fech_in!O29/SER_summary!O$27)</f>
        <v>21.565066074138862</v>
      </c>
      <c r="P29" s="131">
        <f>IF(SER_hh_fech_in!P29=0,0,SER_hh_fech_in!P29/SER_summary!P$27)</f>
        <v>21.014391578732166</v>
      </c>
      <c r="Q29" s="131">
        <f>IF(SER_hh_fech_in!Q29=0,0,SER_hh_fech_in!Q29/SER_summary!Q$27)</f>
        <v>21.105400569250317</v>
      </c>
      <c r="R29" s="131">
        <f>IF(SER_hh_fech_in!R29=0,0,SER_hh_fech_in!R29/SER_summary!R$27)</f>
        <v>20.914955062827623</v>
      </c>
      <c r="S29" s="131">
        <f>IF(SER_hh_fech_in!S29=0,0,SER_hh_fech_in!S29/SER_summary!S$27)</f>
        <v>20.823898002006008</v>
      </c>
      <c r="T29" s="131">
        <f>IF(SER_hh_fech_in!T29=0,0,SER_hh_fech_in!T29/SER_summary!T$27)</f>
        <v>21.189102023487237</v>
      </c>
      <c r="U29" s="131">
        <f>IF(SER_hh_fech_in!U29=0,0,SER_hh_fech_in!U29/SER_summary!U$27)</f>
        <v>21.268589526835378</v>
      </c>
      <c r="V29" s="131">
        <f>IF(SER_hh_fech_in!V29=0,0,SER_hh_fech_in!V29/SER_summary!V$27)</f>
        <v>19.705062607493364</v>
      </c>
      <c r="W29" s="131">
        <f>IF(SER_hh_fech_in!W29=0,0,SER_hh_fech_in!W29/SER_summary!W$27)</f>
        <v>19.412762764373575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32.450200541315667</v>
      </c>
      <c r="D30" s="133">
        <f>IF(SER_hh_fech_in!D30=0,0,SER_hh_fech_in!D30/SER_summary!D$27)</f>
        <v>27.67698625265383</v>
      </c>
      <c r="E30" s="133">
        <f>IF(SER_hh_fech_in!E30=0,0,SER_hh_fech_in!E30/SER_summary!E$27)</f>
        <v>0</v>
      </c>
      <c r="F30" s="133">
        <f>IF(SER_hh_fech_in!F30=0,0,SER_hh_fech_in!F30/SER_summary!F$27)</f>
        <v>22.638450184338339</v>
      </c>
      <c r="G30" s="133">
        <f>IF(SER_hh_fech_in!G30=0,0,SER_hh_fech_in!G30/SER_summary!G$27)</f>
        <v>19.266841979922685</v>
      </c>
      <c r="H30" s="133">
        <f>IF(SER_hh_fech_in!H30=0,0,SER_hh_fech_in!H30/SER_summary!H$27)</f>
        <v>27.533737826281399</v>
      </c>
      <c r="I30" s="133">
        <f>IF(SER_hh_fech_in!I30=0,0,SER_hh_fech_in!I30/SER_summary!I$27)</f>
        <v>33.988371117636504</v>
      </c>
      <c r="J30" s="133">
        <f>IF(SER_hh_fech_in!J30=0,0,SER_hh_fech_in!J30/SER_summary!J$27)</f>
        <v>30.00017186513179</v>
      </c>
      <c r="K30" s="133">
        <f>IF(SER_hh_fech_in!K30=0,0,SER_hh_fech_in!K30/SER_summary!K$27)</f>
        <v>20.994789635241911</v>
      </c>
      <c r="L30" s="133">
        <f>IF(SER_hh_fech_in!L30=0,0,SER_hh_fech_in!L30/SER_summary!L$27)</f>
        <v>33.813584300478233</v>
      </c>
      <c r="M30" s="133">
        <f>IF(SER_hh_fech_in!M30=0,0,SER_hh_fech_in!M30/SER_summary!M$27)</f>
        <v>0</v>
      </c>
      <c r="N30" s="133">
        <f>IF(SER_hh_fech_in!N30=0,0,SER_hh_fech_in!N30/SER_summary!N$27)</f>
        <v>0</v>
      </c>
      <c r="O30" s="133">
        <f>IF(SER_hh_fech_in!O30=0,0,SER_hh_fech_in!O30/SER_summary!O$27)</f>
        <v>0</v>
      </c>
      <c r="P30" s="133">
        <f>IF(SER_hh_fech_in!P30=0,0,SER_hh_fech_in!P30/SER_summary!P$27)</f>
        <v>0</v>
      </c>
      <c r="Q30" s="133">
        <f>IF(SER_hh_fech_in!Q30=0,0,SER_hh_fech_in!Q30/SER_summary!Q$27)</f>
        <v>0</v>
      </c>
      <c r="R30" s="133">
        <f>IF(SER_hh_fech_in!R30=0,0,SER_hh_fech_in!R30/SER_summary!R$27)</f>
        <v>0</v>
      </c>
      <c r="S30" s="133">
        <f>IF(SER_hh_fech_in!S30=0,0,SER_hh_fech_in!S30/SER_summary!S$27)</f>
        <v>28.609139096787494</v>
      </c>
      <c r="T30" s="133">
        <f>IF(SER_hh_fech_in!T30=0,0,SER_hh_fech_in!T30/SER_summary!T$27)</f>
        <v>27.932600771628689</v>
      </c>
      <c r="U30" s="133">
        <f>IF(SER_hh_fech_in!U30=0,0,SER_hh_fech_in!U30/SER_summary!U$27)</f>
        <v>28.037237508607753</v>
      </c>
      <c r="V30" s="133">
        <f>IF(SER_hh_fech_in!V30=0,0,SER_hh_fech_in!V30/SER_summary!V$27)</f>
        <v>27.555523181552505</v>
      </c>
      <c r="W30" s="133">
        <f>IF(SER_hh_fech_in!W30=0,0,SER_hh_fech_in!W30/SER_summary!W$27)</f>
        <v>27.249212152719373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25.278571287161142</v>
      </c>
      <c r="D31" s="133">
        <f>IF(SER_hh_fech_in!D31=0,0,SER_hh_fech_in!D31/SER_summary!D$27)</f>
        <v>26.287299725435211</v>
      </c>
      <c r="E31" s="133">
        <f>IF(SER_hh_fech_in!E31=0,0,SER_hh_fech_in!E31/SER_summary!E$27)</f>
        <v>27.370623501299921</v>
      </c>
      <c r="F31" s="133">
        <f>IF(SER_hh_fech_in!F31=0,0,SER_hh_fech_in!F31/SER_summary!F$27)</f>
        <v>26.774737073166026</v>
      </c>
      <c r="G31" s="133">
        <f>IF(SER_hh_fech_in!G31=0,0,SER_hh_fech_in!G31/SER_summary!G$27)</f>
        <v>26.865513489045036</v>
      </c>
      <c r="H31" s="133">
        <f>IF(SER_hh_fech_in!H31=0,0,SER_hh_fech_in!H31/SER_summary!H$27)</f>
        <v>27.232124599482034</v>
      </c>
      <c r="I31" s="133">
        <f>IF(SER_hh_fech_in!I31=0,0,SER_hh_fech_in!I31/SER_summary!I$27)</f>
        <v>27.673780829244933</v>
      </c>
      <c r="J31" s="133">
        <f>IF(SER_hh_fech_in!J31=0,0,SER_hh_fech_in!J31/SER_summary!J$27)</f>
        <v>28.882149838462848</v>
      </c>
      <c r="K31" s="133">
        <f>IF(SER_hh_fech_in!K31=0,0,SER_hh_fech_in!K31/SER_summary!K$27)</f>
        <v>28.206458178342935</v>
      </c>
      <c r="L31" s="133">
        <f>IF(SER_hh_fech_in!L31=0,0,SER_hh_fech_in!L31/SER_summary!L$27)</f>
        <v>26.718262826628091</v>
      </c>
      <c r="M31" s="133">
        <f>IF(SER_hh_fech_in!M31=0,0,SER_hh_fech_in!M31/SER_summary!M$27)</f>
        <v>27.830626663990905</v>
      </c>
      <c r="N31" s="133">
        <f>IF(SER_hh_fech_in!N31=0,0,SER_hh_fech_in!N31/SER_summary!N$27)</f>
        <v>27.939321145801713</v>
      </c>
      <c r="O31" s="133">
        <f>IF(SER_hh_fech_in!O31=0,0,SER_hh_fech_in!O31/SER_summary!O$27)</f>
        <v>28.041752247448798</v>
      </c>
      <c r="P31" s="133">
        <f>IF(SER_hh_fech_in!P31=0,0,SER_hh_fech_in!P31/SER_summary!P$27)</f>
        <v>29.044738680316453</v>
      </c>
      <c r="Q31" s="133">
        <f>IF(SER_hh_fech_in!Q31=0,0,SER_hh_fech_in!Q31/SER_summary!Q$27)</f>
        <v>28.854409655523604</v>
      </c>
      <c r="R31" s="133">
        <f>IF(SER_hh_fech_in!R31=0,0,SER_hh_fech_in!R31/SER_summary!R$27)</f>
        <v>31.9369505372667</v>
      </c>
      <c r="S31" s="133">
        <f>IF(SER_hh_fech_in!S31=0,0,SER_hh_fech_in!S31/SER_summary!S$27)</f>
        <v>18.819400934294681</v>
      </c>
      <c r="T31" s="133">
        <f>IF(SER_hh_fech_in!T31=0,0,SER_hh_fech_in!T31/SER_summary!T$27)</f>
        <v>26.149385452389474</v>
      </c>
      <c r="U31" s="133">
        <f>IF(SER_hh_fech_in!U31=0,0,SER_hh_fech_in!U31/SER_summary!U$27)</f>
        <v>32.417483524755106</v>
      </c>
      <c r="V31" s="133">
        <f>IF(SER_hh_fech_in!V31=0,0,SER_hh_fech_in!V31/SER_summary!V$27)</f>
        <v>26.356028908468588</v>
      </c>
      <c r="W31" s="133">
        <f>IF(SER_hh_fech_in!W31=0,0,SER_hh_fech_in!W31/SER_summary!W$27)</f>
        <v>28.211458849366871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19.494293335879121</v>
      </c>
      <c r="D33" s="68">
        <f>IF(SER_hh_fech_in!D33=0,0,SER_hh_fech_in!D33/SER_summary!D$27)</f>
        <v>19.93979855623866</v>
      </c>
      <c r="E33" s="68">
        <f>IF(SER_hh_fech_in!E33=0,0,SER_hh_fech_in!E33/SER_summary!E$27)</f>
        <v>20.166939313535728</v>
      </c>
      <c r="F33" s="68">
        <f>IF(SER_hh_fech_in!F33=0,0,SER_hh_fech_in!F33/SER_summary!F$27)</f>
        <v>20.536158935282245</v>
      </c>
      <c r="G33" s="68">
        <f>IF(SER_hh_fech_in!G33=0,0,SER_hh_fech_in!G33/SER_summary!G$27)</f>
        <v>20.979682386036611</v>
      </c>
      <c r="H33" s="68">
        <f>IF(SER_hh_fech_in!H33=0,0,SER_hh_fech_in!H33/SER_summary!H$27)</f>
        <v>20.400891011422473</v>
      </c>
      <c r="I33" s="68">
        <f>IF(SER_hh_fech_in!I33=0,0,SER_hh_fech_in!I33/SER_summary!I$27)</f>
        <v>19.483410586609466</v>
      </c>
      <c r="J33" s="68">
        <f>IF(SER_hh_fech_in!J33=0,0,SER_hh_fech_in!J33/SER_summary!J$27)</f>
        <v>20.381101722680551</v>
      </c>
      <c r="K33" s="68">
        <f>IF(SER_hh_fech_in!K33=0,0,SER_hh_fech_in!K33/SER_summary!K$27)</f>
        <v>22.348423626561473</v>
      </c>
      <c r="L33" s="68">
        <f>IF(SER_hh_fech_in!L33=0,0,SER_hh_fech_in!L33/SER_summary!L$27)</f>
        <v>20.214214780199462</v>
      </c>
      <c r="M33" s="68">
        <f>IF(SER_hh_fech_in!M33=0,0,SER_hh_fech_in!M33/SER_summary!M$27)</f>
        <v>20.083474209123825</v>
      </c>
      <c r="N33" s="68">
        <f>IF(SER_hh_fech_in!N33=0,0,SER_hh_fech_in!N33/SER_summary!N$27)</f>
        <v>22.452825971414882</v>
      </c>
      <c r="O33" s="68">
        <f>IF(SER_hh_fech_in!O33=0,0,SER_hh_fech_in!O33/SER_summary!O$27)</f>
        <v>21.429367112042588</v>
      </c>
      <c r="P33" s="68">
        <f>IF(SER_hh_fech_in!P33=0,0,SER_hh_fech_in!P33/SER_summary!P$27)</f>
        <v>20.811622543310762</v>
      </c>
      <c r="Q33" s="68">
        <f>IF(SER_hh_fech_in!Q33=0,0,SER_hh_fech_in!Q33/SER_summary!Q$27)</f>
        <v>20.994613206904322</v>
      </c>
      <c r="R33" s="68">
        <f>IF(SER_hh_fech_in!R33=0,0,SER_hh_fech_in!R33/SER_summary!R$27)</f>
        <v>20.796290504271148</v>
      </c>
      <c r="S33" s="68">
        <f>IF(SER_hh_fech_in!S33=0,0,SER_hh_fech_in!S33/SER_summary!S$27)</f>
        <v>20.697632716088126</v>
      </c>
      <c r="T33" s="68">
        <f>IF(SER_hh_fech_in!T33=0,0,SER_hh_fech_in!T33/SER_summary!T$27)</f>
        <v>20.379171093127891</v>
      </c>
      <c r="U33" s="68">
        <f>IF(SER_hh_fech_in!U33=0,0,SER_hh_fech_in!U33/SER_summary!U$27)</f>
        <v>20.276120348552517</v>
      </c>
      <c r="V33" s="68">
        <f>IF(SER_hh_fech_in!V33=0,0,SER_hh_fech_in!V33/SER_summary!V$27)</f>
        <v>19.182656846568015</v>
      </c>
      <c r="W33" s="68">
        <f>IF(SER_hh_fech_in!W33=0,0,SER_hh_fech_in!W33/SER_summary!W$27)</f>
        <v>19.224469854495027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220.1779629671226</v>
      </c>
      <c r="D3" s="126">
        <f>IF(SER_hh_tesh_in!D3=0,0,SER_hh_tesh_in!D3/SER_summary!D$27)</f>
        <v>214.3602095922468</v>
      </c>
      <c r="E3" s="126">
        <f>IF(SER_hh_tesh_in!E3=0,0,SER_hh_tesh_in!E3/SER_summary!E$27)</f>
        <v>206.65175727085108</v>
      </c>
      <c r="F3" s="126">
        <f>IF(SER_hh_tesh_in!F3=0,0,SER_hh_tesh_in!F3/SER_summary!F$27)</f>
        <v>195.5736643992845</v>
      </c>
      <c r="G3" s="126">
        <f>IF(SER_hh_tesh_in!G3=0,0,SER_hh_tesh_in!G3/SER_summary!G$27)</f>
        <v>180.09179555424316</v>
      </c>
      <c r="H3" s="126">
        <f>IF(SER_hh_tesh_in!H3=0,0,SER_hh_tesh_in!H3/SER_summary!H$27)</f>
        <v>177.04143879370417</v>
      </c>
      <c r="I3" s="126">
        <f>IF(SER_hh_tesh_in!I3=0,0,SER_hh_tesh_in!I3/SER_summary!I$27)</f>
        <v>177.06687551450969</v>
      </c>
      <c r="J3" s="126">
        <f>IF(SER_hh_tesh_in!J3=0,0,SER_hh_tesh_in!J3/SER_summary!J$27)</f>
        <v>168.8035309346599</v>
      </c>
      <c r="K3" s="126">
        <f>IF(SER_hh_tesh_in!K3=0,0,SER_hh_tesh_in!K3/SER_summary!K$27)</f>
        <v>163.89690771935113</v>
      </c>
      <c r="L3" s="126">
        <f>IF(SER_hh_tesh_in!L3=0,0,SER_hh_tesh_in!L3/SER_summary!L$27)</f>
        <v>168.14651390608302</v>
      </c>
      <c r="M3" s="126">
        <f>IF(SER_hh_tesh_in!M3=0,0,SER_hh_tesh_in!M3/SER_summary!M$27)</f>
        <v>147.05739920169469</v>
      </c>
      <c r="N3" s="126">
        <f>IF(SER_hh_tesh_in!N3=0,0,SER_hh_tesh_in!N3/SER_summary!N$27)</f>
        <v>152.30618337987696</v>
      </c>
      <c r="O3" s="126">
        <f>IF(SER_hh_tesh_in!O3=0,0,SER_hh_tesh_in!O3/SER_summary!O$27)</f>
        <v>142.84257980228648</v>
      </c>
      <c r="P3" s="126">
        <f>IF(SER_hh_tesh_in!P3=0,0,SER_hh_tesh_in!P3/SER_summary!P$27)</f>
        <v>136.07911354379692</v>
      </c>
      <c r="Q3" s="126">
        <f>IF(SER_hh_tesh_in!Q3=0,0,SER_hh_tesh_in!Q3/SER_summary!Q$27)</f>
        <v>133.96178336604814</v>
      </c>
      <c r="R3" s="126">
        <f>IF(SER_hh_tesh_in!R3=0,0,SER_hh_tesh_in!R3/SER_summary!R$27)</f>
        <v>134.35011509669289</v>
      </c>
      <c r="S3" s="126">
        <f>IF(SER_hh_tesh_in!S3=0,0,SER_hh_tesh_in!S3/SER_summary!S$27)</f>
        <v>120.49766038109233</v>
      </c>
      <c r="T3" s="126">
        <f>IF(SER_hh_tesh_in!T3=0,0,SER_hh_tesh_in!T3/SER_summary!T$27)</f>
        <v>117.57907676617783</v>
      </c>
      <c r="U3" s="126">
        <f>IF(SER_hh_tesh_in!U3=0,0,SER_hh_tesh_in!U3/SER_summary!U$27)</f>
        <v>108.68264643321953</v>
      </c>
      <c r="V3" s="126">
        <f>IF(SER_hh_tesh_in!V3=0,0,SER_hh_tesh_in!V3/SER_summary!V$27)</f>
        <v>97.571309172364295</v>
      </c>
      <c r="W3" s="126">
        <f>IF(SER_hh_tesh_in!W3=0,0,SER_hh_tesh_in!W3/SER_summary!W$27)</f>
        <v>88.240152556717916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159.63588922286962</v>
      </c>
      <c r="D4" s="131">
        <f>IF(SER_hh_tesh_in!D4=0,0,SER_hh_tesh_in!D4/SER_summary!D$27)</f>
        <v>154.16201064205634</v>
      </c>
      <c r="E4" s="131">
        <f>IF(SER_hh_tesh_in!E4=0,0,SER_hh_tesh_in!E4/SER_summary!E$27)</f>
        <v>146.72403673831002</v>
      </c>
      <c r="F4" s="131">
        <f>IF(SER_hh_tesh_in!F4=0,0,SER_hh_tesh_in!F4/SER_summary!F$27)</f>
        <v>135.92621009533676</v>
      </c>
      <c r="G4" s="131">
        <f>IF(SER_hh_tesh_in!G4=0,0,SER_hh_tesh_in!G4/SER_summary!G$27)</f>
        <v>121.31881515946823</v>
      </c>
      <c r="H4" s="131">
        <f>IF(SER_hh_tesh_in!H4=0,0,SER_hh_tesh_in!H4/SER_summary!H$27)</f>
        <v>117.49201103978088</v>
      </c>
      <c r="I4" s="131">
        <f>IF(SER_hh_tesh_in!I4=0,0,SER_hh_tesh_in!I4/SER_summary!I$27)</f>
        <v>116.53345465401877</v>
      </c>
      <c r="J4" s="131">
        <f>IF(SER_hh_tesh_in!J4=0,0,SER_hh_tesh_in!J4/SER_summary!J$27)</f>
        <v>109.49970669287383</v>
      </c>
      <c r="K4" s="131">
        <f>IF(SER_hh_tesh_in!K4=0,0,SER_hh_tesh_in!K4/SER_summary!K$27)</f>
        <v>103.51189146847788</v>
      </c>
      <c r="L4" s="131">
        <f>IF(SER_hh_tesh_in!L4=0,0,SER_hh_tesh_in!L4/SER_summary!L$27)</f>
        <v>109.25940989521045</v>
      </c>
      <c r="M4" s="131">
        <f>IF(SER_hh_tesh_in!M4=0,0,SER_hh_tesh_in!M4/SER_summary!M$27)</f>
        <v>89.84824566303196</v>
      </c>
      <c r="N4" s="131">
        <f>IF(SER_hh_tesh_in!N4=0,0,SER_hh_tesh_in!N4/SER_summary!N$27)</f>
        <v>92.789829818142636</v>
      </c>
      <c r="O4" s="131">
        <f>IF(SER_hh_tesh_in!O4=0,0,SER_hh_tesh_in!O4/SER_summary!O$27)</f>
        <v>84.674396159814819</v>
      </c>
      <c r="P4" s="131">
        <f>IF(SER_hh_tesh_in!P4=0,0,SER_hh_tesh_in!P4/SER_summary!P$27)</f>
        <v>78.884697606278849</v>
      </c>
      <c r="Q4" s="131">
        <f>IF(SER_hh_tesh_in!Q4=0,0,SER_hh_tesh_in!Q4/SER_summary!Q$27)</f>
        <v>77.331276644513579</v>
      </c>
      <c r="R4" s="131">
        <f>IF(SER_hh_tesh_in!R4=0,0,SER_hh_tesh_in!R4/SER_summary!R$27)</f>
        <v>78.236954089700049</v>
      </c>
      <c r="S4" s="131">
        <f>IF(SER_hh_tesh_in!S4=0,0,SER_hh_tesh_in!S4/SER_summary!S$27)</f>
        <v>65.430000603568203</v>
      </c>
      <c r="T4" s="131">
        <f>IF(SER_hh_tesh_in!T4=0,0,SER_hh_tesh_in!T4/SER_summary!T$27)</f>
        <v>63.116487721631344</v>
      </c>
      <c r="U4" s="131">
        <f>IF(SER_hh_tesh_in!U4=0,0,SER_hh_tesh_in!U4/SER_summary!U$27)</f>
        <v>55.137880002830173</v>
      </c>
      <c r="V4" s="131">
        <f>IF(SER_hh_tesh_in!V4=0,0,SER_hh_tesh_in!V4/SER_summary!V$27)</f>
        <v>46.576140759488041</v>
      </c>
      <c r="W4" s="131">
        <f>IF(SER_hh_tesh_in!W4=0,0,SER_hh_tesh_in!W4/SER_summary!W$27)</f>
        <v>39.55355412609704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152.37805638864032</v>
      </c>
      <c r="D7" s="133">
        <f>IF(SER_hh_tesh_in!D7=0,0,SER_hh_tesh_in!D7/SER_summary!D$27)</f>
        <v>150.78559345931154</v>
      </c>
      <c r="E7" s="133">
        <f>IF(SER_hh_tesh_in!E7=0,0,SER_hh_tesh_in!E7/SER_summary!E$27)</f>
        <v>166.45782409092541</v>
      </c>
      <c r="F7" s="133">
        <f>IF(SER_hh_tesh_in!F7=0,0,SER_hh_tesh_in!F7/SER_summary!F$27)</f>
        <v>0</v>
      </c>
      <c r="G7" s="133">
        <f>IF(SER_hh_tesh_in!G7=0,0,SER_hh_tesh_in!G7/SER_summary!G$27)</f>
        <v>0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99.332319537457096</v>
      </c>
      <c r="L7" s="133">
        <f>IF(SER_hh_tesh_in!L7=0,0,SER_hh_tesh_in!L7/SER_summary!L$27)</f>
        <v>102.87125902872862</v>
      </c>
      <c r="M7" s="133">
        <f>IF(SER_hh_tesh_in!M7=0,0,SER_hh_tesh_in!M7/SER_summary!M$27)</f>
        <v>92.887640816929647</v>
      </c>
      <c r="N7" s="133">
        <f>IF(SER_hh_tesh_in!N7=0,0,SER_hh_tesh_in!N7/SER_summary!N$27)</f>
        <v>91.604957649981273</v>
      </c>
      <c r="O7" s="133">
        <f>IF(SER_hh_tesh_in!O7=0,0,SER_hh_tesh_in!O7/SER_summary!O$27)</f>
        <v>82.95806141769053</v>
      </c>
      <c r="P7" s="133">
        <f>IF(SER_hh_tesh_in!P7=0,0,SER_hh_tesh_in!P7/SER_summary!P$27)</f>
        <v>0</v>
      </c>
      <c r="Q7" s="133">
        <f>IF(SER_hh_tesh_in!Q7=0,0,SER_hh_tesh_in!Q7/SER_summary!Q$27)</f>
        <v>74.643673289109827</v>
      </c>
      <c r="R7" s="133">
        <f>IF(SER_hh_tesh_in!R7=0,0,SER_hh_tesh_in!R7/SER_summary!R$27)</f>
        <v>70.240409282752651</v>
      </c>
      <c r="S7" s="133">
        <f>IF(SER_hh_tesh_in!S7=0,0,SER_hh_tesh_in!S7/SER_summary!S$27)</f>
        <v>66.570778559940507</v>
      </c>
      <c r="T7" s="133">
        <f>IF(SER_hh_tesh_in!T7=0,0,SER_hh_tesh_in!T7/SER_summary!T$27)</f>
        <v>61.740617097466675</v>
      </c>
      <c r="U7" s="133">
        <f>IF(SER_hh_tesh_in!U7=0,0,SER_hh_tesh_in!U7/SER_summary!U$27)</f>
        <v>53.774591070789874</v>
      </c>
      <c r="V7" s="133">
        <f>IF(SER_hh_tesh_in!V7=0,0,SER_hh_tesh_in!V7/SER_summary!V$27)</f>
        <v>47.844004906865592</v>
      </c>
      <c r="W7" s="133">
        <f>IF(SER_hh_tesh_in!W7=0,0,SER_hh_tesh_in!W7/SER_summary!W$27)</f>
        <v>0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110.60791796162226</v>
      </c>
      <c r="D9" s="133">
        <f>IF(SER_hh_tesh_in!D9=0,0,SER_hh_tesh_in!D9/SER_summary!D$27)</f>
        <v>154.25998663476898</v>
      </c>
      <c r="E9" s="133">
        <f>IF(SER_hh_tesh_in!E9=0,0,SER_hh_tesh_in!E9/SER_summary!E$27)</f>
        <v>161.45799375616414</v>
      </c>
      <c r="F9" s="133">
        <f>IF(SER_hh_tesh_in!F9=0,0,SER_hh_tesh_in!F9/SER_summary!F$27)</f>
        <v>133.60225695134662</v>
      </c>
      <c r="G9" s="133">
        <f>IF(SER_hh_tesh_in!G9=0,0,SER_hh_tesh_in!G9/SER_summary!G$27)</f>
        <v>123.37657420172212</v>
      </c>
      <c r="H9" s="133">
        <f>IF(SER_hh_tesh_in!H9=0,0,SER_hh_tesh_in!H9/SER_summary!H$27)</f>
        <v>115.5948510128249</v>
      </c>
      <c r="I9" s="133">
        <f>IF(SER_hh_tesh_in!I9=0,0,SER_hh_tesh_in!I9/SER_summary!I$27)</f>
        <v>117.49651918071834</v>
      </c>
      <c r="J9" s="133">
        <f>IF(SER_hh_tesh_in!J9=0,0,SER_hh_tesh_in!J9/SER_summary!J$27)</f>
        <v>122.08451363549996</v>
      </c>
      <c r="K9" s="133">
        <f>IF(SER_hh_tesh_in!K9=0,0,SER_hh_tesh_in!K9/SER_summary!K$27)</f>
        <v>55.859488113162271</v>
      </c>
      <c r="L9" s="133">
        <f>IF(SER_hh_tesh_in!L9=0,0,SER_hh_tesh_in!L9/SER_summary!L$27)</f>
        <v>114.58115583809638</v>
      </c>
      <c r="M9" s="133">
        <f>IF(SER_hh_tesh_in!M9=0,0,SER_hh_tesh_in!M9/SER_summary!M$27)</f>
        <v>86.568475553375876</v>
      </c>
      <c r="N9" s="133">
        <f>IF(SER_hh_tesh_in!N9=0,0,SER_hh_tesh_in!N9/SER_summary!N$27)</f>
        <v>100.89900708623711</v>
      </c>
      <c r="O9" s="133">
        <f>IF(SER_hh_tesh_in!O9=0,0,SER_hh_tesh_in!O9/SER_summary!O$27)</f>
        <v>84.0535943955921</v>
      </c>
      <c r="P9" s="133">
        <f>IF(SER_hh_tesh_in!P9=0,0,SER_hh_tesh_in!P9/SER_summary!P$27)</f>
        <v>77.976764012675915</v>
      </c>
      <c r="Q9" s="133">
        <f>IF(SER_hh_tesh_in!Q9=0,0,SER_hh_tesh_in!Q9/SER_summary!Q$27)</f>
        <v>0</v>
      </c>
      <c r="R9" s="133">
        <f>IF(SER_hh_tesh_in!R9=0,0,SER_hh_tesh_in!R9/SER_summary!R$27)</f>
        <v>0</v>
      </c>
      <c r="S9" s="133">
        <f>IF(SER_hh_tesh_in!S9=0,0,SER_hh_tesh_in!S9/SER_summary!S$27)</f>
        <v>42.284626934113192</v>
      </c>
      <c r="T9" s="133">
        <f>IF(SER_hh_tesh_in!T9=0,0,SER_hh_tesh_in!T9/SER_summary!T$27)</f>
        <v>57.760359795553804</v>
      </c>
      <c r="U9" s="133">
        <f>IF(SER_hh_tesh_in!U9=0,0,SER_hh_tesh_in!U9/SER_summary!U$27)</f>
        <v>62.834471095536209</v>
      </c>
      <c r="V9" s="133">
        <f>IF(SER_hh_tesh_in!V9=0,0,SER_hh_tesh_in!V9/SER_summary!V$27)</f>
        <v>50.580114213961672</v>
      </c>
      <c r="W9" s="133">
        <f>IF(SER_hh_tesh_in!W9=0,0,SER_hh_tesh_in!W9/SER_summary!W$27)</f>
        <v>36.970302984075026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198.41193569837392</v>
      </c>
      <c r="D10" s="133">
        <f>IF(SER_hh_tesh_in!D10=0,0,SER_hh_tesh_in!D10/SER_summary!D$27)</f>
        <v>133.71553849445425</v>
      </c>
      <c r="E10" s="133">
        <f>IF(SER_hh_tesh_in!E10=0,0,SER_hh_tesh_in!E10/SER_summary!E$27)</f>
        <v>95.475175699865062</v>
      </c>
      <c r="F10" s="133">
        <f>IF(SER_hh_tesh_in!F10=0,0,SER_hh_tesh_in!F10/SER_summary!F$27)</f>
        <v>157.75022708634302</v>
      </c>
      <c r="G10" s="133">
        <f>IF(SER_hh_tesh_in!G10=0,0,SER_hh_tesh_in!G10/SER_summary!G$27)</f>
        <v>151.52662641546345</v>
      </c>
      <c r="H10" s="133">
        <f>IF(SER_hh_tesh_in!H10=0,0,SER_hh_tesh_in!H10/SER_summary!H$27)</f>
        <v>104.60803817490266</v>
      </c>
      <c r="I10" s="133">
        <f>IF(SER_hh_tesh_in!I10=0,0,SER_hh_tesh_in!I10/SER_summary!I$27)</f>
        <v>108.39025635385676</v>
      </c>
      <c r="J10" s="133">
        <f>IF(SER_hh_tesh_in!J10=0,0,SER_hh_tesh_in!J10/SER_summary!J$27)</f>
        <v>109.90828101568607</v>
      </c>
      <c r="K10" s="133">
        <f>IF(SER_hh_tesh_in!K10=0,0,SER_hh_tesh_in!K10/SER_summary!K$27)</f>
        <v>104.86674629605987</v>
      </c>
      <c r="L10" s="133">
        <f>IF(SER_hh_tesh_in!L10=0,0,SER_hh_tesh_in!L10/SER_summary!L$27)</f>
        <v>101.04766200392518</v>
      </c>
      <c r="M10" s="133">
        <f>IF(SER_hh_tesh_in!M10=0,0,SER_hh_tesh_in!M10/SER_summary!M$27)</f>
        <v>87.807937371646233</v>
      </c>
      <c r="N10" s="133">
        <f>IF(SER_hh_tesh_in!N10=0,0,SER_hh_tesh_in!N10/SER_summary!N$27)</f>
        <v>108.05667333012906</v>
      </c>
      <c r="O10" s="133">
        <f>IF(SER_hh_tesh_in!O10=0,0,SER_hh_tesh_in!O10/SER_summary!O$27)</f>
        <v>58.946110488669916</v>
      </c>
      <c r="P10" s="133">
        <f>IF(SER_hh_tesh_in!P10=0,0,SER_hh_tesh_in!P10/SER_summary!P$27)</f>
        <v>77.269300789511576</v>
      </c>
      <c r="Q10" s="133">
        <f>IF(SER_hh_tesh_in!Q10=0,0,SER_hh_tesh_in!Q10/SER_summary!Q$27)</f>
        <v>68.871197095549576</v>
      </c>
      <c r="R10" s="133">
        <f>IF(SER_hh_tesh_in!R10=0,0,SER_hh_tesh_in!R10/SER_summary!R$27)</f>
        <v>103.73432455208091</v>
      </c>
      <c r="S10" s="133">
        <f>IF(SER_hh_tesh_in!S10=0,0,SER_hh_tesh_in!S10/SER_summary!S$27)</f>
        <v>95.741421460552885</v>
      </c>
      <c r="T10" s="133">
        <f>IF(SER_hh_tesh_in!T10=0,0,SER_hh_tesh_in!T10/SER_summary!T$27)</f>
        <v>89.651786845359268</v>
      </c>
      <c r="U10" s="133">
        <f>IF(SER_hh_tesh_in!U10=0,0,SER_hh_tesh_in!U10/SER_summary!U$27)</f>
        <v>48.731613069137936</v>
      </c>
      <c r="V10" s="133">
        <f>IF(SER_hh_tesh_in!V10=0,0,SER_hh_tesh_in!V10/SER_summary!V$27)</f>
        <v>0</v>
      </c>
      <c r="W10" s="133">
        <f>IF(SER_hh_tesh_in!W10=0,0,SER_hh_tesh_in!W10/SER_summary!W$27)</f>
        <v>38.747650117722486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157.36454733901979</v>
      </c>
      <c r="D12" s="133">
        <f>IF(SER_hh_tesh_in!D12=0,0,SER_hh_tesh_in!D12/SER_summary!D$27)</f>
        <v>152.64965088232609</v>
      </c>
      <c r="E12" s="133">
        <f>IF(SER_hh_tesh_in!E12=0,0,SER_hh_tesh_in!E12/SER_summary!E$27)</f>
        <v>147.30337856908639</v>
      </c>
      <c r="F12" s="133">
        <f>IF(SER_hh_tesh_in!F12=0,0,SER_hh_tesh_in!F12/SER_summary!F$27)</f>
        <v>132.62705634248067</v>
      </c>
      <c r="G12" s="133">
        <f>IF(SER_hh_tesh_in!G12=0,0,SER_hh_tesh_in!G12/SER_summary!G$27)</f>
        <v>125.53964214076449</v>
      </c>
      <c r="H12" s="133">
        <f>IF(SER_hh_tesh_in!H12=0,0,SER_hh_tesh_in!H12/SER_summary!H$27)</f>
        <v>118.35566149379297</v>
      </c>
      <c r="I12" s="133">
        <f>IF(SER_hh_tesh_in!I12=0,0,SER_hh_tesh_in!I12/SER_summary!I$27)</f>
        <v>108.73121295369256</v>
      </c>
      <c r="J12" s="133">
        <f>IF(SER_hh_tesh_in!J12=0,0,SER_hh_tesh_in!J12/SER_summary!J$27)</f>
        <v>106.20190930654995</v>
      </c>
      <c r="K12" s="133">
        <f>IF(SER_hh_tesh_in!K12=0,0,SER_hh_tesh_in!K12/SER_summary!K$27)</f>
        <v>104.4464120731989</v>
      </c>
      <c r="L12" s="133">
        <f>IF(SER_hh_tesh_in!L12=0,0,SER_hh_tesh_in!L12/SER_summary!L$27)</f>
        <v>110.84653603840425</v>
      </c>
      <c r="M12" s="133">
        <f>IF(SER_hh_tesh_in!M12=0,0,SER_hh_tesh_in!M12/SER_summary!M$27)</f>
        <v>87.554350603415557</v>
      </c>
      <c r="N12" s="133">
        <f>IF(SER_hh_tesh_in!N12=0,0,SER_hh_tesh_in!N12/SER_summary!N$27)</f>
        <v>92.037339787089209</v>
      </c>
      <c r="O12" s="133">
        <f>IF(SER_hh_tesh_in!O12=0,0,SER_hh_tesh_in!O12/SER_summary!O$27)</f>
        <v>87.513844208533357</v>
      </c>
      <c r="P12" s="133">
        <f>IF(SER_hh_tesh_in!P12=0,0,SER_hh_tesh_in!P12/SER_summary!P$27)</f>
        <v>79.635866162711295</v>
      </c>
      <c r="Q12" s="133">
        <f>IF(SER_hh_tesh_in!Q12=0,0,SER_hh_tesh_in!Q12/SER_summary!Q$27)</f>
        <v>73.854736825771354</v>
      </c>
      <c r="R12" s="133">
        <f>IF(SER_hh_tesh_in!R12=0,0,SER_hh_tesh_in!R12/SER_summary!R$27)</f>
        <v>74.78268184576271</v>
      </c>
      <c r="S12" s="133">
        <f>IF(SER_hh_tesh_in!S12=0,0,SER_hh_tesh_in!S12/SER_summary!S$27)</f>
        <v>65.07772680286088</v>
      </c>
      <c r="T12" s="133">
        <f>IF(SER_hh_tesh_in!T12=0,0,SER_hh_tesh_in!T12/SER_summary!T$27)</f>
        <v>62.357460672510335</v>
      </c>
      <c r="U12" s="133">
        <f>IF(SER_hh_tesh_in!U12=0,0,SER_hh_tesh_in!U12/SER_summary!U$27)</f>
        <v>55.273155155219705</v>
      </c>
      <c r="V12" s="133">
        <f>IF(SER_hh_tesh_in!V12=0,0,SER_hh_tesh_in!V12/SER_summary!V$27)</f>
        <v>43.775558552547139</v>
      </c>
      <c r="W12" s="133">
        <f>IF(SER_hh_tesh_in!W12=0,0,SER_hh_tesh_in!W12/SER_summary!W$27)</f>
        <v>39.973593486003658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156.97362301703052</v>
      </c>
      <c r="D13" s="133">
        <f>IF(SER_hh_tesh_in!D13=0,0,SER_hh_tesh_in!D13/SER_summary!D$27)</f>
        <v>148.38011350298612</v>
      </c>
      <c r="E13" s="133">
        <f>IF(SER_hh_tesh_in!E13=0,0,SER_hh_tesh_in!E13/SER_summary!E$27)</f>
        <v>130.96776206063211</v>
      </c>
      <c r="F13" s="133">
        <f>IF(SER_hh_tesh_in!F13=0,0,SER_hh_tesh_in!F13/SER_summary!F$27)</f>
        <v>132.81891028782823</v>
      </c>
      <c r="G13" s="133">
        <f>IF(SER_hh_tesh_in!G13=0,0,SER_hh_tesh_in!G13/SER_summary!G$27)</f>
        <v>110.08467925772258</v>
      </c>
      <c r="H13" s="133">
        <f>IF(SER_hh_tesh_in!H13=0,0,SER_hh_tesh_in!H13/SER_summary!H$27)</f>
        <v>116.71652658722276</v>
      </c>
      <c r="I13" s="133">
        <f>IF(SER_hh_tesh_in!I13=0,0,SER_hh_tesh_in!I13/SER_summary!I$27)</f>
        <v>120.54880783919903</v>
      </c>
      <c r="J13" s="133">
        <f>IF(SER_hh_tesh_in!J13=0,0,SER_hh_tesh_in!J13/SER_summary!J$27)</f>
        <v>111.65029859427638</v>
      </c>
      <c r="K13" s="133">
        <f>IF(SER_hh_tesh_in!K13=0,0,SER_hh_tesh_in!K13/SER_summary!K$27)</f>
        <v>104.65226593994299</v>
      </c>
      <c r="L13" s="133">
        <f>IF(SER_hh_tesh_in!L13=0,0,SER_hh_tesh_in!L13/SER_summary!L$27)</f>
        <v>100.28862340597043</v>
      </c>
      <c r="M13" s="133">
        <f>IF(SER_hh_tesh_in!M13=0,0,SER_hh_tesh_in!M13/SER_summary!M$27)</f>
        <v>94.212855535814612</v>
      </c>
      <c r="N13" s="133">
        <f>IF(SER_hh_tesh_in!N13=0,0,SER_hh_tesh_in!N13/SER_summary!N$27)</f>
        <v>91.133540175988941</v>
      </c>
      <c r="O13" s="133">
        <f>IF(SER_hh_tesh_in!O13=0,0,SER_hh_tesh_in!O13/SER_summary!O$27)</f>
        <v>86.804069267467483</v>
      </c>
      <c r="P13" s="133">
        <f>IF(SER_hh_tesh_in!P13=0,0,SER_hh_tesh_in!P13/SER_summary!P$27)</f>
        <v>80.326928273172612</v>
      </c>
      <c r="Q13" s="133">
        <f>IF(SER_hh_tesh_in!Q13=0,0,SER_hh_tesh_in!Q13/SER_summary!Q$27)</f>
        <v>73.919556858335369</v>
      </c>
      <c r="R13" s="133">
        <f>IF(SER_hh_tesh_in!R13=0,0,SER_hh_tesh_in!R13/SER_summary!R$27)</f>
        <v>77.119081604620476</v>
      </c>
      <c r="S13" s="133">
        <f>IF(SER_hh_tesh_in!S13=0,0,SER_hh_tesh_in!S13/SER_summary!S$27)</f>
        <v>67.719409316760988</v>
      </c>
      <c r="T13" s="133">
        <f>IF(SER_hh_tesh_in!T13=0,0,SER_hh_tesh_in!T13/SER_summary!T$27)</f>
        <v>62.381062296228301</v>
      </c>
      <c r="U13" s="133">
        <f>IF(SER_hh_tesh_in!U13=0,0,SER_hh_tesh_in!U13/SER_summary!U$27)</f>
        <v>54.175655473751874</v>
      </c>
      <c r="V13" s="133">
        <f>IF(SER_hh_tesh_in!V13=0,0,SER_hh_tesh_in!V13/SER_summary!V$27)</f>
        <v>49.275415444157289</v>
      </c>
      <c r="W13" s="133">
        <f>IF(SER_hh_tesh_in!W13=0,0,SER_hh_tesh_in!W13/SER_summary!W$27)</f>
        <v>37.285021257482157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163.56054172759249</v>
      </c>
      <c r="D14" s="65">
        <f>IF(SER_hh_tesh_in!D14=0,0,SER_hh_tesh_in!D14/SER_summary!D$27)</f>
        <v>157.65247094845009</v>
      </c>
      <c r="E14" s="65">
        <f>IF(SER_hh_tesh_in!E14=0,0,SER_hh_tesh_in!E14/SER_summary!E$27)</f>
        <v>143.58017758450478</v>
      </c>
      <c r="F14" s="65">
        <f>IF(SER_hh_tesh_in!F14=0,0,SER_hh_tesh_in!F14/SER_summary!F$27)</f>
        <v>139.04437446806295</v>
      </c>
      <c r="G14" s="65">
        <f>IF(SER_hh_tesh_in!G14=0,0,SER_hh_tesh_in!G14/SER_summary!G$27)</f>
        <v>112.12964158309038</v>
      </c>
      <c r="H14" s="65">
        <f>IF(SER_hh_tesh_in!H14=0,0,SER_hh_tesh_in!H14/SER_summary!H$27)</f>
        <v>116.51603080498626</v>
      </c>
      <c r="I14" s="65">
        <f>IF(SER_hh_tesh_in!I14=0,0,SER_hh_tesh_in!I14/SER_summary!I$27)</f>
        <v>123.11242017810044</v>
      </c>
      <c r="J14" s="65">
        <f>IF(SER_hh_tesh_in!J14=0,0,SER_hh_tesh_in!J14/SER_summary!J$27)</f>
        <v>115.60839872640217</v>
      </c>
      <c r="K14" s="65">
        <f>IF(SER_hh_tesh_in!K14=0,0,SER_hh_tesh_in!K14/SER_summary!K$27)</f>
        <v>0</v>
      </c>
      <c r="L14" s="65">
        <f>IF(SER_hh_tesh_in!L14=0,0,SER_hh_tesh_in!L14/SER_summary!L$27)</f>
        <v>110.04555797671095</v>
      </c>
      <c r="M14" s="65">
        <f>IF(SER_hh_tesh_in!M14=0,0,SER_hh_tesh_in!M14/SER_summary!M$27)</f>
        <v>82.723747408980898</v>
      </c>
      <c r="N14" s="65">
        <f>IF(SER_hh_tesh_in!N14=0,0,SER_hh_tesh_in!N14/SER_summary!N$27)</f>
        <v>90.648017222066485</v>
      </c>
      <c r="O14" s="65">
        <f>IF(SER_hh_tesh_in!O14=0,0,SER_hh_tesh_in!O14/SER_summary!O$27)</f>
        <v>79.855591206874138</v>
      </c>
      <c r="P14" s="65">
        <f>IF(SER_hh_tesh_in!P14=0,0,SER_hh_tesh_in!P14/SER_summary!P$27)</f>
        <v>78.020739298117419</v>
      </c>
      <c r="Q14" s="65">
        <f>IF(SER_hh_tesh_in!Q14=0,0,SER_hh_tesh_in!Q14/SER_summary!Q$27)</f>
        <v>80.819281718133453</v>
      </c>
      <c r="R14" s="65">
        <f>IF(SER_hh_tesh_in!R14=0,0,SER_hh_tesh_in!R14/SER_summary!R$27)</f>
        <v>82.121445693229163</v>
      </c>
      <c r="S14" s="65">
        <f>IF(SER_hh_tesh_in!S14=0,0,SER_hh_tesh_in!S14/SER_summary!S$27)</f>
        <v>63.743373922504453</v>
      </c>
      <c r="T14" s="65">
        <f>IF(SER_hh_tesh_in!T14=0,0,SER_hh_tesh_in!T14/SER_summary!T$27)</f>
        <v>63.801019422354862</v>
      </c>
      <c r="U14" s="65">
        <f>IF(SER_hh_tesh_in!U14=0,0,SER_hh_tesh_in!U14/SER_summary!U$27)</f>
        <v>52.56774601327033</v>
      </c>
      <c r="V14" s="65">
        <f>IF(SER_hh_tesh_in!V14=0,0,SER_hh_tesh_in!V14/SER_summary!V$27)</f>
        <v>47.20095809651319</v>
      </c>
      <c r="W14" s="65">
        <f>IF(SER_hh_tesh_in!W14=0,0,SER_hh_tesh_in!W14/SER_summary!W$27)</f>
        <v>39.949189253110156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1.2332780465626312</v>
      </c>
      <c r="D15" s="135">
        <f>IF(SER_hh_tesh_in!D15=0,0,SER_hh_tesh_in!D15/SER_summary!D$27)</f>
        <v>1.4063477040275767</v>
      </c>
      <c r="E15" s="135">
        <f>IF(SER_hh_tesh_in!E15=0,0,SER_hh_tesh_in!E15/SER_summary!E$27)</f>
        <v>1.0609324931218618</v>
      </c>
      <c r="F15" s="135">
        <f>IF(SER_hh_tesh_in!F15=0,0,SER_hh_tesh_in!F15/SER_summary!F$27)</f>
        <v>0.79140675875508826</v>
      </c>
      <c r="G15" s="135">
        <f>IF(SER_hh_tesh_in!G15=0,0,SER_hh_tesh_in!G15/SER_summary!G$27)</f>
        <v>0.69093590978477593</v>
      </c>
      <c r="H15" s="135">
        <f>IF(SER_hh_tesh_in!H15=0,0,SER_hh_tesh_in!H15/SER_summary!H$27)</f>
        <v>0.6141469975649394</v>
      </c>
      <c r="I15" s="135">
        <f>IF(SER_hh_tesh_in!I15=0,0,SER_hh_tesh_in!I15/SER_summary!I$27)</f>
        <v>0.49770623516267865</v>
      </c>
      <c r="J15" s="135">
        <f>IF(SER_hh_tesh_in!J15=0,0,SER_hh_tesh_in!J15/SER_summary!J$27)</f>
        <v>0.48071386924262743</v>
      </c>
      <c r="K15" s="135">
        <f>IF(SER_hh_tesh_in!K15=0,0,SER_hh_tesh_in!K15/SER_summary!K$27)</f>
        <v>0.56568468200566902</v>
      </c>
      <c r="L15" s="135">
        <f>IF(SER_hh_tesh_in!L15=0,0,SER_hh_tesh_in!L15/SER_summary!L$27)</f>
        <v>0.80706389566979697</v>
      </c>
      <c r="M15" s="135">
        <f>IF(SER_hh_tesh_in!M15=0,0,SER_hh_tesh_in!M15/SER_summary!M$27)</f>
        <v>0.75269294019496469</v>
      </c>
      <c r="N15" s="135">
        <f>IF(SER_hh_tesh_in!N15=0,0,SER_hh_tesh_in!N15/SER_summary!N$27)</f>
        <v>0.76427613110828208</v>
      </c>
      <c r="O15" s="135">
        <f>IF(SER_hh_tesh_in!O15=0,0,SER_hh_tesh_in!O15/SER_summary!O$27)</f>
        <v>0.59555824647764277</v>
      </c>
      <c r="P15" s="135">
        <f>IF(SER_hh_tesh_in!P15=0,0,SER_hh_tesh_in!P15/SER_summary!P$27)</f>
        <v>0.39016811808644725</v>
      </c>
      <c r="Q15" s="135">
        <f>IF(SER_hh_tesh_in!Q15=0,0,SER_hh_tesh_in!Q15/SER_summary!Q$27)</f>
        <v>0.35186334676828179</v>
      </c>
      <c r="R15" s="135">
        <f>IF(SER_hh_tesh_in!R15=0,0,SER_hh_tesh_in!R15/SER_summary!R$27)</f>
        <v>0.39667747743441145</v>
      </c>
      <c r="S15" s="135">
        <f>IF(SER_hh_tesh_in!S15=0,0,SER_hh_tesh_in!S15/SER_summary!S$27)</f>
        <v>0.40822526296510192</v>
      </c>
      <c r="T15" s="135">
        <f>IF(SER_hh_tesh_in!T15=0,0,SER_hh_tesh_in!T15/SER_summary!T$27)</f>
        <v>0.39330594498223148</v>
      </c>
      <c r="U15" s="135">
        <f>IF(SER_hh_tesh_in!U15=0,0,SER_hh_tesh_in!U15/SER_summary!U$27)</f>
        <v>0.35777773398175755</v>
      </c>
      <c r="V15" s="135">
        <f>IF(SER_hh_tesh_in!V15=0,0,SER_hh_tesh_in!V15/SER_summary!V$27)</f>
        <v>0.28592786845721008</v>
      </c>
      <c r="W15" s="135">
        <f>IF(SER_hh_tesh_in!W15=0,0,SER_hh_tesh_in!W15/SER_summary!W$27)</f>
        <v>0.18456901012756854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25.496085303187002</v>
      </c>
      <c r="D16" s="131">
        <f>IF(SER_hh_tesh_in!D16=0,0,SER_hh_tesh_in!D16/SER_summary!D$27)</f>
        <v>25.308816311521689</v>
      </c>
      <c r="E16" s="131">
        <f>IF(SER_hh_tesh_in!E16=0,0,SER_hh_tesh_in!E16/SER_summary!E$27)</f>
        <v>25.121817032396926</v>
      </c>
      <c r="F16" s="131">
        <f>IF(SER_hh_tesh_in!F16=0,0,SER_hh_tesh_in!F16/SER_summary!F$27)</f>
        <v>24.928463796480777</v>
      </c>
      <c r="G16" s="131">
        <f>IF(SER_hh_tesh_in!G16=0,0,SER_hh_tesh_in!G16/SER_summary!G$27)</f>
        <v>24.719894068141794</v>
      </c>
      <c r="H16" s="131">
        <f>IF(SER_hh_tesh_in!H16=0,0,SER_hh_tesh_in!H16/SER_summary!H$27)</f>
        <v>24.507822198997289</v>
      </c>
      <c r="I16" s="131">
        <f>IF(SER_hh_tesh_in!I16=0,0,SER_hh_tesh_in!I16/SER_summary!I$27)</f>
        <v>24.269807571497765</v>
      </c>
      <c r="J16" s="131">
        <f>IF(SER_hh_tesh_in!J16=0,0,SER_hh_tesh_in!J16/SER_summary!J$27)</f>
        <v>24.178142747822406</v>
      </c>
      <c r="K16" s="131">
        <f>IF(SER_hh_tesh_in!K16=0,0,SER_hh_tesh_in!K16/SER_summary!K$27)</f>
        <v>23.828556039295872</v>
      </c>
      <c r="L16" s="131">
        <f>IF(SER_hh_tesh_in!L16=0,0,SER_hh_tesh_in!L16/SER_summary!L$27)</f>
        <v>23.82932184288795</v>
      </c>
      <c r="M16" s="131">
        <f>IF(SER_hh_tesh_in!M16=0,0,SER_hh_tesh_in!M16/SER_summary!M$27)</f>
        <v>23.046044499397219</v>
      </c>
      <c r="N16" s="131">
        <f>IF(SER_hh_tesh_in!N16=0,0,SER_hh_tesh_in!N16/SER_summary!N$27)</f>
        <v>22.572363668039106</v>
      </c>
      <c r="O16" s="131">
        <f>IF(SER_hh_tesh_in!O16=0,0,SER_hh_tesh_in!O16/SER_summary!O$27)</f>
        <v>22.145720830308711</v>
      </c>
      <c r="P16" s="131">
        <f>IF(SER_hh_tesh_in!P16=0,0,SER_hh_tesh_in!P16/SER_summary!P$27)</f>
        <v>21.920188796537371</v>
      </c>
      <c r="Q16" s="131">
        <f>IF(SER_hh_tesh_in!Q16=0,0,SER_hh_tesh_in!Q16/SER_summary!Q$27)</f>
        <v>21.122382002414913</v>
      </c>
      <c r="R16" s="131">
        <f>IF(SER_hh_tesh_in!R16=0,0,SER_hh_tesh_in!R16/SER_summary!R$27)</f>
        <v>20.627554785866092</v>
      </c>
      <c r="S16" s="131">
        <f>IF(SER_hh_tesh_in!S16=0,0,SER_hh_tesh_in!S16/SER_summary!S$27)</f>
        <v>20.042602177687588</v>
      </c>
      <c r="T16" s="131">
        <f>IF(SER_hh_tesh_in!T16=0,0,SER_hh_tesh_in!T16/SER_summary!T$27)</f>
        <v>19.557890065133119</v>
      </c>
      <c r="U16" s="131">
        <f>IF(SER_hh_tesh_in!U16=0,0,SER_hh_tesh_in!U16/SER_summary!U$27)</f>
        <v>18.599543281132945</v>
      </c>
      <c r="V16" s="131">
        <f>IF(SER_hh_tesh_in!V16=0,0,SER_hh_tesh_in!V16/SER_summary!V$27)</f>
        <v>17.549556651696374</v>
      </c>
      <c r="W16" s="131">
        <f>IF(SER_hh_tesh_in!W16=0,0,SER_hh_tesh_in!W16/SER_summary!W$27)</f>
        <v>15.391264714456765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25.496085303187002</v>
      </c>
      <c r="D18" s="133">
        <f>IF(SER_hh_tesh_in!D18=0,0,SER_hh_tesh_in!D18/SER_summary!D$27)</f>
        <v>25.308816311521689</v>
      </c>
      <c r="E18" s="133">
        <f>IF(SER_hh_tesh_in!E18=0,0,SER_hh_tesh_in!E18/SER_summary!E$27)</f>
        <v>25.121817032396926</v>
      </c>
      <c r="F18" s="133">
        <f>IF(SER_hh_tesh_in!F18=0,0,SER_hh_tesh_in!F18/SER_summary!F$27)</f>
        <v>24.928463796480777</v>
      </c>
      <c r="G18" s="133">
        <f>IF(SER_hh_tesh_in!G18=0,0,SER_hh_tesh_in!G18/SER_summary!G$27)</f>
        <v>24.719894068141794</v>
      </c>
      <c r="H18" s="133">
        <f>IF(SER_hh_tesh_in!H18=0,0,SER_hh_tesh_in!H18/SER_summary!H$27)</f>
        <v>24.507822198997289</v>
      </c>
      <c r="I18" s="133">
        <f>IF(SER_hh_tesh_in!I18=0,0,SER_hh_tesh_in!I18/SER_summary!I$27)</f>
        <v>24.269807571497765</v>
      </c>
      <c r="J18" s="133">
        <f>IF(SER_hh_tesh_in!J18=0,0,SER_hh_tesh_in!J18/SER_summary!J$27)</f>
        <v>24.178142747822406</v>
      </c>
      <c r="K18" s="133">
        <f>IF(SER_hh_tesh_in!K18=0,0,SER_hh_tesh_in!K18/SER_summary!K$27)</f>
        <v>23.828556039295872</v>
      </c>
      <c r="L18" s="133">
        <f>IF(SER_hh_tesh_in!L18=0,0,SER_hh_tesh_in!L18/SER_summary!L$27)</f>
        <v>23.82932184288795</v>
      </c>
      <c r="M18" s="133">
        <f>IF(SER_hh_tesh_in!M18=0,0,SER_hh_tesh_in!M18/SER_summary!M$27)</f>
        <v>23.046044499397219</v>
      </c>
      <c r="N18" s="133">
        <f>IF(SER_hh_tesh_in!N18=0,0,SER_hh_tesh_in!N18/SER_summary!N$27)</f>
        <v>22.572363668039106</v>
      </c>
      <c r="O18" s="133">
        <f>IF(SER_hh_tesh_in!O18=0,0,SER_hh_tesh_in!O18/SER_summary!O$27)</f>
        <v>22.145720830308711</v>
      </c>
      <c r="P18" s="133">
        <f>IF(SER_hh_tesh_in!P18=0,0,SER_hh_tesh_in!P18/SER_summary!P$27)</f>
        <v>21.920188796537371</v>
      </c>
      <c r="Q18" s="133">
        <f>IF(SER_hh_tesh_in!Q18=0,0,SER_hh_tesh_in!Q18/SER_summary!Q$27)</f>
        <v>21.122382002414913</v>
      </c>
      <c r="R18" s="133">
        <f>IF(SER_hh_tesh_in!R18=0,0,SER_hh_tesh_in!R18/SER_summary!R$27)</f>
        <v>20.627554785866092</v>
      </c>
      <c r="S18" s="133">
        <f>IF(SER_hh_tesh_in!S18=0,0,SER_hh_tesh_in!S18/SER_summary!S$27)</f>
        <v>20.042602177687588</v>
      </c>
      <c r="T18" s="133">
        <f>IF(SER_hh_tesh_in!T18=0,0,SER_hh_tesh_in!T18/SER_summary!T$27)</f>
        <v>19.557890065133119</v>
      </c>
      <c r="U18" s="133">
        <f>IF(SER_hh_tesh_in!U18=0,0,SER_hh_tesh_in!U18/SER_summary!U$27)</f>
        <v>18.599543281132945</v>
      </c>
      <c r="V18" s="133">
        <f>IF(SER_hh_tesh_in!V18=0,0,SER_hh_tesh_in!V18/SER_summary!V$27)</f>
        <v>17.549556651696374</v>
      </c>
      <c r="W18" s="133">
        <f>IF(SER_hh_tesh_in!W18=0,0,SER_hh_tesh_in!W18/SER_summary!W$27)</f>
        <v>15.391264714456765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18.40021667325864</v>
      </c>
      <c r="D19" s="131">
        <f>IF(SER_hh_tesh_in!D19=0,0,SER_hh_tesh_in!D19/SER_summary!D$27)</f>
        <v>18.200681121763544</v>
      </c>
      <c r="E19" s="131">
        <f>IF(SER_hh_tesh_in!E19=0,0,SER_hh_tesh_in!E19/SER_summary!E$27)</f>
        <v>17.953689139317092</v>
      </c>
      <c r="F19" s="131">
        <f>IF(SER_hh_tesh_in!F19=0,0,SER_hh_tesh_in!F19/SER_summary!F$27)</f>
        <v>17.751475113823162</v>
      </c>
      <c r="G19" s="131">
        <f>IF(SER_hh_tesh_in!G19=0,0,SER_hh_tesh_in!G19/SER_summary!G$27)</f>
        <v>18.152763999820575</v>
      </c>
      <c r="H19" s="131">
        <f>IF(SER_hh_tesh_in!H19=0,0,SER_hh_tesh_in!H19/SER_summary!H$27)</f>
        <v>17.784729532288207</v>
      </c>
      <c r="I19" s="131">
        <f>IF(SER_hh_tesh_in!I19=0,0,SER_hh_tesh_in!I19/SER_summary!I$27)</f>
        <v>17.733556562101377</v>
      </c>
      <c r="J19" s="131">
        <f>IF(SER_hh_tesh_in!J19=0,0,SER_hh_tesh_in!J19/SER_summary!J$27)</f>
        <v>17.626500819916171</v>
      </c>
      <c r="K19" s="131">
        <f>IF(SER_hh_tesh_in!K19=0,0,SER_hh_tesh_in!K19/SER_summary!K$27)</f>
        <v>17.887607334741261</v>
      </c>
      <c r="L19" s="131">
        <f>IF(SER_hh_tesh_in!L19=0,0,SER_hh_tesh_in!L19/SER_summary!L$27)</f>
        <v>17.642889675732683</v>
      </c>
      <c r="M19" s="131">
        <f>IF(SER_hh_tesh_in!M19=0,0,SER_hh_tesh_in!M19/SER_summary!M$27)</f>
        <v>17.18035736162491</v>
      </c>
      <c r="N19" s="131">
        <f>IF(SER_hh_tesh_in!N19=0,0,SER_hh_tesh_in!N19/SER_summary!N$27)</f>
        <v>17.915509052155421</v>
      </c>
      <c r="O19" s="131">
        <f>IF(SER_hh_tesh_in!O19=0,0,SER_hh_tesh_in!O19/SER_summary!O$27)</f>
        <v>17.777365754055527</v>
      </c>
      <c r="P19" s="131">
        <f>IF(SER_hh_tesh_in!P19=0,0,SER_hh_tesh_in!P19/SER_summary!P$27)</f>
        <v>17.431975024115996</v>
      </c>
      <c r="Q19" s="131">
        <f>IF(SER_hh_tesh_in!Q19=0,0,SER_hh_tesh_in!Q19/SER_summary!Q$27)</f>
        <v>17.392755981978425</v>
      </c>
      <c r="R19" s="131">
        <f>IF(SER_hh_tesh_in!R19=0,0,SER_hh_tesh_in!R19/SER_summary!R$27)</f>
        <v>17.347622391307741</v>
      </c>
      <c r="S19" s="131">
        <f>IF(SER_hh_tesh_in!S19=0,0,SER_hh_tesh_in!S19/SER_summary!S$27)</f>
        <v>16.857617435631315</v>
      </c>
      <c r="T19" s="131">
        <f>IF(SER_hh_tesh_in!T19=0,0,SER_hh_tesh_in!T19/SER_summary!T$27)</f>
        <v>16.767385472344774</v>
      </c>
      <c r="U19" s="131">
        <f>IF(SER_hh_tesh_in!U19=0,0,SER_hh_tesh_in!U19/SER_summary!U$27)</f>
        <v>16.58060927973953</v>
      </c>
      <c r="V19" s="131">
        <f>IF(SER_hh_tesh_in!V19=0,0,SER_hh_tesh_in!V19/SER_summary!V$27)</f>
        <v>15.951346335600896</v>
      </c>
      <c r="W19" s="131">
        <f>IF(SER_hh_tesh_in!W19=0,0,SER_hh_tesh_in!W19/SER_summary!W$27)</f>
        <v>15.625076534194678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18.52209791090937</v>
      </c>
      <c r="D22" s="133">
        <f>IF(SER_hh_tesh_in!D22=0,0,SER_hh_tesh_in!D22/SER_summary!D$27)</f>
        <v>18.335604406909255</v>
      </c>
      <c r="E22" s="133">
        <f>IF(SER_hh_tesh_in!E22=0,0,SER_hh_tesh_in!E22/SER_summary!E$27)</f>
        <v>19.00036213480524</v>
      </c>
      <c r="F22" s="133">
        <f>IF(SER_hh_tesh_in!F22=0,0,SER_hh_tesh_in!F22/SER_summary!F$27)</f>
        <v>0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0</v>
      </c>
      <c r="J22" s="133">
        <f>IF(SER_hh_tesh_in!J22=0,0,SER_hh_tesh_in!J22/SER_summary!J$27)</f>
        <v>0</v>
      </c>
      <c r="K22" s="133">
        <f>IF(SER_hh_tesh_in!K22=0,0,SER_hh_tesh_in!K22/SER_summary!K$27)</f>
        <v>0</v>
      </c>
      <c r="L22" s="133">
        <f>IF(SER_hh_tesh_in!L22=0,0,SER_hh_tesh_in!L22/SER_summary!L$27)</f>
        <v>0</v>
      </c>
      <c r="M22" s="133">
        <f>IF(SER_hh_tesh_in!M22=0,0,SER_hh_tesh_in!M22/SER_summary!M$27)</f>
        <v>15.159237514596478</v>
      </c>
      <c r="N22" s="133">
        <f>IF(SER_hh_tesh_in!N22=0,0,SER_hh_tesh_in!N22/SER_summary!N$27)</f>
        <v>19.404788013705019</v>
      </c>
      <c r="O22" s="133">
        <f>IF(SER_hh_tesh_in!O22=0,0,SER_hh_tesh_in!O22/SER_summary!O$27)</f>
        <v>19.541514852692984</v>
      </c>
      <c r="P22" s="133">
        <f>IF(SER_hh_tesh_in!P22=0,0,SER_hh_tesh_in!P22/SER_summary!P$27)</f>
        <v>13.925320771560866</v>
      </c>
      <c r="Q22" s="133">
        <f>IF(SER_hh_tesh_in!Q22=0,0,SER_hh_tesh_in!Q22/SER_summary!Q$27)</f>
        <v>18.409233913312939</v>
      </c>
      <c r="R22" s="133">
        <f>IF(SER_hh_tesh_in!R22=0,0,SER_hh_tesh_in!R22/SER_summary!R$27)</f>
        <v>17.492896660429594</v>
      </c>
      <c r="S22" s="133">
        <f>IF(SER_hh_tesh_in!S22=0,0,SER_hh_tesh_in!S22/SER_summary!S$27)</f>
        <v>17.272107450274785</v>
      </c>
      <c r="T22" s="133">
        <f>IF(SER_hh_tesh_in!T22=0,0,SER_hh_tesh_in!T22/SER_summary!T$27)</f>
        <v>17.275374063338823</v>
      </c>
      <c r="U22" s="133">
        <f>IF(SER_hh_tesh_in!U22=0,0,SER_hh_tesh_in!U22/SER_summary!U$27)</f>
        <v>16.642966309985106</v>
      </c>
      <c r="V22" s="133">
        <f>IF(SER_hh_tesh_in!V22=0,0,SER_hh_tesh_in!V22/SER_summary!V$27)</f>
        <v>16.519736720409568</v>
      </c>
      <c r="W22" s="133">
        <f>IF(SER_hh_tesh_in!W22=0,0,SER_hh_tesh_in!W22/SER_summary!W$27)</f>
        <v>0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16.769815605263343</v>
      </c>
      <c r="D23" s="133">
        <f>IF(SER_hh_tesh_in!D23=0,0,SER_hh_tesh_in!D23/SER_summary!D$27)</f>
        <v>18.192122359155917</v>
      </c>
      <c r="E23" s="133">
        <f>IF(SER_hh_tesh_in!E23=0,0,SER_hh_tesh_in!E23/SER_summary!E$27)</f>
        <v>19.056252088309318</v>
      </c>
      <c r="F23" s="133">
        <f>IF(SER_hh_tesh_in!F23=0,0,SER_hh_tesh_in!F23/SER_summary!F$27)</f>
        <v>16.894424654129946</v>
      </c>
      <c r="G23" s="133">
        <f>IF(SER_hh_tesh_in!G23=0,0,SER_hh_tesh_in!G23/SER_summary!G$27)</f>
        <v>17.19326789871694</v>
      </c>
      <c r="H23" s="133">
        <f>IF(SER_hh_tesh_in!H23=0,0,SER_hh_tesh_in!H23/SER_summary!H$27)</f>
        <v>19.062228887716483</v>
      </c>
      <c r="I23" s="133">
        <f>IF(SER_hh_tesh_in!I23=0,0,SER_hh_tesh_in!I23/SER_summary!I$27)</f>
        <v>17.609071487736323</v>
      </c>
      <c r="J23" s="133">
        <f>IF(SER_hh_tesh_in!J23=0,0,SER_hh_tesh_in!J23/SER_summary!J$27)</f>
        <v>18.092179368363293</v>
      </c>
      <c r="K23" s="133">
        <f>IF(SER_hh_tesh_in!K23=0,0,SER_hh_tesh_in!K23/SER_summary!K$27)</f>
        <v>17.507792869173819</v>
      </c>
      <c r="L23" s="133">
        <f>IF(SER_hh_tesh_in!L23=0,0,SER_hh_tesh_in!L23/SER_summary!L$27)</f>
        <v>17.812804163543895</v>
      </c>
      <c r="M23" s="133">
        <f>IF(SER_hh_tesh_in!M23=0,0,SER_hh_tesh_in!M23/SER_summary!M$27)</f>
        <v>17.379985148152333</v>
      </c>
      <c r="N23" s="133">
        <f>IF(SER_hh_tesh_in!N23=0,0,SER_hh_tesh_in!N23/SER_summary!N$27)</f>
        <v>17.327872668027084</v>
      </c>
      <c r="O23" s="133">
        <f>IF(SER_hh_tesh_in!O23=0,0,SER_hh_tesh_in!O23/SER_summary!O$27)</f>
        <v>17.343010268091668</v>
      </c>
      <c r="P23" s="133">
        <f>IF(SER_hh_tesh_in!P23=0,0,SER_hh_tesh_in!P23/SER_summary!P$27)</f>
        <v>17.889155226203492</v>
      </c>
      <c r="Q23" s="133">
        <f>IF(SER_hh_tesh_in!Q23=0,0,SER_hh_tesh_in!Q23/SER_summary!Q$27)</f>
        <v>17.988671338963194</v>
      </c>
      <c r="R23" s="133">
        <f>IF(SER_hh_tesh_in!R23=0,0,SER_hh_tesh_in!R23/SER_summary!R$27)</f>
        <v>19.269625301906576</v>
      </c>
      <c r="S23" s="133">
        <f>IF(SER_hh_tesh_in!S23=0,0,SER_hh_tesh_in!S23/SER_summary!S$27)</f>
        <v>11.225158946292714</v>
      </c>
      <c r="T23" s="133">
        <f>IF(SER_hh_tesh_in!T23=0,0,SER_hh_tesh_in!T23/SER_summary!T$27)</f>
        <v>15.094448757624269</v>
      </c>
      <c r="U23" s="133">
        <f>IF(SER_hh_tesh_in!U23=0,0,SER_hh_tesh_in!U23/SER_summary!U$27)</f>
        <v>18.522989733477431</v>
      </c>
      <c r="V23" s="133">
        <f>IF(SER_hh_tesh_in!V23=0,0,SER_hh_tesh_in!V23/SER_summary!V$27)</f>
        <v>16.562508744175101</v>
      </c>
      <c r="W23" s="133">
        <f>IF(SER_hh_tesh_in!W23=0,0,SER_hh_tesh_in!W23/SER_summary!W$27)</f>
        <v>15.988267057175973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18.323948035117866</v>
      </c>
      <c r="D25" s="133">
        <f>IF(SER_hh_tesh_in!D25=0,0,SER_hh_tesh_in!D25/SER_summary!D$27)</f>
        <v>18.00622220552939</v>
      </c>
      <c r="E25" s="133">
        <f>IF(SER_hh_tesh_in!E25=0,0,SER_hh_tesh_in!E25/SER_summary!E$27)</f>
        <v>17.716430678302775</v>
      </c>
      <c r="F25" s="133">
        <f>IF(SER_hh_tesh_in!F25=0,0,SER_hh_tesh_in!F25/SER_summary!F$27)</f>
        <v>17.832872054355168</v>
      </c>
      <c r="G25" s="133">
        <f>IF(SER_hh_tesh_in!G25=0,0,SER_hh_tesh_in!G25/SER_summary!G$27)</f>
        <v>18.138717545618796</v>
      </c>
      <c r="H25" s="133">
        <f>IF(SER_hh_tesh_in!H25=0,0,SER_hh_tesh_in!H25/SER_summary!H$27)</f>
        <v>18.174955970624357</v>
      </c>
      <c r="I25" s="133">
        <f>IF(SER_hh_tesh_in!I25=0,0,SER_hh_tesh_in!I25/SER_summary!I$27)</f>
        <v>17.562718042167862</v>
      </c>
      <c r="J25" s="133">
        <f>IF(SER_hh_tesh_in!J25=0,0,SER_hh_tesh_in!J25/SER_summary!J$27)</f>
        <v>17.754456178578561</v>
      </c>
      <c r="K25" s="133">
        <f>IF(SER_hh_tesh_in!K25=0,0,SER_hh_tesh_in!K25/SER_summary!K$27)</f>
        <v>17.628635812647659</v>
      </c>
      <c r="L25" s="133">
        <f>IF(SER_hh_tesh_in!L25=0,0,SER_hh_tesh_in!L25/SER_summary!L$27)</f>
        <v>17.412990224640438</v>
      </c>
      <c r="M25" s="133">
        <f>IF(SER_hh_tesh_in!M25=0,0,SER_hh_tesh_in!M25/SER_summary!M$27)</f>
        <v>17.496871293589379</v>
      </c>
      <c r="N25" s="133">
        <f>IF(SER_hh_tesh_in!N25=0,0,SER_hh_tesh_in!N25/SER_summary!N$27)</f>
        <v>17.746686128359361</v>
      </c>
      <c r="O25" s="133">
        <f>IF(SER_hh_tesh_in!O25=0,0,SER_hh_tesh_in!O25/SER_summary!O$27)</f>
        <v>17.519947172915785</v>
      </c>
      <c r="P25" s="133">
        <f>IF(SER_hh_tesh_in!P25=0,0,SER_hh_tesh_in!P25/SER_summary!P$27)</f>
        <v>17.340697919811056</v>
      </c>
      <c r="Q25" s="133">
        <f>IF(SER_hh_tesh_in!Q25=0,0,SER_hh_tesh_in!Q25/SER_summary!Q$27)</f>
        <v>17.042181104939502</v>
      </c>
      <c r="R25" s="133">
        <f>IF(SER_hh_tesh_in!R25=0,0,SER_hh_tesh_in!R25/SER_summary!R$27)</f>
        <v>17.665196146977379</v>
      </c>
      <c r="S25" s="133">
        <f>IF(SER_hh_tesh_in!S25=0,0,SER_hh_tesh_in!S25/SER_summary!S$27)</f>
        <v>16.550010770787171</v>
      </c>
      <c r="T25" s="133">
        <f>IF(SER_hh_tesh_in!T25=0,0,SER_hh_tesh_in!T25/SER_summary!T$27)</f>
        <v>17.13219262155669</v>
      </c>
      <c r="U25" s="133">
        <f>IF(SER_hh_tesh_in!U25=0,0,SER_hh_tesh_in!U25/SER_summary!U$27)</f>
        <v>16.804823206711742</v>
      </c>
      <c r="V25" s="133">
        <f>IF(SER_hh_tesh_in!V25=0,0,SER_hh_tesh_in!V25/SER_summary!V$27)</f>
        <v>14.489231328170192</v>
      </c>
      <c r="W25" s="133">
        <f>IF(SER_hh_tesh_in!W25=0,0,SER_hh_tesh_in!W25/SER_summary!W$27)</f>
        <v>17.673620334351643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18.465285581841595</v>
      </c>
      <c r="D26" s="65">
        <f>IF(SER_hh_tesh_in!D26=0,0,SER_hh_tesh_in!D26/SER_summary!D$27)</f>
        <v>18.392004391796746</v>
      </c>
      <c r="E26" s="65">
        <f>IF(SER_hh_tesh_in!E26=0,0,SER_hh_tesh_in!E26/SER_summary!E$27)</f>
        <v>18.1411881813093</v>
      </c>
      <c r="F26" s="65">
        <f>IF(SER_hh_tesh_in!F26=0,0,SER_hh_tesh_in!F26/SER_summary!F$27)</f>
        <v>17.640139424197084</v>
      </c>
      <c r="G26" s="65">
        <f>IF(SER_hh_tesh_in!G26=0,0,SER_hh_tesh_in!G26/SER_summary!G$27)</f>
        <v>18.21480912924881</v>
      </c>
      <c r="H26" s="65">
        <f>IF(SER_hh_tesh_in!H26=0,0,SER_hh_tesh_in!H26/SER_summary!H$27)</f>
        <v>17.092133801039008</v>
      </c>
      <c r="I26" s="65">
        <f>IF(SER_hh_tesh_in!I26=0,0,SER_hh_tesh_in!I26/SER_summary!I$27)</f>
        <v>17.89340643478528</v>
      </c>
      <c r="J26" s="65">
        <f>IF(SER_hh_tesh_in!J26=0,0,SER_hh_tesh_in!J26/SER_summary!J$27)</f>
        <v>17.50438336980266</v>
      </c>
      <c r="K26" s="65">
        <f>IF(SER_hh_tesh_in!K26=0,0,SER_hh_tesh_in!K26/SER_summary!K$27)</f>
        <v>18.109781649096568</v>
      </c>
      <c r="L26" s="65">
        <f>IF(SER_hh_tesh_in!L26=0,0,SER_hh_tesh_in!L26/SER_summary!L$27)</f>
        <v>17.940270429588601</v>
      </c>
      <c r="M26" s="65">
        <f>IF(SER_hh_tesh_in!M26=0,0,SER_hh_tesh_in!M26/SER_summary!M$27)</f>
        <v>17.688668978902427</v>
      </c>
      <c r="N26" s="65">
        <f>IF(SER_hh_tesh_in!N26=0,0,SER_hh_tesh_in!N26/SER_summary!N$27)</f>
        <v>17.044384675658208</v>
      </c>
      <c r="O26" s="65">
        <f>IF(SER_hh_tesh_in!O26=0,0,SER_hh_tesh_in!O26/SER_summary!O$27)</f>
        <v>17.213780172334715</v>
      </c>
      <c r="P26" s="65">
        <f>IF(SER_hh_tesh_in!P26=0,0,SER_hh_tesh_in!P26/SER_summary!P$27)</f>
        <v>18.083121817830712</v>
      </c>
      <c r="Q26" s="65">
        <f>IF(SER_hh_tesh_in!Q26=0,0,SER_hh_tesh_in!Q26/SER_summary!Q$27)</f>
        <v>17.475816845673702</v>
      </c>
      <c r="R26" s="65">
        <f>IF(SER_hh_tesh_in!R26=0,0,SER_hh_tesh_in!R26/SER_summary!R$27)</f>
        <v>16.298166664019803</v>
      </c>
      <c r="S26" s="65">
        <f>IF(SER_hh_tesh_in!S26=0,0,SER_hh_tesh_in!S26/SER_summary!S$27)</f>
        <v>17.356076730302956</v>
      </c>
      <c r="T26" s="65">
        <f>IF(SER_hh_tesh_in!T26=0,0,SER_hh_tesh_in!T26/SER_summary!T$27)</f>
        <v>16.285022426907322</v>
      </c>
      <c r="U26" s="65">
        <f>IF(SER_hh_tesh_in!U26=0,0,SER_hh_tesh_in!U26/SER_summary!U$27)</f>
        <v>16.146075644289748</v>
      </c>
      <c r="V26" s="65">
        <f>IF(SER_hh_tesh_in!V26=0,0,SER_hh_tesh_in!V26/SER_summary!V$27)</f>
        <v>17.711936173588388</v>
      </c>
      <c r="W26" s="65">
        <f>IF(SER_hh_tesh_in!W26=0,0,SER_hh_tesh_in!W26/SER_summary!W$27)</f>
        <v>14.000934168896464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</v>
      </c>
      <c r="M27" s="146">
        <f>IF(SER_hh_tesh_in!M27=0,0,SER_hh_tesh_in!M27/SER_summary!M$27)</f>
        <v>0</v>
      </c>
      <c r="N27" s="146">
        <f>IF(SER_hh_tesh_in!N27=0,0,SER_hh_tesh_in!N27/SER_summary!N$27)</f>
        <v>0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0</v>
      </c>
      <c r="T27" s="146">
        <f>IF(SER_hh_tesh_in!T27=0,0,SER_hh_tesh_in!T27/SER_summary!T$27)</f>
        <v>0</v>
      </c>
      <c r="U27" s="146">
        <f>IF(SER_hh_tesh_in!U27=0,0,SER_hh_tesh_in!U27/SER_summary!U$27)</f>
        <v>0</v>
      </c>
      <c r="V27" s="146">
        <f>IF(SER_hh_tesh_in!V27=0,0,SER_hh_tesh_in!V27/SER_summary!V$27)</f>
        <v>0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0</v>
      </c>
      <c r="M28" s="147">
        <f>IF(SER_hh_tesh_in!M28=0,0,SER_hh_tesh_in!M28/SER_summary!M$27)</f>
        <v>0</v>
      </c>
      <c r="N28" s="147">
        <f>IF(SER_hh_tesh_in!N28=0,0,SER_hh_tesh_in!N28/SER_summary!N$27)</f>
        <v>0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0</v>
      </c>
      <c r="T28" s="147">
        <f>IF(SER_hh_tesh_in!T28=0,0,SER_hh_tesh_in!T28/SER_summary!T$27)</f>
        <v>0</v>
      </c>
      <c r="U28" s="147">
        <f>IF(SER_hh_tesh_in!U28=0,0,SER_hh_tesh_in!U28/SER_summary!U$27)</f>
        <v>0</v>
      </c>
      <c r="V28" s="147">
        <f>IF(SER_hh_tesh_in!V28=0,0,SER_hh_tesh_in!V28/SER_summary!V$27)</f>
        <v>0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16.645771767807318</v>
      </c>
      <c r="D29" s="131">
        <f>IF(SER_hh_tesh_in!D29=0,0,SER_hh_tesh_in!D29/SER_summary!D$27)</f>
        <v>16.68870151690523</v>
      </c>
      <c r="E29" s="131">
        <f>IF(SER_hh_tesh_in!E29=0,0,SER_hh_tesh_in!E29/SER_summary!E$27)</f>
        <v>16.852214360827016</v>
      </c>
      <c r="F29" s="131">
        <f>IF(SER_hh_tesh_in!F29=0,0,SER_hh_tesh_in!F29/SER_summary!F$27)</f>
        <v>16.967515393643829</v>
      </c>
      <c r="G29" s="131">
        <f>IF(SER_hh_tesh_in!G29=0,0,SER_hh_tesh_in!G29/SER_summary!G$27)</f>
        <v>15.900322326812555</v>
      </c>
      <c r="H29" s="131">
        <f>IF(SER_hh_tesh_in!H29=0,0,SER_hh_tesh_in!H29/SER_summary!H$27)</f>
        <v>17.256876022637826</v>
      </c>
      <c r="I29" s="131">
        <f>IF(SER_hh_tesh_in!I29=0,0,SER_hh_tesh_in!I29/SER_summary!I$27)</f>
        <v>18.530056726891804</v>
      </c>
      <c r="J29" s="131">
        <f>IF(SER_hh_tesh_in!J29=0,0,SER_hh_tesh_in!J29/SER_summary!J$27)</f>
        <v>17.499180674047512</v>
      </c>
      <c r="K29" s="131">
        <f>IF(SER_hh_tesh_in!K29=0,0,SER_hh_tesh_in!K29/SER_summary!K$27)</f>
        <v>18.668852876836091</v>
      </c>
      <c r="L29" s="131">
        <f>IF(SER_hh_tesh_in!L29=0,0,SER_hh_tesh_in!L29/SER_summary!L$27)</f>
        <v>17.414892492251923</v>
      </c>
      <c r="M29" s="131">
        <f>IF(SER_hh_tesh_in!M29=0,0,SER_hh_tesh_in!M29/SER_summary!M$27)</f>
        <v>16.982751677640611</v>
      </c>
      <c r="N29" s="131">
        <f>IF(SER_hh_tesh_in!N29=0,0,SER_hh_tesh_in!N29/SER_summary!N$27)</f>
        <v>19.028480841539785</v>
      </c>
      <c r="O29" s="131">
        <f>IF(SER_hh_tesh_in!O29=0,0,SER_hh_tesh_in!O29/SER_summary!O$27)</f>
        <v>18.245097058107454</v>
      </c>
      <c r="P29" s="131">
        <f>IF(SER_hh_tesh_in!P29=0,0,SER_hh_tesh_in!P29/SER_summary!P$27)</f>
        <v>17.842252116864724</v>
      </c>
      <c r="Q29" s="131">
        <f>IF(SER_hh_tesh_in!Q29=0,0,SER_hh_tesh_in!Q29/SER_summary!Q$27)</f>
        <v>18.115368737141232</v>
      </c>
      <c r="R29" s="131">
        <f>IF(SER_hh_tesh_in!R29=0,0,SER_hh_tesh_in!R29/SER_summary!R$27)</f>
        <v>18.137983829819028</v>
      </c>
      <c r="S29" s="131">
        <f>IF(SER_hh_tesh_in!S29=0,0,SER_hh_tesh_in!S29/SER_summary!S$27)</f>
        <v>18.167440164205264</v>
      </c>
      <c r="T29" s="131">
        <f>IF(SER_hh_tesh_in!T29=0,0,SER_hh_tesh_in!T29/SER_summary!T$27)</f>
        <v>18.137313507068583</v>
      </c>
      <c r="U29" s="131">
        <f>IF(SER_hh_tesh_in!U29=0,0,SER_hh_tesh_in!U29/SER_summary!U$27)</f>
        <v>18.364613869516894</v>
      </c>
      <c r="V29" s="131">
        <f>IF(SER_hh_tesh_in!V29=0,0,SER_hh_tesh_in!V29/SER_summary!V$27)</f>
        <v>17.494265425578998</v>
      </c>
      <c r="W29" s="131">
        <f>IF(SER_hh_tesh_in!W29=0,0,SER_hh_tesh_in!W29/SER_summary!W$27)</f>
        <v>17.670257181969454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20.439823142074442</v>
      </c>
      <c r="D30" s="133">
        <f>IF(SER_hh_tesh_in!D30=0,0,SER_hh_tesh_in!D30/SER_summary!D$27)</f>
        <v>17.445363037995495</v>
      </c>
      <c r="E30" s="133">
        <f>IF(SER_hh_tesh_in!E30=0,0,SER_hh_tesh_in!E30/SER_summary!E$27)</f>
        <v>0</v>
      </c>
      <c r="F30" s="133">
        <f>IF(SER_hh_tesh_in!F30=0,0,SER_hh_tesh_in!F30/SER_summary!F$27)</f>
        <v>14.288977124345086</v>
      </c>
      <c r="G30" s="133">
        <f>IF(SER_hh_tesh_in!G30=0,0,SER_hh_tesh_in!G30/SER_summary!G$27)</f>
        <v>12.169061985705232</v>
      </c>
      <c r="H30" s="133">
        <f>IF(SER_hh_tesh_in!H30=0,0,SER_hh_tesh_in!H30/SER_summary!H$27)</f>
        <v>17.402040160249118</v>
      </c>
      <c r="I30" s="133">
        <f>IF(SER_hh_tesh_in!I30=0,0,SER_hh_tesh_in!I30/SER_summary!I$27)</f>
        <v>21.495584901698905</v>
      </c>
      <c r="J30" s="133">
        <f>IF(SER_hh_tesh_in!J30=0,0,SER_hh_tesh_in!J30/SER_summary!J$27)</f>
        <v>18.985355387143706</v>
      </c>
      <c r="K30" s="133">
        <f>IF(SER_hh_tesh_in!K30=0,0,SER_hh_tesh_in!K30/SER_summary!K$27)</f>
        <v>13.294496889247995</v>
      </c>
      <c r="L30" s="133">
        <f>IF(SER_hh_tesh_in!L30=0,0,SER_hh_tesh_in!L30/SER_summary!L$27)</f>
        <v>21.424246420815422</v>
      </c>
      <c r="M30" s="133">
        <f>IF(SER_hh_tesh_in!M30=0,0,SER_hh_tesh_in!M30/SER_summary!M$27)</f>
        <v>0</v>
      </c>
      <c r="N30" s="133">
        <f>IF(SER_hh_tesh_in!N30=0,0,SER_hh_tesh_in!N30/SER_summary!N$27)</f>
        <v>0</v>
      </c>
      <c r="O30" s="133">
        <f>IF(SER_hh_tesh_in!O30=0,0,SER_hh_tesh_in!O30/SER_summary!O$27)</f>
        <v>0</v>
      </c>
      <c r="P30" s="133">
        <f>IF(SER_hh_tesh_in!P30=0,0,SER_hh_tesh_in!P30/SER_summary!P$27)</f>
        <v>0</v>
      </c>
      <c r="Q30" s="133">
        <f>IF(SER_hh_tesh_in!Q30=0,0,SER_hh_tesh_in!Q30/SER_summary!Q$27)</f>
        <v>0</v>
      </c>
      <c r="R30" s="133">
        <f>IF(SER_hh_tesh_in!R30=0,0,SER_hh_tesh_in!R30/SER_summary!R$27)</f>
        <v>0</v>
      </c>
      <c r="S30" s="133">
        <f>IF(SER_hh_tesh_in!S30=0,0,SER_hh_tesh_in!S30/SER_summary!S$27)</f>
        <v>18.227358992827426</v>
      </c>
      <c r="T30" s="133">
        <f>IF(SER_hh_tesh_in!T30=0,0,SER_hh_tesh_in!T30/SER_summary!T$27)</f>
        <v>17.863431489189932</v>
      </c>
      <c r="U30" s="133">
        <f>IF(SER_hh_tesh_in!U30=0,0,SER_hh_tesh_in!U30/SER_summary!U$27)</f>
        <v>18.000112026922427</v>
      </c>
      <c r="V30" s="133">
        <f>IF(SER_hh_tesh_in!V30=0,0,SER_hh_tesh_in!V30/SER_summary!V$27)</f>
        <v>17.75468402192595</v>
      </c>
      <c r="W30" s="133">
        <f>IF(SER_hh_tesh_in!W30=0,0,SER_hh_tesh_in!W30/SER_summary!W$27)</f>
        <v>17.615770959802983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16.001726945183801</v>
      </c>
      <c r="D31" s="133">
        <f>IF(SER_hh_tesh_in!D31=0,0,SER_hh_tesh_in!D31/SER_summary!D$27)</f>
        <v>16.646846990131134</v>
      </c>
      <c r="E31" s="133">
        <f>IF(SER_hh_tesh_in!E31=0,0,SER_hh_tesh_in!E31/SER_summary!E$27)</f>
        <v>17.339632706365087</v>
      </c>
      <c r="F31" s="133">
        <f>IF(SER_hh_tesh_in!F31=0,0,SER_hh_tesh_in!F31/SER_summary!F$27)</f>
        <v>16.96872512262474</v>
      </c>
      <c r="G31" s="133">
        <f>IF(SER_hh_tesh_in!G31=0,0,SER_hh_tesh_in!G31/SER_summary!G$27)</f>
        <v>17.032784427902385</v>
      </c>
      <c r="H31" s="133">
        <f>IF(SER_hh_tesh_in!H31=0,0,SER_hh_tesh_in!H31/SER_summary!H$27)</f>
        <v>17.271755293125597</v>
      </c>
      <c r="I31" s="133">
        <f>IF(SER_hh_tesh_in!I31=0,0,SER_hh_tesh_in!I31/SER_summary!I$27)</f>
        <v>17.558417530093429</v>
      </c>
      <c r="J31" s="133">
        <f>IF(SER_hh_tesh_in!J31=0,0,SER_hh_tesh_in!J31/SER_summary!J$27)</f>
        <v>18.331748215789752</v>
      </c>
      <c r="K31" s="133">
        <f>IF(SER_hh_tesh_in!K31=0,0,SER_hh_tesh_in!K31/SER_summary!K$27)</f>
        <v>17.909124747483254</v>
      </c>
      <c r="L31" s="133">
        <f>IF(SER_hh_tesh_in!L31=0,0,SER_hh_tesh_in!L31/SER_summary!L$27)</f>
        <v>16.969888142913376</v>
      </c>
      <c r="M31" s="133">
        <f>IF(SER_hh_tesh_in!M31=0,0,SER_hh_tesh_in!M31/SER_summary!M$27)</f>
        <v>17.679571439103228</v>
      </c>
      <c r="N31" s="133">
        <f>IF(SER_hh_tesh_in!N31=0,0,SER_hh_tesh_in!N31/SER_summary!N$27)</f>
        <v>17.748620256415588</v>
      </c>
      <c r="O31" s="133">
        <f>IF(SER_hh_tesh_in!O31=0,0,SER_hh_tesh_in!O31/SER_summary!O$27)</f>
        <v>17.813690224153639</v>
      </c>
      <c r="P31" s="133">
        <f>IF(SER_hh_tesh_in!P31=0,0,SER_hh_tesh_in!P31/SER_summary!P$27)</f>
        <v>18.45084333272084</v>
      </c>
      <c r="Q31" s="133">
        <f>IF(SER_hh_tesh_in!Q31=0,0,SER_hh_tesh_in!Q31/SER_summary!Q$27)</f>
        <v>18.329935685495141</v>
      </c>
      <c r="R31" s="133">
        <f>IF(SER_hh_tesh_in!R31=0,0,SER_hh_tesh_in!R31/SER_summary!R$27)</f>
        <v>20.311152223099523</v>
      </c>
      <c r="S31" s="133">
        <f>IF(SER_hh_tesh_in!S31=0,0,SER_hh_tesh_in!S31/SER_summary!S$27)</f>
        <v>11.99087406277981</v>
      </c>
      <c r="T31" s="133">
        <f>IF(SER_hh_tesh_in!T31=0,0,SER_hh_tesh_in!T31/SER_summary!T$27)</f>
        <v>16.697158779830037</v>
      </c>
      <c r="U31" s="133">
        <f>IF(SER_hh_tesh_in!U31=0,0,SER_hh_tesh_in!U31/SER_summary!U$27)</f>
        <v>20.745683135111232</v>
      </c>
      <c r="V31" s="133">
        <f>IF(SER_hh_tesh_in!V31=0,0,SER_hh_tesh_in!V31/SER_summary!V$27)</f>
        <v>16.901572833981984</v>
      </c>
      <c r="W31" s="133">
        <f>IF(SER_hh_tesh_in!W31=0,0,SER_hh_tesh_in!W31/SER_summary!W$27)</f>
        <v>18.126049829701291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16.229269050478372</v>
      </c>
      <c r="D33" s="68">
        <f>IF(SER_hh_tesh_in!D33=0,0,SER_hh_tesh_in!D33/SER_summary!D$27)</f>
        <v>16.621337119752425</v>
      </c>
      <c r="E33" s="68">
        <f>IF(SER_hh_tesh_in!E33=0,0,SER_hh_tesh_in!E33/SER_summary!E$27)</f>
        <v>16.832888322177336</v>
      </c>
      <c r="F33" s="68">
        <f>IF(SER_hh_tesh_in!F33=0,0,SER_hh_tesh_in!F33/SER_summary!F$27)</f>
        <v>17.163796365497845</v>
      </c>
      <c r="G33" s="68">
        <f>IF(SER_hh_tesh_in!G33=0,0,SER_hh_tesh_in!G33/SER_summary!G$27)</f>
        <v>17.558464730118921</v>
      </c>
      <c r="H33" s="68">
        <f>IF(SER_hh_tesh_in!H33=0,0,SER_hh_tesh_in!H33/SER_summary!H$27)</f>
        <v>17.098036476747851</v>
      </c>
      <c r="I33" s="68">
        <f>IF(SER_hh_tesh_in!I33=0,0,SER_hh_tesh_in!I33/SER_summary!I$27)</f>
        <v>16.352772653351515</v>
      </c>
      <c r="J33" s="68">
        <f>IF(SER_hh_tesh_in!J33=0,0,SER_hh_tesh_in!J33/SER_summary!J$27)</f>
        <v>17.132439537878493</v>
      </c>
      <c r="K33" s="68">
        <f>IF(SER_hh_tesh_in!K33=0,0,SER_hh_tesh_in!K33/SER_summary!K$27)</f>
        <v>18.817108092621321</v>
      </c>
      <c r="L33" s="68">
        <f>IF(SER_hh_tesh_in!L33=0,0,SER_hh_tesh_in!L33/SER_summary!L$27)</f>
        <v>17.050220140244829</v>
      </c>
      <c r="M33" s="68">
        <f>IF(SER_hh_tesh_in!M33=0,0,SER_hh_tesh_in!M33/SER_summary!M$27)</f>
        <v>16.980617993366923</v>
      </c>
      <c r="N33" s="68">
        <f>IF(SER_hh_tesh_in!N33=0,0,SER_hh_tesh_in!N33/SER_summary!N$27)</f>
        <v>19.04418360252215</v>
      </c>
      <c r="O33" s="68">
        <f>IF(SER_hh_tesh_in!O33=0,0,SER_hh_tesh_in!O33/SER_summary!O$27)</f>
        <v>18.254135856351223</v>
      </c>
      <c r="P33" s="68">
        <f>IF(SER_hh_tesh_in!P33=0,0,SER_hh_tesh_in!P33/SER_summary!P$27)</f>
        <v>17.826884978652139</v>
      </c>
      <c r="Q33" s="68">
        <f>IF(SER_hh_tesh_in!Q33=0,0,SER_hh_tesh_in!Q33/SER_summary!Q$27)</f>
        <v>18.112301079587844</v>
      </c>
      <c r="R33" s="68">
        <f>IF(SER_hh_tesh_in!R33=0,0,SER_hh_tesh_in!R33/SER_summary!R$27)</f>
        <v>18.114587152814796</v>
      </c>
      <c r="S33" s="68">
        <f>IF(SER_hh_tesh_in!S33=0,0,SER_hh_tesh_in!S33/SER_summary!S$27)</f>
        <v>18.244021025035234</v>
      </c>
      <c r="T33" s="68">
        <f>IF(SER_hh_tesh_in!T33=0,0,SER_hh_tesh_in!T33/SER_summary!T$27)</f>
        <v>18.191306061109525</v>
      </c>
      <c r="U33" s="68">
        <f>IF(SER_hh_tesh_in!U33=0,0,SER_hh_tesh_in!U33/SER_summary!U$27)</f>
        <v>18.315937274350286</v>
      </c>
      <c r="V33" s="68">
        <f>IF(SER_hh_tesh_in!V33=0,0,SER_hh_tesh_in!V33/SER_summary!V$27)</f>
        <v>17.498774457348929</v>
      </c>
      <c r="W33" s="68">
        <f>IF(SER_hh_tesh_in!W33=0,0,SER_hh_tesh_in!W33/SER_summary!W$27)</f>
        <v>17.664772495278854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10.916755410595126</v>
      </c>
      <c r="D3" s="126">
        <f>IF(SER_hh_emih_in!D3=0,0,SER_hh_emih_in!D3/SER_summary!D$27)</f>
        <v>17.610452879321212</v>
      </c>
      <c r="E3" s="126">
        <f>IF(SER_hh_emih_in!E3=0,0,SER_hh_emih_in!E3/SER_summary!E$27)</f>
        <v>8.0345158223909721</v>
      </c>
      <c r="F3" s="126">
        <f>IF(SER_hh_emih_in!F3=0,0,SER_hh_emih_in!F3/SER_summary!F$27)</f>
        <v>2.6330283256903639</v>
      </c>
      <c r="G3" s="126">
        <f>IF(SER_hh_emih_in!G3=0,0,SER_hh_emih_in!G3/SER_summary!G$27)</f>
        <v>3.00459755022769</v>
      </c>
      <c r="H3" s="126">
        <f>IF(SER_hh_emih_in!H3=0,0,SER_hh_emih_in!H3/SER_summary!H$27)</f>
        <v>4.2868836234754379</v>
      </c>
      <c r="I3" s="126">
        <f>IF(SER_hh_emih_in!I3=0,0,SER_hh_emih_in!I3/SER_summary!I$27)</f>
        <v>3.5911203206033595</v>
      </c>
      <c r="J3" s="126">
        <f>IF(SER_hh_emih_in!J3=0,0,SER_hh_emih_in!J3/SER_summary!J$27)</f>
        <v>1.6806109657025552</v>
      </c>
      <c r="K3" s="126">
        <f>IF(SER_hh_emih_in!K3=0,0,SER_hh_emih_in!K3/SER_summary!K$27)</f>
        <v>3.7050124836512639</v>
      </c>
      <c r="L3" s="126">
        <f>IF(SER_hh_emih_in!L3=0,0,SER_hh_emih_in!L3/SER_summary!L$27)</f>
        <v>11.009567037124935</v>
      </c>
      <c r="M3" s="126">
        <f>IF(SER_hh_emih_in!M3=0,0,SER_hh_emih_in!M3/SER_summary!M$27)</f>
        <v>11.190245101122947</v>
      </c>
      <c r="N3" s="126">
        <f>IF(SER_hh_emih_in!N3=0,0,SER_hh_emih_in!N3/SER_summary!N$27)</f>
        <v>9.6735589855518178</v>
      </c>
      <c r="O3" s="126">
        <f>IF(SER_hh_emih_in!O3=0,0,SER_hh_emih_in!O3/SER_summary!O$27)</f>
        <v>5.8150650555653387</v>
      </c>
      <c r="P3" s="126">
        <f>IF(SER_hh_emih_in!P3=0,0,SER_hh_emih_in!P3/SER_summary!P$27)</f>
        <v>0.83047842347810097</v>
      </c>
      <c r="Q3" s="126">
        <f>IF(SER_hh_emih_in!Q3=0,0,SER_hh_emih_in!Q3/SER_summary!Q$27)</f>
        <v>1.4301546110542076</v>
      </c>
      <c r="R3" s="126">
        <f>IF(SER_hh_emih_in!R3=0,0,SER_hh_emih_in!R3/SER_summary!R$27)</f>
        <v>1.7672729227894193</v>
      </c>
      <c r="S3" s="126">
        <f>IF(SER_hh_emih_in!S3=0,0,SER_hh_emih_in!S3/SER_summary!S$27)</f>
        <v>3.0217382814523686</v>
      </c>
      <c r="T3" s="126">
        <f>IF(SER_hh_emih_in!T3=0,0,SER_hh_emih_in!T3/SER_summary!T$27)</f>
        <v>3.0427473241708767</v>
      </c>
      <c r="U3" s="126">
        <f>IF(SER_hh_emih_in!U3=0,0,SER_hh_emih_in!U3/SER_summary!U$27)</f>
        <v>2.8466192732097118</v>
      </c>
      <c r="V3" s="126">
        <f>IF(SER_hh_emih_in!V3=0,0,SER_hh_emih_in!V3/SER_summary!V$27)</f>
        <v>1.7344754958703756</v>
      </c>
      <c r="W3" s="126">
        <f>IF(SER_hh_emih_in!W3=0,0,SER_hh_emih_in!W3/SER_summary!W$27)</f>
        <v>0.50031700063956663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8.5945492323929908</v>
      </c>
      <c r="D4" s="131">
        <f>IF(SER_hh_emih_in!D4=0,0,SER_hh_emih_in!D4/SER_summary!D$27)</f>
        <v>15.844936482721636</v>
      </c>
      <c r="E4" s="131">
        <f>IF(SER_hh_emih_in!E4=0,0,SER_hh_emih_in!E4/SER_summary!E$27)</f>
        <v>7.4116772127267678</v>
      </c>
      <c r="F4" s="131">
        <f>IF(SER_hh_emih_in!F4=0,0,SER_hh_emih_in!F4/SER_summary!F$27)</f>
        <v>2.0302886170145231</v>
      </c>
      <c r="G4" s="131">
        <f>IF(SER_hh_emih_in!G4=0,0,SER_hh_emih_in!G4/SER_summary!G$27)</f>
        <v>1.429621081663413</v>
      </c>
      <c r="H4" s="131">
        <f>IF(SER_hh_emih_in!H4=0,0,SER_hh_emih_in!H4/SER_summary!H$27)</f>
        <v>0.853708128206773</v>
      </c>
      <c r="I4" s="131">
        <f>IF(SER_hh_emih_in!I4=0,0,SER_hh_emih_in!I4/SER_summary!I$27)</f>
        <v>0.17300907824930453</v>
      </c>
      <c r="J4" s="131">
        <f>IF(SER_hh_emih_in!J4=0,0,SER_hh_emih_in!J4/SER_summary!J$27)</f>
        <v>0.22747898191092766</v>
      </c>
      <c r="K4" s="131">
        <f>IF(SER_hh_emih_in!K4=0,0,SER_hh_emih_in!K4/SER_summary!K$27)</f>
        <v>3.4795094601005983</v>
      </c>
      <c r="L4" s="131">
        <f>IF(SER_hh_emih_in!L4=0,0,SER_hh_emih_in!L4/SER_summary!L$27)</f>
        <v>10.282228573352841</v>
      </c>
      <c r="M4" s="131">
        <f>IF(SER_hh_emih_in!M4=0,0,SER_hh_emih_in!M4/SER_summary!M$27)</f>
        <v>10.042736370626473</v>
      </c>
      <c r="N4" s="131">
        <f>IF(SER_hh_emih_in!N4=0,0,SER_hh_emih_in!N4/SER_summary!N$27)</f>
        <v>7.7447568665707252</v>
      </c>
      <c r="O4" s="131">
        <f>IF(SER_hh_emih_in!O4=0,0,SER_hh_emih_in!O4/SER_summary!O$27)</f>
        <v>4.2889345156535459</v>
      </c>
      <c r="P4" s="131">
        <f>IF(SER_hh_emih_in!P4=0,0,SER_hh_emih_in!P4/SER_summary!P$27)</f>
        <v>0.31483784704872742</v>
      </c>
      <c r="Q4" s="131">
        <f>IF(SER_hh_emih_in!Q4=0,0,SER_hh_emih_in!Q4/SER_summary!Q$27)</f>
        <v>0.2591535538537334</v>
      </c>
      <c r="R4" s="131">
        <f>IF(SER_hh_emih_in!R4=0,0,SER_hh_emih_in!R4/SER_summary!R$27)</f>
        <v>0.96534500972834869</v>
      </c>
      <c r="S4" s="131">
        <f>IF(SER_hh_emih_in!S4=0,0,SER_hh_emih_in!S4/SER_summary!S$27)</f>
        <v>2.2294346287245506</v>
      </c>
      <c r="T4" s="131">
        <f>IF(SER_hh_emih_in!T4=0,0,SER_hh_emih_in!T4/SER_summary!T$27)</f>
        <v>2.0037129615439953</v>
      </c>
      <c r="U4" s="131">
        <f>IF(SER_hh_emih_in!U4=0,0,SER_hh_emih_in!U4/SER_summary!U$27)</f>
        <v>1.8863877821803097</v>
      </c>
      <c r="V4" s="131">
        <f>IF(SER_hh_emih_in!V4=0,0,SER_hh_emih_in!V4/SER_summary!V$27)</f>
        <v>1.1839029055339294</v>
      </c>
      <c r="W4" s="131">
        <f>IF(SER_hh_emih_in!W4=0,0,SER_hh_emih_in!W4/SER_summary!W$27)</f>
        <v>0.29997415208872791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79.629922780022639</v>
      </c>
      <c r="D7" s="133">
        <f>IF(SER_hh_emih_in!D7=0,0,SER_hh_emih_in!D7/SER_summary!D$27)</f>
        <v>77.836021456882591</v>
      </c>
      <c r="E7" s="133">
        <f>IF(SER_hh_emih_in!E7=0,0,SER_hh_emih_in!E7/SER_summary!E$27)</f>
        <v>84.847268213469889</v>
      </c>
      <c r="F7" s="133">
        <f>IF(SER_hh_emih_in!F7=0,0,SER_hh_emih_in!F7/SER_summary!F$27)</f>
        <v>0</v>
      </c>
      <c r="G7" s="133">
        <f>IF(SER_hh_emih_in!G7=0,0,SER_hh_emih_in!G7/SER_summary!G$27)</f>
        <v>0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44.200707471021339</v>
      </c>
      <c r="L7" s="133">
        <f>IF(SER_hh_emih_in!L7=0,0,SER_hh_emih_in!L7/SER_summary!L$27)</f>
        <v>44.981326703844815</v>
      </c>
      <c r="M7" s="133">
        <f>IF(SER_hh_emih_in!M7=0,0,SER_hh_emih_in!M7/SER_summary!M$27)</f>
        <v>39.186023445813561</v>
      </c>
      <c r="N7" s="133">
        <f>IF(SER_hh_emih_in!N7=0,0,SER_hh_emih_in!N7/SER_summary!N$27)</f>
        <v>36.877680537312322</v>
      </c>
      <c r="O7" s="133">
        <f>IF(SER_hh_emih_in!O7=0,0,SER_hh_emih_in!O7/SER_summary!O$27)</f>
        <v>31.161260381080936</v>
      </c>
      <c r="P7" s="133">
        <f>IF(SER_hh_emih_in!P7=0,0,SER_hh_emih_in!P7/SER_summary!P$27)</f>
        <v>0</v>
      </c>
      <c r="Q7" s="133">
        <f>IF(SER_hh_emih_in!Q7=0,0,SER_hh_emih_in!Q7/SER_summary!Q$27)</f>
        <v>24.372174305736781</v>
      </c>
      <c r="R7" s="133">
        <f>IF(SER_hh_emih_in!R7=0,0,SER_hh_emih_in!R7/SER_summary!R$27)</f>
        <v>21.717162722607405</v>
      </c>
      <c r="S7" s="133">
        <f>IF(SER_hh_emih_in!S7=0,0,SER_hh_emih_in!S7/SER_summary!S$27)</f>
        <v>19.555844371453553</v>
      </c>
      <c r="T7" s="133">
        <f>IF(SER_hh_emih_in!T7=0,0,SER_hh_emih_in!T7/SER_summary!T$27)</f>
        <v>17.370321657053402</v>
      </c>
      <c r="U7" s="133">
        <f>IF(SER_hh_emih_in!U7=0,0,SER_hh_emih_in!U7/SER_summary!U$27)</f>
        <v>15.000392602669187</v>
      </c>
      <c r="V7" s="133">
        <f>IF(SER_hh_emih_in!V7=0,0,SER_hh_emih_in!V7/SER_summary!V$27)</f>
        <v>13.07413609441063</v>
      </c>
      <c r="W7" s="133">
        <f>IF(SER_hh_emih_in!W7=0,0,SER_hh_emih_in!W7/SER_summary!W$27)</f>
        <v>0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37.512365138493344</v>
      </c>
      <c r="D9" s="133">
        <f>IF(SER_hh_emih_in!D9=0,0,SER_hh_emih_in!D9/SER_summary!D$27)</f>
        <v>52.211590067199595</v>
      </c>
      <c r="E9" s="133">
        <f>IF(SER_hh_emih_in!E9=0,0,SER_hh_emih_in!E9/SER_summary!E$27)</f>
        <v>54.013055256874928</v>
      </c>
      <c r="F9" s="133">
        <f>IF(SER_hh_emih_in!F9=0,0,SER_hh_emih_in!F9/SER_summary!F$27)</f>
        <v>44.056081593900835</v>
      </c>
      <c r="G9" s="133">
        <f>IF(SER_hh_emih_in!G9=0,0,SER_hh_emih_in!G9/SER_summary!G$27)</f>
        <v>39.867166086906593</v>
      </c>
      <c r="H9" s="133">
        <f>IF(SER_hh_emih_in!H9=0,0,SER_hh_emih_in!H9/SER_summary!H$27)</f>
        <v>36.897221680162914</v>
      </c>
      <c r="I9" s="133">
        <f>IF(SER_hh_emih_in!I9=0,0,SER_hh_emih_in!I9/SER_summary!I$27)</f>
        <v>37.295631143530734</v>
      </c>
      <c r="J9" s="133">
        <f>IF(SER_hh_emih_in!J9=0,0,SER_hh_emih_in!J9/SER_summary!J$27)</f>
        <v>38.193518660664061</v>
      </c>
      <c r="K9" s="133">
        <f>IF(SER_hh_emih_in!K9=0,0,SER_hh_emih_in!K9/SER_summary!K$27)</f>
        <v>17.110960993361598</v>
      </c>
      <c r="L9" s="133">
        <f>IF(SER_hh_emih_in!L9=0,0,SER_hh_emih_in!L9/SER_summary!L$27)</f>
        <v>35.035417541236448</v>
      </c>
      <c r="M9" s="133">
        <f>IF(SER_hh_emih_in!M9=0,0,SER_hh_emih_in!M9/SER_summary!M$27)</f>
        <v>26.271465491430099</v>
      </c>
      <c r="N9" s="133">
        <f>IF(SER_hh_emih_in!N9=0,0,SER_hh_emih_in!N9/SER_summary!N$27)</f>
        <v>30.002176281456773</v>
      </c>
      <c r="O9" s="133">
        <f>IF(SER_hh_emih_in!O9=0,0,SER_hh_emih_in!O9/SER_summary!O$27)</f>
        <v>24.377829549950953</v>
      </c>
      <c r="P9" s="133">
        <f>IF(SER_hh_emih_in!P9=0,0,SER_hh_emih_in!P9/SER_summary!P$27)</f>
        <v>22.013411086643526</v>
      </c>
      <c r="Q9" s="133">
        <f>IF(SER_hh_emih_in!Q9=0,0,SER_hh_emih_in!Q9/SER_summary!Q$27)</f>
        <v>0</v>
      </c>
      <c r="R9" s="133">
        <f>IF(SER_hh_emih_in!R9=0,0,SER_hh_emih_in!R9/SER_summary!R$27)</f>
        <v>0</v>
      </c>
      <c r="S9" s="133">
        <f>IF(SER_hh_emih_in!S9=0,0,SER_hh_emih_in!S9/SER_summary!S$27)</f>
        <v>11.419921732743472</v>
      </c>
      <c r="T9" s="133">
        <f>IF(SER_hh_emih_in!T9=0,0,SER_hh_emih_in!T9/SER_summary!T$27)</f>
        <v>15.482610039313242</v>
      </c>
      <c r="U9" s="133">
        <f>IF(SER_hh_emih_in!U9=0,0,SER_hh_emih_in!U9/SER_summary!U$27)</f>
        <v>16.73829380732305</v>
      </c>
      <c r="V9" s="133">
        <f>IF(SER_hh_emih_in!V9=0,0,SER_hh_emih_in!V9/SER_summary!V$27)</f>
        <v>13.401755696835163</v>
      </c>
      <c r="W9" s="133">
        <f>IF(SER_hh_emih_in!W9=0,0,SER_hh_emih_in!W9/SER_summary!W$27)</f>
        <v>9.7595389326731539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1.4124314642772977</v>
      </c>
      <c r="D19" s="131">
        <f>IF(SER_hh_emih_in!D19=0,0,SER_hh_emih_in!D19/SER_summary!D$27)</f>
        <v>1.0427193585703789</v>
      </c>
      <c r="E19" s="131">
        <f>IF(SER_hh_emih_in!E19=0,0,SER_hh_emih_in!E19/SER_summary!E$27)</f>
        <v>0.41370859861289183</v>
      </c>
      <c r="F19" s="131">
        <f>IF(SER_hh_emih_in!F19=0,0,SER_hh_emih_in!F19/SER_summary!F$27)</f>
        <v>9.0255346406913683E-2</v>
      </c>
      <c r="G19" s="131">
        <f>IF(SER_hh_emih_in!G19=0,0,SER_hh_emih_in!G19/SER_summary!G$27)</f>
        <v>9.632065758203813E-2</v>
      </c>
      <c r="H19" s="131">
        <f>IF(SER_hh_emih_in!H19=0,0,SER_hh_emih_in!H19/SER_summary!H$27)</f>
        <v>0.12517427036986559</v>
      </c>
      <c r="I19" s="131">
        <f>IF(SER_hh_emih_in!I19=0,0,SER_hh_emih_in!I19/SER_summary!I$27)</f>
        <v>8.0241936373196251E-2</v>
      </c>
      <c r="J19" s="131">
        <f>IF(SER_hh_emih_in!J19=0,0,SER_hh_emih_in!J19/SER_summary!J$27)</f>
        <v>8.3941551588538429E-2</v>
      </c>
      <c r="K19" s="131">
        <f>IF(SER_hh_emih_in!K19=0,0,SER_hh_emih_in!K19/SER_summary!K$27)</f>
        <v>5.3965148521510249E-2</v>
      </c>
      <c r="L19" s="131">
        <f>IF(SER_hh_emih_in!L19=0,0,SER_hh_emih_in!L19/SER_summary!L$27)</f>
        <v>6.5918471321366037E-2</v>
      </c>
      <c r="M19" s="131">
        <f>IF(SER_hh_emih_in!M19=0,0,SER_hh_emih_in!M19/SER_summary!M$27)</f>
        <v>1.1303505886614507</v>
      </c>
      <c r="N19" s="131">
        <f>IF(SER_hh_emih_in!N19=0,0,SER_hh_emih_in!N19/SER_summary!N$27)</f>
        <v>1.8604111779720633</v>
      </c>
      <c r="O19" s="131">
        <f>IF(SER_hh_emih_in!O19=0,0,SER_hh_emih_in!O19/SER_summary!O$27)</f>
        <v>1.4099083926511007</v>
      </c>
      <c r="P19" s="131">
        <f>IF(SER_hh_emih_in!P19=0,0,SER_hh_emih_in!P19/SER_summary!P$27)</f>
        <v>0.37117305261351469</v>
      </c>
      <c r="Q19" s="131">
        <f>IF(SER_hh_emih_in!Q19=0,0,SER_hh_emih_in!Q19/SER_summary!Q$27)</f>
        <v>1.0888607204251213</v>
      </c>
      <c r="R19" s="131">
        <f>IF(SER_hh_emih_in!R19=0,0,SER_hh_emih_in!R19/SER_summary!R$27)</f>
        <v>0.73322598677744888</v>
      </c>
      <c r="S19" s="131">
        <f>IF(SER_hh_emih_in!S19=0,0,SER_hh_emih_in!S19/SER_summary!S$27)</f>
        <v>0.62341020632131061</v>
      </c>
      <c r="T19" s="131">
        <f>IF(SER_hh_emih_in!T19=0,0,SER_hh_emih_in!T19/SER_summary!T$27)</f>
        <v>0.35208954078055171</v>
      </c>
      <c r="U19" s="131">
        <f>IF(SER_hh_emih_in!U19=0,0,SER_hh_emih_in!U19/SER_summary!U$27)</f>
        <v>0.24985901088555124</v>
      </c>
      <c r="V19" s="131">
        <f>IF(SER_hh_emih_in!V19=0,0,SER_hh_emih_in!V19/SER_summary!V$27)</f>
        <v>0.16102566947362781</v>
      </c>
      <c r="W19" s="131">
        <f>IF(SER_hh_emih_in!W19=0,0,SER_hh_emih_in!W19/SER_summary!W$27)</f>
        <v>7.0970857693969408E-2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9.5347849662047608</v>
      </c>
      <c r="D22" s="133">
        <f>IF(SER_hh_emih_in!D22=0,0,SER_hh_emih_in!D22/SER_summary!D$27)</f>
        <v>9.4071931218330622</v>
      </c>
      <c r="E22" s="133">
        <f>IF(SER_hh_emih_in!E22=0,0,SER_hh_emih_in!E22/SER_summary!E$27)</f>
        <v>9.7080224249377913</v>
      </c>
      <c r="F22" s="133">
        <f>IF(SER_hh_emih_in!F22=0,0,SER_hh_emih_in!F22/SER_summary!F$27)</f>
        <v>0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0</v>
      </c>
      <c r="J22" s="133">
        <f>IF(SER_hh_emih_in!J22=0,0,SER_hh_emih_in!J22/SER_summary!J$27)</f>
        <v>0</v>
      </c>
      <c r="K22" s="133">
        <f>IF(SER_hh_emih_in!K22=0,0,SER_hh_emih_in!K22/SER_summary!K$27)</f>
        <v>0</v>
      </c>
      <c r="L22" s="133">
        <f>IF(SER_hh_emih_in!L22=0,0,SER_hh_emih_in!L22/SER_summary!L$27)</f>
        <v>0</v>
      </c>
      <c r="M22" s="133">
        <f>IF(SER_hh_emih_in!M22=0,0,SER_hh_emih_in!M22/SER_summary!M$27)</f>
        <v>6.7235597855022249</v>
      </c>
      <c r="N22" s="133">
        <f>IF(SER_hh_emih_in!N22=0,0,SER_hh_emih_in!N22/SER_summary!N$27)</f>
        <v>8.1913297329416874</v>
      </c>
      <c r="O22" s="133">
        <f>IF(SER_hh_emih_in!O22=0,0,SER_hh_emih_in!O22/SER_summary!O$27)</f>
        <v>7.6397093234036122</v>
      </c>
      <c r="P22" s="133">
        <f>IF(SER_hh_emih_in!P22=0,0,SER_hh_emih_in!P22/SER_summary!P$27)</f>
        <v>4.9648183906620558</v>
      </c>
      <c r="Q22" s="133">
        <f>IF(SER_hh_emih_in!Q22=0,0,SER_hh_emih_in!Q22/SER_summary!Q$27)</f>
        <v>6.1046654936777678</v>
      </c>
      <c r="R22" s="133">
        <f>IF(SER_hh_emih_in!R22=0,0,SER_hh_emih_in!R22/SER_summary!R$27)</f>
        <v>5.4081086895228765</v>
      </c>
      <c r="S22" s="133">
        <f>IF(SER_hh_emih_in!S22=0,0,SER_hh_emih_in!S22/SER_summary!S$27)</f>
        <v>4.9781788097578605</v>
      </c>
      <c r="T22" s="133">
        <f>IF(SER_hh_emih_in!T22=0,0,SER_hh_emih_in!T22/SER_summary!T$27)</f>
        <v>4.6799250405304944</v>
      </c>
      <c r="U22" s="133">
        <f>IF(SER_hh_emih_in!U22=0,0,SER_hh_emih_in!U22/SER_summary!U$27)</f>
        <v>4.4008320846827322</v>
      </c>
      <c r="V22" s="133">
        <f>IF(SER_hh_emih_in!V22=0,0,SER_hh_emih_in!V22/SER_summary!V$27)</f>
        <v>4.2368457503033898</v>
      </c>
      <c r="W22" s="133">
        <f>IF(SER_hh_emih_in!W22=0,0,SER_hh_emih_in!W22/SER_summary!W$27)</f>
        <v>0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5.8561813167360848</v>
      </c>
      <c r="D23" s="133">
        <f>IF(SER_hh_emih_in!D23=0,0,SER_hh_emih_in!D23/SER_summary!D$27)</f>
        <v>6.3537698077667066</v>
      </c>
      <c r="E23" s="133">
        <f>IF(SER_hh_emih_in!E23=0,0,SER_hh_emih_in!E23/SER_summary!E$27)</f>
        <v>6.5889434228447525</v>
      </c>
      <c r="F23" s="133">
        <f>IF(SER_hh_emih_in!F23=0,0,SER_hh_emih_in!F23/SER_summary!F$27)</f>
        <v>5.7656831673519848</v>
      </c>
      <c r="G23" s="133">
        <f>IF(SER_hh_emih_in!G23=0,0,SER_hh_emih_in!G23/SER_summary!G$27)</f>
        <v>5.7547569653208361</v>
      </c>
      <c r="H23" s="133">
        <f>IF(SER_hh_emih_in!H23=0,0,SER_hh_emih_in!H23/SER_summary!H$27)</f>
        <v>6.3052098760727731</v>
      </c>
      <c r="I23" s="133">
        <f>IF(SER_hh_emih_in!I23=0,0,SER_hh_emih_in!I23/SER_summary!I$27)</f>
        <v>5.7920018236123623</v>
      </c>
      <c r="J23" s="133">
        <f>IF(SER_hh_emih_in!J23=0,0,SER_hh_emih_in!J23/SER_summary!J$27)</f>
        <v>5.8614337822956859</v>
      </c>
      <c r="K23" s="133">
        <f>IF(SER_hh_emih_in!K23=0,0,SER_hh_emih_in!K23/SER_summary!K$27)</f>
        <v>5.5463084292597058</v>
      </c>
      <c r="L23" s="133">
        <f>IF(SER_hh_emih_in!L23=0,0,SER_hh_emih_in!L23/SER_summary!L$27)</f>
        <v>5.6211162824844516</v>
      </c>
      <c r="M23" s="133">
        <f>IF(SER_hh_emih_in!M23=0,0,SER_hh_emih_in!M23/SER_summary!M$27)</f>
        <v>5.4110529501517011</v>
      </c>
      <c r="N23" s="133">
        <f>IF(SER_hh_emih_in!N23=0,0,SER_hh_emih_in!N23/SER_summary!N$27)</f>
        <v>5.2311584298061744</v>
      </c>
      <c r="O23" s="133">
        <f>IF(SER_hh_emih_in!O23=0,0,SER_hh_emih_in!O23/SER_summary!O$27)</f>
        <v>5.0302923075074446</v>
      </c>
      <c r="P23" s="133">
        <f>IF(SER_hh_emih_in!P23=0,0,SER_hh_emih_in!P23/SER_summary!P$27)</f>
        <v>4.9621344912347167</v>
      </c>
      <c r="Q23" s="133">
        <f>IF(SER_hh_emih_in!Q23=0,0,SER_hh_emih_in!Q23/SER_summary!Q$27)</f>
        <v>4.8033585141774502</v>
      </c>
      <c r="R23" s="133">
        <f>IF(SER_hh_emih_in!R23=0,0,SER_hh_emih_in!R23/SER_summary!R$27)</f>
        <v>5.0220572042527447</v>
      </c>
      <c r="S23" s="133">
        <f>IF(SER_hh_emih_in!S23=0,0,SER_hh_emih_in!S23/SER_summary!S$27)</f>
        <v>2.8628867484842888</v>
      </c>
      <c r="T23" s="133">
        <f>IF(SER_hh_emih_in!T23=0,0,SER_hh_emih_in!T23/SER_summary!T$27)</f>
        <v>3.7786990821248461</v>
      </c>
      <c r="U23" s="133">
        <f>IF(SER_hh_emih_in!U23=0,0,SER_hh_emih_in!U23/SER_summary!U$27)</f>
        <v>4.5672095033888773</v>
      </c>
      <c r="V23" s="133">
        <f>IF(SER_hh_emih_in!V23=0,0,SER_hh_emih_in!V23/SER_summary!V$27)</f>
        <v>4.0383016741294488</v>
      </c>
      <c r="W23" s="133">
        <f>IF(SER_hh_emih_in!W23=0,0,SER_hh_emih_in!W23/SER_summary!W$27)</f>
        <v>3.8759946973902855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0.90977471392483666</v>
      </c>
      <c r="D29" s="131">
        <f>IF(SER_hh_emih_in!D29=0,0,SER_hh_emih_in!D29/SER_summary!D$27)</f>
        <v>0.7227970380291987</v>
      </c>
      <c r="E29" s="131">
        <f>IF(SER_hh_emih_in!E29=0,0,SER_hh_emih_in!E29/SER_summary!E$27)</f>
        <v>0.20913001105131182</v>
      </c>
      <c r="F29" s="131">
        <f>IF(SER_hh_emih_in!F29=0,0,SER_hh_emih_in!F29/SER_summary!F$27)</f>
        <v>0.51248436226892746</v>
      </c>
      <c r="G29" s="131">
        <f>IF(SER_hh_emih_in!G29=0,0,SER_hh_emih_in!G29/SER_summary!G$27)</f>
        <v>1.4786558109822392</v>
      </c>
      <c r="H29" s="131">
        <f>IF(SER_hh_emih_in!H29=0,0,SER_hh_emih_in!H29/SER_summary!H$27)</f>
        <v>3.3080012248987982</v>
      </c>
      <c r="I29" s="131">
        <f>IF(SER_hh_emih_in!I29=0,0,SER_hh_emih_in!I29/SER_summary!I$27)</f>
        <v>3.337869305980858</v>
      </c>
      <c r="J29" s="131">
        <f>IF(SER_hh_emih_in!J29=0,0,SER_hh_emih_in!J29/SER_summary!J$27)</f>
        <v>1.369190432203089</v>
      </c>
      <c r="K29" s="131">
        <f>IF(SER_hh_emih_in!K29=0,0,SER_hh_emih_in!K29/SER_summary!K$27)</f>
        <v>0.17153787502915596</v>
      </c>
      <c r="L29" s="131">
        <f>IF(SER_hh_emih_in!L29=0,0,SER_hh_emih_in!L29/SER_summary!L$27)</f>
        <v>0.66141999245072813</v>
      </c>
      <c r="M29" s="131">
        <f>IF(SER_hh_emih_in!M29=0,0,SER_hh_emih_in!M29/SER_summary!M$27)</f>
        <v>1.7158141835021994E-2</v>
      </c>
      <c r="N29" s="131">
        <f>IF(SER_hh_emih_in!N29=0,0,SER_hh_emih_in!N29/SER_summary!N$27)</f>
        <v>6.839094100902994E-2</v>
      </c>
      <c r="O29" s="131">
        <f>IF(SER_hh_emih_in!O29=0,0,SER_hh_emih_in!O29/SER_summary!O$27)</f>
        <v>0.11622214726069131</v>
      </c>
      <c r="P29" s="131">
        <f>IF(SER_hh_emih_in!P29=0,0,SER_hh_emih_in!P29/SER_summary!P$27)</f>
        <v>0.14446752381585895</v>
      </c>
      <c r="Q29" s="131">
        <f>IF(SER_hh_emih_in!Q29=0,0,SER_hh_emih_in!Q29/SER_summary!Q$27)</f>
        <v>8.2140336775352873E-2</v>
      </c>
      <c r="R29" s="131">
        <f>IF(SER_hh_emih_in!R29=0,0,SER_hh_emih_in!R29/SER_summary!R$27)</f>
        <v>6.8701926283621872E-2</v>
      </c>
      <c r="S29" s="131">
        <f>IF(SER_hh_emih_in!S29=0,0,SER_hh_emih_in!S29/SER_summary!S$27)</f>
        <v>0.16889344640650711</v>
      </c>
      <c r="T29" s="131">
        <f>IF(SER_hh_emih_in!T29=0,0,SER_hh_emih_in!T29/SER_summary!T$27)</f>
        <v>0.6869448218463291</v>
      </c>
      <c r="U29" s="131">
        <f>IF(SER_hh_emih_in!U29=0,0,SER_hh_emih_in!U29/SER_summary!U$27)</f>
        <v>0.71037248014385124</v>
      </c>
      <c r="V29" s="131">
        <f>IF(SER_hh_emih_in!V29=0,0,SER_hh_emih_in!V29/SER_summary!V$27)</f>
        <v>0.38954692086281872</v>
      </c>
      <c r="W29" s="131">
        <f>IF(SER_hh_emih_in!W29=0,0,SER_hh_emih_in!W29/SER_summary!W$27)</f>
        <v>0.12937199085686932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7.3713875549652679</v>
      </c>
      <c r="D30" s="133">
        <f>IF(SER_hh_emih_in!D30=0,0,SER_hh_emih_in!D30/SER_summary!D$27)</f>
        <v>6.2871041971528454</v>
      </c>
      <c r="E30" s="133">
        <f>IF(SER_hh_emih_in!E30=0,0,SER_hh_emih_in!E30/SER_summary!E$27)</f>
        <v>0</v>
      </c>
      <c r="F30" s="133">
        <f>IF(SER_hh_emih_in!F30=0,0,SER_hh_emih_in!F30/SER_summary!F$27)</f>
        <v>5.142550343874297</v>
      </c>
      <c r="G30" s="133">
        <f>IF(SER_hh_emih_in!G30=0,0,SER_hh_emih_in!G30/SER_summary!G$27)</f>
        <v>4.3766558241592364</v>
      </c>
      <c r="H30" s="133">
        <f>IF(SER_hh_emih_in!H30=0,0,SER_hh_emih_in!H30/SER_summary!H$27)</f>
        <v>6.2545638846180829</v>
      </c>
      <c r="I30" s="133">
        <f>IF(SER_hh_emih_in!I30=0,0,SER_hh_emih_in!I30/SER_summary!I$27)</f>
        <v>7.7207983830823101</v>
      </c>
      <c r="J30" s="133">
        <f>IF(SER_hh_emih_in!J30=0,0,SER_hh_emih_in!J30/SER_summary!J$27)</f>
        <v>6.8148390408833386</v>
      </c>
      <c r="K30" s="133">
        <f>IF(SER_hh_emih_in!K30=0,0,SER_hh_emih_in!K30/SER_summary!K$27)</f>
        <v>4.7691764135415537</v>
      </c>
      <c r="L30" s="133">
        <f>IF(SER_hh_emih_in!L30=0,0,SER_hh_emih_in!L30/SER_summary!L$27)</f>
        <v>7.6810938096966348</v>
      </c>
      <c r="M30" s="133">
        <f>IF(SER_hh_emih_in!M30=0,0,SER_hh_emih_in!M30/SER_summary!M$27)</f>
        <v>0</v>
      </c>
      <c r="N30" s="133">
        <f>IF(SER_hh_emih_in!N30=0,0,SER_hh_emih_in!N30/SER_summary!N$27)</f>
        <v>0</v>
      </c>
      <c r="O30" s="133">
        <f>IF(SER_hh_emih_in!O30=0,0,SER_hh_emih_in!O30/SER_summary!O$27)</f>
        <v>0</v>
      </c>
      <c r="P30" s="133">
        <f>IF(SER_hh_emih_in!P30=0,0,SER_hh_emih_in!P30/SER_summary!P$27)</f>
        <v>0</v>
      </c>
      <c r="Q30" s="133">
        <f>IF(SER_hh_emih_in!Q30=0,0,SER_hh_emih_in!Q30/SER_summary!Q$27)</f>
        <v>0</v>
      </c>
      <c r="R30" s="133">
        <f>IF(SER_hh_emih_in!R30=0,0,SER_hh_emih_in!R30/SER_summary!R$27)</f>
        <v>0</v>
      </c>
      <c r="S30" s="133">
        <f>IF(SER_hh_emih_in!S30=0,0,SER_hh_emih_in!S30/SER_summary!S$27)</f>
        <v>6.498852037226249</v>
      </c>
      <c r="T30" s="133">
        <f>IF(SER_hh_emih_in!T30=0,0,SER_hh_emih_in!T30/SER_summary!T$27)</f>
        <v>6.3451695912831738</v>
      </c>
      <c r="U30" s="133">
        <f>IF(SER_hh_emih_in!U30=0,0,SER_hh_emih_in!U30/SER_summary!U$27)</f>
        <v>6.3689388724553382</v>
      </c>
      <c r="V30" s="133">
        <f>IF(SER_hh_emih_in!V30=0,0,SER_hh_emih_in!V30/SER_summary!V$27)</f>
        <v>6.2595126459214692</v>
      </c>
      <c r="W30" s="133">
        <f>IF(SER_hh_emih_in!W30=0,0,SER_hh_emih_in!W30/SER_summary!W$27)</f>
        <v>6.1899310326117325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4.9976362176154447</v>
      </c>
      <c r="D31" s="133">
        <f>IF(SER_hh_emih_in!D31=0,0,SER_hh_emih_in!D31/SER_summary!D$27)</f>
        <v>5.2575012610787528</v>
      </c>
      <c r="E31" s="133">
        <f>IF(SER_hh_emih_in!E31=0,0,SER_hh_emih_in!E31/SER_summary!E$27)</f>
        <v>5.4835582493839023</v>
      </c>
      <c r="F31" s="133">
        <f>IF(SER_hh_emih_in!F31=0,0,SER_hh_emih_in!F31/SER_summary!F$27)</f>
        <v>5.3570702139879742</v>
      </c>
      <c r="G31" s="133">
        <f>IF(SER_hh_emih_in!G31=0,0,SER_hh_emih_in!G31/SER_summary!G$27)</f>
        <v>5.3355906784823048</v>
      </c>
      <c r="H31" s="133">
        <f>IF(SER_hh_emih_in!H31=0,0,SER_hh_emih_in!H31/SER_summary!H$27)</f>
        <v>5.4107062354550308</v>
      </c>
      <c r="I31" s="133">
        <f>IF(SER_hh_emih_in!I31=0,0,SER_hh_emih_in!I31/SER_summary!I$27)</f>
        <v>5.5369148172620584</v>
      </c>
      <c r="J31" s="133">
        <f>IF(SER_hh_emih_in!J31=0,0,SER_hh_emih_in!J31/SER_summary!J$27)</f>
        <v>5.7673639098110723</v>
      </c>
      <c r="K31" s="133">
        <f>IF(SER_hh_emih_in!K31=0,0,SER_hh_emih_in!K31/SER_summary!K$27)</f>
        <v>5.5854078720381697</v>
      </c>
      <c r="L31" s="133">
        <f>IF(SER_hh_emih_in!L31=0,0,SER_hh_emih_in!L31/SER_summary!L$27)</f>
        <v>5.3494874649553594</v>
      </c>
      <c r="M31" s="133">
        <f>IF(SER_hh_emih_in!M31=0,0,SER_hh_emih_in!M31/SER_summary!M$27)</f>
        <v>5.6206733610596045</v>
      </c>
      <c r="N31" s="133">
        <f>IF(SER_hh_emih_in!N31=0,0,SER_hh_emih_in!N31/SER_summary!N$27)</f>
        <v>5.6426252986061156</v>
      </c>
      <c r="O31" s="133">
        <f>IF(SER_hh_emih_in!O31=0,0,SER_hh_emih_in!O31/SER_summary!O$27)</f>
        <v>5.6633122838947605</v>
      </c>
      <c r="P31" s="133">
        <f>IF(SER_hh_emih_in!P31=0,0,SER_hh_emih_in!P31/SER_summary!P$27)</f>
        <v>5.8658754238767115</v>
      </c>
      <c r="Q31" s="133">
        <f>IF(SER_hh_emih_in!Q31=0,0,SER_hh_emih_in!Q31/SER_summary!Q$27)</f>
        <v>5.8274365740295488</v>
      </c>
      <c r="R31" s="133">
        <f>IF(SER_hh_emih_in!R31=0,0,SER_hh_emih_in!R31/SER_summary!R$27)</f>
        <v>6.4499865305063837</v>
      </c>
      <c r="S31" s="133">
        <f>IF(SER_hh_emih_in!S31=0,0,SER_hh_emih_in!S31/SER_summary!S$27)</f>
        <v>3.8007662126901547</v>
      </c>
      <c r="T31" s="133">
        <f>IF(SER_hh_emih_in!T31=0,0,SER_hh_emih_in!T31/SER_summary!T$27)</f>
        <v>5.2811298859645781</v>
      </c>
      <c r="U31" s="133">
        <f>IF(SER_hh_emih_in!U31=0,0,SER_hh_emih_in!U31/SER_summary!U$27)</f>
        <v>6.5470349726595423</v>
      </c>
      <c r="V31" s="133">
        <f>IF(SER_hh_emih_in!V31=0,0,SER_hh_emih_in!V31/SER_summary!V$27)</f>
        <v>5.322863598354318</v>
      </c>
      <c r="W31" s="133">
        <f>IF(SER_hh_emih_in!W31=0,0,SER_hh_emih_in!W31/SER_summary!W$27)</f>
        <v>5.6975862292181345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872.35918319638643</v>
      </c>
      <c r="C3" s="180">
        <f t="shared" ref="C3:W3" si="1">SUM(C4:C9)</f>
        <v>916.66161993178048</v>
      </c>
      <c r="D3" s="180">
        <f t="shared" si="1"/>
        <v>955.56485582410528</v>
      </c>
      <c r="E3" s="180">
        <f t="shared" si="1"/>
        <v>988.16507341527779</v>
      </c>
      <c r="F3" s="180">
        <f t="shared" si="1"/>
        <v>1020.8656914552563</v>
      </c>
      <c r="G3" s="180">
        <f t="shared" si="1"/>
        <v>1042.1126414113346</v>
      </c>
      <c r="H3" s="180">
        <f t="shared" si="1"/>
        <v>1063.6724153556002</v>
      </c>
      <c r="I3" s="180">
        <f t="shared" si="1"/>
        <v>1087.4551108222504</v>
      </c>
      <c r="J3" s="180">
        <f t="shared" si="1"/>
        <v>1105.1498914219153</v>
      </c>
      <c r="K3" s="180">
        <f t="shared" si="1"/>
        <v>1118.2707860059929</v>
      </c>
      <c r="L3" s="180">
        <f t="shared" si="1"/>
        <v>1140.1139840413366</v>
      </c>
      <c r="M3" s="180">
        <f t="shared" si="1"/>
        <v>1123.5614247887188</v>
      </c>
      <c r="N3" s="180">
        <f t="shared" si="1"/>
        <v>1136.6076229433147</v>
      </c>
      <c r="O3" s="180">
        <f t="shared" si="1"/>
        <v>1161.2700555752731</v>
      </c>
      <c r="P3" s="180">
        <f t="shared" si="1"/>
        <v>1184.7073954177777</v>
      </c>
      <c r="Q3" s="180">
        <f t="shared" si="1"/>
        <v>1220.4303170994608</v>
      </c>
      <c r="R3" s="180">
        <f t="shared" si="1"/>
        <v>1245.9683328220713</v>
      </c>
      <c r="S3" s="180">
        <f t="shared" si="1"/>
        <v>1259.9872609669774</v>
      </c>
      <c r="T3" s="180">
        <f t="shared" si="1"/>
        <v>1268.0587462325257</v>
      </c>
      <c r="U3" s="180">
        <f t="shared" si="1"/>
        <v>1294.6967366095334</v>
      </c>
      <c r="V3" s="180">
        <f t="shared" si="1"/>
        <v>1428.000043565436</v>
      </c>
      <c r="W3" s="180">
        <f t="shared" si="1"/>
        <v>1447.4099883140277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56.292327701601479</v>
      </c>
      <c r="C4" s="181">
        <f t="shared" ref="C4:R9" si="3">C12*C44/11630</f>
        <v>56.893507883358332</v>
      </c>
      <c r="D4" s="181">
        <f t="shared" si="3"/>
        <v>57.326019059842842</v>
      </c>
      <c r="E4" s="181">
        <f t="shared" si="3"/>
        <v>57.806969310768373</v>
      </c>
      <c r="F4" s="181">
        <f t="shared" si="3"/>
        <v>58.453421245193027</v>
      </c>
      <c r="G4" s="181">
        <f t="shared" si="3"/>
        <v>59.120994189848552</v>
      </c>
      <c r="H4" s="181">
        <f t="shared" si="3"/>
        <v>60.08510977000978</v>
      </c>
      <c r="I4" s="181">
        <f t="shared" si="3"/>
        <v>60.910366443312185</v>
      </c>
      <c r="J4" s="181">
        <f t="shared" si="3"/>
        <v>61.655501600853157</v>
      </c>
      <c r="K4" s="181">
        <f t="shared" si="3"/>
        <v>62.35352098734883</v>
      </c>
      <c r="L4" s="181">
        <f t="shared" si="3"/>
        <v>63.06283167978264</v>
      </c>
      <c r="M4" s="181">
        <f t="shared" si="3"/>
        <v>63.492705290337817</v>
      </c>
      <c r="N4" s="181">
        <f t="shared" si="3"/>
        <v>63.611416551402698</v>
      </c>
      <c r="O4" s="181">
        <f t="shared" si="3"/>
        <v>64.022016470911254</v>
      </c>
      <c r="P4" s="181">
        <f t="shared" si="3"/>
        <v>64.230586350960323</v>
      </c>
      <c r="Q4" s="181">
        <f t="shared" si="3"/>
        <v>64.501803141025789</v>
      </c>
      <c r="R4" s="181">
        <f t="shared" si="3"/>
        <v>64.394316618864039</v>
      </c>
      <c r="S4" s="181">
        <f t="shared" ref="D4:W9" si="4">S12*S44/11630</f>
        <v>64.321774093294749</v>
      </c>
      <c r="T4" s="181">
        <f t="shared" si="4"/>
        <v>64.075189518263031</v>
      </c>
      <c r="U4" s="181">
        <f t="shared" si="4"/>
        <v>64.267563640020072</v>
      </c>
      <c r="V4" s="181">
        <f t="shared" si="4"/>
        <v>64.495374869584367</v>
      </c>
      <c r="W4" s="181">
        <f t="shared" si="4"/>
        <v>64.737536461961156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141.66228267170061</v>
      </c>
      <c r="C5" s="181">
        <f t="shared" si="3"/>
        <v>141.91234641061362</v>
      </c>
      <c r="D5" s="181">
        <f t="shared" si="4"/>
        <v>142.4553033922875</v>
      </c>
      <c r="E5" s="181">
        <f t="shared" si="4"/>
        <v>143.25370861279069</v>
      </c>
      <c r="F5" s="181">
        <f t="shared" si="4"/>
        <v>143.36684814056855</v>
      </c>
      <c r="G5" s="181">
        <f t="shared" si="4"/>
        <v>143.48914697769885</v>
      </c>
      <c r="H5" s="181">
        <f t="shared" si="4"/>
        <v>143.05945335108345</v>
      </c>
      <c r="I5" s="181">
        <f t="shared" si="4"/>
        <v>142.69807868937477</v>
      </c>
      <c r="J5" s="181">
        <f t="shared" si="4"/>
        <v>143.67111523589173</v>
      </c>
      <c r="K5" s="181">
        <f t="shared" si="4"/>
        <v>145.51806129364661</v>
      </c>
      <c r="L5" s="181">
        <f t="shared" si="4"/>
        <v>147.38281845257413</v>
      </c>
      <c r="M5" s="181">
        <f t="shared" si="4"/>
        <v>150.06049733607122</v>
      </c>
      <c r="N5" s="181">
        <f t="shared" si="4"/>
        <v>152.86234217641666</v>
      </c>
      <c r="O5" s="181">
        <f t="shared" si="4"/>
        <v>156.3988449940814</v>
      </c>
      <c r="P5" s="181">
        <f t="shared" si="4"/>
        <v>159.33561437986552</v>
      </c>
      <c r="Q5" s="181">
        <f t="shared" si="4"/>
        <v>163.24230623821245</v>
      </c>
      <c r="R5" s="181">
        <f t="shared" si="4"/>
        <v>166.25994623773181</v>
      </c>
      <c r="S5" s="181">
        <f t="shared" si="4"/>
        <v>161.56702331273334</v>
      </c>
      <c r="T5" s="181">
        <f t="shared" si="4"/>
        <v>159.23900544960478</v>
      </c>
      <c r="U5" s="181">
        <f t="shared" si="4"/>
        <v>156.77569920502157</v>
      </c>
      <c r="V5" s="181">
        <f t="shared" si="4"/>
        <v>152.30203996302464</v>
      </c>
      <c r="W5" s="181">
        <f t="shared" si="4"/>
        <v>148.07703872972323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234.23243639231427</v>
      </c>
      <c r="C6" s="181">
        <f t="shared" si="3"/>
        <v>237.73564103739596</v>
      </c>
      <c r="D6" s="181">
        <f t="shared" si="4"/>
        <v>240.80309727335094</v>
      </c>
      <c r="E6" s="181">
        <f t="shared" si="4"/>
        <v>242.4917510730244</v>
      </c>
      <c r="F6" s="181">
        <f t="shared" si="4"/>
        <v>244.36289086159056</v>
      </c>
      <c r="G6" s="181">
        <f t="shared" si="4"/>
        <v>244.67668043404251</v>
      </c>
      <c r="H6" s="181">
        <f t="shared" si="4"/>
        <v>245.50624199140222</v>
      </c>
      <c r="I6" s="181">
        <f t="shared" si="4"/>
        <v>247.10609953276031</v>
      </c>
      <c r="J6" s="181">
        <f t="shared" si="4"/>
        <v>248.38160418853141</v>
      </c>
      <c r="K6" s="181">
        <f t="shared" si="4"/>
        <v>250.01269262702647</v>
      </c>
      <c r="L6" s="181">
        <f t="shared" si="4"/>
        <v>254.21069247273113</v>
      </c>
      <c r="M6" s="181">
        <f t="shared" si="4"/>
        <v>255.61495623980133</v>
      </c>
      <c r="N6" s="181">
        <f t="shared" si="4"/>
        <v>257.08222859190556</v>
      </c>
      <c r="O6" s="181">
        <f t="shared" si="4"/>
        <v>259.53907902765519</v>
      </c>
      <c r="P6" s="181">
        <f t="shared" si="4"/>
        <v>261.9637737481761</v>
      </c>
      <c r="Q6" s="181">
        <f t="shared" si="4"/>
        <v>264.92351310041562</v>
      </c>
      <c r="R6" s="181">
        <f t="shared" si="4"/>
        <v>265.52681929448102</v>
      </c>
      <c r="S6" s="181">
        <f t="shared" si="4"/>
        <v>256.06041713342188</v>
      </c>
      <c r="T6" s="181">
        <f t="shared" si="4"/>
        <v>247.75723090441858</v>
      </c>
      <c r="U6" s="181">
        <f t="shared" si="4"/>
        <v>240.75550848324724</v>
      </c>
      <c r="V6" s="181">
        <f t="shared" si="4"/>
        <v>245.19191041502214</v>
      </c>
      <c r="W6" s="181">
        <f t="shared" si="4"/>
        <v>237.20802468688512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128.93682880372228</v>
      </c>
      <c r="C7" s="181">
        <f t="shared" si="3"/>
        <v>129.63053803805988</v>
      </c>
      <c r="D7" s="181">
        <f t="shared" si="4"/>
        <v>130.89507571948701</v>
      </c>
      <c r="E7" s="181">
        <f t="shared" si="4"/>
        <v>131.80009363375049</v>
      </c>
      <c r="F7" s="181">
        <f t="shared" si="4"/>
        <v>132.94307320780564</v>
      </c>
      <c r="G7" s="181">
        <f t="shared" si="4"/>
        <v>134.53029529477425</v>
      </c>
      <c r="H7" s="181">
        <f t="shared" si="4"/>
        <v>133.91701201271914</v>
      </c>
      <c r="I7" s="181">
        <f t="shared" si="4"/>
        <v>134.55952184207615</v>
      </c>
      <c r="J7" s="181">
        <f t="shared" si="4"/>
        <v>135.21741196631797</v>
      </c>
      <c r="K7" s="181">
        <f t="shared" si="4"/>
        <v>135.07217258671275</v>
      </c>
      <c r="L7" s="181">
        <f t="shared" si="4"/>
        <v>134.80387556504203</v>
      </c>
      <c r="M7" s="181">
        <f t="shared" si="4"/>
        <v>134.38327313883991</v>
      </c>
      <c r="N7" s="181">
        <f t="shared" si="4"/>
        <v>134.1000365223214</v>
      </c>
      <c r="O7" s="181">
        <f t="shared" si="4"/>
        <v>134.14465872730784</v>
      </c>
      <c r="P7" s="181">
        <f t="shared" si="4"/>
        <v>134.672580620378</v>
      </c>
      <c r="Q7" s="181">
        <f t="shared" si="4"/>
        <v>134.60562249642345</v>
      </c>
      <c r="R7" s="181">
        <f t="shared" si="4"/>
        <v>133.62498829320788</v>
      </c>
      <c r="S7" s="181">
        <f t="shared" si="4"/>
        <v>134.03123227325375</v>
      </c>
      <c r="T7" s="181">
        <f t="shared" si="4"/>
        <v>134.00657421673449</v>
      </c>
      <c r="U7" s="181">
        <f t="shared" si="4"/>
        <v>134.00507185184114</v>
      </c>
      <c r="V7" s="181">
        <f t="shared" si="4"/>
        <v>133.86015049547652</v>
      </c>
      <c r="W7" s="181">
        <f t="shared" si="4"/>
        <v>133.87795527795276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66.838766374684909</v>
      </c>
      <c r="C8" s="55">
        <f t="shared" si="3"/>
        <v>72.906995676802538</v>
      </c>
      <c r="D8" s="55">
        <f t="shared" si="4"/>
        <v>78.73914588309519</v>
      </c>
      <c r="E8" s="55">
        <f t="shared" si="4"/>
        <v>83.515689076800101</v>
      </c>
      <c r="F8" s="55">
        <f t="shared" si="4"/>
        <v>89.254422467268228</v>
      </c>
      <c r="G8" s="55">
        <f t="shared" si="4"/>
        <v>93.676697848178407</v>
      </c>
      <c r="H8" s="55">
        <f t="shared" si="4"/>
        <v>97.523875884028286</v>
      </c>
      <c r="I8" s="55">
        <f t="shared" si="4"/>
        <v>101.12358981463868</v>
      </c>
      <c r="J8" s="55">
        <f t="shared" si="4"/>
        <v>104.35141739551952</v>
      </c>
      <c r="K8" s="55">
        <f t="shared" si="4"/>
        <v>107.43152790884706</v>
      </c>
      <c r="L8" s="55">
        <f t="shared" si="4"/>
        <v>109.9532202529677</v>
      </c>
      <c r="M8" s="55">
        <f t="shared" si="4"/>
        <v>111.23464416544311</v>
      </c>
      <c r="N8" s="55">
        <f t="shared" si="4"/>
        <v>112.32735167984791</v>
      </c>
      <c r="O8" s="55">
        <f t="shared" si="4"/>
        <v>113.5305887013543</v>
      </c>
      <c r="P8" s="55">
        <f t="shared" si="4"/>
        <v>113.67985669829052</v>
      </c>
      <c r="Q8" s="55">
        <f t="shared" si="4"/>
        <v>113.83116896668119</v>
      </c>
      <c r="R8" s="55">
        <f t="shared" si="4"/>
        <v>117.80610681446309</v>
      </c>
      <c r="S8" s="55">
        <f t="shared" si="4"/>
        <v>117.4761103296098</v>
      </c>
      <c r="T8" s="55">
        <f t="shared" si="4"/>
        <v>118.71021589404859</v>
      </c>
      <c r="U8" s="55">
        <f t="shared" si="4"/>
        <v>120.14038234821201</v>
      </c>
      <c r="V8" s="55">
        <f t="shared" si="4"/>
        <v>129.28584201362094</v>
      </c>
      <c r="W8" s="55">
        <f t="shared" si="4"/>
        <v>134.05143959101184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244.39654125236279</v>
      </c>
      <c r="C9" s="63">
        <f t="shared" si="3"/>
        <v>277.58259088555013</v>
      </c>
      <c r="D9" s="63">
        <f t="shared" si="4"/>
        <v>305.34621449604185</v>
      </c>
      <c r="E9" s="63">
        <f t="shared" si="4"/>
        <v>329.29686170814375</v>
      </c>
      <c r="F9" s="63">
        <f t="shared" si="4"/>
        <v>352.48503553283035</v>
      </c>
      <c r="G9" s="63">
        <f t="shared" si="4"/>
        <v>366.61882666679207</v>
      </c>
      <c r="H9" s="63">
        <f t="shared" si="4"/>
        <v>383.58072234635728</v>
      </c>
      <c r="I9" s="63">
        <f t="shared" si="4"/>
        <v>401.05745450008817</v>
      </c>
      <c r="J9" s="63">
        <f t="shared" si="4"/>
        <v>411.87284103480141</v>
      </c>
      <c r="K9" s="63">
        <f t="shared" si="4"/>
        <v>417.8828106024111</v>
      </c>
      <c r="L9" s="63">
        <f t="shared" si="4"/>
        <v>430.70054561823906</v>
      </c>
      <c r="M9" s="63">
        <f t="shared" si="4"/>
        <v>408.77534861822545</v>
      </c>
      <c r="N9" s="63">
        <f t="shared" si="4"/>
        <v>416.62424742142036</v>
      </c>
      <c r="O9" s="63">
        <f t="shared" si="4"/>
        <v>433.63486765396317</v>
      </c>
      <c r="P9" s="63">
        <f t="shared" si="4"/>
        <v>450.82498362010722</v>
      </c>
      <c r="Q9" s="63">
        <f t="shared" si="4"/>
        <v>479.32590315670228</v>
      </c>
      <c r="R9" s="63">
        <f t="shared" si="4"/>
        <v>498.35615556332351</v>
      </c>
      <c r="S9" s="63">
        <f t="shared" si="4"/>
        <v>526.53070382466399</v>
      </c>
      <c r="T9" s="63">
        <f t="shared" si="4"/>
        <v>544.27053024945621</v>
      </c>
      <c r="U9" s="63">
        <f t="shared" si="4"/>
        <v>578.75251108119141</v>
      </c>
      <c r="V9" s="63">
        <f t="shared" si="4"/>
        <v>702.86472580870748</v>
      </c>
      <c r="W9" s="63">
        <f t="shared" si="4"/>
        <v>729.45799356649354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4469.4199083376461</v>
      </c>
      <c r="C11" s="180">
        <f t="shared" ref="C11:W11" si="6">SUM(C12:C17)</f>
        <v>4782.8769333920918</v>
      </c>
      <c r="D11" s="180">
        <f t="shared" si="6"/>
        <v>5029.4659219251344</v>
      </c>
      <c r="E11" s="180">
        <f t="shared" si="6"/>
        <v>5225.827421947215</v>
      </c>
      <c r="F11" s="180">
        <f t="shared" si="6"/>
        <v>5422.6849023014383</v>
      </c>
      <c r="G11" s="180">
        <f t="shared" si="6"/>
        <v>5534.6115163844815</v>
      </c>
      <c r="H11" s="180">
        <f t="shared" si="6"/>
        <v>5653.1879274826588</v>
      </c>
      <c r="I11" s="180">
        <f t="shared" si="6"/>
        <v>5785.7185284449542</v>
      </c>
      <c r="J11" s="180">
        <f t="shared" si="6"/>
        <v>5874.163624441846</v>
      </c>
      <c r="K11" s="180">
        <f t="shared" si="6"/>
        <v>5934.4829952812215</v>
      </c>
      <c r="L11" s="180">
        <f t="shared" si="6"/>
        <v>6034.5229290314783</v>
      </c>
      <c r="M11" s="180">
        <f t="shared" si="6"/>
        <v>5885.8687648142695</v>
      </c>
      <c r="N11" s="180">
        <f t="shared" si="6"/>
        <v>5930.7082598779652</v>
      </c>
      <c r="O11" s="180">
        <f t="shared" si="6"/>
        <v>6041.1877043064133</v>
      </c>
      <c r="P11" s="180">
        <f t="shared" si="6"/>
        <v>6133.6383342511144</v>
      </c>
      <c r="Q11" s="180">
        <f t="shared" si="6"/>
        <v>6297.890182185155</v>
      </c>
      <c r="R11" s="180">
        <f t="shared" si="6"/>
        <v>6303.6253610606827</v>
      </c>
      <c r="S11" s="180">
        <f t="shared" si="6"/>
        <v>6476.6356767435291</v>
      </c>
      <c r="T11" s="180">
        <f t="shared" si="6"/>
        <v>6524.9827688314472</v>
      </c>
      <c r="U11" s="180">
        <f t="shared" si="6"/>
        <v>6639.853722853959</v>
      </c>
      <c r="V11" s="180">
        <f t="shared" si="6"/>
        <v>7016.3365605702156</v>
      </c>
      <c r="W11" s="180">
        <f t="shared" si="6"/>
        <v>6992.8526775166592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74.735133695162688</v>
      </c>
      <c r="C12" s="181">
        <f t="shared" ref="C12:W12" si="7">C20*C52</f>
        <v>75.533275877107044</v>
      </c>
      <c r="D12" s="181">
        <f t="shared" si="7"/>
        <v>76.107488774654371</v>
      </c>
      <c r="E12" s="181">
        <f t="shared" si="7"/>
        <v>76.746010626054357</v>
      </c>
      <c r="F12" s="181">
        <f t="shared" si="7"/>
        <v>77.60425674447427</v>
      </c>
      <c r="G12" s="181">
        <f t="shared" si="7"/>
        <v>78.490543656157385</v>
      </c>
      <c r="H12" s="181">
        <f t="shared" si="7"/>
        <v>79.770528153563177</v>
      </c>
      <c r="I12" s="181">
        <f t="shared" si="7"/>
        <v>80.866160015493264</v>
      </c>
      <c r="J12" s="181">
        <f t="shared" si="7"/>
        <v>81.855420504329018</v>
      </c>
      <c r="K12" s="181">
        <f t="shared" si="7"/>
        <v>82.782128890738235</v>
      </c>
      <c r="L12" s="181">
        <f t="shared" si="7"/>
        <v>83.72382790363838</v>
      </c>
      <c r="M12" s="181">
        <f t="shared" si="7"/>
        <v>84.294539101213317</v>
      </c>
      <c r="N12" s="181">
        <f t="shared" si="7"/>
        <v>84.452143206942182</v>
      </c>
      <c r="O12" s="181">
        <f t="shared" si="7"/>
        <v>84.997266159440386</v>
      </c>
      <c r="P12" s="181">
        <f t="shared" si="7"/>
        <v>85.274168865487269</v>
      </c>
      <c r="Q12" s="181">
        <f t="shared" si="7"/>
        <v>85.634243211202019</v>
      </c>
      <c r="R12" s="181">
        <f t="shared" si="7"/>
        <v>85.491541355866289</v>
      </c>
      <c r="S12" s="181">
        <f t="shared" si="7"/>
        <v>85.395232043951793</v>
      </c>
      <c r="T12" s="181">
        <f t="shared" si="7"/>
        <v>85.067860056780717</v>
      </c>
      <c r="U12" s="181">
        <f t="shared" si="7"/>
        <v>85.323260859980977</v>
      </c>
      <c r="V12" s="181">
        <f t="shared" si="7"/>
        <v>85.625708873660528</v>
      </c>
      <c r="W12" s="181">
        <f t="shared" si="7"/>
        <v>85.947208795959838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402.60104997386151</v>
      </c>
      <c r="C13" s="181">
        <f t="shared" ref="C13:W13" si="8">C21*C53/1000</f>
        <v>402.94948492443626</v>
      </c>
      <c r="D13" s="181">
        <f t="shared" si="8"/>
        <v>404.34154046635905</v>
      </c>
      <c r="E13" s="181">
        <f t="shared" si="8"/>
        <v>406.27287439635381</v>
      </c>
      <c r="F13" s="181">
        <f t="shared" si="8"/>
        <v>406.43551781655839</v>
      </c>
      <c r="G13" s="181">
        <f t="shared" si="8"/>
        <v>406.65585920062745</v>
      </c>
      <c r="H13" s="181">
        <f t="shared" si="8"/>
        <v>405.52033350576676</v>
      </c>
      <c r="I13" s="181">
        <f t="shared" si="8"/>
        <v>405.15681997405017</v>
      </c>
      <c r="J13" s="181">
        <f t="shared" si="8"/>
        <v>409.15917052518023</v>
      </c>
      <c r="K13" s="181">
        <f t="shared" si="8"/>
        <v>415.07922747267656</v>
      </c>
      <c r="L13" s="181">
        <f t="shared" si="8"/>
        <v>421.56877021924373</v>
      </c>
      <c r="M13" s="181">
        <f t="shared" si="8"/>
        <v>430.72877377324556</v>
      </c>
      <c r="N13" s="181">
        <f t="shared" si="8"/>
        <v>440.98666099409058</v>
      </c>
      <c r="O13" s="181">
        <f t="shared" si="8"/>
        <v>454.47141232801908</v>
      </c>
      <c r="P13" s="181">
        <f t="shared" si="8"/>
        <v>466.39440219889468</v>
      </c>
      <c r="Q13" s="181">
        <f t="shared" si="8"/>
        <v>483.12766708191623</v>
      </c>
      <c r="R13" s="181">
        <f t="shared" si="8"/>
        <v>482.64469373886595</v>
      </c>
      <c r="S13" s="181">
        <f t="shared" si="8"/>
        <v>480.91871998898461</v>
      </c>
      <c r="T13" s="181">
        <f t="shared" si="8"/>
        <v>475.31819797816303</v>
      </c>
      <c r="U13" s="181">
        <f t="shared" si="8"/>
        <v>466.84100283802019</v>
      </c>
      <c r="V13" s="181">
        <f t="shared" si="8"/>
        <v>454.67200128053457</v>
      </c>
      <c r="W13" s="181">
        <f t="shared" si="8"/>
        <v>441.34936821413299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1108.7934830002871</v>
      </c>
      <c r="C14" s="181">
        <f t="shared" ref="C14:W14" si="9">C22*C54</f>
        <v>1118.4691545713351</v>
      </c>
      <c r="D14" s="181">
        <f t="shared" si="9"/>
        <v>1125.8319887664904</v>
      </c>
      <c r="E14" s="181">
        <f t="shared" si="9"/>
        <v>1126.4881018880485</v>
      </c>
      <c r="F14" s="181">
        <f t="shared" si="9"/>
        <v>1125.9083020202559</v>
      </c>
      <c r="G14" s="181">
        <f t="shared" si="9"/>
        <v>1120.5300950972478</v>
      </c>
      <c r="H14" s="181">
        <f t="shared" si="9"/>
        <v>1117.6664107317761</v>
      </c>
      <c r="I14" s="181">
        <f t="shared" si="9"/>
        <v>1119.9592565633241</v>
      </c>
      <c r="J14" s="181">
        <f t="shared" si="9"/>
        <v>1122.849174284612</v>
      </c>
      <c r="K14" s="181">
        <f t="shared" si="9"/>
        <v>1125.1151740952509</v>
      </c>
      <c r="L14" s="181">
        <f t="shared" si="9"/>
        <v>1138.6040069366393</v>
      </c>
      <c r="M14" s="181">
        <f t="shared" si="9"/>
        <v>1140.6684985248999</v>
      </c>
      <c r="N14" s="181">
        <f t="shared" si="9"/>
        <v>1142.2049714274081</v>
      </c>
      <c r="O14" s="181">
        <f t="shared" si="9"/>
        <v>1148.7442563901566</v>
      </c>
      <c r="P14" s="181">
        <f t="shared" si="9"/>
        <v>1155.8921584186194</v>
      </c>
      <c r="Q14" s="181">
        <f t="shared" si="9"/>
        <v>1166.3655813002918</v>
      </c>
      <c r="R14" s="181">
        <f t="shared" si="9"/>
        <v>1143.9603207197035</v>
      </c>
      <c r="S14" s="181">
        <f t="shared" si="9"/>
        <v>1123.6839793580214</v>
      </c>
      <c r="T14" s="181">
        <f t="shared" si="9"/>
        <v>1090.3001688587108</v>
      </c>
      <c r="U14" s="181">
        <f t="shared" si="9"/>
        <v>1051.3722342842275</v>
      </c>
      <c r="V14" s="181">
        <f t="shared" si="9"/>
        <v>1005.9743003995899</v>
      </c>
      <c r="W14" s="181">
        <f t="shared" si="9"/>
        <v>949.21717982980249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171.1798309346222</v>
      </c>
      <c r="C15" s="181">
        <f t="shared" ref="C15:W15" si="10">C23*C55/1000</f>
        <v>172.1008170528124</v>
      </c>
      <c r="D15" s="181">
        <f t="shared" si="10"/>
        <v>173.7796496138852</v>
      </c>
      <c r="E15" s="181">
        <f t="shared" si="10"/>
        <v>174.98117453887193</v>
      </c>
      <c r="F15" s="181">
        <f t="shared" si="10"/>
        <v>176.49862344826249</v>
      </c>
      <c r="G15" s="181">
        <f t="shared" si="10"/>
        <v>178.60586007742288</v>
      </c>
      <c r="H15" s="181">
        <f t="shared" si="10"/>
        <v>177.79164951003702</v>
      </c>
      <c r="I15" s="181">
        <f t="shared" si="10"/>
        <v>178.64466198896633</v>
      </c>
      <c r="J15" s="181">
        <f t="shared" si="10"/>
        <v>179.51809374067102</v>
      </c>
      <c r="K15" s="181">
        <f t="shared" si="10"/>
        <v>179.32527022642338</v>
      </c>
      <c r="L15" s="181">
        <f t="shared" si="10"/>
        <v>178.96907223989024</v>
      </c>
      <c r="M15" s="181">
        <f t="shared" si="10"/>
        <v>178.41066970373379</v>
      </c>
      <c r="N15" s="181">
        <f t="shared" si="10"/>
        <v>178.03463752906373</v>
      </c>
      <c r="O15" s="181">
        <f t="shared" si="10"/>
        <v>178.09387910942814</v>
      </c>
      <c r="P15" s="181">
        <f t="shared" si="10"/>
        <v>178.79476171404067</v>
      </c>
      <c r="Q15" s="181">
        <f t="shared" si="10"/>
        <v>178.70586639650739</v>
      </c>
      <c r="R15" s="181">
        <f t="shared" si="10"/>
        <v>177.40395135274068</v>
      </c>
      <c r="S15" s="181">
        <f t="shared" si="10"/>
        <v>177.94329124862347</v>
      </c>
      <c r="T15" s="181">
        <f t="shared" si="10"/>
        <v>177.91055458226279</v>
      </c>
      <c r="U15" s="181">
        <f t="shared" si="10"/>
        <v>177.90856000421377</v>
      </c>
      <c r="V15" s="181">
        <f t="shared" si="10"/>
        <v>177.71615870575252</v>
      </c>
      <c r="W15" s="181">
        <f t="shared" si="10"/>
        <v>177.73979679025004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926.4866174340176</v>
      </c>
      <c r="C16" s="55">
        <f t="shared" ref="C16:W16" si="11">C24*C56</f>
        <v>1005.79690070112</v>
      </c>
      <c r="D16" s="55">
        <f t="shared" si="11"/>
        <v>1081.5394421147114</v>
      </c>
      <c r="E16" s="55">
        <f t="shared" si="11"/>
        <v>1142.5668674457781</v>
      </c>
      <c r="F16" s="55">
        <f t="shared" si="11"/>
        <v>1216.5614969345925</v>
      </c>
      <c r="G16" s="55">
        <f t="shared" si="11"/>
        <v>1272.4412370617265</v>
      </c>
      <c r="H16" s="55">
        <f t="shared" si="11"/>
        <v>1320.430899949547</v>
      </c>
      <c r="I16" s="55">
        <f t="shared" si="11"/>
        <v>1365.0254771138159</v>
      </c>
      <c r="J16" s="55">
        <f t="shared" si="11"/>
        <v>1404.5766751155468</v>
      </c>
      <c r="K16" s="55">
        <f t="shared" si="11"/>
        <v>1442.1312813756579</v>
      </c>
      <c r="L16" s="55">
        <f t="shared" si="11"/>
        <v>1472.2012373855243</v>
      </c>
      <c r="M16" s="55">
        <f t="shared" si="11"/>
        <v>1486.9384268256288</v>
      </c>
      <c r="N16" s="55">
        <f t="shared" si="11"/>
        <v>1499.2186934336951</v>
      </c>
      <c r="O16" s="55">
        <f t="shared" si="11"/>
        <v>1513.0345794066079</v>
      </c>
      <c r="P16" s="55">
        <f t="shared" si="11"/>
        <v>1512.8761197477618</v>
      </c>
      <c r="Q16" s="55">
        <f t="shared" si="11"/>
        <v>1512.8298571941127</v>
      </c>
      <c r="R16" s="55">
        <f t="shared" si="11"/>
        <v>1532.2775936872131</v>
      </c>
      <c r="S16" s="55">
        <f t="shared" si="11"/>
        <v>1553.3733477017372</v>
      </c>
      <c r="T16" s="55">
        <f t="shared" si="11"/>
        <v>1573.3061690408654</v>
      </c>
      <c r="U16" s="55">
        <f t="shared" si="11"/>
        <v>1588.3274451823233</v>
      </c>
      <c r="V16" s="55">
        <f t="shared" si="11"/>
        <v>1605.8407568253858</v>
      </c>
      <c r="W16" s="55">
        <f t="shared" si="11"/>
        <v>1623.9716921574134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1785.6237932996953</v>
      </c>
      <c r="C17" s="63">
        <f t="shared" ref="C17:W17" si="12">C25*C57/1000</f>
        <v>2008.0273002652816</v>
      </c>
      <c r="D17" s="63">
        <f t="shared" si="12"/>
        <v>2167.8658121890339</v>
      </c>
      <c r="E17" s="63">
        <f t="shared" si="12"/>
        <v>2298.7723930521083</v>
      </c>
      <c r="F17" s="63">
        <f t="shared" si="12"/>
        <v>2419.6767053372951</v>
      </c>
      <c r="G17" s="63">
        <f t="shared" si="12"/>
        <v>2477.8879212912998</v>
      </c>
      <c r="H17" s="63">
        <f t="shared" si="12"/>
        <v>2552.0081056319691</v>
      </c>
      <c r="I17" s="63">
        <f t="shared" si="12"/>
        <v>2636.0661527893044</v>
      </c>
      <c r="J17" s="63">
        <f t="shared" si="12"/>
        <v>2676.2050902715064</v>
      </c>
      <c r="K17" s="63">
        <f t="shared" si="12"/>
        <v>2690.0499132204741</v>
      </c>
      <c r="L17" s="63">
        <f t="shared" si="12"/>
        <v>2739.4560143465424</v>
      </c>
      <c r="M17" s="63">
        <f t="shared" si="12"/>
        <v>2564.8278568855485</v>
      </c>
      <c r="N17" s="63">
        <f t="shared" si="12"/>
        <v>2585.8111532867661</v>
      </c>
      <c r="O17" s="63">
        <f t="shared" si="12"/>
        <v>2661.8463109127611</v>
      </c>
      <c r="P17" s="63">
        <f t="shared" si="12"/>
        <v>2734.4067233063101</v>
      </c>
      <c r="Q17" s="63">
        <f t="shared" si="12"/>
        <v>2871.2269670011246</v>
      </c>
      <c r="R17" s="63">
        <f t="shared" si="12"/>
        <v>2881.847260206293</v>
      </c>
      <c r="S17" s="63">
        <f t="shared" si="12"/>
        <v>3055.3211064022107</v>
      </c>
      <c r="T17" s="63">
        <f t="shared" si="12"/>
        <v>3123.079818314664</v>
      </c>
      <c r="U17" s="63">
        <f t="shared" si="12"/>
        <v>3270.0812196851925</v>
      </c>
      <c r="V17" s="63">
        <f t="shared" si="12"/>
        <v>3686.5076344852923</v>
      </c>
      <c r="W17" s="63">
        <f t="shared" si="12"/>
        <v>3714.6274317291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116.33474292689115</v>
      </c>
      <c r="C20" s="182">
        <v>118.30128211546143</v>
      </c>
      <c r="D20" s="182">
        <v>119.96161924516775</v>
      </c>
      <c r="E20" s="182">
        <v>121.82489436440588</v>
      </c>
      <c r="F20" s="182">
        <v>124.17811369459315</v>
      </c>
      <c r="G20" s="182">
        <v>126.67820974161714</v>
      </c>
      <c r="H20" s="182">
        <v>130.01562115078812</v>
      </c>
      <c r="I20" s="182">
        <v>133.13000829210139</v>
      </c>
      <c r="J20" s="182">
        <v>136.16596071733204</v>
      </c>
      <c r="K20" s="182">
        <v>139.2093616573213</v>
      </c>
      <c r="L20" s="182">
        <v>142.41772406763863</v>
      </c>
      <c r="M20" s="182">
        <v>145.0924405927145</v>
      </c>
      <c r="N20" s="182">
        <v>147.16715291750305</v>
      </c>
      <c r="O20" s="182">
        <v>150.23647554390507</v>
      </c>
      <c r="P20" s="182">
        <v>153.0513034762044</v>
      </c>
      <c r="Q20" s="182">
        <v>156.32962840402183</v>
      </c>
      <c r="R20" s="182">
        <v>158.69944403618939</v>
      </c>
      <c r="S20" s="182">
        <v>161.34767394278271</v>
      </c>
      <c r="T20" s="182">
        <v>163.68342049600608</v>
      </c>
      <c r="U20" s="182">
        <v>165.93921923922281</v>
      </c>
      <c r="V20" s="182">
        <v>168.25227744459951</v>
      </c>
      <c r="W20" s="182">
        <v>170.64081071396842</v>
      </c>
      <c r="DA20" s="191" t="s">
        <v>921</v>
      </c>
    </row>
    <row r="21" spans="1:105" ht="12" customHeight="1" x14ac:dyDescent="0.25">
      <c r="A21" s="132" t="s">
        <v>163</v>
      </c>
      <c r="B21" s="182">
        <v>2259.8328483263581</v>
      </c>
      <c r="C21" s="182">
        <v>2280.0920330781387</v>
      </c>
      <c r="D21" s="182">
        <v>2309.4398770955281</v>
      </c>
      <c r="E21" s="182">
        <v>2347.7230578440826</v>
      </c>
      <c r="F21" s="182">
        <v>2381.5484420639136</v>
      </c>
      <c r="G21" s="182">
        <v>2422.7064780822848</v>
      </c>
      <c r="H21" s="182">
        <v>2460.7176881880782</v>
      </c>
      <c r="I21" s="182">
        <v>2512.6498174003282</v>
      </c>
      <c r="J21" s="182">
        <v>2568.973686307575</v>
      </c>
      <c r="K21" s="182">
        <v>2648.6663438427577</v>
      </c>
      <c r="L21" s="182">
        <v>2738.9338137056548</v>
      </c>
      <c r="M21" s="182">
        <v>2856.2025108040657</v>
      </c>
      <c r="N21" s="182">
        <v>2999.1242425157484</v>
      </c>
      <c r="O21" s="182">
        <v>3188.5043966987259</v>
      </c>
      <c r="P21" s="182">
        <v>3393.9029673901691</v>
      </c>
      <c r="Q21" s="182">
        <v>3652.4572131095392</v>
      </c>
      <c r="R21" s="182">
        <v>3789.7768274307346</v>
      </c>
      <c r="S21" s="182">
        <v>3941.0688112645739</v>
      </c>
      <c r="T21" s="182">
        <v>4079.7731697701788</v>
      </c>
      <c r="U21" s="182">
        <v>4211.4618961204351</v>
      </c>
      <c r="V21" s="182">
        <v>4329.714996551771</v>
      </c>
      <c r="W21" s="182">
        <v>4426.0281541079466</v>
      </c>
      <c r="DA21" s="191" t="s">
        <v>922</v>
      </c>
    </row>
    <row r="22" spans="1:105" ht="12" customHeight="1" x14ac:dyDescent="0.25">
      <c r="A22" s="132" t="s">
        <v>167</v>
      </c>
      <c r="B22" s="182">
        <v>29.579708202544232</v>
      </c>
      <c r="C22" s="182">
        <v>30.178983932887441</v>
      </c>
      <c r="D22" s="182">
        <v>30.947881788212062</v>
      </c>
      <c r="E22" s="182">
        <v>31.699555074155597</v>
      </c>
      <c r="F22" s="182">
        <v>32.527464628258528</v>
      </c>
      <c r="G22" s="182">
        <v>33.379117335787654</v>
      </c>
      <c r="H22" s="182">
        <v>34.455124615365897</v>
      </c>
      <c r="I22" s="182">
        <v>35.464789053200313</v>
      </c>
      <c r="J22" s="182">
        <v>36.405647632282211</v>
      </c>
      <c r="K22" s="182">
        <v>37.393065832774347</v>
      </c>
      <c r="L22" s="182">
        <v>38.932932346532922</v>
      </c>
      <c r="M22" s="182">
        <v>40.179486304949407</v>
      </c>
      <c r="N22" s="182">
        <v>41.661689609634891</v>
      </c>
      <c r="O22" s="182">
        <v>43.479499217760136</v>
      </c>
      <c r="P22" s="182">
        <v>45.706059058573004</v>
      </c>
      <c r="Q22" s="182">
        <v>48.332691375628883</v>
      </c>
      <c r="R22" s="182">
        <v>50.001131977802558</v>
      </c>
      <c r="S22" s="182">
        <v>51.797964686876298</v>
      </c>
      <c r="T22" s="182">
        <v>53.46130933817696</v>
      </c>
      <c r="U22" s="182">
        <v>55.014893172031627</v>
      </c>
      <c r="V22" s="182">
        <v>56.413458141791843</v>
      </c>
      <c r="W22" s="182">
        <v>57.539356778921722</v>
      </c>
      <c r="DA22" s="191" t="s">
        <v>923</v>
      </c>
    </row>
    <row r="23" spans="1:105" ht="12" customHeight="1" x14ac:dyDescent="0.25">
      <c r="A23" s="132" t="s">
        <v>180</v>
      </c>
      <c r="B23" s="182">
        <v>271.7484133547203</v>
      </c>
      <c r="C23" s="182">
        <v>275.58717362029228</v>
      </c>
      <c r="D23" s="182">
        <v>281.43753048160039</v>
      </c>
      <c r="E23" s="182">
        <v>286.91809660042264</v>
      </c>
      <c r="F23" s="182">
        <v>293.47360665130901</v>
      </c>
      <c r="G23" s="182">
        <v>301.68623693906039</v>
      </c>
      <c r="H23" s="182">
        <v>305.10098842252802</v>
      </c>
      <c r="I23" s="182">
        <v>312.3727032508628</v>
      </c>
      <c r="J23" s="182">
        <v>320.5169258007133</v>
      </c>
      <c r="K23" s="182">
        <v>327.50073249388686</v>
      </c>
      <c r="L23" s="182">
        <v>335.1359593873085</v>
      </c>
      <c r="M23" s="182">
        <v>339.96820044598076</v>
      </c>
      <c r="N23" s="182">
        <v>345.36301762257301</v>
      </c>
      <c r="O23" s="182">
        <v>352.12581346716263</v>
      </c>
      <c r="P23" s="182">
        <v>361.16672147283816</v>
      </c>
      <c r="Q23" s="182">
        <v>369.08337226258556</v>
      </c>
      <c r="R23" s="182">
        <v>373.18786381843023</v>
      </c>
      <c r="S23" s="182">
        <v>382.66057665058014</v>
      </c>
      <c r="T23" s="182">
        <v>391.10898740380497</v>
      </c>
      <c r="U23" s="182">
        <v>399.34366336063408</v>
      </c>
      <c r="V23" s="182">
        <v>407.21789632489498</v>
      </c>
      <c r="W23" s="182">
        <v>414.46886080975673</v>
      </c>
      <c r="DA23" s="191" t="s">
        <v>924</v>
      </c>
    </row>
    <row r="24" spans="1:105" ht="12" customHeight="1" x14ac:dyDescent="0.25">
      <c r="A24" s="60" t="s">
        <v>166</v>
      </c>
      <c r="B24" s="36">
        <v>20.922407684302129</v>
      </c>
      <c r="C24" s="36">
        <v>22.869994191091592</v>
      </c>
      <c r="D24" s="36">
        <v>24.755132663250727</v>
      </c>
      <c r="E24" s="36">
        <v>26.304313241016846</v>
      </c>
      <c r="F24" s="36">
        <v>28.194182907571015</v>
      </c>
      <c r="G24" s="36">
        <v>29.661138887723258</v>
      </c>
      <c r="H24" s="36">
        <v>30.954131948573767</v>
      </c>
      <c r="I24" s="36">
        <v>32.191574172796244</v>
      </c>
      <c r="J24" s="36">
        <v>33.334300422454646</v>
      </c>
      <c r="K24" s="36">
        <v>34.466499883846211</v>
      </c>
      <c r="L24" s="36">
        <v>35.461178762252523</v>
      </c>
      <c r="M24" s="36">
        <v>36.147802642143574</v>
      </c>
      <c r="N24" s="36">
        <v>36.865610738821971</v>
      </c>
      <c r="O24" s="36">
        <v>37.742203681330992</v>
      </c>
      <c r="P24" s="36">
        <v>38.374513717398813</v>
      </c>
      <c r="Q24" s="36">
        <v>39.160617837725738</v>
      </c>
      <c r="R24" s="36">
        <v>40.32963220313853</v>
      </c>
      <c r="S24" s="36">
        <v>41.584151740951405</v>
      </c>
      <c r="T24" s="36">
        <v>42.771462085766096</v>
      </c>
      <c r="U24" s="36">
        <v>43.948660835499275</v>
      </c>
      <c r="V24" s="36">
        <v>45.14963345410176</v>
      </c>
      <c r="W24" s="36">
        <v>46.363636284755664</v>
      </c>
      <c r="DA24" s="89" t="s">
        <v>925</v>
      </c>
    </row>
    <row r="25" spans="1:105" ht="12" customHeight="1" x14ac:dyDescent="0.25">
      <c r="A25" s="62" t="s">
        <v>164</v>
      </c>
      <c r="B25" s="38">
        <v>5354.1952350724396</v>
      </c>
      <c r="C25" s="38">
        <v>6199.5119848120439</v>
      </c>
      <c r="D25" s="38">
        <v>6908.7610290337925</v>
      </c>
      <c r="E25" s="38">
        <v>7587.1606655204741</v>
      </c>
      <c r="F25" s="38">
        <v>8306.3269430517903</v>
      </c>
      <c r="G25" s="38">
        <v>8849.3569660224312</v>
      </c>
      <c r="H25" s="38">
        <v>9633.9534466698551</v>
      </c>
      <c r="I25" s="38">
        <v>10484.607007471885</v>
      </c>
      <c r="J25" s="38">
        <v>11189.279949251029</v>
      </c>
      <c r="K25" s="38">
        <v>11888.974501723977</v>
      </c>
      <c r="L25" s="38">
        <v>12846.202924074158</v>
      </c>
      <c r="M25" s="38">
        <v>12989.034474176442</v>
      </c>
      <c r="N25" s="38">
        <v>14333.017146551798</v>
      </c>
      <c r="O25" s="38">
        <v>15999.875280720435</v>
      </c>
      <c r="P25" s="38">
        <v>17626.455096015055</v>
      </c>
      <c r="Q25" s="38">
        <v>19723.242206277395</v>
      </c>
      <c r="R25" s="38">
        <v>20767.030434279248</v>
      </c>
      <c r="S25" s="38">
        <v>23281.294341759323</v>
      </c>
      <c r="T25" s="38">
        <v>24790.922541672233</v>
      </c>
      <c r="U25" s="38">
        <v>26794.216453194436</v>
      </c>
      <c r="V25" s="38">
        <v>31119.514160327817</v>
      </c>
      <c r="W25" s="38">
        <v>31896.625950577949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7.0123640520126997</v>
      </c>
      <c r="D28" s="183">
        <v>6.8488861481342695</v>
      </c>
      <c r="E28" s="183">
        <v>7.198585330196039</v>
      </c>
      <c r="F28" s="183">
        <v>7.8394419612257309</v>
      </c>
      <c r="G28" s="183">
        <v>8.1414997456319043</v>
      </c>
      <c r="H28" s="183">
        <v>9.1383855640683294</v>
      </c>
      <c r="I28" s="183">
        <v>9.0794452976885935</v>
      </c>
      <c r="J28" s="183">
        <v>9.1697357965805253</v>
      </c>
      <c r="K28" s="183">
        <v>9.3506820192922646</v>
      </c>
      <c r="L28" s="183">
        <v>9.6940486833522641</v>
      </c>
      <c r="M28" s="183">
        <v>9.3438542887732581</v>
      </c>
      <c r="N28" s="183">
        <v>8.9324906135866229</v>
      </c>
      <c r="O28" s="183">
        <v>10.121077249661909</v>
      </c>
      <c r="P28" s="183">
        <v>10.066045625921021</v>
      </c>
      <c r="Q28" s="183">
        <v>10.734647623286577</v>
      </c>
      <c r="R28" s="183">
        <v>10.037044846354888</v>
      </c>
      <c r="S28" s="183">
        <v>10.532331255722085</v>
      </c>
      <c r="T28" s="183">
        <v>10.442854394517042</v>
      </c>
      <c r="U28" s="183">
        <v>9.268162795229415</v>
      </c>
      <c r="V28" s="183">
        <v>9.161944353510961</v>
      </c>
      <c r="W28" s="183">
        <v>9.5871185995649455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303.74262730660689</v>
      </c>
      <c r="D29" s="183">
        <v>325.03379776721454</v>
      </c>
      <c r="E29" s="183">
        <v>346.69690134189909</v>
      </c>
      <c r="F29" s="183">
        <v>355.51473687236944</v>
      </c>
      <c r="G29" s="183">
        <v>376.69446873907032</v>
      </c>
      <c r="H29" s="183">
        <v>387.99076881545534</v>
      </c>
      <c r="I29" s="183">
        <v>416.97651655771278</v>
      </c>
      <c r="J29" s="183">
        <v>360.0664962138535</v>
      </c>
      <c r="K29" s="183">
        <v>404.72645530239697</v>
      </c>
      <c r="L29" s="183">
        <v>436.96437120479641</v>
      </c>
      <c r="M29" s="183">
        <v>472.78343397078015</v>
      </c>
      <c r="N29" s="183">
        <v>519.61620045075279</v>
      </c>
      <c r="O29" s="183">
        <v>577.37092299843289</v>
      </c>
      <c r="P29" s="183">
        <v>622.37508724915597</v>
      </c>
      <c r="Q29" s="183">
        <v>618.6207419332236</v>
      </c>
      <c r="R29" s="183">
        <v>542.0460696235923</v>
      </c>
      <c r="S29" s="183">
        <v>588.25635503863577</v>
      </c>
      <c r="T29" s="183">
        <v>611.48779247638504</v>
      </c>
      <c r="U29" s="183">
        <v>651.30492680100906</v>
      </c>
      <c r="V29" s="183">
        <v>695.62402342976884</v>
      </c>
      <c r="W29" s="183">
        <v>718.68824480533158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5.2186233178644912</v>
      </c>
      <c r="D30" s="183">
        <v>5.5082484808782404</v>
      </c>
      <c r="E30" s="183">
        <v>5.6141444307027832</v>
      </c>
      <c r="F30" s="183">
        <v>5.8166996862646343</v>
      </c>
      <c r="G30" s="183">
        <v>5.9700433862230717</v>
      </c>
      <c r="H30" s="183">
        <v>6.3273653134326722</v>
      </c>
      <c r="I30" s="183">
        <v>6.2282877556989078</v>
      </c>
      <c r="J30" s="183">
        <v>6.4491070599601379</v>
      </c>
      <c r="K30" s="183">
        <v>6.6015626311949198</v>
      </c>
      <c r="L30" s="183">
        <v>7.3565662000232095</v>
      </c>
      <c r="M30" s="183">
        <v>7.2165973446395526</v>
      </c>
      <c r="N30" s="183">
        <v>7.8095686181181563</v>
      </c>
      <c r="O30" s="183">
        <v>8.0460973638241526</v>
      </c>
      <c r="P30" s="183">
        <v>8.6756669007730096</v>
      </c>
      <c r="Q30" s="183">
        <v>9.2281949482508026</v>
      </c>
      <c r="R30" s="183">
        <v>9.0250068021968843</v>
      </c>
      <c r="S30" s="183">
        <v>9.013430053713293</v>
      </c>
      <c r="T30" s="183">
        <v>9.4729132694188181</v>
      </c>
      <c r="U30" s="183">
        <v>9.5996811976788194</v>
      </c>
      <c r="V30" s="183">
        <v>10.074231870533225</v>
      </c>
      <c r="W30" s="183">
        <v>10.354093585380681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28.536099138294759</v>
      </c>
      <c r="D31" s="183">
        <v>31.067925053838678</v>
      </c>
      <c r="E31" s="183">
        <v>31.229321837896293</v>
      </c>
      <c r="F31" s="183">
        <v>32.846642328935559</v>
      </c>
      <c r="G31" s="183">
        <v>35.057563845058723</v>
      </c>
      <c r="H31" s="183">
        <v>30.825151692740008</v>
      </c>
      <c r="I31" s="183">
        <v>35.259492783850021</v>
      </c>
      <c r="J31" s="183">
        <v>36.721540243382208</v>
      </c>
      <c r="K31" s="183">
        <v>36.163082298942413</v>
      </c>
      <c r="L31" s="183">
        <v>37.429140164369812</v>
      </c>
      <c r="M31" s="183">
        <v>33.368340196966983</v>
      </c>
      <c r="N31" s="183">
        <v>36.462742230430933</v>
      </c>
      <c r="O31" s="183">
        <v>37.992117682485912</v>
      </c>
      <c r="P31" s="183">
        <v>41.887550334611092</v>
      </c>
      <c r="Q31" s="183">
        <v>42.974214634806117</v>
      </c>
      <c r="R31" s="183">
        <v>34.929643248584682</v>
      </c>
      <c r="S31" s="183">
        <v>44.732205615999931</v>
      </c>
      <c r="T31" s="183">
        <v>45.169950996607042</v>
      </c>
      <c r="U31" s="183">
        <v>44.397758255771521</v>
      </c>
      <c r="V31" s="183">
        <v>45.30337312863071</v>
      </c>
      <c r="W31" s="183">
        <v>40.619304681828737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2.543508032629731</v>
      </c>
      <c r="D32" s="41">
        <v>2.5481199269398793</v>
      </c>
      <c r="E32" s="41">
        <v>2.2867683142779356</v>
      </c>
      <c r="F32" s="41">
        <v>2.7104592398063261</v>
      </c>
      <c r="G32" s="41">
        <v>2.379887709351852</v>
      </c>
      <c r="H32" s="41">
        <v>2.3086583451122706</v>
      </c>
      <c r="I32" s="41">
        <v>2.3674018221421704</v>
      </c>
      <c r="J32" s="41">
        <v>2.3998418690613903</v>
      </c>
      <c r="K32" s="41">
        <v>2.5307801570699233</v>
      </c>
      <c r="L32" s="41">
        <v>2.5506439242094032</v>
      </c>
      <c r="M32" s="41">
        <v>2.4176839690529093</v>
      </c>
      <c r="N32" s="41">
        <v>2.6436669328853526</v>
      </c>
      <c r="O32" s="41">
        <v>3.0191715163078072</v>
      </c>
      <c r="P32" s="41">
        <v>3.0159961394288928</v>
      </c>
      <c r="Q32" s="41">
        <v>3.4380299394498977</v>
      </c>
      <c r="R32" s="41">
        <v>3.7125223980425233</v>
      </c>
      <c r="S32" s="41">
        <v>3.8026394647527511</v>
      </c>
      <c r="T32" s="41">
        <v>3.4740786590926263</v>
      </c>
      <c r="U32" s="41">
        <v>3.8876579895395054</v>
      </c>
      <c r="V32" s="41">
        <v>3.5808603279543405</v>
      </c>
      <c r="W32" s="41">
        <v>3.5226611757661743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1916.1557967540921</v>
      </c>
      <c r="D33" s="42">
        <v>1780.0880912362363</v>
      </c>
      <c r="E33" s="42">
        <v>1749.2386835011694</v>
      </c>
      <c r="F33" s="42">
        <v>1790.0053245458039</v>
      </c>
      <c r="G33" s="42">
        <v>1613.8690699851286</v>
      </c>
      <c r="H33" s="42">
        <v>2700.752277401516</v>
      </c>
      <c r="I33" s="42">
        <v>2630.7416520382658</v>
      </c>
      <c r="J33" s="42">
        <v>2453.9116252803142</v>
      </c>
      <c r="K33" s="42">
        <v>2489.6998770187511</v>
      </c>
      <c r="L33" s="42">
        <v>2571.0974923353097</v>
      </c>
      <c r="M33" s="42">
        <v>2843.5838275038004</v>
      </c>
      <c r="N33" s="42">
        <v>3974.7243244136207</v>
      </c>
      <c r="O33" s="42">
        <v>4120.7697594489509</v>
      </c>
      <c r="P33" s="42">
        <v>4116.2796923133719</v>
      </c>
      <c r="Q33" s="42">
        <v>4667.8846025976491</v>
      </c>
      <c r="R33" s="42">
        <v>3887.3720555056534</v>
      </c>
      <c r="S33" s="42">
        <v>6488.988231893698</v>
      </c>
      <c r="T33" s="42">
        <v>5630.3979593618606</v>
      </c>
      <c r="U33" s="42">
        <v>6119.5736038355753</v>
      </c>
      <c r="V33" s="42">
        <v>8993.1823097310298</v>
      </c>
      <c r="W33" s="42">
        <v>4664.4838457557853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5.0458248634424194</v>
      </c>
      <c r="D36" s="183">
        <v>5.188549018427949</v>
      </c>
      <c r="E36" s="183">
        <v>5.335310210957914</v>
      </c>
      <c r="F36" s="183">
        <v>5.4862226310384585</v>
      </c>
      <c r="G36" s="183">
        <v>5.6414036986079168</v>
      </c>
      <c r="H36" s="183">
        <v>5.8009741548973466</v>
      </c>
      <c r="I36" s="183">
        <v>5.9650581563753065</v>
      </c>
      <c r="J36" s="183">
        <v>6.133783371349864</v>
      </c>
      <c r="K36" s="183">
        <v>6.3072810793030101</v>
      </c>
      <c r="L36" s="183">
        <v>6.4856862730349292</v>
      </c>
      <c r="M36" s="183">
        <v>6.6691377636973925</v>
      </c>
      <c r="N36" s="183">
        <v>6.8577782887980732</v>
      </c>
      <c r="O36" s="183">
        <v>7.0517546232598818</v>
      </c>
      <c r="P36" s="183">
        <v>7.2512176936216974</v>
      </c>
      <c r="Q36" s="183">
        <v>7.4563226954691402</v>
      </c>
      <c r="R36" s="183">
        <v>7.6672292141873299</v>
      </c>
      <c r="S36" s="183">
        <v>7.8841013491287697</v>
      </c>
      <c r="T36" s="183">
        <v>8.1071078412936686</v>
      </c>
      <c r="U36" s="183">
        <v>7.0123640520126855</v>
      </c>
      <c r="V36" s="183">
        <v>6.8488861481342553</v>
      </c>
      <c r="W36" s="183">
        <v>7.198585330196039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283.48344255482652</v>
      </c>
      <c r="D37" s="183">
        <v>295.68595374982533</v>
      </c>
      <c r="E37" s="183">
        <v>308.41372059334435</v>
      </c>
      <c r="F37" s="183">
        <v>321.68935265253867</v>
      </c>
      <c r="G37" s="183">
        <v>335.53643272069894</v>
      </c>
      <c r="H37" s="183">
        <v>349.97955870966189</v>
      </c>
      <c r="I37" s="183">
        <v>365.04438734546284</v>
      </c>
      <c r="J37" s="183">
        <v>303.74262730660666</v>
      </c>
      <c r="K37" s="183">
        <v>325.03379776721431</v>
      </c>
      <c r="L37" s="183">
        <v>346.69690134189932</v>
      </c>
      <c r="M37" s="183">
        <v>355.51473687236921</v>
      </c>
      <c r="N37" s="183">
        <v>376.69446873907009</v>
      </c>
      <c r="O37" s="183">
        <v>387.99076881545534</v>
      </c>
      <c r="P37" s="183">
        <v>416.97651655771278</v>
      </c>
      <c r="Q37" s="183">
        <v>360.0664962138535</v>
      </c>
      <c r="R37" s="183">
        <v>404.72645530239697</v>
      </c>
      <c r="S37" s="183">
        <v>436.96437120479641</v>
      </c>
      <c r="T37" s="183">
        <v>472.78343397078015</v>
      </c>
      <c r="U37" s="183">
        <v>519.61620045075233</v>
      </c>
      <c r="V37" s="183">
        <v>577.37092299843243</v>
      </c>
      <c r="W37" s="183">
        <v>622.37508724915551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4.6193475875212826</v>
      </c>
      <c r="D38" s="183">
        <v>4.7393506255536231</v>
      </c>
      <c r="E38" s="183">
        <v>4.8624711447592475</v>
      </c>
      <c r="F38" s="183">
        <v>4.9887901321617036</v>
      </c>
      <c r="G38" s="183">
        <v>5.1183906786939417</v>
      </c>
      <c r="H38" s="183">
        <v>5.2513580338544301</v>
      </c>
      <c r="I38" s="183">
        <v>5.2186233178644912</v>
      </c>
      <c r="J38" s="183">
        <v>5.5082484808782368</v>
      </c>
      <c r="K38" s="183">
        <v>5.6141444307027868</v>
      </c>
      <c r="L38" s="183">
        <v>5.8166996862646343</v>
      </c>
      <c r="M38" s="183">
        <v>5.9700433862230682</v>
      </c>
      <c r="N38" s="183">
        <v>6.3273653134326722</v>
      </c>
      <c r="O38" s="183">
        <v>6.2282877556989078</v>
      </c>
      <c r="P38" s="183">
        <v>6.4491070599601414</v>
      </c>
      <c r="Q38" s="183">
        <v>6.6015626311949234</v>
      </c>
      <c r="R38" s="183">
        <v>7.3565662000232095</v>
      </c>
      <c r="S38" s="183">
        <v>7.2165973446395526</v>
      </c>
      <c r="T38" s="183">
        <v>7.8095686181181563</v>
      </c>
      <c r="U38" s="183">
        <v>8.0460973638241526</v>
      </c>
      <c r="V38" s="183">
        <v>8.6756669007730167</v>
      </c>
      <c r="W38" s="183">
        <v>9.2281949482508097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24.69733887272281</v>
      </c>
      <c r="D39" s="183">
        <v>25.217568192530564</v>
      </c>
      <c r="E39" s="183">
        <v>25.74875571907404</v>
      </c>
      <c r="F39" s="183">
        <v>26.29113227804919</v>
      </c>
      <c r="G39" s="183">
        <v>26.844933557307343</v>
      </c>
      <c r="H39" s="183">
        <v>27.410400209272382</v>
      </c>
      <c r="I39" s="183">
        <v>27.987777955515242</v>
      </c>
      <c r="J39" s="183">
        <v>28.577317693531711</v>
      </c>
      <c r="K39" s="183">
        <v>29.179275605768851</v>
      </c>
      <c r="L39" s="183">
        <v>29.793913270948167</v>
      </c>
      <c r="M39" s="183">
        <v>28.53609913829473</v>
      </c>
      <c r="N39" s="183">
        <v>31.067925053838678</v>
      </c>
      <c r="O39" s="183">
        <v>31.229321837896293</v>
      </c>
      <c r="P39" s="183">
        <v>32.846642328935559</v>
      </c>
      <c r="Q39" s="183">
        <v>35.057563845058723</v>
      </c>
      <c r="R39" s="183">
        <v>30.825151692740008</v>
      </c>
      <c r="S39" s="183">
        <v>35.259492783850021</v>
      </c>
      <c r="T39" s="183">
        <v>36.721540243382208</v>
      </c>
      <c r="U39" s="183">
        <v>36.163082298942413</v>
      </c>
      <c r="V39" s="183">
        <v>37.429140164369812</v>
      </c>
      <c r="W39" s="183">
        <v>33.368340196966983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0.59592152584026792</v>
      </c>
      <c r="D40" s="41">
        <v>0.66298145478074488</v>
      </c>
      <c r="E40" s="41">
        <v>0.73758773651181642</v>
      </c>
      <c r="F40" s="41">
        <v>0.82058957325215687</v>
      </c>
      <c r="G40" s="41">
        <v>0.91293172919960952</v>
      </c>
      <c r="H40" s="41">
        <v>1.0156652842617611</v>
      </c>
      <c r="I40" s="41">
        <v>1.1299595979196937</v>
      </c>
      <c r="J40" s="41">
        <v>1.2571156194029882</v>
      </c>
      <c r="K40" s="41">
        <v>1.398580695678362</v>
      </c>
      <c r="L40" s="41">
        <v>1.5559650458030916</v>
      </c>
      <c r="M40" s="41">
        <v>1.7310600891618577</v>
      </c>
      <c r="N40" s="41">
        <v>1.925858836206956</v>
      </c>
      <c r="O40" s="41">
        <v>2.1425785737987866</v>
      </c>
      <c r="P40" s="41">
        <v>2.3836861033610717</v>
      </c>
      <c r="Q40" s="41">
        <v>2.6519258191229724</v>
      </c>
      <c r="R40" s="41">
        <v>2.543508032629731</v>
      </c>
      <c r="S40" s="41">
        <v>2.5481199269398758</v>
      </c>
      <c r="T40" s="41">
        <v>2.2867683142779356</v>
      </c>
      <c r="U40" s="41">
        <v>2.7104592398063261</v>
      </c>
      <c r="V40" s="41">
        <v>2.3798877093518556</v>
      </c>
      <c r="W40" s="41">
        <v>2.3086583451122706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1070.8390470144877</v>
      </c>
      <c r="D41" s="42">
        <v>1070.8390470144877</v>
      </c>
      <c r="E41" s="42">
        <v>1070.8390470144877</v>
      </c>
      <c r="F41" s="42">
        <v>1070.8390470144877</v>
      </c>
      <c r="G41" s="42">
        <v>1070.8390470144877</v>
      </c>
      <c r="H41" s="42">
        <v>1916.1557967540921</v>
      </c>
      <c r="I41" s="42">
        <v>1780.0880912362372</v>
      </c>
      <c r="J41" s="42">
        <v>1749.2386835011694</v>
      </c>
      <c r="K41" s="42">
        <v>1790.0053245458039</v>
      </c>
      <c r="L41" s="42">
        <v>1613.8690699851286</v>
      </c>
      <c r="M41" s="42">
        <v>2700.752277401516</v>
      </c>
      <c r="N41" s="42">
        <v>2630.7416520382631</v>
      </c>
      <c r="O41" s="42">
        <v>2453.911625280316</v>
      </c>
      <c r="P41" s="42">
        <v>2489.6998770187529</v>
      </c>
      <c r="Q41" s="42">
        <v>2571.0974923353097</v>
      </c>
      <c r="R41" s="42">
        <v>2843.5838275038004</v>
      </c>
      <c r="S41" s="42">
        <v>3974.7243244136225</v>
      </c>
      <c r="T41" s="42">
        <v>4120.7697594489509</v>
      </c>
      <c r="U41" s="42">
        <v>4116.2796923133719</v>
      </c>
      <c r="V41" s="42">
        <v>4667.8846025976527</v>
      </c>
      <c r="W41" s="42">
        <v>3887.3720555056534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8760.0000000000018</v>
      </c>
      <c r="C44" s="185">
        <v>8759.9999999999964</v>
      </c>
      <c r="D44" s="185">
        <v>8760</v>
      </c>
      <c r="E44" s="185">
        <v>8760</v>
      </c>
      <c r="F44" s="185">
        <v>8760.0000000000036</v>
      </c>
      <c r="G44" s="185">
        <v>8760</v>
      </c>
      <c r="H44" s="185">
        <v>8760.0000000000036</v>
      </c>
      <c r="I44" s="185">
        <v>8759.9999999999964</v>
      </c>
      <c r="J44" s="185">
        <v>8760</v>
      </c>
      <c r="K44" s="185">
        <v>8760</v>
      </c>
      <c r="L44" s="185">
        <v>8759.9999999999982</v>
      </c>
      <c r="M44" s="185">
        <v>8760.0000000000018</v>
      </c>
      <c r="N44" s="185">
        <v>8759.9999999999982</v>
      </c>
      <c r="O44" s="185">
        <v>8760.0000000000018</v>
      </c>
      <c r="P44" s="185">
        <v>8760.0000000000018</v>
      </c>
      <c r="Q44" s="185">
        <v>8760.0000000000018</v>
      </c>
      <c r="R44" s="185">
        <v>8760</v>
      </c>
      <c r="S44" s="185">
        <v>8760.0000000000018</v>
      </c>
      <c r="T44" s="185">
        <v>8760</v>
      </c>
      <c r="U44" s="185">
        <v>8760.0000000000018</v>
      </c>
      <c r="V44" s="185">
        <v>8760</v>
      </c>
      <c r="W44" s="185">
        <v>8760.0000000000018</v>
      </c>
      <c r="DA44" s="194" t="s">
        <v>939</v>
      </c>
    </row>
    <row r="45" spans="1:105" ht="12" customHeight="1" x14ac:dyDescent="0.25">
      <c r="A45" s="132" t="s">
        <v>6</v>
      </c>
      <c r="B45" s="185">
        <v>4092.2206923674007</v>
      </c>
      <c r="C45" s="185">
        <v>4095.8994874132622</v>
      </c>
      <c r="D45" s="185">
        <v>4097.4152112628271</v>
      </c>
      <c r="E45" s="185">
        <v>4100.7921920511753</v>
      </c>
      <c r="F45" s="185">
        <v>4102.3886220184158</v>
      </c>
      <c r="G45" s="185">
        <v>4103.6634333290895</v>
      </c>
      <c r="H45" s="185">
        <v>4102.8311159875302</v>
      </c>
      <c r="I45" s="185">
        <v>4096.1390092451675</v>
      </c>
      <c r="J45" s="185">
        <v>4083.7287553612136</v>
      </c>
      <c r="K45" s="185">
        <v>4077.2337925691886</v>
      </c>
      <c r="L45" s="185">
        <v>4065.9135583312095</v>
      </c>
      <c r="M45" s="185">
        <v>4051.7459948873993</v>
      </c>
      <c r="N45" s="185">
        <v>4031.3896014545189</v>
      </c>
      <c r="O45" s="185">
        <v>4002.2727897532632</v>
      </c>
      <c r="P45" s="185">
        <v>3973.1891860219835</v>
      </c>
      <c r="Q45" s="185">
        <v>3929.6197483728688</v>
      </c>
      <c r="R45" s="185">
        <v>4006.2663069305254</v>
      </c>
      <c r="S45" s="185">
        <v>3907.156039112238</v>
      </c>
      <c r="T45" s="185">
        <v>3896.2312851821121</v>
      </c>
      <c r="U45" s="185">
        <v>3905.6153394200292</v>
      </c>
      <c r="V45" s="185">
        <v>3895.7154163471214</v>
      </c>
      <c r="W45" s="185">
        <v>3901.9789863868991</v>
      </c>
      <c r="DA45" s="194" t="s">
        <v>940</v>
      </c>
    </row>
    <row r="46" spans="1:105" ht="12" customHeight="1" x14ac:dyDescent="0.25">
      <c r="A46" s="132" t="s">
        <v>5</v>
      </c>
      <c r="B46" s="185">
        <v>2456.8355397178229</v>
      </c>
      <c r="C46" s="185">
        <v>2472.0087218896783</v>
      </c>
      <c r="D46" s="185">
        <v>2487.5292665626448</v>
      </c>
      <c r="E46" s="185">
        <v>2503.5142938949089</v>
      </c>
      <c r="F46" s="185">
        <v>2524.1313307850269</v>
      </c>
      <c r="G46" s="185">
        <v>2539.5032278905041</v>
      </c>
      <c r="H46" s="185">
        <v>2554.642035355238</v>
      </c>
      <c r="I46" s="185">
        <v>2566.0254341614177</v>
      </c>
      <c r="J46" s="185">
        <v>2572.6323026002588</v>
      </c>
      <c r="K46" s="185">
        <v>2584.3110840545464</v>
      </c>
      <c r="L46" s="185">
        <v>2596.5746962476514</v>
      </c>
      <c r="M46" s="185">
        <v>2606.192723752155</v>
      </c>
      <c r="N46" s="185">
        <v>2617.6267774315852</v>
      </c>
      <c r="O46" s="185">
        <v>2627.5991999967437</v>
      </c>
      <c r="P46" s="185">
        <v>2635.7464807611518</v>
      </c>
      <c r="Q46" s="185">
        <v>2641.5906871351563</v>
      </c>
      <c r="R46" s="185">
        <v>2699.4615568938634</v>
      </c>
      <c r="S46" s="185">
        <v>2650.1958788831944</v>
      </c>
      <c r="T46" s="185">
        <v>2642.7736853737783</v>
      </c>
      <c r="U46" s="185">
        <v>2663.1733960202891</v>
      </c>
      <c r="V46" s="185">
        <v>2834.64688610237</v>
      </c>
      <c r="W46" s="185">
        <v>2906.3204772622453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</v>
      </c>
      <c r="D47" s="185">
        <v>8759.9999999999964</v>
      </c>
      <c r="E47" s="185">
        <v>8760.0000000000018</v>
      </c>
      <c r="F47" s="185">
        <v>8760</v>
      </c>
      <c r="G47" s="185">
        <v>8760</v>
      </c>
      <c r="H47" s="185">
        <v>8759.9999999999964</v>
      </c>
      <c r="I47" s="185">
        <v>8760.0000000000036</v>
      </c>
      <c r="J47" s="185">
        <v>8760</v>
      </c>
      <c r="K47" s="185">
        <v>8760.0000000000018</v>
      </c>
      <c r="L47" s="185">
        <v>8760.0000000000018</v>
      </c>
      <c r="M47" s="185">
        <v>8760.0000000000018</v>
      </c>
      <c r="N47" s="185">
        <v>8759.9999999999982</v>
      </c>
      <c r="O47" s="185">
        <v>8759.9999999999982</v>
      </c>
      <c r="P47" s="185">
        <v>8760</v>
      </c>
      <c r="Q47" s="185">
        <v>8760</v>
      </c>
      <c r="R47" s="185">
        <v>8759.9999999999964</v>
      </c>
      <c r="S47" s="185">
        <v>8759.9999999999982</v>
      </c>
      <c r="T47" s="185">
        <v>8760</v>
      </c>
      <c r="U47" s="185">
        <v>8760</v>
      </c>
      <c r="V47" s="185">
        <v>8759.9999999999982</v>
      </c>
      <c r="W47" s="185">
        <v>8760.0000000000018</v>
      </c>
      <c r="DA47" s="194" t="s">
        <v>942</v>
      </c>
    </row>
    <row r="48" spans="1:105" ht="12" customHeight="1" x14ac:dyDescent="0.25">
      <c r="A48" s="60" t="s">
        <v>4</v>
      </c>
      <c r="B48" s="44">
        <v>839.01357916046277</v>
      </c>
      <c r="C48" s="44">
        <v>843.02144809767697</v>
      </c>
      <c r="D48" s="44">
        <v>846.69706065446587</v>
      </c>
      <c r="E48" s="44">
        <v>850.09244678563971</v>
      </c>
      <c r="F48" s="44">
        <v>853.24822124478135</v>
      </c>
      <c r="G48" s="44">
        <v>856.19670617564623</v>
      </c>
      <c r="H48" s="44">
        <v>858.96405224581338</v>
      </c>
      <c r="I48" s="44">
        <v>861.57172101351728</v>
      </c>
      <c r="J48" s="44">
        <v>864.03754655120918</v>
      </c>
      <c r="K48" s="44">
        <v>866.37651212173523</v>
      </c>
      <c r="L48" s="44">
        <v>868.60132913143809</v>
      </c>
      <c r="M48" s="44">
        <v>870.01511851829287</v>
      </c>
      <c r="N48" s="44">
        <v>871.36526896194744</v>
      </c>
      <c r="O48" s="44">
        <v>872.65735004852206</v>
      </c>
      <c r="P48" s="44">
        <v>873.89622728763072</v>
      </c>
      <c r="Q48" s="44">
        <v>875.08617627225806</v>
      </c>
      <c r="R48" s="44">
        <v>894.1493551147521</v>
      </c>
      <c r="S48" s="44">
        <v>879.5356024067014</v>
      </c>
      <c r="T48" s="44">
        <v>877.51503045935442</v>
      </c>
      <c r="U48" s="44">
        <v>879.68803343904824</v>
      </c>
      <c r="V48" s="44">
        <v>936.32842249619637</v>
      </c>
      <c r="W48" s="44">
        <v>960.00333624802522</v>
      </c>
      <c r="DA48" s="95" t="s">
        <v>943</v>
      </c>
    </row>
    <row r="49" spans="1:105" ht="12" customHeight="1" x14ac:dyDescent="0.25">
      <c r="A49" s="62" t="s">
        <v>3</v>
      </c>
      <c r="B49" s="186">
        <v>1591.7864588444854</v>
      </c>
      <c r="C49" s="186">
        <v>1607.6900605746034</v>
      </c>
      <c r="D49" s="186">
        <v>1638.0979185252777</v>
      </c>
      <c r="E49" s="186">
        <v>1665.9859467778549</v>
      </c>
      <c r="F49" s="186">
        <v>1694.1936723217634</v>
      </c>
      <c r="G49" s="186">
        <v>1720.730351642706</v>
      </c>
      <c r="H49" s="186">
        <v>1748.0523635654442</v>
      </c>
      <c r="I49" s="186">
        <v>1769.4162154847993</v>
      </c>
      <c r="J49" s="186">
        <v>1789.8781967972332</v>
      </c>
      <c r="K49" s="186">
        <v>1806.6494095225814</v>
      </c>
      <c r="L49" s="186">
        <v>1828.4824867812147</v>
      </c>
      <c r="M49" s="186">
        <v>1853.5580435416741</v>
      </c>
      <c r="N49" s="186">
        <v>1873.8181987313021</v>
      </c>
      <c r="O49" s="186">
        <v>1894.6148356274789</v>
      </c>
      <c r="P49" s="186">
        <v>1917.4523361185109</v>
      </c>
      <c r="Q49" s="186">
        <v>1941.5254585515543</v>
      </c>
      <c r="R49" s="186">
        <v>2011.1690752085738</v>
      </c>
      <c r="S49" s="186">
        <v>2004.2253734474484</v>
      </c>
      <c r="T49" s="186">
        <v>2026.8025907250167</v>
      </c>
      <c r="U49" s="186">
        <v>2058.3255435234214</v>
      </c>
      <c r="V49" s="186">
        <v>2217.3605948049421</v>
      </c>
      <c r="W49" s="186">
        <v>2283.8350873937688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0.64241456863947233</v>
      </c>
      <c r="C52" s="181">
        <v>0.63848230996674205</v>
      </c>
      <c r="D52" s="181">
        <v>0.63443198961087799</v>
      </c>
      <c r="E52" s="181">
        <v>0.62996985161743413</v>
      </c>
      <c r="F52" s="181">
        <v>0.62494311143537074</v>
      </c>
      <c r="G52" s="181">
        <v>0.61960572237524425</v>
      </c>
      <c r="H52" s="181">
        <v>0.61354572202556934</v>
      </c>
      <c r="I52" s="181">
        <v>0.60742248162461099</v>
      </c>
      <c r="J52" s="181">
        <v>0.60114451565654736</v>
      </c>
      <c r="K52" s="181">
        <v>0.59465920901580804</v>
      </c>
      <c r="L52" s="181">
        <v>0.58787505875234547</v>
      </c>
      <c r="M52" s="181">
        <v>0.58097126739934368</v>
      </c>
      <c r="N52" s="181">
        <v>0.57385185167156971</v>
      </c>
      <c r="O52" s="181">
        <v>0.56575652385163155</v>
      </c>
      <c r="P52" s="181">
        <v>0.55716068356611703</v>
      </c>
      <c r="Q52" s="181">
        <v>0.54777999593197357</v>
      </c>
      <c r="R52" s="181">
        <v>0.53870095056143374</v>
      </c>
      <c r="S52" s="181">
        <v>0.52926224442649694</v>
      </c>
      <c r="T52" s="181">
        <v>0.51970969203234851</v>
      </c>
      <c r="U52" s="181">
        <v>0.51418381532202151</v>
      </c>
      <c r="V52" s="181">
        <v>0.50891262914318969</v>
      </c>
      <c r="W52" s="181">
        <v>0.50367323289401322</v>
      </c>
      <c r="DA52" s="190" t="s">
        <v>945</v>
      </c>
    </row>
    <row r="53" spans="1:105" ht="12" customHeight="1" x14ac:dyDescent="0.25">
      <c r="A53" s="132" t="s">
        <v>100</v>
      </c>
      <c r="B53" s="181">
        <v>178.15523403513208</v>
      </c>
      <c r="C53" s="181">
        <v>176.72509665342406</v>
      </c>
      <c r="D53" s="181">
        <v>175.08208136376342</v>
      </c>
      <c r="E53" s="181">
        <v>173.04974410799318</v>
      </c>
      <c r="F53" s="181">
        <v>170.66019344302333</v>
      </c>
      <c r="G53" s="181">
        <v>167.85188914941094</v>
      </c>
      <c r="H53" s="181">
        <v>164.79758545742283</v>
      </c>
      <c r="I53" s="181">
        <v>161.24683080320321</v>
      </c>
      <c r="J53" s="181">
        <v>159.26950622576089</v>
      </c>
      <c r="K53" s="181">
        <v>156.71253891136331</v>
      </c>
      <c r="L53" s="181">
        <v>153.91710749259767</v>
      </c>
      <c r="M53" s="181">
        <v>150.80470384853373</v>
      </c>
      <c r="N53" s="181">
        <v>147.03847701360274</v>
      </c>
      <c r="O53" s="181">
        <v>142.53435334715675</v>
      </c>
      <c r="P53" s="181">
        <v>137.421254137251</v>
      </c>
      <c r="Q53" s="181">
        <v>132.27469588085958</v>
      </c>
      <c r="R53" s="181">
        <v>127.35438410131215</v>
      </c>
      <c r="S53" s="181">
        <v>122.02748620232079</v>
      </c>
      <c r="T53" s="181">
        <v>116.50603555612348</v>
      </c>
      <c r="U53" s="181">
        <v>110.85010724377452</v>
      </c>
      <c r="V53" s="181">
        <v>105.01199308560493</v>
      </c>
      <c r="W53" s="181">
        <v>99.716800898453783</v>
      </c>
      <c r="DA53" s="190" t="s">
        <v>946</v>
      </c>
    </row>
    <row r="54" spans="1:105" ht="12" customHeight="1" x14ac:dyDescent="0.25">
      <c r="A54" s="132" t="s">
        <v>140</v>
      </c>
      <c r="B54" s="181">
        <v>37.4849364776667</v>
      </c>
      <c r="C54" s="181">
        <v>37.061193215073331</v>
      </c>
      <c r="D54" s="181">
        <v>36.378321349130779</v>
      </c>
      <c r="E54" s="181">
        <v>35.536401039472807</v>
      </c>
      <c r="F54" s="181">
        <v>34.614081204537314</v>
      </c>
      <c r="G54" s="181">
        <v>33.569794066898936</v>
      </c>
      <c r="H54" s="181">
        <v>32.438321532969645</v>
      </c>
      <c r="I54" s="181">
        <v>31.579470411716997</v>
      </c>
      <c r="J54" s="181">
        <v>30.842719394145341</v>
      </c>
      <c r="K54" s="181">
        <v>30.088872068604438</v>
      </c>
      <c r="L54" s="181">
        <v>29.245267137912744</v>
      </c>
      <c r="M54" s="181">
        <v>28.389325086627341</v>
      </c>
      <c r="N54" s="181">
        <v>27.41619416134424</v>
      </c>
      <c r="O54" s="181">
        <v>26.420365391902379</v>
      </c>
      <c r="P54" s="181">
        <v>25.289692050179301</v>
      </c>
      <c r="Q54" s="181">
        <v>24.132022200783464</v>
      </c>
      <c r="R54" s="181">
        <v>22.878688451044507</v>
      </c>
      <c r="S54" s="181">
        <v>21.693593293690199</v>
      </c>
      <c r="T54" s="181">
        <v>20.394191282556609</v>
      </c>
      <c r="U54" s="181">
        <v>19.110683919654001</v>
      </c>
      <c r="V54" s="181">
        <v>17.83216866215033</v>
      </c>
      <c r="W54" s="181">
        <v>16.496833349682618</v>
      </c>
      <c r="DA54" s="190" t="s">
        <v>947</v>
      </c>
    </row>
    <row r="55" spans="1:105" ht="12" customHeight="1" x14ac:dyDescent="0.25">
      <c r="A55" s="132" t="s">
        <v>181</v>
      </c>
      <c r="B55" s="181">
        <v>629.92025904186869</v>
      </c>
      <c r="C55" s="181">
        <v>624.48776113918575</v>
      </c>
      <c r="D55" s="181">
        <v>617.47148405015741</v>
      </c>
      <c r="E55" s="181">
        <v>609.86454536034364</v>
      </c>
      <c r="F55" s="181">
        <v>601.41225462216619</v>
      </c>
      <c r="G55" s="181">
        <v>592.02521762204435</v>
      </c>
      <c r="H55" s="181">
        <v>582.73049336640315</v>
      </c>
      <c r="I55" s="181">
        <v>571.89587992104077</v>
      </c>
      <c r="J55" s="181">
        <v>560.08927856836294</v>
      </c>
      <c r="K55" s="181">
        <v>547.55685234924078</v>
      </c>
      <c r="L55" s="181">
        <v>534.01930538005922</v>
      </c>
      <c r="M55" s="181">
        <v>524.78634610439792</v>
      </c>
      <c r="N55" s="181">
        <v>515.50000563067624</v>
      </c>
      <c r="O55" s="181">
        <v>505.76774635136547</v>
      </c>
      <c r="P55" s="181">
        <v>495.0477191943807</v>
      </c>
      <c r="Q55" s="181">
        <v>484.18834286949817</v>
      </c>
      <c r="R55" s="181">
        <v>475.37438526954423</v>
      </c>
      <c r="S55" s="181">
        <v>465.01600140301173</v>
      </c>
      <c r="T55" s="181">
        <v>454.88741070165435</v>
      </c>
      <c r="U55" s="181">
        <v>445.50239887880832</v>
      </c>
      <c r="V55" s="181">
        <v>436.41539409152915</v>
      </c>
      <c r="W55" s="181">
        <v>428.83751614776554</v>
      </c>
      <c r="DA55" s="190" t="s">
        <v>948</v>
      </c>
    </row>
    <row r="56" spans="1:105" ht="12" customHeight="1" x14ac:dyDescent="0.25">
      <c r="A56" s="60" t="s">
        <v>99</v>
      </c>
      <c r="B56" s="55">
        <v>44.282026782660921</v>
      </c>
      <c r="C56" s="55">
        <v>43.978887458261873</v>
      </c>
      <c r="D56" s="55">
        <v>43.689502974074898</v>
      </c>
      <c r="E56" s="55">
        <v>43.436483476183312</v>
      </c>
      <c r="F56" s="55">
        <v>43.149379463233458</v>
      </c>
      <c r="G56" s="55">
        <v>42.89927105895417</v>
      </c>
      <c r="H56" s="55">
        <v>42.657662057629977</v>
      </c>
      <c r="I56" s="55">
        <v>42.403191275664362</v>
      </c>
      <c r="J56" s="55">
        <v>42.136077773193527</v>
      </c>
      <c r="K56" s="55">
        <v>41.841535584863877</v>
      </c>
      <c r="L56" s="55">
        <v>41.515857305698006</v>
      </c>
      <c r="M56" s="55">
        <v>41.134960305776772</v>
      </c>
      <c r="N56" s="55">
        <v>40.66713295637652</v>
      </c>
      <c r="O56" s="55">
        <v>40.088665521007286</v>
      </c>
      <c r="P56" s="55">
        <v>39.423981522971879</v>
      </c>
      <c r="Q56" s="55">
        <v>38.631409327171397</v>
      </c>
      <c r="R56" s="55">
        <v>37.993840012455365</v>
      </c>
      <c r="S56" s="55">
        <v>37.354936500291771</v>
      </c>
      <c r="T56" s="55">
        <v>36.784016545565919</v>
      </c>
      <c r="U56" s="55">
        <v>36.140519756164245</v>
      </c>
      <c r="V56" s="55">
        <v>35.567082919019761</v>
      </c>
      <c r="W56" s="55">
        <v>35.026840478674323</v>
      </c>
      <c r="DA56" s="101" t="s">
        <v>949</v>
      </c>
    </row>
    <row r="57" spans="1:105" ht="12" customHeight="1" x14ac:dyDescent="0.25">
      <c r="A57" s="62" t="s">
        <v>98</v>
      </c>
      <c r="B57" s="63">
        <v>333.49994068259571</v>
      </c>
      <c r="C57" s="63">
        <v>323.90086593665336</v>
      </c>
      <c r="D57" s="63">
        <v>313.78503368095437</v>
      </c>
      <c r="E57" s="63">
        <v>302.98190514124479</v>
      </c>
      <c r="F57" s="63">
        <v>291.30525705604987</v>
      </c>
      <c r="G57" s="63">
        <v>280.00768087503758</v>
      </c>
      <c r="H57" s="63">
        <v>264.89728435568838</v>
      </c>
      <c r="I57" s="63">
        <v>251.42250452598793</v>
      </c>
      <c r="J57" s="63">
        <v>239.17580956142243</v>
      </c>
      <c r="K57" s="63">
        <v>226.26425120437426</v>
      </c>
      <c r="L57" s="63">
        <v>213.25025227592522</v>
      </c>
      <c r="M57" s="63">
        <v>197.46100928322997</v>
      </c>
      <c r="N57" s="63">
        <v>180.40940904817478</v>
      </c>
      <c r="O57" s="63">
        <v>166.36669125291485</v>
      </c>
      <c r="P57" s="63">
        <v>155.13083648478462</v>
      </c>
      <c r="Q57" s="63">
        <v>145.57581035471378</v>
      </c>
      <c r="R57" s="63">
        <v>138.77031043636123</v>
      </c>
      <c r="S57" s="63">
        <v>131.23501904797129</v>
      </c>
      <c r="T57" s="63">
        <v>125.97674866939428</v>
      </c>
      <c r="U57" s="63">
        <v>122.04429360334326</v>
      </c>
      <c r="V57" s="63">
        <v>118.46289165995316</v>
      </c>
      <c r="W57" s="63">
        <v>116.45831874144648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0.57607585046352394</v>
      </c>
      <c r="D60" s="181">
        <v>0.57051793424101249</v>
      </c>
      <c r="E60" s="181">
        <v>0.56483359891207741</v>
      </c>
      <c r="F60" s="181">
        <v>0.55905452008899681</v>
      </c>
      <c r="G60" s="181">
        <v>0.55400196231233634</v>
      </c>
      <c r="H60" s="181">
        <v>0.54786644442960197</v>
      </c>
      <c r="I60" s="181">
        <v>0.54272832346066024</v>
      </c>
      <c r="J60" s="181">
        <v>0.53760461553404504</v>
      </c>
      <c r="K60" s="181">
        <v>0.53243149857794059</v>
      </c>
      <c r="L60" s="181">
        <v>0.52694168651073581</v>
      </c>
      <c r="M60" s="181">
        <v>0.51959954716665691</v>
      </c>
      <c r="N60" s="181">
        <v>0.51084753226737445</v>
      </c>
      <c r="O60" s="181">
        <v>0.50145579682445984</v>
      </c>
      <c r="P60" s="181">
        <v>0.49028096794009929</v>
      </c>
      <c r="Q60" s="181">
        <v>0.47976653305220357</v>
      </c>
      <c r="R60" s="181">
        <v>0.47651853370898578</v>
      </c>
      <c r="S60" s="181">
        <v>0.47174287769354128</v>
      </c>
      <c r="T60" s="181">
        <v>0.46737721462150061</v>
      </c>
      <c r="U60" s="181">
        <v>0.46342025740356063</v>
      </c>
      <c r="V60" s="181">
        <v>0.45949421087148906</v>
      </c>
      <c r="W60" s="181">
        <v>0.4576456143589086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167.4196817711815</v>
      </c>
      <c r="D61" s="181">
        <v>166.3521030875952</v>
      </c>
      <c r="E61" s="181">
        <v>164.05353575934632</v>
      </c>
      <c r="F61" s="181">
        <v>161.66217421603176</v>
      </c>
      <c r="G61" s="181">
        <v>159.27473871217927</v>
      </c>
      <c r="H61" s="181">
        <v>157.7747962444123</v>
      </c>
      <c r="I61" s="181">
        <v>155.09519639836788</v>
      </c>
      <c r="J61" s="181">
        <v>152.34642804023881</v>
      </c>
      <c r="K61" s="181">
        <v>148.22384846525077</v>
      </c>
      <c r="L61" s="181">
        <v>145.01501592407038</v>
      </c>
      <c r="M61" s="181">
        <v>140.93829033516388</v>
      </c>
      <c r="N61" s="181">
        <v>135.20710140029996</v>
      </c>
      <c r="O61" s="181">
        <v>129.37942118831398</v>
      </c>
      <c r="P61" s="181">
        <v>123.06733699518801</v>
      </c>
      <c r="Q61" s="181">
        <v>115.72212922322896</v>
      </c>
      <c r="R61" s="181">
        <v>109.78243874896691</v>
      </c>
      <c r="S61" s="181">
        <v>104.78496487230485</v>
      </c>
      <c r="T61" s="181">
        <v>99.81027850881425</v>
      </c>
      <c r="U61" s="181">
        <v>94.853581819005157</v>
      </c>
      <c r="V61" s="181">
        <v>89.891826855987588</v>
      </c>
      <c r="W61" s="181">
        <v>88.037354152965179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35.034454744352502</v>
      </c>
      <c r="D62" s="181">
        <v>33.58909678488638</v>
      </c>
      <c r="E62" s="181">
        <v>32.582976331523909</v>
      </c>
      <c r="F62" s="181">
        <v>32.049906543553696</v>
      </c>
      <c r="G62" s="181">
        <v>31.23668128879283</v>
      </c>
      <c r="H62" s="181">
        <v>30.657805950168502</v>
      </c>
      <c r="I62" s="181">
        <v>29.723172009787888</v>
      </c>
      <c r="J62" s="181">
        <v>29.136903343929252</v>
      </c>
      <c r="K62" s="181">
        <v>28.05268165492874</v>
      </c>
      <c r="L62" s="181">
        <v>27.174840644736811</v>
      </c>
      <c r="M62" s="181">
        <v>26.127110204372045</v>
      </c>
      <c r="N62" s="181">
        <v>25.0359040836071</v>
      </c>
      <c r="O62" s="181">
        <v>23.820710163610126</v>
      </c>
      <c r="P62" s="181">
        <v>22.4829875697272</v>
      </c>
      <c r="Q62" s="181">
        <v>21.202950186563346</v>
      </c>
      <c r="R62" s="181">
        <v>19.668489729480328</v>
      </c>
      <c r="S62" s="181">
        <v>18.669085105172627</v>
      </c>
      <c r="T62" s="181">
        <v>17.115727310801265</v>
      </c>
      <c r="U62" s="181">
        <v>15.910509477574163</v>
      </c>
      <c r="V62" s="181">
        <v>14.855423135760555</v>
      </c>
      <c r="W62" s="181">
        <v>13.415740941920678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577.45594934617395</v>
      </c>
      <c r="D63" s="181">
        <v>565.33835519689774</v>
      </c>
      <c r="E63" s="181">
        <v>557.84713763496723</v>
      </c>
      <c r="F63" s="181">
        <v>550.39920316474058</v>
      </c>
      <c r="G63" s="181">
        <v>542.46222622858124</v>
      </c>
      <c r="H63" s="181">
        <v>533.72505663143716</v>
      </c>
      <c r="I63" s="181">
        <v>524.20155139439771</v>
      </c>
      <c r="J63" s="181">
        <v>513.99976664479755</v>
      </c>
      <c r="K63" s="181">
        <v>502.93813960997102</v>
      </c>
      <c r="L63" s="181">
        <v>491.90527749553155</v>
      </c>
      <c r="M63" s="181">
        <v>477.0970802986219</v>
      </c>
      <c r="N63" s="181">
        <v>471.38137241644517</v>
      </c>
      <c r="O63" s="181">
        <v>460.10673908747088</v>
      </c>
      <c r="P63" s="181">
        <v>448.33484457978864</v>
      </c>
      <c r="Q63" s="181">
        <v>440.46200664426141</v>
      </c>
      <c r="R63" s="181">
        <v>433.73591540266989</v>
      </c>
      <c r="S63" s="181">
        <v>425.2511239408359</v>
      </c>
      <c r="T63" s="181">
        <v>417.13851872433213</v>
      </c>
      <c r="U63" s="181">
        <v>409.61074320862275</v>
      </c>
      <c r="V63" s="181">
        <v>402.15968530162468</v>
      </c>
      <c r="W63" s="181">
        <v>392.51227690300857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41.556344575583253</v>
      </c>
      <c r="D64" s="55">
        <v>41.246372605711173</v>
      </c>
      <c r="E64" s="55">
        <v>40.970178154418129</v>
      </c>
      <c r="F64" s="55">
        <v>40.706016651636659</v>
      </c>
      <c r="G64" s="55">
        <v>40.466702286773256</v>
      </c>
      <c r="H64" s="55">
        <v>40.268141193147265</v>
      </c>
      <c r="I64" s="55">
        <v>39.972715006633301</v>
      </c>
      <c r="J64" s="55">
        <v>39.677124879180923</v>
      </c>
      <c r="K64" s="55">
        <v>39.310642532868599</v>
      </c>
      <c r="L64" s="55">
        <v>38.802453334085214</v>
      </c>
      <c r="M64" s="55">
        <v>37.801482675407911</v>
      </c>
      <c r="N64" s="55">
        <v>36.903740769691737</v>
      </c>
      <c r="O64" s="55">
        <v>36.001137124779476</v>
      </c>
      <c r="P64" s="55">
        <v>34.945665491336726</v>
      </c>
      <c r="Q64" s="55">
        <v>34.143503594144704</v>
      </c>
      <c r="R64" s="55">
        <v>33.7093273279134</v>
      </c>
      <c r="S64" s="55">
        <v>33.186542961766008</v>
      </c>
      <c r="T64" s="55">
        <v>32.705686232979446</v>
      </c>
      <c r="U64" s="55">
        <v>32.243905052317864</v>
      </c>
      <c r="V64" s="55">
        <v>31.785523206479521</v>
      </c>
      <c r="W64" s="55">
        <v>31.537610345276164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302.44318682605456</v>
      </c>
      <c r="D65" s="63">
        <v>290.41443124574249</v>
      </c>
      <c r="E65" s="63">
        <v>278.99642520264888</v>
      </c>
      <c r="F65" s="63">
        <v>267.05455251448512</v>
      </c>
      <c r="G65" s="63">
        <v>257.35419454923385</v>
      </c>
      <c r="H65" s="63">
        <v>242.02458531113106</v>
      </c>
      <c r="I65" s="63">
        <v>228.46079061977184</v>
      </c>
      <c r="J65" s="63">
        <v>215.23606293070225</v>
      </c>
      <c r="K65" s="63">
        <v>197.56352901582642</v>
      </c>
      <c r="L65" s="63">
        <v>180.75630236716157</v>
      </c>
      <c r="M65" s="63">
        <v>168.45653990292314</v>
      </c>
      <c r="N65" s="63">
        <v>156.49000116102559</v>
      </c>
      <c r="O65" s="63">
        <v>146.62440997722896</v>
      </c>
      <c r="P65" s="63">
        <v>137.12243785125975</v>
      </c>
      <c r="Q65" s="63">
        <v>128.87257733408001</v>
      </c>
      <c r="R65" s="63">
        <v>125.95670769842947</v>
      </c>
      <c r="S65" s="63">
        <v>122.58898181204063</v>
      </c>
      <c r="T65" s="63">
        <v>119.34576408162503</v>
      </c>
      <c r="U65" s="63">
        <v>116.25576448860163</v>
      </c>
      <c r="V65" s="63">
        <v>113.19560742512873</v>
      </c>
      <c r="W65" s="63">
        <v>111.00057371305661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715.04764303395518</v>
      </c>
      <c r="C68" s="188">
        <f>1000000*C20/SER_summary!C$8</f>
        <v>718.08693499855258</v>
      </c>
      <c r="D68" s="188">
        <f>1000000*D20/SER_summary!D$8</f>
        <v>720.14362793553778</v>
      </c>
      <c r="E68" s="188">
        <f>1000000*E20/SER_summary!E$8</f>
        <v>724.51670490196989</v>
      </c>
      <c r="F68" s="188">
        <f>1000000*F20/SER_summary!F$8</f>
        <v>729.4269840031576</v>
      </c>
      <c r="G68" s="188">
        <f>1000000*G20/SER_summary!G$8</f>
        <v>736.15012521231893</v>
      </c>
      <c r="H68" s="188">
        <f>1000000*H20/SER_summary!H$8</f>
        <v>744.43408228716544</v>
      </c>
      <c r="I68" s="188">
        <f>1000000*I20/SER_summary!I$8</f>
        <v>751.6698655713418</v>
      </c>
      <c r="J68" s="188">
        <f>1000000*J20/SER_summary!J$8</f>
        <v>762.36322558269774</v>
      </c>
      <c r="K68" s="188">
        <f>1000000*K20/SER_summary!K$8</f>
        <v>771.85468899857926</v>
      </c>
      <c r="L68" s="188">
        <f>1000000*L20/SER_summary!L$8</f>
        <v>780.20509485900959</v>
      </c>
      <c r="M68" s="188">
        <f>1000000*M20/SER_summary!M$8</f>
        <v>787.60103893350743</v>
      </c>
      <c r="N68" s="188">
        <f>1000000*N20/SER_summary!N$8</f>
        <v>792.78247241539032</v>
      </c>
      <c r="O68" s="188">
        <f>1000000*O20/SER_summary!O$8</f>
        <v>797.95177294017901</v>
      </c>
      <c r="P68" s="188">
        <f>1000000*P20/SER_summary!P$8</f>
        <v>804.46538852295646</v>
      </c>
      <c r="Q68" s="188">
        <f>1000000*Q20/SER_summary!Q$8</f>
        <v>810.87745322469448</v>
      </c>
      <c r="R68" s="188">
        <f>1000000*R20/SER_summary!R$8</f>
        <v>813.42626171709696</v>
      </c>
      <c r="S68" s="188">
        <f>1000000*S20/SER_summary!S$8</f>
        <v>815.95476109951358</v>
      </c>
      <c r="T68" s="188">
        <f>1000000*T20/SER_summary!T$8</f>
        <v>818.57036069891353</v>
      </c>
      <c r="U68" s="188">
        <f>1000000*U20/SER_summary!U$8</f>
        <v>821.33820575876007</v>
      </c>
      <c r="V68" s="188">
        <f>1000000*V20/SER_summary!V$8</f>
        <v>824.37955492196249</v>
      </c>
      <c r="W68" s="188">
        <f>1000000*W20/SER_summary!W$8</f>
        <v>827.82886411051902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0.25501909606042616</v>
      </c>
      <c r="C69" s="188">
        <f>1000*C21/SER_summary!C$3</f>
        <v>0.25668641493329336</v>
      </c>
      <c r="D69" s="188">
        <f>1000*D21/SER_summary!D$3</f>
        <v>0.25922176413847997</v>
      </c>
      <c r="E69" s="188">
        <f>1000*E21/SER_summary!E$3</f>
        <v>0.26258569802170489</v>
      </c>
      <c r="F69" s="188">
        <f>1000*F21/SER_summary!F$3</f>
        <v>0.26533377921246143</v>
      </c>
      <c r="G69" s="188">
        <f>1000*G21/SER_summary!G$3</f>
        <v>0.26884930519971662</v>
      </c>
      <c r="H69" s="188">
        <f>1000*H21/SER_summary!H$3</f>
        <v>0.27197006374490351</v>
      </c>
      <c r="I69" s="188">
        <f>1000*I21/SER_summary!I$3</f>
        <v>0.27571370119380245</v>
      </c>
      <c r="J69" s="188">
        <f>1000*J21/SER_summary!J$3</f>
        <v>0.27975542942980763</v>
      </c>
      <c r="K69" s="188">
        <f>1000*K21/SER_summary!K$3</f>
        <v>0.28614596490848471</v>
      </c>
      <c r="L69" s="188">
        <f>1000*L21/SER_summary!L$3</f>
        <v>0.29322632048769615</v>
      </c>
      <c r="M69" s="188">
        <f>1000*M21/SER_summary!M$3</f>
        <v>0.30334886903332092</v>
      </c>
      <c r="N69" s="188">
        <f>1000*N21/SER_summary!N$3</f>
        <v>0.31626806932255619</v>
      </c>
      <c r="O69" s="188">
        <f>1000*O21/SER_summary!O$3</f>
        <v>0.33366890950942268</v>
      </c>
      <c r="P69" s="188">
        <f>1000*P21/SER_summary!P$3</f>
        <v>0.35188707351292553</v>
      </c>
      <c r="Q69" s="188">
        <f>1000*Q21/SER_summary!Q$3</f>
        <v>0.37471264903243384</v>
      </c>
      <c r="R69" s="188">
        <f>1000*R21/SER_summary!R$3</f>
        <v>0.38470919575417789</v>
      </c>
      <c r="S69" s="188">
        <f>1000*S21/SER_summary!S$3</f>
        <v>0.39429799736578058</v>
      </c>
      <c r="T69" s="188">
        <f>1000*T21/SER_summary!T$3</f>
        <v>0.40313000121639175</v>
      </c>
      <c r="U69" s="188">
        <f>1000*U21/SER_summary!U$3</f>
        <v>0.41167016003331658</v>
      </c>
      <c r="V69" s="188">
        <f>1000*V21/SER_summary!V$3</f>
        <v>0.4192377326936394</v>
      </c>
      <c r="W69" s="188">
        <f>1000*W21/SER_summary!W$3</f>
        <v>0.42642859212576067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181.81069644133203</v>
      </c>
      <c r="C70" s="188">
        <f>1000000*C22/SER_summary!C$8</f>
        <v>183.18596118499201</v>
      </c>
      <c r="D70" s="188">
        <f>1000000*D22/SER_summary!D$8</f>
        <v>185.78375323806696</v>
      </c>
      <c r="E70" s="188">
        <f>1000000*E22/SER_summary!E$8</f>
        <v>188.52351408971188</v>
      </c>
      <c r="F70" s="188">
        <f>1000000*F22/SER_summary!F$8</f>
        <v>191.06756992148675</v>
      </c>
      <c r="G70" s="188">
        <f>1000000*G22/SER_summary!G$8</f>
        <v>193.97212398514188</v>
      </c>
      <c r="H70" s="188">
        <f>1000000*H22/SER_summary!H$8</f>
        <v>197.28067170776544</v>
      </c>
      <c r="I70" s="188">
        <f>1000000*I22/SER_summary!I$8</f>
        <v>200.2389510984255</v>
      </c>
      <c r="J70" s="188">
        <f>1000000*J22/SER_summary!J$8</f>
        <v>203.82720330515784</v>
      </c>
      <c r="K70" s="188">
        <f>1000000*K22/SER_summary!K$8</f>
        <v>207.32810534758696</v>
      </c>
      <c r="L70" s="188">
        <f>1000000*L22/SER_summary!L$8</f>
        <v>213.28575760794891</v>
      </c>
      <c r="M70" s="188">
        <f>1000000*M22/SER_summary!M$8</f>
        <v>218.10512683030709</v>
      </c>
      <c r="N70" s="188">
        <f>1000000*N22/SER_summary!N$8</f>
        <v>224.42954585282817</v>
      </c>
      <c r="O70" s="188">
        <f>1000000*O22/SER_summary!O$8</f>
        <v>230.93289004389419</v>
      </c>
      <c r="P70" s="188">
        <f>1000000*P22/SER_summary!P$8</f>
        <v>240.23932971028088</v>
      </c>
      <c r="Q70" s="188">
        <f>1000000*Q22/SER_summary!Q$8</f>
        <v>250.7003316663473</v>
      </c>
      <c r="R70" s="188">
        <f>1000000*R22/SER_summary!R$8</f>
        <v>256.28466509972367</v>
      </c>
      <c r="S70" s="188">
        <f>1000000*S22/SER_summary!S$8</f>
        <v>261.9485913165949</v>
      </c>
      <c r="T70" s="188">
        <f>1000000*T22/SER_summary!T$8</f>
        <v>267.3566029826186</v>
      </c>
      <c r="U70" s="188">
        <f>1000000*U22/SER_summary!U$8</f>
        <v>272.30352086196757</v>
      </c>
      <c r="V70" s="188">
        <f>1000000*V22/SER_summary!V$8</f>
        <v>276.40696590185655</v>
      </c>
      <c r="W70" s="188">
        <f>1000000*W22/SER_summary!W$8</f>
        <v>279.1403777598527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3.0666442777349864E-2</v>
      </c>
      <c r="C71" s="188">
        <f>1000*C23/SER_summary!C$3</f>
        <v>3.1024836967959206E-2</v>
      </c>
      <c r="D71" s="188">
        <f>1000*D23/SER_summary!D$3</f>
        <v>3.1589795374092768E-2</v>
      </c>
      <c r="E71" s="188">
        <f>1000*E23/SER_summary!E$3</f>
        <v>3.2090918227836586E-2</v>
      </c>
      <c r="F71" s="188">
        <f>1000*F23/SER_summary!F$3</f>
        <v>3.2696568239619882E-2</v>
      </c>
      <c r="G71" s="188">
        <f>1000*G23/SER_summary!G$3</f>
        <v>3.3478316883680165E-2</v>
      </c>
      <c r="H71" s="188">
        <f>1000*H23/SER_summary!H$3</f>
        <v>3.3721192670016602E-2</v>
      </c>
      <c r="I71" s="188">
        <f>1000*I23/SER_summary!I$3</f>
        <v>3.4276735886068263E-2</v>
      </c>
      <c r="J71" s="188">
        <f>1000*J23/SER_summary!J$3</f>
        <v>3.4903568960170682E-2</v>
      </c>
      <c r="K71" s="188">
        <f>1000*K23/SER_summary!K$3</f>
        <v>3.5381207348199765E-2</v>
      </c>
      <c r="L71" s="188">
        <f>1000*L23/SER_summary!L$3</f>
        <v>3.5879174495749726E-2</v>
      </c>
      <c r="M71" s="188">
        <f>1000*M23/SER_summary!M$3</f>
        <v>3.6107022776739037E-2</v>
      </c>
      <c r="N71" s="188">
        <f>1000*N23/SER_summary!N$3</f>
        <v>3.6419729883307612E-2</v>
      </c>
      <c r="O71" s="188">
        <f>1000*O23/SER_summary!O$3</f>
        <v>3.6849074541454432E-2</v>
      </c>
      <c r="P71" s="188">
        <f>1000*P23/SER_summary!P$3</f>
        <v>3.7446533354211956E-2</v>
      </c>
      <c r="Q71" s="188">
        <f>1000*Q23/SER_summary!Q$3</f>
        <v>3.7864976936059634E-2</v>
      </c>
      <c r="R71" s="188">
        <f>1000*R23/SER_summary!R$3</f>
        <v>3.7883181383041996E-2</v>
      </c>
      <c r="S71" s="188">
        <f>1000*S23/SER_summary!S$3</f>
        <v>3.828461421756927E-2</v>
      </c>
      <c r="T71" s="188">
        <f>1000*T23/SER_summary!T$3</f>
        <v>3.8646208994192528E-2</v>
      </c>
      <c r="U71" s="188">
        <f>1000*U23/SER_summary!U$3</f>
        <v>3.9035820306341874E-2</v>
      </c>
      <c r="V71" s="188">
        <f>1000*V23/SER_summary!V$3</f>
        <v>3.9430102836673205E-2</v>
      </c>
      <c r="W71" s="188">
        <f>1000*W23/SER_summary!W$3</f>
        <v>3.9932274861612153E-2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128.5988856369199</v>
      </c>
      <c r="C72" s="188">
        <f>1000000*C24/SER_summary!C$8</f>
        <v>138.82050759253184</v>
      </c>
      <c r="D72" s="188">
        <f>1000000*D24/SER_summary!D$8</f>
        <v>148.60795609723331</v>
      </c>
      <c r="E72" s="188">
        <f>1000000*E24/SER_summary!E$8</f>
        <v>156.43694544962409</v>
      </c>
      <c r="F72" s="188">
        <f>1000000*F24/SER_summary!F$8</f>
        <v>165.61370754336357</v>
      </c>
      <c r="G72" s="188">
        <f>1000000*G24/SER_summary!G$8</f>
        <v>172.36627475770263</v>
      </c>
      <c r="H72" s="188">
        <f>1000000*H24/SER_summary!H$8</f>
        <v>177.23493997238543</v>
      </c>
      <c r="I72" s="188">
        <f>1000000*I24/SER_summary!I$8</f>
        <v>181.75794128926879</v>
      </c>
      <c r="J72" s="188">
        <f>1000000*J24/SER_summary!J$8</f>
        <v>186.63140669465793</v>
      </c>
      <c r="K72" s="188">
        <f>1000000*K24/SER_summary!K$8</f>
        <v>191.10158420381327</v>
      </c>
      <c r="L72" s="188">
        <f>1000000*L24/SER_summary!L$8</f>
        <v>194.26649682223265</v>
      </c>
      <c r="M72" s="188">
        <f>1000000*M24/SER_summary!M$8</f>
        <v>196.220056674305</v>
      </c>
      <c r="N72" s="188">
        <f>1000000*N24/SER_summary!N$8</f>
        <v>198.59329646072575</v>
      </c>
      <c r="O72" s="188">
        <f>1000000*O24/SER_summary!O$8</f>
        <v>200.46036245962247</v>
      </c>
      <c r="P72" s="188">
        <f>1000000*P24/SER_summary!P$8</f>
        <v>201.70339870281742</v>
      </c>
      <c r="Q72" s="188">
        <f>1000000*Q24/SER_summary!Q$8</f>
        <v>203.12504023161645</v>
      </c>
      <c r="R72" s="188">
        <f>1000000*R24/SER_summary!R$8</f>
        <v>206.71264577299729</v>
      </c>
      <c r="S72" s="188">
        <f>1000000*S24/SER_summary!S$8</f>
        <v>210.29610015541036</v>
      </c>
      <c r="T72" s="188">
        <f>1000000*T24/SER_summary!T$8</f>
        <v>213.89735772304289</v>
      </c>
      <c r="U72" s="188">
        <f>1000000*U24/SER_summary!U$8</f>
        <v>217.52973408951138</v>
      </c>
      <c r="V72" s="188">
        <f>1000000*V24/SER_summary!V$8</f>
        <v>221.21801438341748</v>
      </c>
      <c r="W72" s="188">
        <f>1000000*W24/SER_summary!W$8</f>
        <v>224.9236639292449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0.60421372757301584</v>
      </c>
      <c r="C73" s="52">
        <f>1000*C25/SER_summary!C$3</f>
        <v>0.69792380422867539</v>
      </c>
      <c r="D73" s="52">
        <f>1000*D25/SER_summary!D$3</f>
        <v>0.77546994824115134</v>
      </c>
      <c r="E73" s="52">
        <f>1000*E25/SER_summary!E$3</f>
        <v>0.84860089127719773</v>
      </c>
      <c r="F73" s="52">
        <f>1000*F25/SER_summary!F$3</f>
        <v>0.92542695342540338</v>
      </c>
      <c r="G73" s="52">
        <f>1000*G25/SER_summary!G$3</f>
        <v>0.98201886745382194</v>
      </c>
      <c r="H73" s="52">
        <f>1000*H25/SER_summary!H$3</f>
        <v>1.0647897341427852</v>
      </c>
      <c r="I73" s="52">
        <f>1000*I25/SER_summary!I$3</f>
        <v>1.1504785838336264</v>
      </c>
      <c r="J73" s="52">
        <f>1000*J25/SER_summary!J$3</f>
        <v>1.2184873024963641</v>
      </c>
      <c r="K73" s="52">
        <f>1000*K25/SER_summary!K$3</f>
        <v>1.2844132249713605</v>
      </c>
      <c r="L73" s="52">
        <f>1000*L25/SER_summary!L$3</f>
        <v>1.3752960355650858</v>
      </c>
      <c r="M73" s="52">
        <f>1000*M25/SER_summary!M$3</f>
        <v>1.3795271528092767</v>
      </c>
      <c r="N73" s="52">
        <f>1000*N25/SER_summary!N$3</f>
        <v>1.5114664461864911</v>
      </c>
      <c r="O73" s="52">
        <f>1000*O25/SER_summary!O$3</f>
        <v>1.6743464248417637</v>
      </c>
      <c r="P73" s="52">
        <f>1000*P25/SER_summary!P$3</f>
        <v>1.8275483299728286</v>
      </c>
      <c r="Q73" s="52">
        <f>1000*Q25/SER_summary!Q$3</f>
        <v>2.0234455610037183</v>
      </c>
      <c r="R73" s="52">
        <f>1000*R25/SER_summary!R$3</f>
        <v>2.1081103031574555</v>
      </c>
      <c r="S73" s="52">
        <f>1000*S25/SER_summary!S$3</f>
        <v>2.3292584257348863</v>
      </c>
      <c r="T73" s="52">
        <f>1000*T25/SER_summary!T$3</f>
        <v>2.4496373250434362</v>
      </c>
      <c r="U73" s="52">
        <f>1000*U25/SER_summary!U$3</f>
        <v>2.619133129380792</v>
      </c>
      <c r="V73" s="52">
        <f>1000*V25/SER_summary!V$3</f>
        <v>3.0132409568513832</v>
      </c>
      <c r="W73" s="52">
        <f>1000*W25/SER_summary!W$3</f>
        <v>3.0731013956707027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56.292327701601479</v>
      </c>
      <c r="C3" s="199">
        <f>'SER_se-appl'!C4</f>
        <v>56.893507883358332</v>
      </c>
      <c r="D3" s="199">
        <f>'SER_se-appl'!D4</f>
        <v>57.326019059842842</v>
      </c>
      <c r="E3" s="199">
        <f>'SER_se-appl'!E4</f>
        <v>57.806969310768373</v>
      </c>
      <c r="F3" s="199">
        <f>'SER_se-appl'!F4</f>
        <v>58.453421245193027</v>
      </c>
      <c r="G3" s="199">
        <f>'SER_se-appl'!G4</f>
        <v>59.120994189848552</v>
      </c>
      <c r="H3" s="199">
        <f>'SER_se-appl'!H4</f>
        <v>60.08510977000978</v>
      </c>
      <c r="I3" s="199">
        <f>'SER_se-appl'!I4</f>
        <v>60.910366443312185</v>
      </c>
      <c r="J3" s="199">
        <f>'SER_se-appl'!J4</f>
        <v>61.655501600853157</v>
      </c>
      <c r="K3" s="199">
        <f>'SER_se-appl'!K4</f>
        <v>62.35352098734883</v>
      </c>
      <c r="L3" s="199">
        <f>'SER_se-appl'!L4</f>
        <v>63.06283167978264</v>
      </c>
      <c r="M3" s="199">
        <f>'SER_se-appl'!M4</f>
        <v>63.492705290337817</v>
      </c>
      <c r="N3" s="199">
        <f>'SER_se-appl'!N4</f>
        <v>63.611416551402698</v>
      </c>
      <c r="O3" s="199">
        <f>'SER_se-appl'!O4</f>
        <v>64.022016470911254</v>
      </c>
      <c r="P3" s="199">
        <f>'SER_se-appl'!P4</f>
        <v>64.230586350960323</v>
      </c>
      <c r="Q3" s="199">
        <f>'SER_se-appl'!Q4</f>
        <v>64.501803141025789</v>
      </c>
      <c r="R3" s="199">
        <f>'SER_se-appl'!R4</f>
        <v>64.394316618864039</v>
      </c>
      <c r="S3" s="199">
        <f>'SER_se-appl'!S4</f>
        <v>64.321774093294749</v>
      </c>
      <c r="T3" s="199">
        <f>'SER_se-appl'!T4</f>
        <v>64.075189518263031</v>
      </c>
      <c r="U3" s="199">
        <f>'SER_se-appl'!U4</f>
        <v>64.267563640020072</v>
      </c>
      <c r="V3" s="199">
        <f>'SER_se-appl'!V4</f>
        <v>64.495374869584367</v>
      </c>
      <c r="W3" s="199">
        <f>'SER_se-appl'!W4</f>
        <v>64.737536461961156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74.735133695162688</v>
      </c>
      <c r="C5" s="59">
        <f>'SER_se-appl'!C12</f>
        <v>75.533275877107044</v>
      </c>
      <c r="D5" s="59">
        <f>'SER_se-appl'!D12</f>
        <v>76.107488774654371</v>
      </c>
      <c r="E5" s="59">
        <f>'SER_se-appl'!E12</f>
        <v>76.746010626054357</v>
      </c>
      <c r="F5" s="59">
        <f>'SER_se-appl'!F12</f>
        <v>77.60425674447427</v>
      </c>
      <c r="G5" s="59">
        <f>'SER_se-appl'!G12</f>
        <v>78.490543656157385</v>
      </c>
      <c r="H5" s="59">
        <f>'SER_se-appl'!H12</f>
        <v>79.770528153563177</v>
      </c>
      <c r="I5" s="59">
        <f>'SER_se-appl'!I12</f>
        <v>80.866160015493264</v>
      </c>
      <c r="J5" s="59">
        <f>'SER_se-appl'!J12</f>
        <v>81.855420504329018</v>
      </c>
      <c r="K5" s="59">
        <f>'SER_se-appl'!K12</f>
        <v>82.782128890738235</v>
      </c>
      <c r="L5" s="59">
        <f>'SER_se-appl'!L12</f>
        <v>83.72382790363838</v>
      </c>
      <c r="M5" s="59">
        <f>'SER_se-appl'!M12</f>
        <v>84.294539101213317</v>
      </c>
      <c r="N5" s="59">
        <f>'SER_se-appl'!N12</f>
        <v>84.452143206942182</v>
      </c>
      <c r="O5" s="59">
        <f>'SER_se-appl'!O12</f>
        <v>84.997266159440386</v>
      </c>
      <c r="P5" s="59">
        <f>'SER_se-appl'!P12</f>
        <v>85.274168865487269</v>
      </c>
      <c r="Q5" s="59">
        <f>'SER_se-appl'!Q12</f>
        <v>85.634243211202019</v>
      </c>
      <c r="R5" s="59">
        <f>'SER_se-appl'!R12</f>
        <v>85.491541355866289</v>
      </c>
      <c r="S5" s="59">
        <f>'SER_se-appl'!S12</f>
        <v>85.395232043951793</v>
      </c>
      <c r="T5" s="59">
        <f>'SER_se-appl'!T12</f>
        <v>85.067860056780717</v>
      </c>
      <c r="U5" s="59">
        <f>'SER_se-appl'!U12</f>
        <v>85.323260859980977</v>
      </c>
      <c r="V5" s="59">
        <f>'SER_se-appl'!V12</f>
        <v>85.625708873660528</v>
      </c>
      <c r="W5" s="59">
        <f>'SER_se-appl'!W12</f>
        <v>85.947208795959838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715.04764303395518</v>
      </c>
      <c r="C6" s="202">
        <f>'SER_se-appl'!C68</f>
        <v>718.08693499855258</v>
      </c>
      <c r="D6" s="202">
        <f>'SER_se-appl'!D68</f>
        <v>720.14362793553778</v>
      </c>
      <c r="E6" s="202">
        <f>'SER_se-appl'!E68</f>
        <v>724.51670490196989</v>
      </c>
      <c r="F6" s="202">
        <f>'SER_se-appl'!F68</f>
        <v>729.4269840031576</v>
      </c>
      <c r="G6" s="202">
        <f>'SER_se-appl'!G68</f>
        <v>736.15012521231893</v>
      </c>
      <c r="H6" s="202">
        <f>'SER_se-appl'!H68</f>
        <v>744.43408228716544</v>
      </c>
      <c r="I6" s="202">
        <f>'SER_se-appl'!I68</f>
        <v>751.6698655713418</v>
      </c>
      <c r="J6" s="202">
        <f>'SER_se-appl'!J68</f>
        <v>762.36322558269774</v>
      </c>
      <c r="K6" s="202">
        <f>'SER_se-appl'!K68</f>
        <v>771.85468899857926</v>
      </c>
      <c r="L6" s="202">
        <f>'SER_se-appl'!L68</f>
        <v>780.20509485900959</v>
      </c>
      <c r="M6" s="202">
        <f>'SER_se-appl'!M68</f>
        <v>787.60103893350743</v>
      </c>
      <c r="N6" s="202">
        <f>'SER_se-appl'!N68</f>
        <v>792.78247241539032</v>
      </c>
      <c r="O6" s="202">
        <f>'SER_se-appl'!O68</f>
        <v>797.95177294017901</v>
      </c>
      <c r="P6" s="202">
        <f>'SER_se-appl'!P68</f>
        <v>804.46538852295646</v>
      </c>
      <c r="Q6" s="202">
        <f>'SER_se-appl'!Q68</f>
        <v>810.87745322469448</v>
      </c>
      <c r="R6" s="202">
        <f>'SER_se-appl'!R68</f>
        <v>813.42626171709696</v>
      </c>
      <c r="S6" s="202">
        <f>'SER_se-appl'!S68</f>
        <v>815.95476109951358</v>
      </c>
      <c r="T6" s="202">
        <f>'SER_se-appl'!T68</f>
        <v>818.57036069891353</v>
      </c>
      <c r="U6" s="202">
        <f>'SER_se-appl'!U68</f>
        <v>821.33820575876007</v>
      </c>
      <c r="V6" s="202">
        <f>'SER_se-appl'!V68</f>
        <v>824.37955492196249</v>
      </c>
      <c r="W6" s="202">
        <f>'SER_se-appl'!W68</f>
        <v>827.82886411051902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116.33474292689115</v>
      </c>
      <c r="C8" s="34">
        <f>'SER_se-appl'!C20</f>
        <v>118.30128211546143</v>
      </c>
      <c r="D8" s="34">
        <f>'SER_se-appl'!D20</f>
        <v>119.96161924516775</v>
      </c>
      <c r="E8" s="34">
        <f>'SER_se-appl'!E20</f>
        <v>121.82489436440588</v>
      </c>
      <c r="F8" s="34">
        <f>'SER_se-appl'!F20</f>
        <v>124.17811369459315</v>
      </c>
      <c r="G8" s="34">
        <f>'SER_se-appl'!G20</f>
        <v>126.67820974161714</v>
      </c>
      <c r="H8" s="34">
        <f>'SER_se-appl'!H20</f>
        <v>130.01562115078812</v>
      </c>
      <c r="I8" s="34">
        <f>'SER_se-appl'!I20</f>
        <v>133.13000829210139</v>
      </c>
      <c r="J8" s="34">
        <f>'SER_se-appl'!J20</f>
        <v>136.16596071733204</v>
      </c>
      <c r="K8" s="34">
        <f>'SER_se-appl'!K20</f>
        <v>139.2093616573213</v>
      </c>
      <c r="L8" s="34">
        <f>'SER_se-appl'!L20</f>
        <v>142.41772406763863</v>
      </c>
      <c r="M8" s="34">
        <f>'SER_se-appl'!M20</f>
        <v>145.0924405927145</v>
      </c>
      <c r="N8" s="34">
        <f>'SER_se-appl'!N20</f>
        <v>147.16715291750305</v>
      </c>
      <c r="O8" s="34">
        <f>'SER_se-appl'!O20</f>
        <v>150.23647554390507</v>
      </c>
      <c r="P8" s="34">
        <f>'SER_se-appl'!P20</f>
        <v>153.0513034762044</v>
      </c>
      <c r="Q8" s="34">
        <f>'SER_se-appl'!Q20</f>
        <v>156.32962840402183</v>
      </c>
      <c r="R8" s="34">
        <f>'SER_se-appl'!R20</f>
        <v>158.69944403618939</v>
      </c>
      <c r="S8" s="34">
        <f>'SER_se-appl'!S20</f>
        <v>161.34767394278271</v>
      </c>
      <c r="T8" s="34">
        <f>'SER_se-appl'!T20</f>
        <v>163.68342049600608</v>
      </c>
      <c r="U8" s="34">
        <f>'SER_se-appl'!U20</f>
        <v>165.93921923922281</v>
      </c>
      <c r="V8" s="34">
        <f>'SER_se-appl'!V20</f>
        <v>168.25227744459951</v>
      </c>
      <c r="W8" s="34">
        <f>'SER_se-appl'!W20</f>
        <v>170.64081071396842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7.0123640520126997</v>
      </c>
      <c r="D9" s="36">
        <f>'SER_se-appl'!D28</f>
        <v>6.8488861481342695</v>
      </c>
      <c r="E9" s="36">
        <f>'SER_se-appl'!E28</f>
        <v>7.198585330196039</v>
      </c>
      <c r="F9" s="36">
        <f>'SER_se-appl'!F28</f>
        <v>7.8394419612257309</v>
      </c>
      <c r="G9" s="36">
        <f>'SER_se-appl'!G28</f>
        <v>8.1414997456319043</v>
      </c>
      <c r="H9" s="36">
        <f>'SER_se-appl'!H28</f>
        <v>9.1383855640683294</v>
      </c>
      <c r="I9" s="36">
        <f>'SER_se-appl'!I28</f>
        <v>9.0794452976885935</v>
      </c>
      <c r="J9" s="36">
        <f>'SER_se-appl'!J28</f>
        <v>9.1697357965805253</v>
      </c>
      <c r="K9" s="36">
        <f>'SER_se-appl'!K28</f>
        <v>9.3506820192922646</v>
      </c>
      <c r="L9" s="36">
        <f>'SER_se-appl'!L28</f>
        <v>9.6940486833522641</v>
      </c>
      <c r="M9" s="36">
        <f>'SER_se-appl'!M28</f>
        <v>9.3438542887732581</v>
      </c>
      <c r="N9" s="36">
        <f>'SER_se-appl'!N28</f>
        <v>8.9324906135866229</v>
      </c>
      <c r="O9" s="36">
        <f>'SER_se-appl'!O28</f>
        <v>10.121077249661909</v>
      </c>
      <c r="P9" s="36">
        <f>'SER_se-appl'!P28</f>
        <v>10.066045625921021</v>
      </c>
      <c r="Q9" s="36">
        <f>'SER_se-appl'!Q28</f>
        <v>10.734647623286577</v>
      </c>
      <c r="R9" s="36">
        <f>'SER_se-appl'!R28</f>
        <v>10.037044846354888</v>
      </c>
      <c r="S9" s="36">
        <f>'SER_se-appl'!S28</f>
        <v>10.532331255722085</v>
      </c>
      <c r="T9" s="36">
        <f>'SER_se-appl'!T28</f>
        <v>10.442854394517042</v>
      </c>
      <c r="U9" s="36">
        <f>'SER_se-appl'!U28</f>
        <v>9.268162795229415</v>
      </c>
      <c r="V9" s="36">
        <f>'SER_se-appl'!V28</f>
        <v>9.161944353510961</v>
      </c>
      <c r="W9" s="36">
        <f>'SER_se-appl'!W28</f>
        <v>9.5871185995649455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5.0458248634424194</v>
      </c>
      <c r="D10" s="38">
        <f>'SER_se-appl'!D36</f>
        <v>5.188549018427949</v>
      </c>
      <c r="E10" s="38">
        <f>'SER_se-appl'!E36</f>
        <v>5.335310210957914</v>
      </c>
      <c r="F10" s="38">
        <f>'SER_se-appl'!F36</f>
        <v>5.4862226310384585</v>
      </c>
      <c r="G10" s="38">
        <f>'SER_se-appl'!G36</f>
        <v>5.6414036986079168</v>
      </c>
      <c r="H10" s="38">
        <f>'SER_se-appl'!H36</f>
        <v>5.8009741548973466</v>
      </c>
      <c r="I10" s="38">
        <f>'SER_se-appl'!I36</f>
        <v>5.9650581563753065</v>
      </c>
      <c r="J10" s="38">
        <f>'SER_se-appl'!J36</f>
        <v>6.133783371349864</v>
      </c>
      <c r="K10" s="38">
        <f>'SER_se-appl'!K36</f>
        <v>6.3072810793030101</v>
      </c>
      <c r="L10" s="38">
        <f>'SER_se-appl'!L36</f>
        <v>6.4856862730349292</v>
      </c>
      <c r="M10" s="38">
        <f>'SER_se-appl'!M36</f>
        <v>6.6691377636973925</v>
      </c>
      <c r="N10" s="38">
        <f>'SER_se-appl'!N36</f>
        <v>6.8577782887980732</v>
      </c>
      <c r="O10" s="38">
        <f>'SER_se-appl'!O36</f>
        <v>7.0517546232598818</v>
      </c>
      <c r="P10" s="38">
        <f>'SER_se-appl'!P36</f>
        <v>7.2512176936216974</v>
      </c>
      <c r="Q10" s="38">
        <f>'SER_se-appl'!Q36</f>
        <v>7.4563226954691402</v>
      </c>
      <c r="R10" s="38">
        <f>'SER_se-appl'!R36</f>
        <v>7.6672292141873299</v>
      </c>
      <c r="S10" s="38">
        <f>'SER_se-appl'!S36</f>
        <v>7.8841013491287697</v>
      </c>
      <c r="T10" s="38">
        <f>'SER_se-appl'!T36</f>
        <v>8.1071078412936686</v>
      </c>
      <c r="U10" s="38">
        <f>'SER_se-appl'!U36</f>
        <v>7.0123640520126855</v>
      </c>
      <c r="V10" s="38">
        <f>'SER_se-appl'!V36</f>
        <v>6.8488861481342553</v>
      </c>
      <c r="W10" s="38">
        <f>'SER_se-appl'!W36</f>
        <v>7.198585330196039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8760.0000000000018</v>
      </c>
      <c r="C12" s="205">
        <f>'SER_se-appl'!C44</f>
        <v>8759.9999999999964</v>
      </c>
      <c r="D12" s="205">
        <f>'SER_se-appl'!D44</f>
        <v>8760</v>
      </c>
      <c r="E12" s="205">
        <f>'SER_se-appl'!E44</f>
        <v>8760</v>
      </c>
      <c r="F12" s="205">
        <f>'SER_se-appl'!F44</f>
        <v>8760.0000000000036</v>
      </c>
      <c r="G12" s="205">
        <f>'SER_se-appl'!G44</f>
        <v>8760</v>
      </c>
      <c r="H12" s="205">
        <f>'SER_se-appl'!H44</f>
        <v>8760.0000000000036</v>
      </c>
      <c r="I12" s="205">
        <f>'SER_se-appl'!I44</f>
        <v>8759.9999999999964</v>
      </c>
      <c r="J12" s="205">
        <f>'SER_se-appl'!J44</f>
        <v>8760</v>
      </c>
      <c r="K12" s="205">
        <f>'SER_se-appl'!K44</f>
        <v>8760</v>
      </c>
      <c r="L12" s="205">
        <f>'SER_se-appl'!L44</f>
        <v>8759.9999999999982</v>
      </c>
      <c r="M12" s="205">
        <f>'SER_se-appl'!M44</f>
        <v>8760.0000000000018</v>
      </c>
      <c r="N12" s="205">
        <f>'SER_se-appl'!N44</f>
        <v>8759.9999999999982</v>
      </c>
      <c r="O12" s="205">
        <f>'SER_se-appl'!O44</f>
        <v>8760.0000000000018</v>
      </c>
      <c r="P12" s="205">
        <f>'SER_se-appl'!P44</f>
        <v>8760.0000000000018</v>
      </c>
      <c r="Q12" s="205">
        <f>'SER_se-appl'!Q44</f>
        <v>8760.0000000000018</v>
      </c>
      <c r="R12" s="205">
        <f>'SER_se-appl'!R44</f>
        <v>8760</v>
      </c>
      <c r="S12" s="205">
        <f>'SER_se-appl'!S44</f>
        <v>8760.0000000000018</v>
      </c>
      <c r="T12" s="205">
        <f>'SER_se-appl'!T44</f>
        <v>8760</v>
      </c>
      <c r="U12" s="205">
        <f>'SER_se-appl'!U44</f>
        <v>8760.0000000000018</v>
      </c>
      <c r="V12" s="205">
        <f>'SER_se-appl'!V44</f>
        <v>8760</v>
      </c>
      <c r="W12" s="205">
        <f>'SER_se-appl'!W44</f>
        <v>8760.0000000000018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0.64241456863947233</v>
      </c>
      <c r="C14" s="59">
        <f>'SER_se-appl'!C52</f>
        <v>0.63848230996674205</v>
      </c>
      <c r="D14" s="59">
        <f>'SER_se-appl'!D52</f>
        <v>0.63443198961087799</v>
      </c>
      <c r="E14" s="59">
        <f>'SER_se-appl'!E52</f>
        <v>0.62996985161743413</v>
      </c>
      <c r="F14" s="59">
        <f>'SER_se-appl'!F52</f>
        <v>0.62494311143537074</v>
      </c>
      <c r="G14" s="59">
        <f>'SER_se-appl'!G52</f>
        <v>0.61960572237524425</v>
      </c>
      <c r="H14" s="59">
        <f>'SER_se-appl'!H52</f>
        <v>0.61354572202556934</v>
      </c>
      <c r="I14" s="59">
        <f>'SER_se-appl'!I52</f>
        <v>0.60742248162461099</v>
      </c>
      <c r="J14" s="59">
        <f>'SER_se-appl'!J52</f>
        <v>0.60114451565654736</v>
      </c>
      <c r="K14" s="59">
        <f>'SER_se-appl'!K52</f>
        <v>0.59465920901580804</v>
      </c>
      <c r="L14" s="59">
        <f>'SER_se-appl'!L52</f>
        <v>0.58787505875234547</v>
      </c>
      <c r="M14" s="59">
        <f>'SER_se-appl'!M52</f>
        <v>0.58097126739934368</v>
      </c>
      <c r="N14" s="59">
        <f>'SER_se-appl'!N52</f>
        <v>0.57385185167156971</v>
      </c>
      <c r="O14" s="59">
        <f>'SER_se-appl'!O52</f>
        <v>0.56575652385163155</v>
      </c>
      <c r="P14" s="59">
        <f>'SER_se-appl'!P52</f>
        <v>0.55716068356611703</v>
      </c>
      <c r="Q14" s="59">
        <f>'SER_se-appl'!Q52</f>
        <v>0.54777999593197357</v>
      </c>
      <c r="R14" s="59">
        <f>'SER_se-appl'!R52</f>
        <v>0.53870095056143374</v>
      </c>
      <c r="S14" s="59">
        <f>'SER_se-appl'!S52</f>
        <v>0.52926224442649694</v>
      </c>
      <c r="T14" s="59">
        <f>'SER_se-appl'!T52</f>
        <v>0.51970969203234851</v>
      </c>
      <c r="U14" s="59">
        <f>'SER_se-appl'!U52</f>
        <v>0.51418381532202151</v>
      </c>
      <c r="V14" s="59">
        <f>'SER_se-appl'!V52</f>
        <v>0.50891262914318969</v>
      </c>
      <c r="W14" s="59">
        <f>'SER_se-appl'!W52</f>
        <v>0.50367323289401322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0.57607585046352394</v>
      </c>
      <c r="D15" s="63">
        <f>'SER_se-appl'!D60</f>
        <v>0.57051793424101249</v>
      </c>
      <c r="E15" s="63">
        <f>'SER_se-appl'!E60</f>
        <v>0.56483359891207741</v>
      </c>
      <c r="F15" s="63">
        <f>'SER_se-appl'!F60</f>
        <v>0.55905452008899681</v>
      </c>
      <c r="G15" s="63">
        <f>'SER_se-appl'!G60</f>
        <v>0.55400196231233634</v>
      </c>
      <c r="H15" s="63">
        <f>'SER_se-appl'!H60</f>
        <v>0.54786644442960197</v>
      </c>
      <c r="I15" s="63">
        <f>'SER_se-appl'!I60</f>
        <v>0.54272832346066024</v>
      </c>
      <c r="J15" s="63">
        <f>'SER_se-appl'!J60</f>
        <v>0.53760461553404504</v>
      </c>
      <c r="K15" s="63">
        <f>'SER_se-appl'!K60</f>
        <v>0.53243149857794059</v>
      </c>
      <c r="L15" s="63">
        <f>'SER_se-appl'!L60</f>
        <v>0.52694168651073581</v>
      </c>
      <c r="M15" s="63">
        <f>'SER_se-appl'!M60</f>
        <v>0.51959954716665691</v>
      </c>
      <c r="N15" s="63">
        <f>'SER_se-appl'!N60</f>
        <v>0.51084753226737445</v>
      </c>
      <c r="O15" s="63">
        <f>'SER_se-appl'!O60</f>
        <v>0.50145579682445984</v>
      </c>
      <c r="P15" s="63">
        <f>'SER_se-appl'!P60</f>
        <v>0.49028096794009929</v>
      </c>
      <c r="Q15" s="63">
        <f>'SER_se-appl'!Q60</f>
        <v>0.47976653305220357</v>
      </c>
      <c r="R15" s="63">
        <f>'SER_se-appl'!R60</f>
        <v>0.47651853370898578</v>
      </c>
      <c r="S15" s="63">
        <f>'SER_se-appl'!S60</f>
        <v>0.47174287769354128</v>
      </c>
      <c r="T15" s="63">
        <f>'SER_se-appl'!T60</f>
        <v>0.46737721462150061</v>
      </c>
      <c r="U15" s="63">
        <f>'SER_se-appl'!U60</f>
        <v>0.46342025740356063</v>
      </c>
      <c r="V15" s="63">
        <f>'SER_se-appl'!V60</f>
        <v>0.45949421087148906</v>
      </c>
      <c r="W15" s="63">
        <f>'SER_se-appl'!W60</f>
        <v>0.4576456143589086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141.66228267170061</v>
      </c>
      <c r="C3" s="199">
        <f>'SER_se-appl'!C5</f>
        <v>141.91234641061362</v>
      </c>
      <c r="D3" s="199">
        <f>'SER_se-appl'!D5</f>
        <v>142.4553033922875</v>
      </c>
      <c r="E3" s="199">
        <f>'SER_se-appl'!E5</f>
        <v>143.25370861279069</v>
      </c>
      <c r="F3" s="199">
        <f>'SER_se-appl'!F5</f>
        <v>143.36684814056855</v>
      </c>
      <c r="G3" s="199">
        <f>'SER_se-appl'!G5</f>
        <v>143.48914697769885</v>
      </c>
      <c r="H3" s="199">
        <f>'SER_se-appl'!H5</f>
        <v>143.05945335108345</v>
      </c>
      <c r="I3" s="199">
        <f>'SER_se-appl'!I5</f>
        <v>142.69807868937477</v>
      </c>
      <c r="J3" s="199">
        <f>'SER_se-appl'!J5</f>
        <v>143.67111523589173</v>
      </c>
      <c r="K3" s="199">
        <f>'SER_se-appl'!K5</f>
        <v>145.51806129364661</v>
      </c>
      <c r="L3" s="199">
        <f>'SER_se-appl'!L5</f>
        <v>147.38281845257413</v>
      </c>
      <c r="M3" s="199">
        <f>'SER_se-appl'!M5</f>
        <v>150.06049733607122</v>
      </c>
      <c r="N3" s="199">
        <f>'SER_se-appl'!N5</f>
        <v>152.86234217641666</v>
      </c>
      <c r="O3" s="199">
        <f>'SER_se-appl'!O5</f>
        <v>156.3988449940814</v>
      </c>
      <c r="P3" s="199">
        <f>'SER_se-appl'!P5</f>
        <v>159.33561437986552</v>
      </c>
      <c r="Q3" s="199">
        <f>'SER_se-appl'!Q5</f>
        <v>163.24230623821245</v>
      </c>
      <c r="R3" s="199">
        <f>'SER_se-appl'!R5</f>
        <v>166.25994623773181</v>
      </c>
      <c r="S3" s="199">
        <f>'SER_se-appl'!S5</f>
        <v>161.56702331273334</v>
      </c>
      <c r="T3" s="199">
        <f>'SER_se-appl'!T5</f>
        <v>159.23900544960478</v>
      </c>
      <c r="U3" s="199">
        <f>'SER_se-appl'!U5</f>
        <v>156.77569920502157</v>
      </c>
      <c r="V3" s="199">
        <f>'SER_se-appl'!V5</f>
        <v>152.30203996302464</v>
      </c>
      <c r="W3" s="199">
        <f>'SER_se-appl'!W5</f>
        <v>148.07703872972323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402.60104997386151</v>
      </c>
      <c r="C5" s="59">
        <f>'SER_se-appl'!C13</f>
        <v>402.94948492443626</v>
      </c>
      <c r="D5" s="59">
        <f>'SER_se-appl'!D13</f>
        <v>404.34154046635905</v>
      </c>
      <c r="E5" s="59">
        <f>'SER_se-appl'!E13</f>
        <v>406.27287439635381</v>
      </c>
      <c r="F5" s="59">
        <f>'SER_se-appl'!F13</f>
        <v>406.43551781655839</v>
      </c>
      <c r="G5" s="59">
        <f>'SER_se-appl'!G13</f>
        <v>406.65585920062745</v>
      </c>
      <c r="H5" s="59">
        <f>'SER_se-appl'!H13</f>
        <v>405.52033350576676</v>
      </c>
      <c r="I5" s="59">
        <f>'SER_se-appl'!I13</f>
        <v>405.15681997405017</v>
      </c>
      <c r="J5" s="59">
        <f>'SER_se-appl'!J13</f>
        <v>409.15917052518023</v>
      </c>
      <c r="K5" s="59">
        <f>'SER_se-appl'!K13</f>
        <v>415.07922747267656</v>
      </c>
      <c r="L5" s="59">
        <f>'SER_se-appl'!L13</f>
        <v>421.56877021924373</v>
      </c>
      <c r="M5" s="59">
        <f>'SER_se-appl'!M13</f>
        <v>430.72877377324556</v>
      </c>
      <c r="N5" s="59">
        <f>'SER_se-appl'!N13</f>
        <v>440.98666099409058</v>
      </c>
      <c r="O5" s="59">
        <f>'SER_se-appl'!O13</f>
        <v>454.47141232801908</v>
      </c>
      <c r="P5" s="59">
        <f>'SER_se-appl'!P13</f>
        <v>466.39440219889468</v>
      </c>
      <c r="Q5" s="59">
        <f>'SER_se-appl'!Q13</f>
        <v>483.12766708191623</v>
      </c>
      <c r="R5" s="59">
        <f>'SER_se-appl'!R13</f>
        <v>482.64469373886595</v>
      </c>
      <c r="S5" s="59">
        <f>'SER_se-appl'!S13</f>
        <v>480.91871998898461</v>
      </c>
      <c r="T5" s="59">
        <f>'SER_se-appl'!T13</f>
        <v>475.31819797816303</v>
      </c>
      <c r="U5" s="59">
        <f>'SER_se-appl'!U13</f>
        <v>466.84100283802019</v>
      </c>
      <c r="V5" s="59">
        <f>'SER_se-appl'!V13</f>
        <v>454.67200128053457</v>
      </c>
      <c r="W5" s="59">
        <f>'SER_se-appl'!W13</f>
        <v>441.34936821413299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0.25501909606042616</v>
      </c>
      <c r="C6" s="202">
        <f>'SER_se-appl'!C69</f>
        <v>0.25668641493329336</v>
      </c>
      <c r="D6" s="202">
        <f>'SER_se-appl'!D69</f>
        <v>0.25922176413847997</v>
      </c>
      <c r="E6" s="202">
        <f>'SER_se-appl'!E69</f>
        <v>0.26258569802170489</v>
      </c>
      <c r="F6" s="202">
        <f>'SER_se-appl'!F69</f>
        <v>0.26533377921246143</v>
      </c>
      <c r="G6" s="202">
        <f>'SER_se-appl'!G69</f>
        <v>0.26884930519971662</v>
      </c>
      <c r="H6" s="202">
        <f>'SER_se-appl'!H69</f>
        <v>0.27197006374490351</v>
      </c>
      <c r="I6" s="202">
        <f>'SER_se-appl'!I69</f>
        <v>0.27571370119380245</v>
      </c>
      <c r="J6" s="202">
        <f>'SER_se-appl'!J69</f>
        <v>0.27975542942980763</v>
      </c>
      <c r="K6" s="202">
        <f>'SER_se-appl'!K69</f>
        <v>0.28614596490848471</v>
      </c>
      <c r="L6" s="202">
        <f>'SER_se-appl'!L69</f>
        <v>0.29322632048769615</v>
      </c>
      <c r="M6" s="202">
        <f>'SER_se-appl'!M69</f>
        <v>0.30334886903332092</v>
      </c>
      <c r="N6" s="202">
        <f>'SER_se-appl'!N69</f>
        <v>0.31626806932255619</v>
      </c>
      <c r="O6" s="202">
        <f>'SER_se-appl'!O69</f>
        <v>0.33366890950942268</v>
      </c>
      <c r="P6" s="202">
        <f>'SER_se-appl'!P69</f>
        <v>0.35188707351292553</v>
      </c>
      <c r="Q6" s="202">
        <f>'SER_se-appl'!Q69</f>
        <v>0.37471264903243384</v>
      </c>
      <c r="R6" s="202">
        <f>'SER_se-appl'!R69</f>
        <v>0.38470919575417789</v>
      </c>
      <c r="S6" s="202">
        <f>'SER_se-appl'!S69</f>
        <v>0.39429799736578058</v>
      </c>
      <c r="T6" s="202">
        <f>'SER_se-appl'!T69</f>
        <v>0.40313000121639175</v>
      </c>
      <c r="U6" s="202">
        <f>'SER_se-appl'!U69</f>
        <v>0.41167016003331658</v>
      </c>
      <c r="V6" s="202">
        <f>'SER_se-appl'!V69</f>
        <v>0.4192377326936394</v>
      </c>
      <c r="W6" s="202">
        <f>'SER_se-appl'!W69</f>
        <v>0.42642859212576067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2259.8328483263581</v>
      </c>
      <c r="C8" s="34">
        <f>'SER_se-appl'!C21</f>
        <v>2280.0920330781387</v>
      </c>
      <c r="D8" s="34">
        <f>'SER_se-appl'!D21</f>
        <v>2309.4398770955281</v>
      </c>
      <c r="E8" s="34">
        <f>'SER_se-appl'!E21</f>
        <v>2347.7230578440826</v>
      </c>
      <c r="F8" s="34">
        <f>'SER_se-appl'!F21</f>
        <v>2381.5484420639136</v>
      </c>
      <c r="G8" s="34">
        <f>'SER_se-appl'!G21</f>
        <v>2422.7064780822848</v>
      </c>
      <c r="H8" s="34">
        <f>'SER_se-appl'!H21</f>
        <v>2460.7176881880782</v>
      </c>
      <c r="I8" s="34">
        <f>'SER_se-appl'!I21</f>
        <v>2512.6498174003282</v>
      </c>
      <c r="J8" s="34">
        <f>'SER_se-appl'!J21</f>
        <v>2568.973686307575</v>
      </c>
      <c r="K8" s="34">
        <f>'SER_se-appl'!K21</f>
        <v>2648.6663438427577</v>
      </c>
      <c r="L8" s="34">
        <f>'SER_se-appl'!L21</f>
        <v>2738.9338137056548</v>
      </c>
      <c r="M8" s="34">
        <f>'SER_se-appl'!M21</f>
        <v>2856.2025108040657</v>
      </c>
      <c r="N8" s="34">
        <f>'SER_se-appl'!N21</f>
        <v>2999.1242425157484</v>
      </c>
      <c r="O8" s="34">
        <f>'SER_se-appl'!O21</f>
        <v>3188.5043966987259</v>
      </c>
      <c r="P8" s="34">
        <f>'SER_se-appl'!P21</f>
        <v>3393.9029673901691</v>
      </c>
      <c r="Q8" s="34">
        <f>'SER_se-appl'!Q21</f>
        <v>3652.4572131095392</v>
      </c>
      <c r="R8" s="34">
        <f>'SER_se-appl'!R21</f>
        <v>3789.7768274307346</v>
      </c>
      <c r="S8" s="34">
        <f>'SER_se-appl'!S21</f>
        <v>3941.0688112645739</v>
      </c>
      <c r="T8" s="34">
        <f>'SER_se-appl'!T21</f>
        <v>4079.7731697701788</v>
      </c>
      <c r="U8" s="34">
        <f>'SER_se-appl'!U21</f>
        <v>4211.4618961204351</v>
      </c>
      <c r="V8" s="34">
        <f>'SER_se-appl'!V21</f>
        <v>4329.714996551771</v>
      </c>
      <c r="W8" s="34">
        <f>'SER_se-appl'!W21</f>
        <v>4426.0281541079466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303.74262730660689</v>
      </c>
      <c r="D9" s="36">
        <f>'SER_se-appl'!D29</f>
        <v>325.03379776721454</v>
      </c>
      <c r="E9" s="36">
        <f>'SER_se-appl'!E29</f>
        <v>346.69690134189909</v>
      </c>
      <c r="F9" s="36">
        <f>'SER_se-appl'!F29</f>
        <v>355.51473687236944</v>
      </c>
      <c r="G9" s="36">
        <f>'SER_se-appl'!G29</f>
        <v>376.69446873907032</v>
      </c>
      <c r="H9" s="36">
        <f>'SER_se-appl'!H29</f>
        <v>387.99076881545534</v>
      </c>
      <c r="I9" s="36">
        <f>'SER_se-appl'!I29</f>
        <v>416.97651655771278</v>
      </c>
      <c r="J9" s="36">
        <f>'SER_se-appl'!J29</f>
        <v>360.0664962138535</v>
      </c>
      <c r="K9" s="36">
        <f>'SER_se-appl'!K29</f>
        <v>404.72645530239697</v>
      </c>
      <c r="L9" s="36">
        <f>'SER_se-appl'!L29</f>
        <v>436.96437120479641</v>
      </c>
      <c r="M9" s="36">
        <f>'SER_se-appl'!M29</f>
        <v>472.78343397078015</v>
      </c>
      <c r="N9" s="36">
        <f>'SER_se-appl'!N29</f>
        <v>519.61620045075279</v>
      </c>
      <c r="O9" s="36">
        <f>'SER_se-appl'!O29</f>
        <v>577.37092299843289</v>
      </c>
      <c r="P9" s="36">
        <f>'SER_se-appl'!P29</f>
        <v>622.37508724915597</v>
      </c>
      <c r="Q9" s="36">
        <f>'SER_se-appl'!Q29</f>
        <v>618.6207419332236</v>
      </c>
      <c r="R9" s="36">
        <f>'SER_se-appl'!R29</f>
        <v>542.0460696235923</v>
      </c>
      <c r="S9" s="36">
        <f>'SER_se-appl'!S29</f>
        <v>588.25635503863577</v>
      </c>
      <c r="T9" s="36">
        <f>'SER_se-appl'!T29</f>
        <v>611.48779247638504</v>
      </c>
      <c r="U9" s="36">
        <f>'SER_se-appl'!U29</f>
        <v>651.30492680100906</v>
      </c>
      <c r="V9" s="36">
        <f>'SER_se-appl'!V29</f>
        <v>695.62402342976884</v>
      </c>
      <c r="W9" s="36">
        <f>'SER_se-appl'!W29</f>
        <v>718.68824480533158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283.48344255482652</v>
      </c>
      <c r="D10" s="38">
        <f>'SER_se-appl'!D37</f>
        <v>295.68595374982533</v>
      </c>
      <c r="E10" s="38">
        <f>'SER_se-appl'!E37</f>
        <v>308.41372059334435</v>
      </c>
      <c r="F10" s="38">
        <f>'SER_se-appl'!F37</f>
        <v>321.68935265253867</v>
      </c>
      <c r="G10" s="38">
        <f>'SER_se-appl'!G37</f>
        <v>335.53643272069894</v>
      </c>
      <c r="H10" s="38">
        <f>'SER_se-appl'!H37</f>
        <v>349.97955870966189</v>
      </c>
      <c r="I10" s="38">
        <f>'SER_se-appl'!I37</f>
        <v>365.04438734546284</v>
      </c>
      <c r="J10" s="38">
        <f>'SER_se-appl'!J37</f>
        <v>303.74262730660666</v>
      </c>
      <c r="K10" s="38">
        <f>'SER_se-appl'!K37</f>
        <v>325.03379776721431</v>
      </c>
      <c r="L10" s="38">
        <f>'SER_se-appl'!L37</f>
        <v>346.69690134189932</v>
      </c>
      <c r="M10" s="38">
        <f>'SER_se-appl'!M37</f>
        <v>355.51473687236921</v>
      </c>
      <c r="N10" s="38">
        <f>'SER_se-appl'!N37</f>
        <v>376.69446873907009</v>
      </c>
      <c r="O10" s="38">
        <f>'SER_se-appl'!O37</f>
        <v>387.99076881545534</v>
      </c>
      <c r="P10" s="38">
        <f>'SER_se-appl'!P37</f>
        <v>416.97651655771278</v>
      </c>
      <c r="Q10" s="38">
        <f>'SER_se-appl'!Q37</f>
        <v>360.0664962138535</v>
      </c>
      <c r="R10" s="38">
        <f>'SER_se-appl'!R37</f>
        <v>404.72645530239697</v>
      </c>
      <c r="S10" s="38">
        <f>'SER_se-appl'!S37</f>
        <v>436.96437120479641</v>
      </c>
      <c r="T10" s="38">
        <f>'SER_se-appl'!T37</f>
        <v>472.78343397078015</v>
      </c>
      <c r="U10" s="38">
        <f>'SER_se-appl'!U37</f>
        <v>519.61620045075233</v>
      </c>
      <c r="V10" s="38">
        <f>'SER_se-appl'!V37</f>
        <v>577.37092299843243</v>
      </c>
      <c r="W10" s="38">
        <f>'SER_se-appl'!W37</f>
        <v>622.37508724915551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4092.2206923674007</v>
      </c>
      <c r="C12" s="205">
        <f>'SER_se-appl'!C45</f>
        <v>4095.8994874132622</v>
      </c>
      <c r="D12" s="205">
        <f>'SER_se-appl'!D45</f>
        <v>4097.4152112628271</v>
      </c>
      <c r="E12" s="205">
        <f>'SER_se-appl'!E45</f>
        <v>4100.7921920511753</v>
      </c>
      <c r="F12" s="205">
        <f>'SER_se-appl'!F45</f>
        <v>4102.3886220184158</v>
      </c>
      <c r="G12" s="205">
        <f>'SER_se-appl'!G45</f>
        <v>4103.6634333290895</v>
      </c>
      <c r="H12" s="205">
        <f>'SER_se-appl'!H45</f>
        <v>4102.8311159875302</v>
      </c>
      <c r="I12" s="205">
        <f>'SER_se-appl'!I45</f>
        <v>4096.1390092451675</v>
      </c>
      <c r="J12" s="205">
        <f>'SER_se-appl'!J45</f>
        <v>4083.7287553612136</v>
      </c>
      <c r="K12" s="205">
        <f>'SER_se-appl'!K45</f>
        <v>4077.2337925691886</v>
      </c>
      <c r="L12" s="205">
        <f>'SER_se-appl'!L45</f>
        <v>4065.9135583312095</v>
      </c>
      <c r="M12" s="205">
        <f>'SER_se-appl'!M45</f>
        <v>4051.7459948873993</v>
      </c>
      <c r="N12" s="205">
        <f>'SER_se-appl'!N45</f>
        <v>4031.3896014545189</v>
      </c>
      <c r="O12" s="205">
        <f>'SER_se-appl'!O45</f>
        <v>4002.2727897532632</v>
      </c>
      <c r="P12" s="205">
        <f>'SER_se-appl'!P45</f>
        <v>3973.1891860219835</v>
      </c>
      <c r="Q12" s="205">
        <f>'SER_se-appl'!Q45</f>
        <v>3929.6197483728688</v>
      </c>
      <c r="R12" s="205">
        <f>'SER_se-appl'!R45</f>
        <v>4006.2663069305254</v>
      </c>
      <c r="S12" s="205">
        <f>'SER_se-appl'!S45</f>
        <v>3907.156039112238</v>
      </c>
      <c r="T12" s="205">
        <f>'SER_se-appl'!T45</f>
        <v>3896.2312851821121</v>
      </c>
      <c r="U12" s="205">
        <f>'SER_se-appl'!U45</f>
        <v>3905.6153394200292</v>
      </c>
      <c r="V12" s="205">
        <f>'SER_se-appl'!V45</f>
        <v>3895.7154163471214</v>
      </c>
      <c r="W12" s="205">
        <f>'SER_se-appl'!W45</f>
        <v>3901.9789863868991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178.15523403513208</v>
      </c>
      <c r="C14" s="59">
        <f>'SER_se-appl'!C53</f>
        <v>176.72509665342406</v>
      </c>
      <c r="D14" s="59">
        <f>'SER_se-appl'!D53</f>
        <v>175.08208136376342</v>
      </c>
      <c r="E14" s="59">
        <f>'SER_se-appl'!E53</f>
        <v>173.04974410799318</v>
      </c>
      <c r="F14" s="59">
        <f>'SER_se-appl'!F53</f>
        <v>170.66019344302333</v>
      </c>
      <c r="G14" s="59">
        <f>'SER_se-appl'!G53</f>
        <v>167.85188914941094</v>
      </c>
      <c r="H14" s="59">
        <f>'SER_se-appl'!H53</f>
        <v>164.79758545742283</v>
      </c>
      <c r="I14" s="59">
        <f>'SER_se-appl'!I53</f>
        <v>161.24683080320321</v>
      </c>
      <c r="J14" s="59">
        <f>'SER_se-appl'!J53</f>
        <v>159.26950622576089</v>
      </c>
      <c r="K14" s="59">
        <f>'SER_se-appl'!K53</f>
        <v>156.71253891136331</v>
      </c>
      <c r="L14" s="59">
        <f>'SER_se-appl'!L53</f>
        <v>153.91710749259767</v>
      </c>
      <c r="M14" s="59">
        <f>'SER_se-appl'!M53</f>
        <v>150.80470384853373</v>
      </c>
      <c r="N14" s="59">
        <f>'SER_se-appl'!N53</f>
        <v>147.03847701360274</v>
      </c>
      <c r="O14" s="59">
        <f>'SER_se-appl'!O53</f>
        <v>142.53435334715675</v>
      </c>
      <c r="P14" s="59">
        <f>'SER_se-appl'!P53</f>
        <v>137.421254137251</v>
      </c>
      <c r="Q14" s="59">
        <f>'SER_se-appl'!Q53</f>
        <v>132.27469588085958</v>
      </c>
      <c r="R14" s="59">
        <f>'SER_se-appl'!R53</f>
        <v>127.35438410131215</v>
      </c>
      <c r="S14" s="59">
        <f>'SER_se-appl'!S53</f>
        <v>122.02748620232079</v>
      </c>
      <c r="T14" s="59">
        <f>'SER_se-appl'!T53</f>
        <v>116.50603555612348</v>
      </c>
      <c r="U14" s="59">
        <f>'SER_se-appl'!U53</f>
        <v>110.85010724377452</v>
      </c>
      <c r="V14" s="59">
        <f>'SER_se-appl'!V53</f>
        <v>105.01199308560493</v>
      </c>
      <c r="W14" s="59">
        <f>'SER_se-appl'!W53</f>
        <v>99.716800898453783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167.4196817711815</v>
      </c>
      <c r="D15" s="63">
        <f>'SER_se-appl'!D61</f>
        <v>166.3521030875952</v>
      </c>
      <c r="E15" s="63">
        <f>'SER_se-appl'!E61</f>
        <v>164.05353575934632</v>
      </c>
      <c r="F15" s="63">
        <f>'SER_se-appl'!F61</f>
        <v>161.66217421603176</v>
      </c>
      <c r="G15" s="63">
        <f>'SER_se-appl'!G61</f>
        <v>159.27473871217927</v>
      </c>
      <c r="H15" s="63">
        <f>'SER_se-appl'!H61</f>
        <v>157.7747962444123</v>
      </c>
      <c r="I15" s="63">
        <f>'SER_se-appl'!I61</f>
        <v>155.09519639836788</v>
      </c>
      <c r="J15" s="63">
        <f>'SER_se-appl'!J61</f>
        <v>152.34642804023881</v>
      </c>
      <c r="K15" s="63">
        <f>'SER_se-appl'!K61</f>
        <v>148.22384846525077</v>
      </c>
      <c r="L15" s="63">
        <f>'SER_se-appl'!L61</f>
        <v>145.01501592407038</v>
      </c>
      <c r="M15" s="63">
        <f>'SER_se-appl'!M61</f>
        <v>140.93829033516388</v>
      </c>
      <c r="N15" s="63">
        <f>'SER_se-appl'!N61</f>
        <v>135.20710140029996</v>
      </c>
      <c r="O15" s="63">
        <f>'SER_se-appl'!O61</f>
        <v>129.37942118831398</v>
      </c>
      <c r="P15" s="63">
        <f>'SER_se-appl'!P61</f>
        <v>123.06733699518801</v>
      </c>
      <c r="Q15" s="63">
        <f>'SER_se-appl'!Q61</f>
        <v>115.72212922322896</v>
      </c>
      <c r="R15" s="63">
        <f>'SER_se-appl'!R61</f>
        <v>109.78243874896691</v>
      </c>
      <c r="S15" s="63">
        <f>'SER_se-appl'!S61</f>
        <v>104.78496487230485</v>
      </c>
      <c r="T15" s="63">
        <f>'SER_se-appl'!T61</f>
        <v>99.81027850881425</v>
      </c>
      <c r="U15" s="63">
        <f>'SER_se-appl'!U61</f>
        <v>94.853581819005157</v>
      </c>
      <c r="V15" s="63">
        <f>'SER_se-appl'!V61</f>
        <v>89.891826855987588</v>
      </c>
      <c r="W15" s="63">
        <f>'SER_se-appl'!W61</f>
        <v>88.037354152965179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234.23243639231427</v>
      </c>
      <c r="C3" s="199">
        <f>'SER_se-appl'!C6</f>
        <v>237.73564103739596</v>
      </c>
      <c r="D3" s="199">
        <f>'SER_se-appl'!D6</f>
        <v>240.80309727335094</v>
      </c>
      <c r="E3" s="199">
        <f>'SER_se-appl'!E6</f>
        <v>242.4917510730244</v>
      </c>
      <c r="F3" s="199">
        <f>'SER_se-appl'!F6</f>
        <v>244.36289086159056</v>
      </c>
      <c r="G3" s="199">
        <f>'SER_se-appl'!G6</f>
        <v>244.67668043404251</v>
      </c>
      <c r="H3" s="199">
        <f>'SER_se-appl'!H6</f>
        <v>245.50624199140222</v>
      </c>
      <c r="I3" s="199">
        <f>'SER_se-appl'!I6</f>
        <v>247.10609953276031</v>
      </c>
      <c r="J3" s="199">
        <f>'SER_se-appl'!J6</f>
        <v>248.38160418853141</v>
      </c>
      <c r="K3" s="199">
        <f>'SER_se-appl'!K6</f>
        <v>250.01269262702647</v>
      </c>
      <c r="L3" s="199">
        <f>'SER_se-appl'!L6</f>
        <v>254.21069247273113</v>
      </c>
      <c r="M3" s="199">
        <f>'SER_se-appl'!M6</f>
        <v>255.61495623980133</v>
      </c>
      <c r="N3" s="199">
        <f>'SER_se-appl'!N6</f>
        <v>257.08222859190556</v>
      </c>
      <c r="O3" s="199">
        <f>'SER_se-appl'!O6</f>
        <v>259.53907902765519</v>
      </c>
      <c r="P3" s="199">
        <f>'SER_se-appl'!P6</f>
        <v>261.9637737481761</v>
      </c>
      <c r="Q3" s="199">
        <f>'SER_se-appl'!Q6</f>
        <v>264.92351310041562</v>
      </c>
      <c r="R3" s="199">
        <f>'SER_se-appl'!R6</f>
        <v>265.52681929448102</v>
      </c>
      <c r="S3" s="199">
        <f>'SER_se-appl'!S6</f>
        <v>256.06041713342188</v>
      </c>
      <c r="T3" s="199">
        <f>'SER_se-appl'!T6</f>
        <v>247.75723090441858</v>
      </c>
      <c r="U3" s="199">
        <f>'SER_se-appl'!U6</f>
        <v>240.75550848324724</v>
      </c>
      <c r="V3" s="199">
        <f>'SER_se-appl'!V6</f>
        <v>245.19191041502214</v>
      </c>
      <c r="W3" s="199">
        <f>'SER_se-appl'!W6</f>
        <v>237.20802468688512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1108.7934830002871</v>
      </c>
      <c r="C5" s="59">
        <f>'SER_se-appl'!C14</f>
        <v>1118.4691545713351</v>
      </c>
      <c r="D5" s="59">
        <f>'SER_se-appl'!D14</f>
        <v>1125.8319887664904</v>
      </c>
      <c r="E5" s="59">
        <f>'SER_se-appl'!E14</f>
        <v>1126.4881018880485</v>
      </c>
      <c r="F5" s="59">
        <f>'SER_se-appl'!F14</f>
        <v>1125.9083020202559</v>
      </c>
      <c r="G5" s="59">
        <f>'SER_se-appl'!G14</f>
        <v>1120.5300950972478</v>
      </c>
      <c r="H5" s="59">
        <f>'SER_se-appl'!H14</f>
        <v>1117.6664107317761</v>
      </c>
      <c r="I5" s="59">
        <f>'SER_se-appl'!I14</f>
        <v>1119.9592565633241</v>
      </c>
      <c r="J5" s="59">
        <f>'SER_se-appl'!J14</f>
        <v>1122.849174284612</v>
      </c>
      <c r="K5" s="59">
        <f>'SER_se-appl'!K14</f>
        <v>1125.1151740952509</v>
      </c>
      <c r="L5" s="59">
        <f>'SER_se-appl'!L14</f>
        <v>1138.6040069366393</v>
      </c>
      <c r="M5" s="59">
        <f>'SER_se-appl'!M14</f>
        <v>1140.6684985248999</v>
      </c>
      <c r="N5" s="59">
        <f>'SER_se-appl'!N14</f>
        <v>1142.2049714274081</v>
      </c>
      <c r="O5" s="59">
        <f>'SER_se-appl'!O14</f>
        <v>1148.7442563901566</v>
      </c>
      <c r="P5" s="59">
        <f>'SER_se-appl'!P14</f>
        <v>1155.8921584186194</v>
      </c>
      <c r="Q5" s="59">
        <f>'SER_se-appl'!Q14</f>
        <v>1166.3655813002918</v>
      </c>
      <c r="R5" s="59">
        <f>'SER_se-appl'!R14</f>
        <v>1143.9603207197035</v>
      </c>
      <c r="S5" s="59">
        <f>'SER_se-appl'!S14</f>
        <v>1123.6839793580214</v>
      </c>
      <c r="T5" s="59">
        <f>'SER_se-appl'!T14</f>
        <v>1090.3001688587108</v>
      </c>
      <c r="U5" s="59">
        <f>'SER_se-appl'!U14</f>
        <v>1051.3722342842275</v>
      </c>
      <c r="V5" s="59">
        <f>'SER_se-appl'!V14</f>
        <v>1005.9743003995899</v>
      </c>
      <c r="W5" s="59">
        <f>'SER_se-appl'!W14</f>
        <v>949.21717982980249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181.81069644133203</v>
      </c>
      <c r="C6" s="202">
        <f>'SER_se-appl'!C70</f>
        <v>183.18596118499201</v>
      </c>
      <c r="D6" s="202">
        <f>'SER_se-appl'!D70</f>
        <v>185.78375323806696</v>
      </c>
      <c r="E6" s="202">
        <f>'SER_se-appl'!E70</f>
        <v>188.52351408971188</v>
      </c>
      <c r="F6" s="202">
        <f>'SER_se-appl'!F70</f>
        <v>191.06756992148675</v>
      </c>
      <c r="G6" s="202">
        <f>'SER_se-appl'!G70</f>
        <v>193.97212398514188</v>
      </c>
      <c r="H6" s="202">
        <f>'SER_se-appl'!H70</f>
        <v>197.28067170776544</v>
      </c>
      <c r="I6" s="202">
        <f>'SER_se-appl'!I70</f>
        <v>200.2389510984255</v>
      </c>
      <c r="J6" s="202">
        <f>'SER_se-appl'!J70</f>
        <v>203.82720330515784</v>
      </c>
      <c r="K6" s="202">
        <f>'SER_se-appl'!K70</f>
        <v>207.32810534758696</v>
      </c>
      <c r="L6" s="202">
        <f>'SER_se-appl'!L70</f>
        <v>213.28575760794891</v>
      </c>
      <c r="M6" s="202">
        <f>'SER_se-appl'!M70</f>
        <v>218.10512683030709</v>
      </c>
      <c r="N6" s="202">
        <f>'SER_se-appl'!N70</f>
        <v>224.42954585282817</v>
      </c>
      <c r="O6" s="202">
        <f>'SER_se-appl'!O70</f>
        <v>230.93289004389419</v>
      </c>
      <c r="P6" s="202">
        <f>'SER_se-appl'!P70</f>
        <v>240.23932971028088</v>
      </c>
      <c r="Q6" s="202">
        <f>'SER_se-appl'!Q70</f>
        <v>250.7003316663473</v>
      </c>
      <c r="R6" s="202">
        <f>'SER_se-appl'!R70</f>
        <v>256.28466509972367</v>
      </c>
      <c r="S6" s="202">
        <f>'SER_se-appl'!S70</f>
        <v>261.9485913165949</v>
      </c>
      <c r="T6" s="202">
        <f>'SER_se-appl'!T70</f>
        <v>267.3566029826186</v>
      </c>
      <c r="U6" s="202">
        <f>'SER_se-appl'!U70</f>
        <v>272.30352086196757</v>
      </c>
      <c r="V6" s="202">
        <f>'SER_se-appl'!V70</f>
        <v>276.40696590185655</v>
      </c>
      <c r="W6" s="202">
        <f>'SER_se-appl'!W70</f>
        <v>279.1403777598527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29.579708202544232</v>
      </c>
      <c r="C8" s="34">
        <f>'SER_se-appl'!C22</f>
        <v>30.178983932887441</v>
      </c>
      <c r="D8" s="34">
        <f>'SER_se-appl'!D22</f>
        <v>30.947881788212062</v>
      </c>
      <c r="E8" s="34">
        <f>'SER_se-appl'!E22</f>
        <v>31.699555074155597</v>
      </c>
      <c r="F8" s="34">
        <f>'SER_se-appl'!F22</f>
        <v>32.527464628258528</v>
      </c>
      <c r="G8" s="34">
        <f>'SER_se-appl'!G22</f>
        <v>33.379117335787654</v>
      </c>
      <c r="H8" s="34">
        <f>'SER_se-appl'!H22</f>
        <v>34.455124615365897</v>
      </c>
      <c r="I8" s="34">
        <f>'SER_se-appl'!I22</f>
        <v>35.464789053200313</v>
      </c>
      <c r="J8" s="34">
        <f>'SER_se-appl'!J22</f>
        <v>36.405647632282211</v>
      </c>
      <c r="K8" s="34">
        <f>'SER_se-appl'!K22</f>
        <v>37.393065832774347</v>
      </c>
      <c r="L8" s="34">
        <f>'SER_se-appl'!L22</f>
        <v>38.932932346532922</v>
      </c>
      <c r="M8" s="34">
        <f>'SER_se-appl'!M22</f>
        <v>40.179486304949407</v>
      </c>
      <c r="N8" s="34">
        <f>'SER_se-appl'!N22</f>
        <v>41.661689609634891</v>
      </c>
      <c r="O8" s="34">
        <f>'SER_se-appl'!O22</f>
        <v>43.479499217760136</v>
      </c>
      <c r="P8" s="34">
        <f>'SER_se-appl'!P22</f>
        <v>45.706059058573004</v>
      </c>
      <c r="Q8" s="34">
        <f>'SER_se-appl'!Q22</f>
        <v>48.332691375628883</v>
      </c>
      <c r="R8" s="34">
        <f>'SER_se-appl'!R22</f>
        <v>50.001131977802558</v>
      </c>
      <c r="S8" s="34">
        <f>'SER_se-appl'!S22</f>
        <v>51.797964686876298</v>
      </c>
      <c r="T8" s="34">
        <f>'SER_se-appl'!T22</f>
        <v>53.46130933817696</v>
      </c>
      <c r="U8" s="34">
        <f>'SER_se-appl'!U22</f>
        <v>55.014893172031627</v>
      </c>
      <c r="V8" s="34">
        <f>'SER_se-appl'!V22</f>
        <v>56.413458141791843</v>
      </c>
      <c r="W8" s="34">
        <f>'SER_se-appl'!W22</f>
        <v>57.539356778921722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5.2186233178644912</v>
      </c>
      <c r="D9" s="36">
        <f>'SER_se-appl'!D30</f>
        <v>5.5082484808782404</v>
      </c>
      <c r="E9" s="36">
        <f>'SER_se-appl'!E30</f>
        <v>5.6141444307027832</v>
      </c>
      <c r="F9" s="36">
        <f>'SER_se-appl'!F30</f>
        <v>5.8166996862646343</v>
      </c>
      <c r="G9" s="36">
        <f>'SER_se-appl'!G30</f>
        <v>5.9700433862230717</v>
      </c>
      <c r="H9" s="36">
        <f>'SER_se-appl'!H30</f>
        <v>6.3273653134326722</v>
      </c>
      <c r="I9" s="36">
        <f>'SER_se-appl'!I30</f>
        <v>6.2282877556989078</v>
      </c>
      <c r="J9" s="36">
        <f>'SER_se-appl'!J30</f>
        <v>6.4491070599601379</v>
      </c>
      <c r="K9" s="36">
        <f>'SER_se-appl'!K30</f>
        <v>6.6015626311949198</v>
      </c>
      <c r="L9" s="36">
        <f>'SER_se-appl'!L30</f>
        <v>7.3565662000232095</v>
      </c>
      <c r="M9" s="36">
        <f>'SER_se-appl'!M30</f>
        <v>7.2165973446395526</v>
      </c>
      <c r="N9" s="36">
        <f>'SER_se-appl'!N30</f>
        <v>7.8095686181181563</v>
      </c>
      <c r="O9" s="36">
        <f>'SER_se-appl'!O30</f>
        <v>8.0460973638241526</v>
      </c>
      <c r="P9" s="36">
        <f>'SER_se-appl'!P30</f>
        <v>8.6756669007730096</v>
      </c>
      <c r="Q9" s="36">
        <f>'SER_se-appl'!Q30</f>
        <v>9.2281949482508026</v>
      </c>
      <c r="R9" s="36">
        <f>'SER_se-appl'!R30</f>
        <v>9.0250068021968843</v>
      </c>
      <c r="S9" s="36">
        <f>'SER_se-appl'!S30</f>
        <v>9.013430053713293</v>
      </c>
      <c r="T9" s="36">
        <f>'SER_se-appl'!T30</f>
        <v>9.4729132694188181</v>
      </c>
      <c r="U9" s="36">
        <f>'SER_se-appl'!U30</f>
        <v>9.5996811976788194</v>
      </c>
      <c r="V9" s="36">
        <f>'SER_se-appl'!V30</f>
        <v>10.074231870533225</v>
      </c>
      <c r="W9" s="36">
        <f>'SER_se-appl'!W30</f>
        <v>10.354093585380681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4.6193475875212826</v>
      </c>
      <c r="D10" s="38">
        <f>'SER_se-appl'!D38</f>
        <v>4.7393506255536231</v>
      </c>
      <c r="E10" s="38">
        <f>'SER_se-appl'!E38</f>
        <v>4.8624711447592475</v>
      </c>
      <c r="F10" s="38">
        <f>'SER_se-appl'!F38</f>
        <v>4.9887901321617036</v>
      </c>
      <c r="G10" s="38">
        <f>'SER_se-appl'!G38</f>
        <v>5.1183906786939417</v>
      </c>
      <c r="H10" s="38">
        <f>'SER_se-appl'!H38</f>
        <v>5.2513580338544301</v>
      </c>
      <c r="I10" s="38">
        <f>'SER_se-appl'!I38</f>
        <v>5.2186233178644912</v>
      </c>
      <c r="J10" s="38">
        <f>'SER_se-appl'!J38</f>
        <v>5.5082484808782368</v>
      </c>
      <c r="K10" s="38">
        <f>'SER_se-appl'!K38</f>
        <v>5.6141444307027868</v>
      </c>
      <c r="L10" s="38">
        <f>'SER_se-appl'!L38</f>
        <v>5.8166996862646343</v>
      </c>
      <c r="M10" s="38">
        <f>'SER_se-appl'!M38</f>
        <v>5.9700433862230682</v>
      </c>
      <c r="N10" s="38">
        <f>'SER_se-appl'!N38</f>
        <v>6.3273653134326722</v>
      </c>
      <c r="O10" s="38">
        <f>'SER_se-appl'!O38</f>
        <v>6.2282877556989078</v>
      </c>
      <c r="P10" s="38">
        <f>'SER_se-appl'!P38</f>
        <v>6.4491070599601414</v>
      </c>
      <c r="Q10" s="38">
        <f>'SER_se-appl'!Q38</f>
        <v>6.6015626311949234</v>
      </c>
      <c r="R10" s="38">
        <f>'SER_se-appl'!R38</f>
        <v>7.3565662000232095</v>
      </c>
      <c r="S10" s="38">
        <f>'SER_se-appl'!S38</f>
        <v>7.2165973446395526</v>
      </c>
      <c r="T10" s="38">
        <f>'SER_se-appl'!T38</f>
        <v>7.8095686181181563</v>
      </c>
      <c r="U10" s="38">
        <f>'SER_se-appl'!U38</f>
        <v>8.0460973638241526</v>
      </c>
      <c r="V10" s="38">
        <f>'SER_se-appl'!V38</f>
        <v>8.6756669007730167</v>
      </c>
      <c r="W10" s="38">
        <f>'SER_se-appl'!W38</f>
        <v>9.2281949482508097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2456.8355397178229</v>
      </c>
      <c r="C12" s="205">
        <f>'SER_se-appl'!C46</f>
        <v>2472.0087218896783</v>
      </c>
      <c r="D12" s="205">
        <f>'SER_se-appl'!D46</f>
        <v>2487.5292665626448</v>
      </c>
      <c r="E12" s="205">
        <f>'SER_se-appl'!E46</f>
        <v>2503.5142938949089</v>
      </c>
      <c r="F12" s="205">
        <f>'SER_se-appl'!F46</f>
        <v>2524.1313307850269</v>
      </c>
      <c r="G12" s="205">
        <f>'SER_se-appl'!G46</f>
        <v>2539.5032278905041</v>
      </c>
      <c r="H12" s="205">
        <f>'SER_se-appl'!H46</f>
        <v>2554.642035355238</v>
      </c>
      <c r="I12" s="205">
        <f>'SER_se-appl'!I46</f>
        <v>2566.0254341614177</v>
      </c>
      <c r="J12" s="205">
        <f>'SER_se-appl'!J46</f>
        <v>2572.6323026002588</v>
      </c>
      <c r="K12" s="205">
        <f>'SER_se-appl'!K46</f>
        <v>2584.3110840545464</v>
      </c>
      <c r="L12" s="205">
        <f>'SER_se-appl'!L46</f>
        <v>2596.5746962476514</v>
      </c>
      <c r="M12" s="205">
        <f>'SER_se-appl'!M46</f>
        <v>2606.192723752155</v>
      </c>
      <c r="N12" s="205">
        <f>'SER_se-appl'!N46</f>
        <v>2617.6267774315852</v>
      </c>
      <c r="O12" s="205">
        <f>'SER_se-appl'!O46</f>
        <v>2627.5991999967437</v>
      </c>
      <c r="P12" s="205">
        <f>'SER_se-appl'!P46</f>
        <v>2635.7464807611518</v>
      </c>
      <c r="Q12" s="205">
        <f>'SER_se-appl'!Q46</f>
        <v>2641.5906871351563</v>
      </c>
      <c r="R12" s="205">
        <f>'SER_se-appl'!R46</f>
        <v>2699.4615568938634</v>
      </c>
      <c r="S12" s="205">
        <f>'SER_se-appl'!S46</f>
        <v>2650.1958788831944</v>
      </c>
      <c r="T12" s="205">
        <f>'SER_se-appl'!T46</f>
        <v>2642.7736853737783</v>
      </c>
      <c r="U12" s="205">
        <f>'SER_se-appl'!U46</f>
        <v>2663.1733960202891</v>
      </c>
      <c r="V12" s="205">
        <f>'SER_se-appl'!V46</f>
        <v>2834.64688610237</v>
      </c>
      <c r="W12" s="205">
        <f>'SER_se-appl'!W46</f>
        <v>2906.3204772622453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37.4849364776667</v>
      </c>
      <c r="C14" s="59">
        <f>'SER_se-appl'!C54</f>
        <v>37.061193215073331</v>
      </c>
      <c r="D14" s="59">
        <f>'SER_se-appl'!D54</f>
        <v>36.378321349130779</v>
      </c>
      <c r="E14" s="59">
        <f>'SER_se-appl'!E54</f>
        <v>35.536401039472807</v>
      </c>
      <c r="F14" s="59">
        <f>'SER_se-appl'!F54</f>
        <v>34.614081204537314</v>
      </c>
      <c r="G14" s="59">
        <f>'SER_se-appl'!G54</f>
        <v>33.569794066898936</v>
      </c>
      <c r="H14" s="59">
        <f>'SER_se-appl'!H54</f>
        <v>32.438321532969645</v>
      </c>
      <c r="I14" s="59">
        <f>'SER_se-appl'!I54</f>
        <v>31.579470411716997</v>
      </c>
      <c r="J14" s="59">
        <f>'SER_se-appl'!J54</f>
        <v>30.842719394145341</v>
      </c>
      <c r="K14" s="59">
        <f>'SER_se-appl'!K54</f>
        <v>30.088872068604438</v>
      </c>
      <c r="L14" s="59">
        <f>'SER_se-appl'!L54</f>
        <v>29.245267137912744</v>
      </c>
      <c r="M14" s="59">
        <f>'SER_se-appl'!M54</f>
        <v>28.389325086627341</v>
      </c>
      <c r="N14" s="59">
        <f>'SER_se-appl'!N54</f>
        <v>27.41619416134424</v>
      </c>
      <c r="O14" s="59">
        <f>'SER_se-appl'!O54</f>
        <v>26.420365391902379</v>
      </c>
      <c r="P14" s="59">
        <f>'SER_se-appl'!P54</f>
        <v>25.289692050179301</v>
      </c>
      <c r="Q14" s="59">
        <f>'SER_se-appl'!Q54</f>
        <v>24.132022200783464</v>
      </c>
      <c r="R14" s="59">
        <f>'SER_se-appl'!R54</f>
        <v>22.878688451044507</v>
      </c>
      <c r="S14" s="59">
        <f>'SER_se-appl'!S54</f>
        <v>21.693593293690199</v>
      </c>
      <c r="T14" s="59">
        <f>'SER_se-appl'!T54</f>
        <v>20.394191282556609</v>
      </c>
      <c r="U14" s="59">
        <f>'SER_se-appl'!U54</f>
        <v>19.110683919654001</v>
      </c>
      <c r="V14" s="59">
        <f>'SER_se-appl'!V54</f>
        <v>17.83216866215033</v>
      </c>
      <c r="W14" s="59">
        <f>'SER_se-appl'!W54</f>
        <v>16.496833349682618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35.034454744352502</v>
      </c>
      <c r="D15" s="63">
        <f>'SER_se-appl'!D62</f>
        <v>33.58909678488638</v>
      </c>
      <c r="E15" s="63">
        <f>'SER_se-appl'!E62</f>
        <v>32.582976331523909</v>
      </c>
      <c r="F15" s="63">
        <f>'SER_se-appl'!F62</f>
        <v>32.049906543553696</v>
      </c>
      <c r="G15" s="63">
        <f>'SER_se-appl'!G62</f>
        <v>31.23668128879283</v>
      </c>
      <c r="H15" s="63">
        <f>'SER_se-appl'!H62</f>
        <v>30.657805950168502</v>
      </c>
      <c r="I15" s="63">
        <f>'SER_se-appl'!I62</f>
        <v>29.723172009787888</v>
      </c>
      <c r="J15" s="63">
        <f>'SER_se-appl'!J62</f>
        <v>29.136903343929252</v>
      </c>
      <c r="K15" s="63">
        <f>'SER_se-appl'!K62</f>
        <v>28.05268165492874</v>
      </c>
      <c r="L15" s="63">
        <f>'SER_se-appl'!L62</f>
        <v>27.174840644736811</v>
      </c>
      <c r="M15" s="63">
        <f>'SER_se-appl'!M62</f>
        <v>26.127110204372045</v>
      </c>
      <c r="N15" s="63">
        <f>'SER_se-appl'!N62</f>
        <v>25.0359040836071</v>
      </c>
      <c r="O15" s="63">
        <f>'SER_se-appl'!O62</f>
        <v>23.820710163610126</v>
      </c>
      <c r="P15" s="63">
        <f>'SER_se-appl'!P62</f>
        <v>22.4829875697272</v>
      </c>
      <c r="Q15" s="63">
        <f>'SER_se-appl'!Q62</f>
        <v>21.202950186563346</v>
      </c>
      <c r="R15" s="63">
        <f>'SER_se-appl'!R62</f>
        <v>19.668489729480328</v>
      </c>
      <c r="S15" s="63">
        <f>'SER_se-appl'!S62</f>
        <v>18.669085105172627</v>
      </c>
      <c r="T15" s="63">
        <f>'SER_se-appl'!T62</f>
        <v>17.115727310801265</v>
      </c>
      <c r="U15" s="63">
        <f>'SER_se-appl'!U62</f>
        <v>15.910509477574163</v>
      </c>
      <c r="V15" s="63">
        <f>'SER_se-appl'!V62</f>
        <v>14.855423135760555</v>
      </c>
      <c r="W15" s="63">
        <f>'SER_se-appl'!W62</f>
        <v>13.415740941920678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128.93682880372228</v>
      </c>
      <c r="C3" s="199">
        <f>'SER_se-appl'!C7</f>
        <v>129.63053803805988</v>
      </c>
      <c r="D3" s="199">
        <f>'SER_se-appl'!D7</f>
        <v>130.89507571948701</v>
      </c>
      <c r="E3" s="199">
        <f>'SER_se-appl'!E7</f>
        <v>131.80009363375049</v>
      </c>
      <c r="F3" s="199">
        <f>'SER_se-appl'!F7</f>
        <v>132.94307320780564</v>
      </c>
      <c r="G3" s="199">
        <f>'SER_se-appl'!G7</f>
        <v>134.53029529477425</v>
      </c>
      <c r="H3" s="199">
        <f>'SER_se-appl'!H7</f>
        <v>133.91701201271914</v>
      </c>
      <c r="I3" s="199">
        <f>'SER_se-appl'!I7</f>
        <v>134.55952184207615</v>
      </c>
      <c r="J3" s="199">
        <f>'SER_se-appl'!J7</f>
        <v>135.21741196631797</v>
      </c>
      <c r="K3" s="199">
        <f>'SER_se-appl'!K7</f>
        <v>135.07217258671275</v>
      </c>
      <c r="L3" s="199">
        <f>'SER_se-appl'!L7</f>
        <v>134.80387556504203</v>
      </c>
      <c r="M3" s="199">
        <f>'SER_se-appl'!M7</f>
        <v>134.38327313883991</v>
      </c>
      <c r="N3" s="199">
        <f>'SER_se-appl'!N7</f>
        <v>134.1000365223214</v>
      </c>
      <c r="O3" s="199">
        <f>'SER_se-appl'!O7</f>
        <v>134.14465872730784</v>
      </c>
      <c r="P3" s="199">
        <f>'SER_se-appl'!P7</f>
        <v>134.672580620378</v>
      </c>
      <c r="Q3" s="199">
        <f>'SER_se-appl'!Q7</f>
        <v>134.60562249642345</v>
      </c>
      <c r="R3" s="199">
        <f>'SER_se-appl'!R7</f>
        <v>133.62498829320788</v>
      </c>
      <c r="S3" s="199">
        <f>'SER_se-appl'!S7</f>
        <v>134.03123227325375</v>
      </c>
      <c r="T3" s="199">
        <f>'SER_se-appl'!T7</f>
        <v>134.00657421673449</v>
      </c>
      <c r="U3" s="199">
        <f>'SER_se-appl'!U7</f>
        <v>134.00507185184114</v>
      </c>
      <c r="V3" s="199">
        <f>'SER_se-appl'!V7</f>
        <v>133.86015049547652</v>
      </c>
      <c r="W3" s="199">
        <f>'SER_se-appl'!W7</f>
        <v>133.87795527795276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171.1798309346222</v>
      </c>
      <c r="C5" s="59">
        <f>'SER_se-appl'!C15</f>
        <v>172.1008170528124</v>
      </c>
      <c r="D5" s="59">
        <f>'SER_se-appl'!D15</f>
        <v>173.7796496138852</v>
      </c>
      <c r="E5" s="59">
        <f>'SER_se-appl'!E15</f>
        <v>174.98117453887193</v>
      </c>
      <c r="F5" s="59">
        <f>'SER_se-appl'!F15</f>
        <v>176.49862344826249</v>
      </c>
      <c r="G5" s="59">
        <f>'SER_se-appl'!G15</f>
        <v>178.60586007742288</v>
      </c>
      <c r="H5" s="59">
        <f>'SER_se-appl'!H15</f>
        <v>177.79164951003702</v>
      </c>
      <c r="I5" s="59">
        <f>'SER_se-appl'!I15</f>
        <v>178.64466198896633</v>
      </c>
      <c r="J5" s="59">
        <f>'SER_se-appl'!J15</f>
        <v>179.51809374067102</v>
      </c>
      <c r="K5" s="59">
        <f>'SER_se-appl'!K15</f>
        <v>179.32527022642338</v>
      </c>
      <c r="L5" s="59">
        <f>'SER_se-appl'!L15</f>
        <v>178.96907223989024</v>
      </c>
      <c r="M5" s="59">
        <f>'SER_se-appl'!M15</f>
        <v>178.41066970373379</v>
      </c>
      <c r="N5" s="59">
        <f>'SER_se-appl'!N15</f>
        <v>178.03463752906373</v>
      </c>
      <c r="O5" s="59">
        <f>'SER_se-appl'!O15</f>
        <v>178.09387910942814</v>
      </c>
      <c r="P5" s="59">
        <f>'SER_se-appl'!P15</f>
        <v>178.79476171404067</v>
      </c>
      <c r="Q5" s="59">
        <f>'SER_se-appl'!Q15</f>
        <v>178.70586639650739</v>
      </c>
      <c r="R5" s="59">
        <f>'SER_se-appl'!R15</f>
        <v>177.40395135274068</v>
      </c>
      <c r="S5" s="59">
        <f>'SER_se-appl'!S15</f>
        <v>177.94329124862347</v>
      </c>
      <c r="T5" s="59">
        <f>'SER_se-appl'!T15</f>
        <v>177.91055458226279</v>
      </c>
      <c r="U5" s="59">
        <f>'SER_se-appl'!U15</f>
        <v>177.90856000421377</v>
      </c>
      <c r="V5" s="59">
        <f>'SER_se-appl'!V15</f>
        <v>177.71615870575252</v>
      </c>
      <c r="W5" s="59">
        <f>'SER_se-appl'!W15</f>
        <v>177.73979679025004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3.0666442777349864E-2</v>
      </c>
      <c r="C6" s="202">
        <f>'SER_se-appl'!C71</f>
        <v>3.1024836967959206E-2</v>
      </c>
      <c r="D6" s="202">
        <f>'SER_se-appl'!D71</f>
        <v>3.1589795374092768E-2</v>
      </c>
      <c r="E6" s="202">
        <f>'SER_se-appl'!E71</f>
        <v>3.2090918227836586E-2</v>
      </c>
      <c r="F6" s="202">
        <f>'SER_se-appl'!F71</f>
        <v>3.2696568239619882E-2</v>
      </c>
      <c r="G6" s="202">
        <f>'SER_se-appl'!G71</f>
        <v>3.3478316883680165E-2</v>
      </c>
      <c r="H6" s="202">
        <f>'SER_se-appl'!H71</f>
        <v>3.3721192670016602E-2</v>
      </c>
      <c r="I6" s="202">
        <f>'SER_se-appl'!I71</f>
        <v>3.4276735886068263E-2</v>
      </c>
      <c r="J6" s="202">
        <f>'SER_se-appl'!J71</f>
        <v>3.4903568960170682E-2</v>
      </c>
      <c r="K6" s="202">
        <f>'SER_se-appl'!K71</f>
        <v>3.5381207348199765E-2</v>
      </c>
      <c r="L6" s="202">
        <f>'SER_se-appl'!L71</f>
        <v>3.5879174495749726E-2</v>
      </c>
      <c r="M6" s="202">
        <f>'SER_se-appl'!M71</f>
        <v>3.6107022776739037E-2</v>
      </c>
      <c r="N6" s="202">
        <f>'SER_se-appl'!N71</f>
        <v>3.6419729883307612E-2</v>
      </c>
      <c r="O6" s="202">
        <f>'SER_se-appl'!O71</f>
        <v>3.6849074541454432E-2</v>
      </c>
      <c r="P6" s="202">
        <f>'SER_se-appl'!P71</f>
        <v>3.7446533354211956E-2</v>
      </c>
      <c r="Q6" s="202">
        <f>'SER_se-appl'!Q71</f>
        <v>3.7864976936059634E-2</v>
      </c>
      <c r="R6" s="202">
        <f>'SER_se-appl'!R71</f>
        <v>3.7883181383041996E-2</v>
      </c>
      <c r="S6" s="202">
        <f>'SER_se-appl'!S71</f>
        <v>3.828461421756927E-2</v>
      </c>
      <c r="T6" s="202">
        <f>'SER_se-appl'!T71</f>
        <v>3.8646208994192528E-2</v>
      </c>
      <c r="U6" s="202">
        <f>'SER_se-appl'!U71</f>
        <v>3.9035820306341874E-2</v>
      </c>
      <c r="V6" s="202">
        <f>'SER_se-appl'!V71</f>
        <v>3.9430102836673205E-2</v>
      </c>
      <c r="W6" s="202">
        <f>'SER_se-appl'!W71</f>
        <v>3.9932274861612153E-2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271.7484133547203</v>
      </c>
      <c r="C8" s="34">
        <f>'SER_se-appl'!C23</f>
        <v>275.58717362029228</v>
      </c>
      <c r="D8" s="34">
        <f>'SER_se-appl'!D23</f>
        <v>281.43753048160039</v>
      </c>
      <c r="E8" s="34">
        <f>'SER_se-appl'!E23</f>
        <v>286.91809660042264</v>
      </c>
      <c r="F8" s="34">
        <f>'SER_se-appl'!F23</f>
        <v>293.47360665130901</v>
      </c>
      <c r="G8" s="34">
        <f>'SER_se-appl'!G23</f>
        <v>301.68623693906039</v>
      </c>
      <c r="H8" s="34">
        <f>'SER_se-appl'!H23</f>
        <v>305.10098842252802</v>
      </c>
      <c r="I8" s="34">
        <f>'SER_se-appl'!I23</f>
        <v>312.3727032508628</v>
      </c>
      <c r="J8" s="34">
        <f>'SER_se-appl'!J23</f>
        <v>320.5169258007133</v>
      </c>
      <c r="K8" s="34">
        <f>'SER_se-appl'!K23</f>
        <v>327.50073249388686</v>
      </c>
      <c r="L8" s="34">
        <f>'SER_se-appl'!L23</f>
        <v>335.1359593873085</v>
      </c>
      <c r="M8" s="34">
        <f>'SER_se-appl'!M23</f>
        <v>339.96820044598076</v>
      </c>
      <c r="N8" s="34">
        <f>'SER_se-appl'!N23</f>
        <v>345.36301762257301</v>
      </c>
      <c r="O8" s="34">
        <f>'SER_se-appl'!O23</f>
        <v>352.12581346716263</v>
      </c>
      <c r="P8" s="34">
        <f>'SER_se-appl'!P23</f>
        <v>361.16672147283816</v>
      </c>
      <c r="Q8" s="34">
        <f>'SER_se-appl'!Q23</f>
        <v>369.08337226258556</v>
      </c>
      <c r="R8" s="34">
        <f>'SER_se-appl'!R23</f>
        <v>373.18786381843023</v>
      </c>
      <c r="S8" s="34">
        <f>'SER_se-appl'!S23</f>
        <v>382.66057665058014</v>
      </c>
      <c r="T8" s="34">
        <f>'SER_se-appl'!T23</f>
        <v>391.10898740380497</v>
      </c>
      <c r="U8" s="34">
        <f>'SER_se-appl'!U23</f>
        <v>399.34366336063408</v>
      </c>
      <c r="V8" s="34">
        <f>'SER_se-appl'!V23</f>
        <v>407.21789632489498</v>
      </c>
      <c r="W8" s="34">
        <f>'SER_se-appl'!W23</f>
        <v>414.46886080975673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28.536099138294759</v>
      </c>
      <c r="D9" s="36">
        <f>'SER_se-appl'!D31</f>
        <v>31.067925053838678</v>
      </c>
      <c r="E9" s="36">
        <f>'SER_se-appl'!E31</f>
        <v>31.229321837896293</v>
      </c>
      <c r="F9" s="36">
        <f>'SER_se-appl'!F31</f>
        <v>32.846642328935559</v>
      </c>
      <c r="G9" s="36">
        <f>'SER_se-appl'!G31</f>
        <v>35.057563845058723</v>
      </c>
      <c r="H9" s="36">
        <f>'SER_se-appl'!H31</f>
        <v>30.825151692740008</v>
      </c>
      <c r="I9" s="36">
        <f>'SER_se-appl'!I31</f>
        <v>35.259492783850021</v>
      </c>
      <c r="J9" s="36">
        <f>'SER_se-appl'!J31</f>
        <v>36.721540243382208</v>
      </c>
      <c r="K9" s="36">
        <f>'SER_se-appl'!K31</f>
        <v>36.163082298942413</v>
      </c>
      <c r="L9" s="36">
        <f>'SER_se-appl'!L31</f>
        <v>37.429140164369812</v>
      </c>
      <c r="M9" s="36">
        <f>'SER_se-appl'!M31</f>
        <v>33.368340196966983</v>
      </c>
      <c r="N9" s="36">
        <f>'SER_se-appl'!N31</f>
        <v>36.462742230430933</v>
      </c>
      <c r="O9" s="36">
        <f>'SER_se-appl'!O31</f>
        <v>37.992117682485912</v>
      </c>
      <c r="P9" s="36">
        <f>'SER_se-appl'!P31</f>
        <v>41.887550334611092</v>
      </c>
      <c r="Q9" s="36">
        <f>'SER_se-appl'!Q31</f>
        <v>42.974214634806117</v>
      </c>
      <c r="R9" s="36">
        <f>'SER_se-appl'!R31</f>
        <v>34.929643248584682</v>
      </c>
      <c r="S9" s="36">
        <f>'SER_se-appl'!S31</f>
        <v>44.732205615999931</v>
      </c>
      <c r="T9" s="36">
        <f>'SER_se-appl'!T31</f>
        <v>45.169950996607042</v>
      </c>
      <c r="U9" s="36">
        <f>'SER_se-appl'!U31</f>
        <v>44.397758255771521</v>
      </c>
      <c r="V9" s="36">
        <f>'SER_se-appl'!V31</f>
        <v>45.30337312863071</v>
      </c>
      <c r="W9" s="36">
        <f>'SER_se-appl'!W31</f>
        <v>40.619304681828737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24.69733887272281</v>
      </c>
      <c r="D10" s="38">
        <f>'SER_se-appl'!D39</f>
        <v>25.217568192530564</v>
      </c>
      <c r="E10" s="38">
        <f>'SER_se-appl'!E39</f>
        <v>25.74875571907404</v>
      </c>
      <c r="F10" s="38">
        <f>'SER_se-appl'!F39</f>
        <v>26.29113227804919</v>
      </c>
      <c r="G10" s="38">
        <f>'SER_se-appl'!G39</f>
        <v>26.844933557307343</v>
      </c>
      <c r="H10" s="38">
        <f>'SER_se-appl'!H39</f>
        <v>27.410400209272382</v>
      </c>
      <c r="I10" s="38">
        <f>'SER_se-appl'!I39</f>
        <v>27.987777955515242</v>
      </c>
      <c r="J10" s="38">
        <f>'SER_se-appl'!J39</f>
        <v>28.577317693531711</v>
      </c>
      <c r="K10" s="38">
        <f>'SER_se-appl'!K39</f>
        <v>29.179275605768851</v>
      </c>
      <c r="L10" s="38">
        <f>'SER_se-appl'!L39</f>
        <v>29.793913270948167</v>
      </c>
      <c r="M10" s="38">
        <f>'SER_se-appl'!M39</f>
        <v>28.53609913829473</v>
      </c>
      <c r="N10" s="38">
        <f>'SER_se-appl'!N39</f>
        <v>31.067925053838678</v>
      </c>
      <c r="O10" s="38">
        <f>'SER_se-appl'!O39</f>
        <v>31.229321837896293</v>
      </c>
      <c r="P10" s="38">
        <f>'SER_se-appl'!P39</f>
        <v>32.846642328935559</v>
      </c>
      <c r="Q10" s="38">
        <f>'SER_se-appl'!Q39</f>
        <v>35.057563845058723</v>
      </c>
      <c r="R10" s="38">
        <f>'SER_se-appl'!R39</f>
        <v>30.825151692740008</v>
      </c>
      <c r="S10" s="38">
        <f>'SER_se-appl'!S39</f>
        <v>35.259492783850021</v>
      </c>
      <c r="T10" s="38">
        <f>'SER_se-appl'!T39</f>
        <v>36.721540243382208</v>
      </c>
      <c r="U10" s="38">
        <f>'SER_se-appl'!U39</f>
        <v>36.163082298942413</v>
      </c>
      <c r="V10" s="38">
        <f>'SER_se-appl'!V39</f>
        <v>37.429140164369812</v>
      </c>
      <c r="W10" s="38">
        <f>'SER_se-appl'!W39</f>
        <v>33.368340196966983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</v>
      </c>
      <c r="D12" s="205">
        <f>'SER_se-appl'!D47</f>
        <v>8759.9999999999964</v>
      </c>
      <c r="E12" s="205">
        <f>'SER_se-appl'!E47</f>
        <v>8760.0000000000018</v>
      </c>
      <c r="F12" s="205">
        <f>'SER_se-appl'!F47</f>
        <v>8760</v>
      </c>
      <c r="G12" s="205">
        <f>'SER_se-appl'!G47</f>
        <v>8760</v>
      </c>
      <c r="H12" s="205">
        <f>'SER_se-appl'!H47</f>
        <v>8759.9999999999964</v>
      </c>
      <c r="I12" s="205">
        <f>'SER_se-appl'!I47</f>
        <v>8760.0000000000036</v>
      </c>
      <c r="J12" s="205">
        <f>'SER_se-appl'!J47</f>
        <v>8760</v>
      </c>
      <c r="K12" s="205">
        <f>'SER_se-appl'!K47</f>
        <v>8760.0000000000018</v>
      </c>
      <c r="L12" s="205">
        <f>'SER_se-appl'!L47</f>
        <v>8760.0000000000018</v>
      </c>
      <c r="M12" s="205">
        <f>'SER_se-appl'!M47</f>
        <v>8760.0000000000018</v>
      </c>
      <c r="N12" s="205">
        <f>'SER_se-appl'!N47</f>
        <v>8759.9999999999982</v>
      </c>
      <c r="O12" s="205">
        <f>'SER_se-appl'!O47</f>
        <v>8759.9999999999982</v>
      </c>
      <c r="P12" s="205">
        <f>'SER_se-appl'!P47</f>
        <v>8760</v>
      </c>
      <c r="Q12" s="205">
        <f>'SER_se-appl'!Q47</f>
        <v>8760</v>
      </c>
      <c r="R12" s="205">
        <f>'SER_se-appl'!R47</f>
        <v>8759.9999999999964</v>
      </c>
      <c r="S12" s="205">
        <f>'SER_se-appl'!S47</f>
        <v>8759.9999999999982</v>
      </c>
      <c r="T12" s="205">
        <f>'SER_se-appl'!T47</f>
        <v>8760</v>
      </c>
      <c r="U12" s="205">
        <f>'SER_se-appl'!U47</f>
        <v>8760</v>
      </c>
      <c r="V12" s="205">
        <f>'SER_se-appl'!V47</f>
        <v>8759.9999999999982</v>
      </c>
      <c r="W12" s="205">
        <f>'SER_se-appl'!W47</f>
        <v>8760.0000000000018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629.92025904186869</v>
      </c>
      <c r="C14" s="59">
        <f>'SER_se-appl'!C55</f>
        <v>624.48776113918575</v>
      </c>
      <c r="D14" s="59">
        <f>'SER_se-appl'!D55</f>
        <v>617.47148405015741</v>
      </c>
      <c r="E14" s="59">
        <f>'SER_se-appl'!E55</f>
        <v>609.86454536034364</v>
      </c>
      <c r="F14" s="59">
        <f>'SER_se-appl'!F55</f>
        <v>601.41225462216619</v>
      </c>
      <c r="G14" s="59">
        <f>'SER_se-appl'!G55</f>
        <v>592.02521762204435</v>
      </c>
      <c r="H14" s="59">
        <f>'SER_se-appl'!H55</f>
        <v>582.73049336640315</v>
      </c>
      <c r="I14" s="59">
        <f>'SER_se-appl'!I55</f>
        <v>571.89587992104077</v>
      </c>
      <c r="J14" s="59">
        <f>'SER_se-appl'!J55</f>
        <v>560.08927856836294</v>
      </c>
      <c r="K14" s="59">
        <f>'SER_se-appl'!K55</f>
        <v>547.55685234924078</v>
      </c>
      <c r="L14" s="59">
        <f>'SER_se-appl'!L55</f>
        <v>534.01930538005922</v>
      </c>
      <c r="M14" s="59">
        <f>'SER_se-appl'!M55</f>
        <v>524.78634610439792</v>
      </c>
      <c r="N14" s="59">
        <f>'SER_se-appl'!N55</f>
        <v>515.50000563067624</v>
      </c>
      <c r="O14" s="59">
        <f>'SER_se-appl'!O55</f>
        <v>505.76774635136547</v>
      </c>
      <c r="P14" s="59">
        <f>'SER_se-appl'!P55</f>
        <v>495.0477191943807</v>
      </c>
      <c r="Q14" s="59">
        <f>'SER_se-appl'!Q55</f>
        <v>484.18834286949817</v>
      </c>
      <c r="R14" s="59">
        <f>'SER_se-appl'!R55</f>
        <v>475.37438526954423</v>
      </c>
      <c r="S14" s="59">
        <f>'SER_se-appl'!S55</f>
        <v>465.01600140301173</v>
      </c>
      <c r="T14" s="59">
        <f>'SER_se-appl'!T55</f>
        <v>454.88741070165435</v>
      </c>
      <c r="U14" s="59">
        <f>'SER_se-appl'!U55</f>
        <v>445.50239887880832</v>
      </c>
      <c r="V14" s="59">
        <f>'SER_se-appl'!V55</f>
        <v>436.41539409152915</v>
      </c>
      <c r="W14" s="59">
        <f>'SER_se-appl'!W55</f>
        <v>428.83751614776554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577.45594934617395</v>
      </c>
      <c r="D15" s="63">
        <f>'SER_se-appl'!D63</f>
        <v>565.33835519689774</v>
      </c>
      <c r="E15" s="63">
        <f>'SER_se-appl'!E63</f>
        <v>557.84713763496723</v>
      </c>
      <c r="F15" s="63">
        <f>'SER_se-appl'!F63</f>
        <v>550.39920316474058</v>
      </c>
      <c r="G15" s="63">
        <f>'SER_se-appl'!G63</f>
        <v>542.46222622858124</v>
      </c>
      <c r="H15" s="63">
        <f>'SER_se-appl'!H63</f>
        <v>533.72505663143716</v>
      </c>
      <c r="I15" s="63">
        <f>'SER_se-appl'!I63</f>
        <v>524.20155139439771</v>
      </c>
      <c r="J15" s="63">
        <f>'SER_se-appl'!J63</f>
        <v>513.99976664479755</v>
      </c>
      <c r="K15" s="63">
        <f>'SER_se-appl'!K63</f>
        <v>502.93813960997102</v>
      </c>
      <c r="L15" s="63">
        <f>'SER_se-appl'!L63</f>
        <v>491.90527749553155</v>
      </c>
      <c r="M15" s="63">
        <f>'SER_se-appl'!M63</f>
        <v>477.0970802986219</v>
      </c>
      <c r="N15" s="63">
        <f>'SER_se-appl'!N63</f>
        <v>471.38137241644517</v>
      </c>
      <c r="O15" s="63">
        <f>'SER_se-appl'!O63</f>
        <v>460.10673908747088</v>
      </c>
      <c r="P15" s="63">
        <f>'SER_se-appl'!P63</f>
        <v>448.33484457978864</v>
      </c>
      <c r="Q15" s="63">
        <f>'SER_se-appl'!Q63</f>
        <v>440.46200664426141</v>
      </c>
      <c r="R15" s="63">
        <f>'SER_se-appl'!R63</f>
        <v>433.73591540266989</v>
      </c>
      <c r="S15" s="63">
        <f>'SER_se-appl'!S63</f>
        <v>425.2511239408359</v>
      </c>
      <c r="T15" s="63">
        <f>'SER_se-appl'!T63</f>
        <v>417.13851872433213</v>
      </c>
      <c r="U15" s="63">
        <f>'SER_se-appl'!U63</f>
        <v>409.61074320862275</v>
      </c>
      <c r="V15" s="63">
        <f>'SER_se-appl'!V63</f>
        <v>402.15968530162468</v>
      </c>
      <c r="W15" s="63">
        <f>'SER_se-appl'!W63</f>
        <v>392.51227690300857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66.838766374684909</v>
      </c>
      <c r="C3" s="199">
        <f>'SER_se-appl'!C8</f>
        <v>72.906995676802538</v>
      </c>
      <c r="D3" s="199">
        <f>'SER_se-appl'!D8</f>
        <v>78.73914588309519</v>
      </c>
      <c r="E3" s="199">
        <f>'SER_se-appl'!E8</f>
        <v>83.515689076800101</v>
      </c>
      <c r="F3" s="199">
        <f>'SER_se-appl'!F8</f>
        <v>89.254422467268228</v>
      </c>
      <c r="G3" s="199">
        <f>'SER_se-appl'!G8</f>
        <v>93.676697848178407</v>
      </c>
      <c r="H3" s="199">
        <f>'SER_se-appl'!H8</f>
        <v>97.523875884028286</v>
      </c>
      <c r="I3" s="199">
        <f>'SER_se-appl'!I8</f>
        <v>101.12358981463868</v>
      </c>
      <c r="J3" s="199">
        <f>'SER_se-appl'!J8</f>
        <v>104.35141739551952</v>
      </c>
      <c r="K3" s="199">
        <f>'SER_se-appl'!K8</f>
        <v>107.43152790884706</v>
      </c>
      <c r="L3" s="199">
        <f>'SER_se-appl'!L8</f>
        <v>109.9532202529677</v>
      </c>
      <c r="M3" s="199">
        <f>'SER_se-appl'!M8</f>
        <v>111.23464416544311</v>
      </c>
      <c r="N3" s="199">
        <f>'SER_se-appl'!N8</f>
        <v>112.32735167984791</v>
      </c>
      <c r="O3" s="199">
        <f>'SER_se-appl'!O8</f>
        <v>113.5305887013543</v>
      </c>
      <c r="P3" s="199">
        <f>'SER_se-appl'!P8</f>
        <v>113.67985669829052</v>
      </c>
      <c r="Q3" s="199">
        <f>'SER_se-appl'!Q8</f>
        <v>113.83116896668119</v>
      </c>
      <c r="R3" s="199">
        <f>'SER_se-appl'!R8</f>
        <v>117.80610681446309</v>
      </c>
      <c r="S3" s="199">
        <f>'SER_se-appl'!S8</f>
        <v>117.4761103296098</v>
      </c>
      <c r="T3" s="199">
        <f>'SER_se-appl'!T8</f>
        <v>118.71021589404859</v>
      </c>
      <c r="U3" s="199">
        <f>'SER_se-appl'!U8</f>
        <v>120.14038234821201</v>
      </c>
      <c r="V3" s="199">
        <f>'SER_se-appl'!V8</f>
        <v>129.28584201362094</v>
      </c>
      <c r="W3" s="199">
        <f>'SER_se-appl'!W8</f>
        <v>134.05143959101184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926.4866174340176</v>
      </c>
      <c r="C5" s="59">
        <f>'SER_se-appl'!C16</f>
        <v>1005.79690070112</v>
      </c>
      <c r="D5" s="59">
        <f>'SER_se-appl'!D16</f>
        <v>1081.5394421147114</v>
      </c>
      <c r="E5" s="59">
        <f>'SER_se-appl'!E16</f>
        <v>1142.5668674457781</v>
      </c>
      <c r="F5" s="59">
        <f>'SER_se-appl'!F16</f>
        <v>1216.5614969345925</v>
      </c>
      <c r="G5" s="59">
        <f>'SER_se-appl'!G16</f>
        <v>1272.4412370617265</v>
      </c>
      <c r="H5" s="59">
        <f>'SER_se-appl'!H16</f>
        <v>1320.430899949547</v>
      </c>
      <c r="I5" s="59">
        <f>'SER_se-appl'!I16</f>
        <v>1365.0254771138159</v>
      </c>
      <c r="J5" s="59">
        <f>'SER_se-appl'!J16</f>
        <v>1404.5766751155468</v>
      </c>
      <c r="K5" s="59">
        <f>'SER_se-appl'!K16</f>
        <v>1442.1312813756579</v>
      </c>
      <c r="L5" s="59">
        <f>'SER_se-appl'!L16</f>
        <v>1472.2012373855243</v>
      </c>
      <c r="M5" s="59">
        <f>'SER_se-appl'!M16</f>
        <v>1486.9384268256288</v>
      </c>
      <c r="N5" s="59">
        <f>'SER_se-appl'!N16</f>
        <v>1499.2186934336951</v>
      </c>
      <c r="O5" s="59">
        <f>'SER_se-appl'!O16</f>
        <v>1513.0345794066079</v>
      </c>
      <c r="P5" s="59">
        <f>'SER_se-appl'!P16</f>
        <v>1512.8761197477618</v>
      </c>
      <c r="Q5" s="59">
        <f>'SER_se-appl'!Q16</f>
        <v>1512.8298571941127</v>
      </c>
      <c r="R5" s="59">
        <f>'SER_se-appl'!R16</f>
        <v>1532.2775936872131</v>
      </c>
      <c r="S5" s="59">
        <f>'SER_se-appl'!S16</f>
        <v>1553.3733477017372</v>
      </c>
      <c r="T5" s="59">
        <f>'SER_se-appl'!T16</f>
        <v>1573.3061690408654</v>
      </c>
      <c r="U5" s="59">
        <f>'SER_se-appl'!U16</f>
        <v>1588.3274451823233</v>
      </c>
      <c r="V5" s="59">
        <f>'SER_se-appl'!V16</f>
        <v>1605.8407568253858</v>
      </c>
      <c r="W5" s="59">
        <f>'SER_se-appl'!W16</f>
        <v>1623.9716921574134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128.5988856369199</v>
      </c>
      <c r="C6" s="202">
        <f>'SER_se-appl'!C72</f>
        <v>138.82050759253184</v>
      </c>
      <c r="D6" s="202">
        <f>'SER_se-appl'!D72</f>
        <v>148.60795609723331</v>
      </c>
      <c r="E6" s="202">
        <f>'SER_se-appl'!E72</f>
        <v>156.43694544962409</v>
      </c>
      <c r="F6" s="202">
        <f>'SER_se-appl'!F72</f>
        <v>165.61370754336357</v>
      </c>
      <c r="G6" s="202">
        <f>'SER_se-appl'!G72</f>
        <v>172.36627475770263</v>
      </c>
      <c r="H6" s="202">
        <f>'SER_se-appl'!H72</f>
        <v>177.23493997238543</v>
      </c>
      <c r="I6" s="202">
        <f>'SER_se-appl'!I72</f>
        <v>181.75794128926879</v>
      </c>
      <c r="J6" s="202">
        <f>'SER_se-appl'!J72</f>
        <v>186.63140669465793</v>
      </c>
      <c r="K6" s="202">
        <f>'SER_se-appl'!K72</f>
        <v>191.10158420381327</v>
      </c>
      <c r="L6" s="202">
        <f>'SER_se-appl'!L72</f>
        <v>194.26649682223265</v>
      </c>
      <c r="M6" s="202">
        <f>'SER_se-appl'!M72</f>
        <v>196.220056674305</v>
      </c>
      <c r="N6" s="202">
        <f>'SER_se-appl'!N72</f>
        <v>198.59329646072575</v>
      </c>
      <c r="O6" s="202">
        <f>'SER_se-appl'!O72</f>
        <v>200.46036245962247</v>
      </c>
      <c r="P6" s="202">
        <f>'SER_se-appl'!P72</f>
        <v>201.70339870281742</v>
      </c>
      <c r="Q6" s="202">
        <f>'SER_se-appl'!Q72</f>
        <v>203.12504023161645</v>
      </c>
      <c r="R6" s="202">
        <f>'SER_se-appl'!R72</f>
        <v>206.71264577299729</v>
      </c>
      <c r="S6" s="202">
        <f>'SER_se-appl'!S72</f>
        <v>210.29610015541036</v>
      </c>
      <c r="T6" s="202">
        <f>'SER_se-appl'!T72</f>
        <v>213.89735772304289</v>
      </c>
      <c r="U6" s="202">
        <f>'SER_se-appl'!U72</f>
        <v>217.52973408951138</v>
      </c>
      <c r="V6" s="202">
        <f>'SER_se-appl'!V72</f>
        <v>221.21801438341748</v>
      </c>
      <c r="W6" s="202">
        <f>'SER_se-appl'!W72</f>
        <v>224.9236639292449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20.922407684302129</v>
      </c>
      <c r="C8" s="34">
        <f>'SER_se-appl'!C24</f>
        <v>22.869994191091592</v>
      </c>
      <c r="D8" s="34">
        <f>'SER_se-appl'!D24</f>
        <v>24.755132663250727</v>
      </c>
      <c r="E8" s="34">
        <f>'SER_se-appl'!E24</f>
        <v>26.304313241016846</v>
      </c>
      <c r="F8" s="34">
        <f>'SER_se-appl'!F24</f>
        <v>28.194182907571015</v>
      </c>
      <c r="G8" s="34">
        <f>'SER_se-appl'!G24</f>
        <v>29.661138887723258</v>
      </c>
      <c r="H8" s="34">
        <f>'SER_se-appl'!H24</f>
        <v>30.954131948573767</v>
      </c>
      <c r="I8" s="34">
        <f>'SER_se-appl'!I24</f>
        <v>32.191574172796244</v>
      </c>
      <c r="J8" s="34">
        <f>'SER_se-appl'!J24</f>
        <v>33.334300422454646</v>
      </c>
      <c r="K8" s="34">
        <f>'SER_se-appl'!K24</f>
        <v>34.466499883846211</v>
      </c>
      <c r="L8" s="34">
        <f>'SER_se-appl'!L24</f>
        <v>35.461178762252523</v>
      </c>
      <c r="M8" s="34">
        <f>'SER_se-appl'!M24</f>
        <v>36.147802642143574</v>
      </c>
      <c r="N8" s="34">
        <f>'SER_se-appl'!N24</f>
        <v>36.865610738821971</v>
      </c>
      <c r="O8" s="34">
        <f>'SER_se-appl'!O24</f>
        <v>37.742203681330992</v>
      </c>
      <c r="P8" s="34">
        <f>'SER_se-appl'!P24</f>
        <v>38.374513717398813</v>
      </c>
      <c r="Q8" s="34">
        <f>'SER_se-appl'!Q24</f>
        <v>39.160617837725738</v>
      </c>
      <c r="R8" s="34">
        <f>'SER_se-appl'!R24</f>
        <v>40.32963220313853</v>
      </c>
      <c r="S8" s="34">
        <f>'SER_se-appl'!S24</f>
        <v>41.584151740951405</v>
      </c>
      <c r="T8" s="34">
        <f>'SER_se-appl'!T24</f>
        <v>42.771462085766096</v>
      </c>
      <c r="U8" s="34">
        <f>'SER_se-appl'!U24</f>
        <v>43.948660835499275</v>
      </c>
      <c r="V8" s="34">
        <f>'SER_se-appl'!V24</f>
        <v>45.14963345410176</v>
      </c>
      <c r="W8" s="34">
        <f>'SER_se-appl'!W24</f>
        <v>46.363636284755664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2.543508032629731</v>
      </c>
      <c r="D9" s="36">
        <f>'SER_se-appl'!D32</f>
        <v>2.5481199269398793</v>
      </c>
      <c r="E9" s="36">
        <f>'SER_se-appl'!E32</f>
        <v>2.2867683142779356</v>
      </c>
      <c r="F9" s="36">
        <f>'SER_se-appl'!F32</f>
        <v>2.7104592398063261</v>
      </c>
      <c r="G9" s="36">
        <f>'SER_se-appl'!G32</f>
        <v>2.379887709351852</v>
      </c>
      <c r="H9" s="36">
        <f>'SER_se-appl'!H32</f>
        <v>2.3086583451122706</v>
      </c>
      <c r="I9" s="36">
        <f>'SER_se-appl'!I32</f>
        <v>2.3674018221421704</v>
      </c>
      <c r="J9" s="36">
        <f>'SER_se-appl'!J32</f>
        <v>2.3998418690613903</v>
      </c>
      <c r="K9" s="36">
        <f>'SER_se-appl'!K32</f>
        <v>2.5307801570699233</v>
      </c>
      <c r="L9" s="36">
        <f>'SER_se-appl'!L32</f>
        <v>2.5506439242094032</v>
      </c>
      <c r="M9" s="36">
        <f>'SER_se-appl'!M32</f>
        <v>2.4176839690529093</v>
      </c>
      <c r="N9" s="36">
        <f>'SER_se-appl'!N32</f>
        <v>2.6436669328853526</v>
      </c>
      <c r="O9" s="36">
        <f>'SER_se-appl'!O32</f>
        <v>3.0191715163078072</v>
      </c>
      <c r="P9" s="36">
        <f>'SER_se-appl'!P32</f>
        <v>3.0159961394288928</v>
      </c>
      <c r="Q9" s="36">
        <f>'SER_se-appl'!Q32</f>
        <v>3.4380299394498977</v>
      </c>
      <c r="R9" s="36">
        <f>'SER_se-appl'!R32</f>
        <v>3.7125223980425233</v>
      </c>
      <c r="S9" s="36">
        <f>'SER_se-appl'!S32</f>
        <v>3.8026394647527511</v>
      </c>
      <c r="T9" s="36">
        <f>'SER_se-appl'!T32</f>
        <v>3.4740786590926263</v>
      </c>
      <c r="U9" s="36">
        <f>'SER_se-appl'!U32</f>
        <v>3.8876579895395054</v>
      </c>
      <c r="V9" s="36">
        <f>'SER_se-appl'!V32</f>
        <v>3.5808603279543405</v>
      </c>
      <c r="W9" s="36">
        <f>'SER_se-appl'!W32</f>
        <v>3.5226611757661743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0.59592152584026792</v>
      </c>
      <c r="D10" s="38">
        <f>'SER_se-appl'!D40</f>
        <v>0.66298145478074488</v>
      </c>
      <c r="E10" s="38">
        <f>'SER_se-appl'!E40</f>
        <v>0.73758773651181642</v>
      </c>
      <c r="F10" s="38">
        <f>'SER_se-appl'!F40</f>
        <v>0.82058957325215687</v>
      </c>
      <c r="G10" s="38">
        <f>'SER_se-appl'!G40</f>
        <v>0.91293172919960952</v>
      </c>
      <c r="H10" s="38">
        <f>'SER_se-appl'!H40</f>
        <v>1.0156652842617611</v>
      </c>
      <c r="I10" s="38">
        <f>'SER_se-appl'!I40</f>
        <v>1.1299595979196937</v>
      </c>
      <c r="J10" s="38">
        <f>'SER_se-appl'!J40</f>
        <v>1.2571156194029882</v>
      </c>
      <c r="K10" s="38">
        <f>'SER_se-appl'!K40</f>
        <v>1.398580695678362</v>
      </c>
      <c r="L10" s="38">
        <f>'SER_se-appl'!L40</f>
        <v>1.5559650458030916</v>
      </c>
      <c r="M10" s="38">
        <f>'SER_se-appl'!M40</f>
        <v>1.7310600891618577</v>
      </c>
      <c r="N10" s="38">
        <f>'SER_se-appl'!N40</f>
        <v>1.925858836206956</v>
      </c>
      <c r="O10" s="38">
        <f>'SER_se-appl'!O40</f>
        <v>2.1425785737987866</v>
      </c>
      <c r="P10" s="38">
        <f>'SER_se-appl'!P40</f>
        <v>2.3836861033610717</v>
      </c>
      <c r="Q10" s="38">
        <f>'SER_se-appl'!Q40</f>
        <v>2.6519258191229724</v>
      </c>
      <c r="R10" s="38">
        <f>'SER_se-appl'!R40</f>
        <v>2.543508032629731</v>
      </c>
      <c r="S10" s="38">
        <f>'SER_se-appl'!S40</f>
        <v>2.5481199269398758</v>
      </c>
      <c r="T10" s="38">
        <f>'SER_se-appl'!T40</f>
        <v>2.2867683142779356</v>
      </c>
      <c r="U10" s="38">
        <f>'SER_se-appl'!U40</f>
        <v>2.7104592398063261</v>
      </c>
      <c r="V10" s="38">
        <f>'SER_se-appl'!V40</f>
        <v>2.3798877093518556</v>
      </c>
      <c r="W10" s="38">
        <f>'SER_se-appl'!W40</f>
        <v>2.3086583451122706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839.01357916046277</v>
      </c>
      <c r="C12" s="205">
        <f>'SER_se-appl'!C48</f>
        <v>843.02144809767697</v>
      </c>
      <c r="D12" s="205">
        <f>'SER_se-appl'!D48</f>
        <v>846.69706065446587</v>
      </c>
      <c r="E12" s="205">
        <f>'SER_se-appl'!E48</f>
        <v>850.09244678563971</v>
      </c>
      <c r="F12" s="205">
        <f>'SER_se-appl'!F48</f>
        <v>853.24822124478135</v>
      </c>
      <c r="G12" s="205">
        <f>'SER_se-appl'!G48</f>
        <v>856.19670617564623</v>
      </c>
      <c r="H12" s="205">
        <f>'SER_se-appl'!H48</f>
        <v>858.96405224581338</v>
      </c>
      <c r="I12" s="205">
        <f>'SER_se-appl'!I48</f>
        <v>861.57172101351728</v>
      </c>
      <c r="J12" s="205">
        <f>'SER_se-appl'!J48</f>
        <v>864.03754655120918</v>
      </c>
      <c r="K12" s="205">
        <f>'SER_se-appl'!K48</f>
        <v>866.37651212173523</v>
      </c>
      <c r="L12" s="205">
        <f>'SER_se-appl'!L48</f>
        <v>868.60132913143809</v>
      </c>
      <c r="M12" s="205">
        <f>'SER_se-appl'!M48</f>
        <v>870.01511851829287</v>
      </c>
      <c r="N12" s="205">
        <f>'SER_se-appl'!N48</f>
        <v>871.36526896194744</v>
      </c>
      <c r="O12" s="205">
        <f>'SER_se-appl'!O48</f>
        <v>872.65735004852206</v>
      </c>
      <c r="P12" s="205">
        <f>'SER_se-appl'!P48</f>
        <v>873.89622728763072</v>
      </c>
      <c r="Q12" s="205">
        <f>'SER_se-appl'!Q48</f>
        <v>875.08617627225806</v>
      </c>
      <c r="R12" s="205">
        <f>'SER_se-appl'!R48</f>
        <v>894.1493551147521</v>
      </c>
      <c r="S12" s="205">
        <f>'SER_se-appl'!S48</f>
        <v>879.5356024067014</v>
      </c>
      <c r="T12" s="205">
        <f>'SER_se-appl'!T48</f>
        <v>877.51503045935442</v>
      </c>
      <c r="U12" s="205">
        <f>'SER_se-appl'!U48</f>
        <v>879.68803343904824</v>
      </c>
      <c r="V12" s="205">
        <f>'SER_se-appl'!V48</f>
        <v>936.32842249619637</v>
      </c>
      <c r="W12" s="205">
        <f>'SER_se-appl'!W48</f>
        <v>960.00333624802522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44.282026782660921</v>
      </c>
      <c r="C14" s="59">
        <f>'SER_se-appl'!C56</f>
        <v>43.978887458261873</v>
      </c>
      <c r="D14" s="59">
        <f>'SER_se-appl'!D56</f>
        <v>43.689502974074898</v>
      </c>
      <c r="E14" s="59">
        <f>'SER_se-appl'!E56</f>
        <v>43.436483476183312</v>
      </c>
      <c r="F14" s="59">
        <f>'SER_se-appl'!F56</f>
        <v>43.149379463233458</v>
      </c>
      <c r="G14" s="59">
        <f>'SER_se-appl'!G56</f>
        <v>42.89927105895417</v>
      </c>
      <c r="H14" s="59">
        <f>'SER_se-appl'!H56</f>
        <v>42.657662057629977</v>
      </c>
      <c r="I14" s="59">
        <f>'SER_se-appl'!I56</f>
        <v>42.403191275664362</v>
      </c>
      <c r="J14" s="59">
        <f>'SER_se-appl'!J56</f>
        <v>42.136077773193527</v>
      </c>
      <c r="K14" s="59">
        <f>'SER_se-appl'!K56</f>
        <v>41.841535584863877</v>
      </c>
      <c r="L14" s="59">
        <f>'SER_se-appl'!L56</f>
        <v>41.515857305698006</v>
      </c>
      <c r="M14" s="59">
        <f>'SER_se-appl'!M56</f>
        <v>41.134960305776772</v>
      </c>
      <c r="N14" s="59">
        <f>'SER_se-appl'!N56</f>
        <v>40.66713295637652</v>
      </c>
      <c r="O14" s="59">
        <f>'SER_se-appl'!O56</f>
        <v>40.088665521007286</v>
      </c>
      <c r="P14" s="59">
        <f>'SER_se-appl'!P56</f>
        <v>39.423981522971879</v>
      </c>
      <c r="Q14" s="59">
        <f>'SER_se-appl'!Q56</f>
        <v>38.631409327171397</v>
      </c>
      <c r="R14" s="59">
        <f>'SER_se-appl'!R56</f>
        <v>37.993840012455365</v>
      </c>
      <c r="S14" s="59">
        <f>'SER_se-appl'!S56</f>
        <v>37.354936500291771</v>
      </c>
      <c r="T14" s="59">
        <f>'SER_se-appl'!T56</f>
        <v>36.784016545565919</v>
      </c>
      <c r="U14" s="59">
        <f>'SER_se-appl'!U56</f>
        <v>36.140519756164245</v>
      </c>
      <c r="V14" s="59">
        <f>'SER_se-appl'!V56</f>
        <v>35.567082919019761</v>
      </c>
      <c r="W14" s="59">
        <f>'SER_se-appl'!W56</f>
        <v>35.026840478674323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41.556344575583253</v>
      </c>
      <c r="D15" s="63">
        <f>'SER_se-appl'!D64</f>
        <v>41.246372605711173</v>
      </c>
      <c r="E15" s="63">
        <f>'SER_se-appl'!E64</f>
        <v>40.970178154418129</v>
      </c>
      <c r="F15" s="63">
        <f>'SER_se-appl'!F64</f>
        <v>40.706016651636659</v>
      </c>
      <c r="G15" s="63">
        <f>'SER_se-appl'!G64</f>
        <v>40.466702286773256</v>
      </c>
      <c r="H15" s="63">
        <f>'SER_se-appl'!H64</f>
        <v>40.268141193147265</v>
      </c>
      <c r="I15" s="63">
        <f>'SER_se-appl'!I64</f>
        <v>39.972715006633301</v>
      </c>
      <c r="J15" s="63">
        <f>'SER_se-appl'!J64</f>
        <v>39.677124879180923</v>
      </c>
      <c r="K15" s="63">
        <f>'SER_se-appl'!K64</f>
        <v>39.310642532868599</v>
      </c>
      <c r="L15" s="63">
        <f>'SER_se-appl'!L64</f>
        <v>38.802453334085214</v>
      </c>
      <c r="M15" s="63">
        <f>'SER_se-appl'!M64</f>
        <v>37.801482675407911</v>
      </c>
      <c r="N15" s="63">
        <f>'SER_se-appl'!N64</f>
        <v>36.903740769691737</v>
      </c>
      <c r="O15" s="63">
        <f>'SER_se-appl'!O64</f>
        <v>36.001137124779476</v>
      </c>
      <c r="P15" s="63">
        <f>'SER_se-appl'!P64</f>
        <v>34.945665491336726</v>
      </c>
      <c r="Q15" s="63">
        <f>'SER_se-appl'!Q64</f>
        <v>34.143503594144704</v>
      </c>
      <c r="R15" s="63">
        <f>'SER_se-appl'!R64</f>
        <v>33.7093273279134</v>
      </c>
      <c r="S15" s="63">
        <f>'SER_se-appl'!S64</f>
        <v>33.186542961766008</v>
      </c>
      <c r="T15" s="63">
        <f>'SER_se-appl'!T64</f>
        <v>32.705686232979446</v>
      </c>
      <c r="U15" s="63">
        <f>'SER_se-appl'!U64</f>
        <v>32.243905052317864</v>
      </c>
      <c r="V15" s="63">
        <f>'SER_se-appl'!V64</f>
        <v>31.785523206479521</v>
      </c>
      <c r="W15" s="63">
        <f>'SER_se-appl'!W64</f>
        <v>31.537610345276164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244.39654125236279</v>
      </c>
      <c r="C3" s="199">
        <f>'SER_se-appl'!C9</f>
        <v>277.58259088555013</v>
      </c>
      <c r="D3" s="199">
        <f>'SER_se-appl'!D9</f>
        <v>305.34621449604185</v>
      </c>
      <c r="E3" s="199">
        <f>'SER_se-appl'!E9</f>
        <v>329.29686170814375</v>
      </c>
      <c r="F3" s="199">
        <f>'SER_se-appl'!F9</f>
        <v>352.48503553283035</v>
      </c>
      <c r="G3" s="199">
        <f>'SER_se-appl'!G9</f>
        <v>366.61882666679207</v>
      </c>
      <c r="H3" s="199">
        <f>'SER_se-appl'!H9</f>
        <v>383.58072234635728</v>
      </c>
      <c r="I3" s="199">
        <f>'SER_se-appl'!I9</f>
        <v>401.05745450008817</v>
      </c>
      <c r="J3" s="199">
        <f>'SER_se-appl'!J9</f>
        <v>411.87284103480141</v>
      </c>
      <c r="K3" s="199">
        <f>'SER_se-appl'!K9</f>
        <v>417.8828106024111</v>
      </c>
      <c r="L3" s="199">
        <f>'SER_se-appl'!L9</f>
        <v>430.70054561823906</v>
      </c>
      <c r="M3" s="199">
        <f>'SER_se-appl'!M9</f>
        <v>408.77534861822545</v>
      </c>
      <c r="N3" s="199">
        <f>'SER_se-appl'!N9</f>
        <v>416.62424742142036</v>
      </c>
      <c r="O3" s="199">
        <f>'SER_se-appl'!O9</f>
        <v>433.63486765396317</v>
      </c>
      <c r="P3" s="199">
        <f>'SER_se-appl'!P9</f>
        <v>450.82498362010722</v>
      </c>
      <c r="Q3" s="199">
        <f>'SER_se-appl'!Q9</f>
        <v>479.32590315670228</v>
      </c>
      <c r="R3" s="199">
        <f>'SER_se-appl'!R9</f>
        <v>498.35615556332351</v>
      </c>
      <c r="S3" s="199">
        <f>'SER_se-appl'!S9</f>
        <v>526.53070382466399</v>
      </c>
      <c r="T3" s="199">
        <f>'SER_se-appl'!T9</f>
        <v>544.27053024945621</v>
      </c>
      <c r="U3" s="199">
        <f>'SER_se-appl'!U9</f>
        <v>578.75251108119141</v>
      </c>
      <c r="V3" s="199">
        <f>'SER_se-appl'!V9</f>
        <v>702.86472580870748</v>
      </c>
      <c r="W3" s="199">
        <f>'SER_se-appl'!W9</f>
        <v>729.45799356649354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1785.6237932996953</v>
      </c>
      <c r="C5" s="59">
        <f>'SER_se-appl'!C17</f>
        <v>2008.0273002652816</v>
      </c>
      <c r="D5" s="59">
        <f>'SER_se-appl'!D17</f>
        <v>2167.8658121890339</v>
      </c>
      <c r="E5" s="59">
        <f>'SER_se-appl'!E17</f>
        <v>2298.7723930521083</v>
      </c>
      <c r="F5" s="59">
        <f>'SER_se-appl'!F17</f>
        <v>2419.6767053372951</v>
      </c>
      <c r="G5" s="59">
        <f>'SER_se-appl'!G17</f>
        <v>2477.8879212912998</v>
      </c>
      <c r="H5" s="59">
        <f>'SER_se-appl'!H17</f>
        <v>2552.0081056319691</v>
      </c>
      <c r="I5" s="59">
        <f>'SER_se-appl'!I17</f>
        <v>2636.0661527893044</v>
      </c>
      <c r="J5" s="59">
        <f>'SER_se-appl'!J17</f>
        <v>2676.2050902715064</v>
      </c>
      <c r="K5" s="59">
        <f>'SER_se-appl'!K17</f>
        <v>2690.0499132204741</v>
      </c>
      <c r="L5" s="59">
        <f>'SER_se-appl'!L17</f>
        <v>2739.4560143465424</v>
      </c>
      <c r="M5" s="59">
        <f>'SER_se-appl'!M17</f>
        <v>2564.8278568855485</v>
      </c>
      <c r="N5" s="59">
        <f>'SER_se-appl'!N17</f>
        <v>2585.8111532867661</v>
      </c>
      <c r="O5" s="59">
        <f>'SER_se-appl'!O17</f>
        <v>2661.8463109127611</v>
      </c>
      <c r="P5" s="59">
        <f>'SER_se-appl'!P17</f>
        <v>2734.4067233063101</v>
      </c>
      <c r="Q5" s="59">
        <f>'SER_se-appl'!Q17</f>
        <v>2871.2269670011246</v>
      </c>
      <c r="R5" s="59">
        <f>'SER_se-appl'!R17</f>
        <v>2881.847260206293</v>
      </c>
      <c r="S5" s="59">
        <f>'SER_se-appl'!S17</f>
        <v>3055.3211064022107</v>
      </c>
      <c r="T5" s="59">
        <f>'SER_se-appl'!T17</f>
        <v>3123.079818314664</v>
      </c>
      <c r="U5" s="59">
        <f>'SER_se-appl'!U17</f>
        <v>3270.0812196851925</v>
      </c>
      <c r="V5" s="59">
        <f>'SER_se-appl'!V17</f>
        <v>3686.5076344852923</v>
      </c>
      <c r="W5" s="59">
        <f>'SER_se-appl'!W17</f>
        <v>3714.6274317291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0.60421372757301584</v>
      </c>
      <c r="C6" s="202">
        <f>'SER_se-appl'!C73</f>
        <v>0.69792380422867539</v>
      </c>
      <c r="D6" s="202">
        <f>'SER_se-appl'!D73</f>
        <v>0.77546994824115134</v>
      </c>
      <c r="E6" s="202">
        <f>'SER_se-appl'!E73</f>
        <v>0.84860089127719773</v>
      </c>
      <c r="F6" s="202">
        <f>'SER_se-appl'!F73</f>
        <v>0.92542695342540338</v>
      </c>
      <c r="G6" s="202">
        <f>'SER_se-appl'!G73</f>
        <v>0.98201886745382194</v>
      </c>
      <c r="H6" s="202">
        <f>'SER_se-appl'!H73</f>
        <v>1.0647897341427852</v>
      </c>
      <c r="I6" s="202">
        <f>'SER_se-appl'!I73</f>
        <v>1.1504785838336264</v>
      </c>
      <c r="J6" s="202">
        <f>'SER_se-appl'!J73</f>
        <v>1.2184873024963641</v>
      </c>
      <c r="K6" s="202">
        <f>'SER_se-appl'!K73</f>
        <v>1.2844132249713605</v>
      </c>
      <c r="L6" s="202">
        <f>'SER_se-appl'!L73</f>
        <v>1.3752960355650858</v>
      </c>
      <c r="M6" s="202">
        <f>'SER_se-appl'!M73</f>
        <v>1.3795271528092767</v>
      </c>
      <c r="N6" s="202">
        <f>'SER_se-appl'!N73</f>
        <v>1.5114664461864911</v>
      </c>
      <c r="O6" s="202">
        <f>'SER_se-appl'!O73</f>
        <v>1.6743464248417637</v>
      </c>
      <c r="P6" s="202">
        <f>'SER_se-appl'!P73</f>
        <v>1.8275483299728286</v>
      </c>
      <c r="Q6" s="202">
        <f>'SER_se-appl'!Q73</f>
        <v>2.0234455610037183</v>
      </c>
      <c r="R6" s="202">
        <f>'SER_se-appl'!R73</f>
        <v>2.1081103031574555</v>
      </c>
      <c r="S6" s="202">
        <f>'SER_se-appl'!S73</f>
        <v>2.3292584257348863</v>
      </c>
      <c r="T6" s="202">
        <f>'SER_se-appl'!T73</f>
        <v>2.4496373250434362</v>
      </c>
      <c r="U6" s="202">
        <f>'SER_se-appl'!U73</f>
        <v>2.619133129380792</v>
      </c>
      <c r="V6" s="202">
        <f>'SER_se-appl'!V73</f>
        <v>3.0132409568513832</v>
      </c>
      <c r="W6" s="202">
        <f>'SER_se-appl'!W73</f>
        <v>3.0731013956707027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5354.1952350724396</v>
      </c>
      <c r="C8" s="34">
        <f>'SER_se-appl'!C25</f>
        <v>6199.5119848120439</v>
      </c>
      <c r="D8" s="34">
        <f>'SER_se-appl'!D25</f>
        <v>6908.7610290337925</v>
      </c>
      <c r="E8" s="34">
        <f>'SER_se-appl'!E25</f>
        <v>7587.1606655204741</v>
      </c>
      <c r="F8" s="34">
        <f>'SER_se-appl'!F25</f>
        <v>8306.3269430517903</v>
      </c>
      <c r="G8" s="34">
        <f>'SER_se-appl'!G25</f>
        <v>8849.3569660224312</v>
      </c>
      <c r="H8" s="34">
        <f>'SER_se-appl'!H25</f>
        <v>9633.9534466698551</v>
      </c>
      <c r="I8" s="34">
        <f>'SER_se-appl'!I25</f>
        <v>10484.607007471885</v>
      </c>
      <c r="J8" s="34">
        <f>'SER_se-appl'!J25</f>
        <v>11189.279949251029</v>
      </c>
      <c r="K8" s="34">
        <f>'SER_se-appl'!K25</f>
        <v>11888.974501723977</v>
      </c>
      <c r="L8" s="34">
        <f>'SER_se-appl'!L25</f>
        <v>12846.202924074158</v>
      </c>
      <c r="M8" s="34">
        <f>'SER_se-appl'!M25</f>
        <v>12989.034474176442</v>
      </c>
      <c r="N8" s="34">
        <f>'SER_se-appl'!N25</f>
        <v>14333.017146551798</v>
      </c>
      <c r="O8" s="34">
        <f>'SER_se-appl'!O25</f>
        <v>15999.875280720435</v>
      </c>
      <c r="P8" s="34">
        <f>'SER_se-appl'!P25</f>
        <v>17626.455096015055</v>
      </c>
      <c r="Q8" s="34">
        <f>'SER_se-appl'!Q25</f>
        <v>19723.242206277395</v>
      </c>
      <c r="R8" s="34">
        <f>'SER_se-appl'!R25</f>
        <v>20767.030434279248</v>
      </c>
      <c r="S8" s="34">
        <f>'SER_se-appl'!S25</f>
        <v>23281.294341759323</v>
      </c>
      <c r="T8" s="34">
        <f>'SER_se-appl'!T25</f>
        <v>24790.922541672233</v>
      </c>
      <c r="U8" s="34">
        <f>'SER_se-appl'!U25</f>
        <v>26794.216453194436</v>
      </c>
      <c r="V8" s="34">
        <f>'SER_se-appl'!V25</f>
        <v>31119.514160327817</v>
      </c>
      <c r="W8" s="34">
        <f>'SER_se-appl'!W25</f>
        <v>31896.625950577949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1916.1557967540921</v>
      </c>
      <c r="D9" s="36">
        <f>'SER_se-appl'!D33</f>
        <v>1780.0880912362363</v>
      </c>
      <c r="E9" s="36">
        <f>'SER_se-appl'!E33</f>
        <v>1749.2386835011694</v>
      </c>
      <c r="F9" s="36">
        <f>'SER_se-appl'!F33</f>
        <v>1790.0053245458039</v>
      </c>
      <c r="G9" s="36">
        <f>'SER_se-appl'!G33</f>
        <v>1613.8690699851286</v>
      </c>
      <c r="H9" s="36">
        <f>'SER_se-appl'!H33</f>
        <v>2700.752277401516</v>
      </c>
      <c r="I9" s="36">
        <f>'SER_se-appl'!I33</f>
        <v>2630.7416520382658</v>
      </c>
      <c r="J9" s="36">
        <f>'SER_se-appl'!J33</f>
        <v>2453.9116252803142</v>
      </c>
      <c r="K9" s="36">
        <f>'SER_se-appl'!K33</f>
        <v>2489.6998770187511</v>
      </c>
      <c r="L9" s="36">
        <f>'SER_se-appl'!L33</f>
        <v>2571.0974923353097</v>
      </c>
      <c r="M9" s="36">
        <f>'SER_se-appl'!M33</f>
        <v>2843.5838275038004</v>
      </c>
      <c r="N9" s="36">
        <f>'SER_se-appl'!N33</f>
        <v>3974.7243244136207</v>
      </c>
      <c r="O9" s="36">
        <f>'SER_se-appl'!O33</f>
        <v>4120.7697594489509</v>
      </c>
      <c r="P9" s="36">
        <f>'SER_se-appl'!P33</f>
        <v>4116.2796923133719</v>
      </c>
      <c r="Q9" s="36">
        <f>'SER_se-appl'!Q33</f>
        <v>4667.8846025976491</v>
      </c>
      <c r="R9" s="36">
        <f>'SER_se-appl'!R33</f>
        <v>3887.3720555056534</v>
      </c>
      <c r="S9" s="36">
        <f>'SER_se-appl'!S33</f>
        <v>6488.988231893698</v>
      </c>
      <c r="T9" s="36">
        <f>'SER_se-appl'!T33</f>
        <v>5630.3979593618606</v>
      </c>
      <c r="U9" s="36">
        <f>'SER_se-appl'!U33</f>
        <v>6119.5736038355753</v>
      </c>
      <c r="V9" s="36">
        <f>'SER_se-appl'!V33</f>
        <v>8993.1823097310298</v>
      </c>
      <c r="W9" s="36">
        <f>'SER_se-appl'!W33</f>
        <v>4664.4838457557853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1070.8390470144877</v>
      </c>
      <c r="D10" s="38">
        <f>'SER_se-appl'!D41</f>
        <v>1070.8390470144877</v>
      </c>
      <c r="E10" s="38">
        <f>'SER_se-appl'!E41</f>
        <v>1070.8390470144877</v>
      </c>
      <c r="F10" s="38">
        <f>'SER_se-appl'!F41</f>
        <v>1070.8390470144877</v>
      </c>
      <c r="G10" s="38">
        <f>'SER_se-appl'!G41</f>
        <v>1070.8390470144877</v>
      </c>
      <c r="H10" s="38">
        <f>'SER_se-appl'!H41</f>
        <v>1916.1557967540921</v>
      </c>
      <c r="I10" s="38">
        <f>'SER_se-appl'!I41</f>
        <v>1780.0880912362372</v>
      </c>
      <c r="J10" s="38">
        <f>'SER_se-appl'!J41</f>
        <v>1749.2386835011694</v>
      </c>
      <c r="K10" s="38">
        <f>'SER_se-appl'!K41</f>
        <v>1790.0053245458039</v>
      </c>
      <c r="L10" s="38">
        <f>'SER_se-appl'!L41</f>
        <v>1613.8690699851286</v>
      </c>
      <c r="M10" s="38">
        <f>'SER_se-appl'!M41</f>
        <v>2700.752277401516</v>
      </c>
      <c r="N10" s="38">
        <f>'SER_se-appl'!N41</f>
        <v>2630.7416520382631</v>
      </c>
      <c r="O10" s="38">
        <f>'SER_se-appl'!O41</f>
        <v>2453.911625280316</v>
      </c>
      <c r="P10" s="38">
        <f>'SER_se-appl'!P41</f>
        <v>2489.6998770187529</v>
      </c>
      <c r="Q10" s="38">
        <f>'SER_se-appl'!Q41</f>
        <v>2571.0974923353097</v>
      </c>
      <c r="R10" s="38">
        <f>'SER_se-appl'!R41</f>
        <v>2843.5838275038004</v>
      </c>
      <c r="S10" s="38">
        <f>'SER_se-appl'!S41</f>
        <v>3974.7243244136225</v>
      </c>
      <c r="T10" s="38">
        <f>'SER_se-appl'!T41</f>
        <v>4120.7697594489509</v>
      </c>
      <c r="U10" s="38">
        <f>'SER_se-appl'!U41</f>
        <v>4116.2796923133719</v>
      </c>
      <c r="V10" s="38">
        <f>'SER_se-appl'!V41</f>
        <v>4667.8846025976527</v>
      </c>
      <c r="W10" s="38">
        <f>'SER_se-appl'!W41</f>
        <v>3887.3720555056534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1591.7864588444854</v>
      </c>
      <c r="C12" s="205">
        <f>'SER_se-appl'!C49</f>
        <v>1607.6900605746034</v>
      </c>
      <c r="D12" s="205">
        <f>'SER_se-appl'!D49</f>
        <v>1638.0979185252777</v>
      </c>
      <c r="E12" s="205">
        <f>'SER_se-appl'!E49</f>
        <v>1665.9859467778549</v>
      </c>
      <c r="F12" s="205">
        <f>'SER_se-appl'!F49</f>
        <v>1694.1936723217634</v>
      </c>
      <c r="G12" s="205">
        <f>'SER_se-appl'!G49</f>
        <v>1720.730351642706</v>
      </c>
      <c r="H12" s="205">
        <f>'SER_se-appl'!H49</f>
        <v>1748.0523635654442</v>
      </c>
      <c r="I12" s="205">
        <f>'SER_se-appl'!I49</f>
        <v>1769.4162154847993</v>
      </c>
      <c r="J12" s="205">
        <f>'SER_se-appl'!J49</f>
        <v>1789.8781967972332</v>
      </c>
      <c r="K12" s="205">
        <f>'SER_se-appl'!K49</f>
        <v>1806.6494095225814</v>
      </c>
      <c r="L12" s="205">
        <f>'SER_se-appl'!L49</f>
        <v>1828.4824867812147</v>
      </c>
      <c r="M12" s="205">
        <f>'SER_se-appl'!M49</f>
        <v>1853.5580435416741</v>
      </c>
      <c r="N12" s="205">
        <f>'SER_se-appl'!N49</f>
        <v>1873.8181987313021</v>
      </c>
      <c r="O12" s="205">
        <f>'SER_se-appl'!O49</f>
        <v>1894.6148356274789</v>
      </c>
      <c r="P12" s="205">
        <f>'SER_se-appl'!P49</f>
        <v>1917.4523361185109</v>
      </c>
      <c r="Q12" s="205">
        <f>'SER_se-appl'!Q49</f>
        <v>1941.5254585515543</v>
      </c>
      <c r="R12" s="205">
        <f>'SER_se-appl'!R49</f>
        <v>2011.1690752085738</v>
      </c>
      <c r="S12" s="205">
        <f>'SER_se-appl'!S49</f>
        <v>2004.2253734474484</v>
      </c>
      <c r="T12" s="205">
        <f>'SER_se-appl'!T49</f>
        <v>2026.8025907250167</v>
      </c>
      <c r="U12" s="205">
        <f>'SER_se-appl'!U49</f>
        <v>2058.3255435234214</v>
      </c>
      <c r="V12" s="205">
        <f>'SER_se-appl'!V49</f>
        <v>2217.3605948049421</v>
      </c>
      <c r="W12" s="205">
        <f>'SER_se-appl'!W49</f>
        <v>2283.8350873937688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333.49994068259571</v>
      </c>
      <c r="C14" s="59">
        <f>'SER_se-appl'!C57</f>
        <v>323.90086593665336</v>
      </c>
      <c r="D14" s="59">
        <f>'SER_se-appl'!D57</f>
        <v>313.78503368095437</v>
      </c>
      <c r="E14" s="59">
        <f>'SER_se-appl'!E57</f>
        <v>302.98190514124479</v>
      </c>
      <c r="F14" s="59">
        <f>'SER_se-appl'!F57</f>
        <v>291.30525705604987</v>
      </c>
      <c r="G14" s="59">
        <f>'SER_se-appl'!G57</f>
        <v>280.00768087503758</v>
      </c>
      <c r="H14" s="59">
        <f>'SER_se-appl'!H57</f>
        <v>264.89728435568838</v>
      </c>
      <c r="I14" s="59">
        <f>'SER_se-appl'!I57</f>
        <v>251.42250452598793</v>
      </c>
      <c r="J14" s="59">
        <f>'SER_se-appl'!J57</f>
        <v>239.17580956142243</v>
      </c>
      <c r="K14" s="59">
        <f>'SER_se-appl'!K57</f>
        <v>226.26425120437426</v>
      </c>
      <c r="L14" s="59">
        <f>'SER_se-appl'!L57</f>
        <v>213.25025227592522</v>
      </c>
      <c r="M14" s="59">
        <f>'SER_se-appl'!M57</f>
        <v>197.46100928322997</v>
      </c>
      <c r="N14" s="59">
        <f>'SER_se-appl'!N57</f>
        <v>180.40940904817478</v>
      </c>
      <c r="O14" s="59">
        <f>'SER_se-appl'!O57</f>
        <v>166.36669125291485</v>
      </c>
      <c r="P14" s="59">
        <f>'SER_se-appl'!P57</f>
        <v>155.13083648478462</v>
      </c>
      <c r="Q14" s="59">
        <f>'SER_se-appl'!Q57</f>
        <v>145.57581035471378</v>
      </c>
      <c r="R14" s="59">
        <f>'SER_se-appl'!R57</f>
        <v>138.77031043636123</v>
      </c>
      <c r="S14" s="59">
        <f>'SER_se-appl'!S57</f>
        <v>131.23501904797129</v>
      </c>
      <c r="T14" s="59">
        <f>'SER_se-appl'!T57</f>
        <v>125.97674866939428</v>
      </c>
      <c r="U14" s="59">
        <f>'SER_se-appl'!U57</f>
        <v>122.04429360334326</v>
      </c>
      <c r="V14" s="59">
        <f>'SER_se-appl'!V57</f>
        <v>118.46289165995316</v>
      </c>
      <c r="W14" s="59">
        <f>'SER_se-appl'!W57</f>
        <v>116.45831874144648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302.44318682605456</v>
      </c>
      <c r="D15" s="63">
        <f>'SER_se-appl'!D65</f>
        <v>290.41443124574249</v>
      </c>
      <c r="E15" s="63">
        <f>'SER_se-appl'!E65</f>
        <v>278.99642520264888</v>
      </c>
      <c r="F15" s="63">
        <f>'SER_se-appl'!F65</f>
        <v>267.05455251448512</v>
      </c>
      <c r="G15" s="63">
        <f>'SER_se-appl'!G65</f>
        <v>257.35419454923385</v>
      </c>
      <c r="H15" s="63">
        <f>'SER_se-appl'!H65</f>
        <v>242.02458531113106</v>
      </c>
      <c r="I15" s="63">
        <f>'SER_se-appl'!I65</f>
        <v>228.46079061977184</v>
      </c>
      <c r="J15" s="63">
        <f>'SER_se-appl'!J65</f>
        <v>215.23606293070225</v>
      </c>
      <c r="K15" s="63">
        <f>'SER_se-appl'!K65</f>
        <v>197.56352901582642</v>
      </c>
      <c r="L15" s="63">
        <f>'SER_se-appl'!L65</f>
        <v>180.75630236716157</v>
      </c>
      <c r="M15" s="63">
        <f>'SER_se-appl'!M65</f>
        <v>168.45653990292314</v>
      </c>
      <c r="N15" s="63">
        <f>'SER_se-appl'!N65</f>
        <v>156.49000116102559</v>
      </c>
      <c r="O15" s="63">
        <f>'SER_se-appl'!O65</f>
        <v>146.62440997722896</v>
      </c>
      <c r="P15" s="63">
        <f>'SER_se-appl'!P65</f>
        <v>137.12243785125975</v>
      </c>
      <c r="Q15" s="63">
        <f>'SER_se-appl'!Q65</f>
        <v>128.87257733408001</v>
      </c>
      <c r="R15" s="63">
        <f>'SER_se-appl'!R65</f>
        <v>125.95670769842947</v>
      </c>
      <c r="S15" s="63">
        <f>'SER_se-appl'!S65</f>
        <v>122.58898181204063</v>
      </c>
      <c r="T15" s="63">
        <f>'SER_se-appl'!T65</f>
        <v>119.34576408162503</v>
      </c>
      <c r="U15" s="63">
        <f>'SER_se-appl'!U65</f>
        <v>116.25576448860163</v>
      </c>
      <c r="V15" s="63">
        <f>'SER_se-appl'!V65</f>
        <v>113.19560742512873</v>
      </c>
      <c r="W15" s="63">
        <f>'SER_se-appl'!W65</f>
        <v>111.00057371305661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6388.6390368781567</v>
      </c>
      <c r="C3" s="220">
        <v>6486.3898614330092</v>
      </c>
      <c r="D3" s="220">
        <v>6475.650209124562</v>
      </c>
      <c r="E3" s="220">
        <v>6482.3381239921373</v>
      </c>
      <c r="F3" s="220">
        <v>6658.2890966317473</v>
      </c>
      <c r="G3" s="220">
        <v>4707.5540124374274</v>
      </c>
      <c r="H3" s="220">
        <v>5350.8628921443051</v>
      </c>
      <c r="I3" s="220">
        <v>6409.8879963796808</v>
      </c>
      <c r="J3" s="220">
        <v>6343.5244209782077</v>
      </c>
      <c r="K3" s="220">
        <v>5559.6826763421677</v>
      </c>
      <c r="L3" s="220">
        <v>6768.9257863839484</v>
      </c>
      <c r="M3" s="220">
        <v>7075.0748902293899</v>
      </c>
      <c r="N3" s="220">
        <v>6511.6074224866898</v>
      </c>
      <c r="O3" s="220">
        <v>6242.257265887657</v>
      </c>
      <c r="P3" s="220">
        <v>6299.7443778036386</v>
      </c>
      <c r="Q3" s="220">
        <v>6602.7</v>
      </c>
      <c r="R3" s="220">
        <v>6501.5501480366447</v>
      </c>
      <c r="S3" s="220">
        <v>6889.5782377855994</v>
      </c>
      <c r="T3" s="220">
        <v>6783.6335978972857</v>
      </c>
      <c r="U3" s="220">
        <v>6906.4314100830197</v>
      </c>
      <c r="V3" s="220">
        <v>6429.0602419338611</v>
      </c>
      <c r="W3" s="220">
        <v>6628.1581576818771</v>
      </c>
      <c r="DA3" s="211" t="s">
        <v>972</v>
      </c>
    </row>
    <row r="5" spans="1:105" x14ac:dyDescent="0.25">
      <c r="A5" s="219" t="s">
        <v>120</v>
      </c>
      <c r="B5" s="220">
        <v>6403.8309971293884</v>
      </c>
      <c r="C5" s="220">
        <v>6393.2279928911821</v>
      </c>
      <c r="D5" s="220">
        <v>6639.367870133231</v>
      </c>
      <c r="E5" s="220">
        <v>6303.7714113531856</v>
      </c>
      <c r="F5" s="220">
        <v>6112.4760482260563</v>
      </c>
      <c r="G5" s="220">
        <v>5078.3097236402164</v>
      </c>
      <c r="H5" s="220">
        <v>5121.7755054837089</v>
      </c>
      <c r="I5" s="220">
        <v>5921.1123331823655</v>
      </c>
      <c r="J5" s="220">
        <v>5316.5188799537946</v>
      </c>
      <c r="K5" s="220">
        <v>4593.9340333734017</v>
      </c>
      <c r="L5" s="220">
        <v>4853.1728818582214</v>
      </c>
      <c r="M5" s="220">
        <v>5089.2958719213093</v>
      </c>
      <c r="N5" s="220">
        <v>4840.7932104400261</v>
      </c>
      <c r="O5" s="220">
        <v>5399.872773820839</v>
      </c>
      <c r="P5" s="220">
        <v>5312.9584815282251</v>
      </c>
      <c r="Q5" s="220">
        <v>4968.2887067740958</v>
      </c>
      <c r="R5" s="220">
        <v>5023.6257381288124</v>
      </c>
      <c r="S5" s="220">
        <v>5214.2970019960339</v>
      </c>
      <c r="T5" s="220">
        <v>4428.5634705145067</v>
      </c>
      <c r="U5" s="220">
        <v>4543.5564380871074</v>
      </c>
      <c r="V5" s="220">
        <v>4053.902741647003</v>
      </c>
      <c r="W5" s="220">
        <v>4172.1309116057328</v>
      </c>
      <c r="DA5" s="211" t="s">
        <v>973</v>
      </c>
    </row>
    <row r="6" spans="1:105" x14ac:dyDescent="0.25">
      <c r="A6" s="221" t="s">
        <v>119</v>
      </c>
      <c r="B6" s="222">
        <v>8004.7887464117348</v>
      </c>
      <c r="C6" s="222">
        <v>7604.5493090911477</v>
      </c>
      <c r="D6" s="222">
        <v>7604.5493090911477</v>
      </c>
      <c r="E6" s="222">
        <v>7204.3098717705607</v>
      </c>
      <c r="F6" s="222">
        <v>6804.0704344499736</v>
      </c>
      <c r="G6" s="222">
        <v>6403.8309971293866</v>
      </c>
      <c r="H6" s="222">
        <v>6403.8309971293866</v>
      </c>
      <c r="I6" s="222">
        <v>6403.8309971293866</v>
      </c>
      <c r="J6" s="222">
        <v>6403.8309971293866</v>
      </c>
      <c r="K6" s="222">
        <v>6003.5915598088004</v>
      </c>
      <c r="L6" s="222">
        <v>5603.3521224882124</v>
      </c>
      <c r="M6" s="222">
        <v>5603.3521224882124</v>
      </c>
      <c r="N6" s="222">
        <v>5203.1126851676254</v>
      </c>
      <c r="O6" s="222">
        <v>6003.5915598088004</v>
      </c>
      <c r="P6" s="222">
        <v>6003.5915598088004</v>
      </c>
      <c r="Q6" s="222">
        <v>5603.3521224882124</v>
      </c>
      <c r="R6" s="222">
        <v>5603.3521224882124</v>
      </c>
      <c r="S6" s="222">
        <v>5603.3521224882124</v>
      </c>
      <c r="T6" s="222">
        <v>5203.1126851676254</v>
      </c>
      <c r="U6" s="222">
        <v>4802.8732478470383</v>
      </c>
      <c r="V6" s="222">
        <v>4802.8732478470383</v>
      </c>
      <c r="W6" s="222">
        <v>4402.6338105264513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400.23943732058677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1200.71831196176</v>
      </c>
      <c r="P7" s="226">
        <v>0</v>
      </c>
      <c r="Q7" s="226">
        <v>0</v>
      </c>
      <c r="R7" s="226">
        <v>400.23943732058677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400.23943732058706</v>
      </c>
      <c r="D8" s="228">
        <f t="shared" ref="D8" si="1">IF(C6=0,0,C6+D7-D6)</f>
        <v>0</v>
      </c>
      <c r="E8" s="228">
        <f t="shared" ref="E8" si="2">IF(D6=0,0,D6+E7-E6)</f>
        <v>400.23943732058706</v>
      </c>
      <c r="F8" s="228">
        <f t="shared" ref="F8" si="3">IF(E6=0,0,E6+F7-F6)</f>
        <v>400.23943732058706</v>
      </c>
      <c r="G8" s="228">
        <f t="shared" ref="G8" si="4">IF(F6=0,0,F6+G7-G6)</f>
        <v>400.23943732058706</v>
      </c>
      <c r="H8" s="228">
        <f t="shared" ref="H8" si="5">IF(G6=0,0,G6+H7-H6)</f>
        <v>0</v>
      </c>
      <c r="I8" s="228">
        <f t="shared" ref="I8" si="6">IF(H6=0,0,H6+I7-I6)</f>
        <v>400.23943732058706</v>
      </c>
      <c r="J8" s="228">
        <f t="shared" ref="J8" si="7">IF(I6=0,0,I6+J7-J6)</f>
        <v>0</v>
      </c>
      <c r="K8" s="228">
        <f t="shared" ref="K8" si="8">IF(J6=0,0,J6+K7-K6)</f>
        <v>400.23943732058615</v>
      </c>
      <c r="L8" s="228">
        <f t="shared" ref="L8" si="9">IF(K6=0,0,K6+L7-L6)</f>
        <v>400.23943732058797</v>
      </c>
      <c r="M8" s="228">
        <f t="shared" ref="M8" si="10">IF(L6=0,0,L6+M7-M6)</f>
        <v>0</v>
      </c>
      <c r="N8" s="228">
        <f t="shared" ref="N8" si="11">IF(M6=0,0,M6+N7-N6)</f>
        <v>400.23943732058706</v>
      </c>
      <c r="O8" s="228">
        <f t="shared" ref="O8" si="12">IF(N6=0,0,N6+O7-O6)</f>
        <v>400.23943732058524</v>
      </c>
      <c r="P8" s="228">
        <f t="shared" ref="P8" si="13">IF(O6=0,0,O6+P7-P6)</f>
        <v>0</v>
      </c>
      <c r="Q8" s="228">
        <f t="shared" ref="Q8" si="14">IF(P6=0,0,P6+Q7-Q6)</f>
        <v>400.23943732058797</v>
      </c>
      <c r="R8" s="228">
        <f t="shared" ref="R8" si="15">IF(Q6=0,0,Q6+R7-R6)</f>
        <v>400.23943732058706</v>
      </c>
      <c r="S8" s="228">
        <f t="shared" ref="S8" si="16">IF(R6=0,0,R6+S7-S6)</f>
        <v>0</v>
      </c>
      <c r="T8" s="228">
        <f t="shared" ref="T8" si="17">IF(S6=0,0,S6+T7-T6)</f>
        <v>400.23943732058706</v>
      </c>
      <c r="U8" s="228">
        <f t="shared" ref="U8" si="18">IF(T6=0,0,T6+U7-U6)</f>
        <v>400.23943732058706</v>
      </c>
      <c r="V8" s="228">
        <f t="shared" ref="V8" si="19">IF(U6=0,0,U6+V7-V6)</f>
        <v>0</v>
      </c>
      <c r="W8" s="228">
        <f t="shared" ref="W8" si="20">IF(V6=0,0,V6+W7-W6)</f>
        <v>400.23943732058706</v>
      </c>
      <c r="DA8" s="214" t="s">
        <v>976</v>
      </c>
    </row>
    <row r="9" spans="1:105" x14ac:dyDescent="0.25">
      <c r="A9" s="223" t="s">
        <v>116</v>
      </c>
      <c r="B9" s="224">
        <f>B6-B5</f>
        <v>1600.9577492823464</v>
      </c>
      <c r="C9" s="224">
        <f t="shared" ref="C9:W9" si="21">C6-C5</f>
        <v>1211.3213161999656</v>
      </c>
      <c r="D9" s="224">
        <f t="shared" si="21"/>
        <v>965.18143895791673</v>
      </c>
      <c r="E9" s="224">
        <f t="shared" si="21"/>
        <v>900.53846041737506</v>
      </c>
      <c r="F9" s="224">
        <f t="shared" si="21"/>
        <v>691.59438622391735</v>
      </c>
      <c r="G9" s="224">
        <f t="shared" si="21"/>
        <v>1325.5212734891702</v>
      </c>
      <c r="H9" s="224">
        <f t="shared" si="21"/>
        <v>1282.0554916456776</v>
      </c>
      <c r="I9" s="224">
        <f t="shared" si="21"/>
        <v>482.71866394702101</v>
      </c>
      <c r="J9" s="224">
        <f t="shared" si="21"/>
        <v>1087.312117175592</v>
      </c>
      <c r="K9" s="224">
        <f t="shared" si="21"/>
        <v>1409.6575264353987</v>
      </c>
      <c r="L9" s="224">
        <f t="shared" si="21"/>
        <v>750.179240629991</v>
      </c>
      <c r="M9" s="224">
        <f t="shared" si="21"/>
        <v>514.05625056690315</v>
      </c>
      <c r="N9" s="224">
        <f t="shared" si="21"/>
        <v>362.3194747275993</v>
      </c>
      <c r="O9" s="224">
        <f t="shared" si="21"/>
        <v>603.71878598796138</v>
      </c>
      <c r="P9" s="224">
        <f t="shared" si="21"/>
        <v>690.63307828057532</v>
      </c>
      <c r="Q9" s="224">
        <f t="shared" si="21"/>
        <v>635.06341571411667</v>
      </c>
      <c r="R9" s="224">
        <f t="shared" si="21"/>
        <v>579.72638435940007</v>
      </c>
      <c r="S9" s="224">
        <f t="shared" si="21"/>
        <v>389.0551204921785</v>
      </c>
      <c r="T9" s="224">
        <f t="shared" si="21"/>
        <v>774.54921465311872</v>
      </c>
      <c r="U9" s="224">
        <f t="shared" si="21"/>
        <v>259.31680975993095</v>
      </c>
      <c r="V9" s="224">
        <f t="shared" si="21"/>
        <v>748.97050620003529</v>
      </c>
      <c r="W9" s="224">
        <f t="shared" si="21"/>
        <v>230.50289892071851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809.82132416165098</v>
      </c>
      <c r="C12" s="230">
        <f t="shared" ref="C12:W12" si="22">SUM(C13,C14,C18,C19,C26,C27)</f>
        <v>782.19888220120379</v>
      </c>
      <c r="D12" s="230">
        <f t="shared" si="22"/>
        <v>848.58134135855539</v>
      </c>
      <c r="E12" s="230">
        <f t="shared" si="22"/>
        <v>853.73791917454855</v>
      </c>
      <c r="F12" s="230">
        <f t="shared" si="22"/>
        <v>824.22846087704215</v>
      </c>
      <c r="G12" s="230">
        <f t="shared" si="22"/>
        <v>784.22588134135856</v>
      </c>
      <c r="H12" s="230">
        <f t="shared" si="22"/>
        <v>752.54350816852968</v>
      </c>
      <c r="I12" s="230">
        <f t="shared" si="22"/>
        <v>812.60464316423054</v>
      </c>
      <c r="J12" s="230">
        <f t="shared" si="22"/>
        <v>740.73585554600174</v>
      </c>
      <c r="K12" s="230">
        <f t="shared" si="22"/>
        <v>718.30859845227837</v>
      </c>
      <c r="L12" s="230">
        <f t="shared" si="22"/>
        <v>701.70017196904553</v>
      </c>
      <c r="M12" s="230">
        <f t="shared" si="22"/>
        <v>675.85984522785895</v>
      </c>
      <c r="N12" s="230">
        <f t="shared" si="22"/>
        <v>653.71530524505579</v>
      </c>
      <c r="O12" s="230">
        <f t="shared" si="22"/>
        <v>717.91418744625969</v>
      </c>
      <c r="P12" s="230">
        <f t="shared" si="22"/>
        <v>691.53147033533946</v>
      </c>
      <c r="Q12" s="230">
        <f t="shared" si="22"/>
        <v>660.37583834909719</v>
      </c>
      <c r="R12" s="230">
        <f t="shared" si="22"/>
        <v>680.12562338779026</v>
      </c>
      <c r="S12" s="230">
        <f t="shared" si="22"/>
        <v>651.27669819432492</v>
      </c>
      <c r="T12" s="230">
        <f t="shared" si="22"/>
        <v>625.66680997420463</v>
      </c>
      <c r="U12" s="230">
        <f t="shared" si="22"/>
        <v>645.23946689595857</v>
      </c>
      <c r="V12" s="230">
        <f t="shared" si="22"/>
        <v>602.51539122957854</v>
      </c>
      <c r="W12" s="230">
        <f t="shared" si="22"/>
        <v>594.6961306964746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352.63688736027518</v>
      </c>
      <c r="C14" s="55">
        <f t="shared" ref="C14:W14" si="23">SUM(C15:C17)</f>
        <v>345.8202923473774</v>
      </c>
      <c r="D14" s="55">
        <f t="shared" si="23"/>
        <v>431.50386930352533</v>
      </c>
      <c r="E14" s="55">
        <f t="shared" si="23"/>
        <v>431.45365434221844</v>
      </c>
      <c r="F14" s="55">
        <f t="shared" si="23"/>
        <v>383.33568357695623</v>
      </c>
      <c r="G14" s="55">
        <f t="shared" si="23"/>
        <v>557.89011177987959</v>
      </c>
      <c r="H14" s="55">
        <f t="shared" si="23"/>
        <v>489.99871023215809</v>
      </c>
      <c r="I14" s="55">
        <f t="shared" si="23"/>
        <v>521.92880481513328</v>
      </c>
      <c r="J14" s="55">
        <f t="shared" si="23"/>
        <v>480.6960447119518</v>
      </c>
      <c r="K14" s="55">
        <f t="shared" si="23"/>
        <v>456.7148753224418</v>
      </c>
      <c r="L14" s="55">
        <f t="shared" si="23"/>
        <v>476.35597592433356</v>
      </c>
      <c r="M14" s="55">
        <f t="shared" si="23"/>
        <v>446.01470335339638</v>
      </c>
      <c r="N14" s="55">
        <f t="shared" si="23"/>
        <v>444.02441960447106</v>
      </c>
      <c r="O14" s="55">
        <f t="shared" si="23"/>
        <v>441.48572656921755</v>
      </c>
      <c r="P14" s="55">
        <f t="shared" si="23"/>
        <v>415.32940670679272</v>
      </c>
      <c r="Q14" s="55">
        <f t="shared" si="23"/>
        <v>376.16827171109196</v>
      </c>
      <c r="R14" s="55">
        <f t="shared" si="23"/>
        <v>367.16895958727434</v>
      </c>
      <c r="S14" s="55">
        <f t="shared" si="23"/>
        <v>328.15382631126391</v>
      </c>
      <c r="T14" s="55">
        <f t="shared" si="23"/>
        <v>297.76233877901979</v>
      </c>
      <c r="U14" s="55">
        <f t="shared" si="23"/>
        <v>313.24496990541695</v>
      </c>
      <c r="V14" s="55">
        <f t="shared" si="23"/>
        <v>280.01754084264832</v>
      </c>
      <c r="W14" s="55">
        <f t="shared" si="23"/>
        <v>282.29269131556316</v>
      </c>
      <c r="DA14" s="10"/>
    </row>
    <row r="15" spans="1:105" x14ac:dyDescent="0.25">
      <c r="A15" s="61" t="s">
        <v>52</v>
      </c>
      <c r="B15" s="55">
        <v>2.259501289767841</v>
      </c>
      <c r="C15" s="55">
        <v>2.259501289767841</v>
      </c>
      <c r="D15" s="55">
        <v>2.259501289767841</v>
      </c>
      <c r="E15" s="55">
        <v>3.389251934651762</v>
      </c>
      <c r="F15" s="55">
        <v>3.389251934651762</v>
      </c>
      <c r="G15" s="55">
        <v>1.50481513327601</v>
      </c>
      <c r="H15" s="55">
        <v>1.4777300085984522</v>
      </c>
      <c r="I15" s="55">
        <v>1.5387790197764399</v>
      </c>
      <c r="J15" s="55">
        <v>2.1995700773860705</v>
      </c>
      <c r="K15" s="55">
        <v>2.0877901977644027</v>
      </c>
      <c r="L15" s="55">
        <v>2.1465176268271708</v>
      </c>
      <c r="M15" s="55">
        <v>1.3014617368873596</v>
      </c>
      <c r="N15" s="55">
        <v>1.3037833190025789</v>
      </c>
      <c r="O15" s="55">
        <v>1.6098882201203777</v>
      </c>
      <c r="P15" s="55">
        <v>0.96483233018056747</v>
      </c>
      <c r="Q15" s="55">
        <v>0.9207222699914015</v>
      </c>
      <c r="R15" s="55">
        <v>1.3172828890799653</v>
      </c>
      <c r="S15" s="55">
        <v>0.75881341358555454</v>
      </c>
      <c r="T15" s="55">
        <v>0.70378331900257951</v>
      </c>
      <c r="U15" s="55">
        <v>1.3174548581255376</v>
      </c>
      <c r="V15" s="55">
        <v>1.2503869303525366</v>
      </c>
      <c r="W15" s="55">
        <v>1.0150472914875321</v>
      </c>
      <c r="DA15" s="10" t="s">
        <v>980</v>
      </c>
    </row>
    <row r="16" spans="1:105" x14ac:dyDescent="0.25">
      <c r="A16" s="61" t="s">
        <v>172</v>
      </c>
      <c r="B16" s="55">
        <v>336.86827171109201</v>
      </c>
      <c r="C16" s="55">
        <v>335.84127257093718</v>
      </c>
      <c r="D16" s="55">
        <v>396.43645743766115</v>
      </c>
      <c r="E16" s="55">
        <v>376.92269991401548</v>
      </c>
      <c r="F16" s="55">
        <v>347.13860705073091</v>
      </c>
      <c r="G16" s="55">
        <v>522.93447979363714</v>
      </c>
      <c r="H16" s="55">
        <v>458.83413585554592</v>
      </c>
      <c r="I16" s="55">
        <v>486.39664660361137</v>
      </c>
      <c r="J16" s="55">
        <v>446.53731728288903</v>
      </c>
      <c r="K16" s="55">
        <v>430.65838349097152</v>
      </c>
      <c r="L16" s="55">
        <v>445.87601031814268</v>
      </c>
      <c r="M16" s="55">
        <v>419.81891659501292</v>
      </c>
      <c r="N16" s="55">
        <v>417.74333619948396</v>
      </c>
      <c r="O16" s="55">
        <v>412.0874462596733</v>
      </c>
      <c r="P16" s="55">
        <v>388.43989681857261</v>
      </c>
      <c r="Q16" s="55">
        <v>350.5668959587274</v>
      </c>
      <c r="R16" s="55">
        <v>339.54273430782462</v>
      </c>
      <c r="S16" s="55">
        <v>298.43731728288907</v>
      </c>
      <c r="T16" s="55">
        <v>275.34875322441962</v>
      </c>
      <c r="U16" s="55">
        <v>293.69183147033527</v>
      </c>
      <c r="V16" s="55">
        <v>261.27282889079964</v>
      </c>
      <c r="W16" s="55">
        <v>269.20472914875319</v>
      </c>
      <c r="DA16" s="10" t="s">
        <v>981</v>
      </c>
    </row>
    <row r="17" spans="1:105" x14ac:dyDescent="0.25">
      <c r="A17" s="61" t="s">
        <v>113</v>
      </c>
      <c r="B17" s="55">
        <v>13.509114359415303</v>
      </c>
      <c r="C17" s="55">
        <v>7.7195184866723991</v>
      </c>
      <c r="D17" s="55">
        <v>32.807910576096305</v>
      </c>
      <c r="E17" s="55">
        <v>51.141702493551151</v>
      </c>
      <c r="F17" s="55">
        <v>32.807824591573514</v>
      </c>
      <c r="G17" s="55">
        <v>33.450816852966469</v>
      </c>
      <c r="H17" s="55">
        <v>29.686844368013752</v>
      </c>
      <c r="I17" s="55">
        <v>33.993379191745483</v>
      </c>
      <c r="J17" s="55">
        <v>31.959157351676701</v>
      </c>
      <c r="K17" s="55">
        <v>23.968701633705923</v>
      </c>
      <c r="L17" s="55">
        <v>28.333447979363712</v>
      </c>
      <c r="M17" s="55">
        <v>24.894325021496126</v>
      </c>
      <c r="N17" s="55">
        <v>24.977300085984524</v>
      </c>
      <c r="O17" s="55">
        <v>27.788392089423901</v>
      </c>
      <c r="P17" s="55">
        <v>25.924677558039548</v>
      </c>
      <c r="Q17" s="55">
        <v>24.680653482373174</v>
      </c>
      <c r="R17" s="55">
        <v>26.308942390369729</v>
      </c>
      <c r="S17" s="55">
        <v>28.957695614789333</v>
      </c>
      <c r="T17" s="55">
        <v>21.709802235597596</v>
      </c>
      <c r="U17" s="55">
        <v>18.235683576956148</v>
      </c>
      <c r="V17" s="55">
        <v>17.494325021496135</v>
      </c>
      <c r="W17" s="55">
        <v>12.072914875322439</v>
      </c>
      <c r="DA17" s="10" t="s">
        <v>982</v>
      </c>
    </row>
    <row r="18" spans="1:105" x14ac:dyDescent="0.25">
      <c r="A18" s="60" t="s">
        <v>153</v>
      </c>
      <c r="B18" s="55">
        <v>21.840068787618229</v>
      </c>
      <c r="C18" s="55">
        <v>20.70077386070507</v>
      </c>
      <c r="D18" s="55">
        <v>21.281169389509891</v>
      </c>
      <c r="E18" s="55">
        <v>22.141014617368871</v>
      </c>
      <c r="F18" s="55">
        <v>22.205503009458301</v>
      </c>
      <c r="G18" s="55">
        <v>22.141014617368871</v>
      </c>
      <c r="H18" s="55">
        <v>22.592433361994839</v>
      </c>
      <c r="I18" s="55">
        <v>23.32330180567498</v>
      </c>
      <c r="J18" s="55">
        <v>24.05417024935511</v>
      </c>
      <c r="K18" s="55">
        <v>24.07566638005159</v>
      </c>
      <c r="L18" s="55">
        <v>24.07566638005159</v>
      </c>
      <c r="M18" s="55">
        <v>24.07566638005159</v>
      </c>
      <c r="N18" s="55">
        <v>24.07566638005159</v>
      </c>
      <c r="O18" s="55">
        <v>24.07566638005159</v>
      </c>
      <c r="P18" s="55">
        <v>8.2760103181427329</v>
      </c>
      <c r="Q18" s="55">
        <v>8.1900257953568349</v>
      </c>
      <c r="R18" s="55">
        <v>8.2975064488392078</v>
      </c>
      <c r="S18" s="55">
        <v>3.6457437661220982</v>
      </c>
      <c r="T18" s="55">
        <v>4.9810834049871016</v>
      </c>
      <c r="U18" s="55">
        <v>5.6094582975064489</v>
      </c>
      <c r="V18" s="55">
        <v>3.0912295786758381</v>
      </c>
      <c r="W18" s="55">
        <v>3.2879621668099741</v>
      </c>
      <c r="DA18" s="10" t="s">
        <v>983</v>
      </c>
    </row>
    <row r="19" spans="1:105" x14ac:dyDescent="0.25">
      <c r="A19" s="60" t="s">
        <v>51</v>
      </c>
      <c r="B19" s="55">
        <f>SUM(B20:B25)</f>
        <v>325.85743766122101</v>
      </c>
      <c r="C19" s="55">
        <f t="shared" ref="C19:W19" si="24">SUM(C20:C25)</f>
        <v>295.78675838349102</v>
      </c>
      <c r="D19" s="55">
        <f t="shared" si="24"/>
        <v>275.819260533104</v>
      </c>
      <c r="E19" s="55">
        <f t="shared" si="24"/>
        <v>286.61504729148749</v>
      </c>
      <c r="F19" s="55">
        <f t="shared" si="24"/>
        <v>304.38521066208079</v>
      </c>
      <c r="G19" s="55">
        <f t="shared" si="24"/>
        <v>65.988993981083397</v>
      </c>
      <c r="H19" s="55">
        <f t="shared" si="24"/>
        <v>65.117196904557176</v>
      </c>
      <c r="I19" s="55">
        <f t="shared" si="24"/>
        <v>81.769303525365416</v>
      </c>
      <c r="J19" s="55">
        <f t="shared" si="24"/>
        <v>92.276870163370589</v>
      </c>
      <c r="K19" s="55">
        <f t="shared" si="24"/>
        <v>73.25898538263111</v>
      </c>
      <c r="L19" s="55">
        <f t="shared" si="24"/>
        <v>85.934651762682719</v>
      </c>
      <c r="M19" s="55">
        <f t="shared" si="24"/>
        <v>95.766638005159066</v>
      </c>
      <c r="N19" s="55">
        <f t="shared" si="24"/>
        <v>103.2993981083405</v>
      </c>
      <c r="O19" s="55">
        <f t="shared" si="24"/>
        <v>138.22269991401546</v>
      </c>
      <c r="P19" s="55">
        <f t="shared" si="24"/>
        <v>157.66526225279449</v>
      </c>
      <c r="Q19" s="55">
        <f t="shared" si="24"/>
        <v>160.51169389509889</v>
      </c>
      <c r="R19" s="55">
        <f t="shared" si="24"/>
        <v>186.48779019776441</v>
      </c>
      <c r="S19" s="55">
        <f t="shared" si="24"/>
        <v>213.94548581255378</v>
      </c>
      <c r="T19" s="55">
        <f t="shared" si="24"/>
        <v>213.43645743766123</v>
      </c>
      <c r="U19" s="55">
        <f t="shared" si="24"/>
        <v>231.17153912295782</v>
      </c>
      <c r="V19" s="55">
        <f t="shared" si="24"/>
        <v>221.01169389509883</v>
      </c>
      <c r="W19" s="55">
        <f t="shared" si="24"/>
        <v>199.45657781599311</v>
      </c>
      <c r="DA19" s="10"/>
    </row>
    <row r="20" spans="1:105" x14ac:dyDescent="0.25">
      <c r="A20" s="61" t="s">
        <v>171</v>
      </c>
      <c r="B20" s="55">
        <v>325.85743766122101</v>
      </c>
      <c r="C20" s="55">
        <v>295.78675838349102</v>
      </c>
      <c r="D20" s="55">
        <v>275.819260533104</v>
      </c>
      <c r="E20" s="55">
        <v>286.61504729148749</v>
      </c>
      <c r="F20" s="55">
        <v>304.38521066208079</v>
      </c>
      <c r="G20" s="55">
        <v>64.536199484092862</v>
      </c>
      <c r="H20" s="55">
        <v>59.448753224419598</v>
      </c>
      <c r="I20" s="55">
        <v>70.363972484952697</v>
      </c>
      <c r="J20" s="55">
        <v>78.651934651762673</v>
      </c>
      <c r="K20" s="55">
        <v>56.558727429062763</v>
      </c>
      <c r="L20" s="55">
        <v>68.262166809974204</v>
      </c>
      <c r="M20" s="55">
        <v>74.209458297506444</v>
      </c>
      <c r="N20" s="55">
        <v>74.042218400687872</v>
      </c>
      <c r="O20" s="55">
        <v>97.616337059329311</v>
      </c>
      <c r="P20" s="55">
        <v>98.858297506448835</v>
      </c>
      <c r="Q20" s="55">
        <v>94.702407566637987</v>
      </c>
      <c r="R20" s="55">
        <v>100.0286328460877</v>
      </c>
      <c r="S20" s="55">
        <v>113.356233877902</v>
      </c>
      <c r="T20" s="55">
        <v>107.2178847807395</v>
      </c>
      <c r="U20" s="55">
        <v>122.9100601891659</v>
      </c>
      <c r="V20" s="55">
        <v>115.9119518486672</v>
      </c>
      <c r="W20" s="55">
        <v>94.176956147893378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3.511006018916595</v>
      </c>
      <c r="U21" s="55">
        <v>4.1797936371453126</v>
      </c>
      <c r="V21" s="55">
        <v>3.9648323301805668</v>
      </c>
      <c r="W21" s="55">
        <v>1.6241616509028369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1.4527944969905415</v>
      </c>
      <c r="H22" s="55">
        <v>5.6684436801375746</v>
      </c>
      <c r="I22" s="55">
        <v>11.405331040412726</v>
      </c>
      <c r="J22" s="55">
        <v>13.624935511607912</v>
      </c>
      <c r="K22" s="55">
        <v>16.70025795356835</v>
      </c>
      <c r="L22" s="55">
        <v>17.672484952708515</v>
      </c>
      <c r="M22" s="55">
        <v>21.557179707652626</v>
      </c>
      <c r="N22" s="55">
        <v>29.257179707652629</v>
      </c>
      <c r="O22" s="55">
        <v>40.606362854686154</v>
      </c>
      <c r="P22" s="55">
        <v>58.806964746345656</v>
      </c>
      <c r="Q22" s="55">
        <v>65.8092863284609</v>
      </c>
      <c r="R22" s="55">
        <v>86.459157351676694</v>
      </c>
      <c r="S22" s="55">
        <v>100.58925193465177</v>
      </c>
      <c r="T22" s="55">
        <v>102.70756663800515</v>
      </c>
      <c r="U22" s="55">
        <v>104.08168529664661</v>
      </c>
      <c r="V22" s="55">
        <v>101.13490971625106</v>
      </c>
      <c r="W22" s="55">
        <v>103.65546001719689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7.1653482373172821</v>
      </c>
      <c r="C26" s="55">
        <v>7.1653482373172821</v>
      </c>
      <c r="D26" s="55">
        <v>7.1653482373172821</v>
      </c>
      <c r="E26" s="55">
        <v>7.1653482373172821</v>
      </c>
      <c r="F26" s="55">
        <v>7.1653482373172821</v>
      </c>
      <c r="G26" s="55">
        <v>7.1653482373172821</v>
      </c>
      <c r="H26" s="55">
        <v>7.1653482373172821</v>
      </c>
      <c r="I26" s="55">
        <v>7.1653482373172821</v>
      </c>
      <c r="J26" s="55">
        <v>7.1653482373172821</v>
      </c>
      <c r="K26" s="55">
        <v>7.1653482373172821</v>
      </c>
      <c r="L26" s="55">
        <v>7.1653482373172821</v>
      </c>
      <c r="M26" s="55">
        <v>7.1653482373172821</v>
      </c>
      <c r="N26" s="55">
        <v>7.1653482373172821</v>
      </c>
      <c r="O26" s="55">
        <v>7.1653482373172821</v>
      </c>
      <c r="P26" s="55">
        <v>7.1653482373172821</v>
      </c>
      <c r="Q26" s="55">
        <v>7.1653482373172821</v>
      </c>
      <c r="R26" s="55">
        <v>7.1653482373172821</v>
      </c>
      <c r="S26" s="55">
        <v>7.1653482373172821</v>
      </c>
      <c r="T26" s="55">
        <v>7.1653482373172821</v>
      </c>
      <c r="U26" s="55">
        <v>7.1653482373172821</v>
      </c>
      <c r="V26" s="55">
        <v>7.1653482373172821</v>
      </c>
      <c r="W26" s="55">
        <v>7.1653482373172821</v>
      </c>
      <c r="DA26" s="10" t="s">
        <v>990</v>
      </c>
    </row>
    <row r="27" spans="1:105" x14ac:dyDescent="0.25">
      <c r="A27" s="62" t="s">
        <v>24</v>
      </c>
      <c r="B27" s="63">
        <v>102.3215821152193</v>
      </c>
      <c r="C27" s="63">
        <v>112.72570937231301</v>
      </c>
      <c r="D27" s="63">
        <v>112.8116938950989</v>
      </c>
      <c r="E27" s="63">
        <v>106.3628546861565</v>
      </c>
      <c r="F27" s="63">
        <v>107.1367153912296</v>
      </c>
      <c r="G27" s="63">
        <v>131.04041272570939</v>
      </c>
      <c r="H27" s="63">
        <v>167.66981943250221</v>
      </c>
      <c r="I27" s="63">
        <v>178.41788478073951</v>
      </c>
      <c r="J27" s="63">
        <v>136.54342218400689</v>
      </c>
      <c r="K27" s="63">
        <v>157.0937231298366</v>
      </c>
      <c r="L27" s="63">
        <v>108.1685296646604</v>
      </c>
      <c r="M27" s="63">
        <v>102.8374892519346</v>
      </c>
      <c r="N27" s="63">
        <v>75.150472914875323</v>
      </c>
      <c r="O27" s="63">
        <v>106.9647463456578</v>
      </c>
      <c r="P27" s="63">
        <v>103.09544282029231</v>
      </c>
      <c r="Q27" s="63">
        <v>108.3404987102322</v>
      </c>
      <c r="R27" s="63">
        <v>111.006018916595</v>
      </c>
      <c r="S27" s="63">
        <v>98.366294067067926</v>
      </c>
      <c r="T27" s="63">
        <v>102.3215821152193</v>
      </c>
      <c r="U27" s="63">
        <v>88.048151332760099</v>
      </c>
      <c r="V27" s="63">
        <v>91.22957867583834</v>
      </c>
      <c r="W27" s="63">
        <v>102.4935511607911</v>
      </c>
      <c r="DA27" s="11" t="s">
        <v>991</v>
      </c>
    </row>
    <row r="29" spans="1:105" x14ac:dyDescent="0.25">
      <c r="A29" s="219" t="s">
        <v>84</v>
      </c>
      <c r="B29" s="220">
        <v>1146.1510188</v>
      </c>
      <c r="C29" s="220">
        <v>1121.52720024</v>
      </c>
      <c r="D29" s="220">
        <v>1392.18309288</v>
      </c>
      <c r="E29" s="220">
        <v>1396.0596779999998</v>
      </c>
      <c r="F29" s="220">
        <v>1244.3959616400002</v>
      </c>
      <c r="G29" s="220">
        <v>1782.8154871199999</v>
      </c>
      <c r="H29" s="220">
        <v>1572.9630760800001</v>
      </c>
      <c r="I29" s="220">
        <v>1673.7047099999997</v>
      </c>
      <c r="J29" s="220">
        <v>1546.8964135200001</v>
      </c>
      <c r="K29" s="220">
        <v>1472.4721702799998</v>
      </c>
      <c r="L29" s="220">
        <v>1533.4204536</v>
      </c>
      <c r="M29" s="220">
        <v>1439.4152242800001</v>
      </c>
      <c r="N29" s="220">
        <v>1433.2100140799998</v>
      </c>
      <c r="O29" s="220">
        <v>1425.9598970400002</v>
      </c>
      <c r="P29" s="220">
        <v>1307.71674108</v>
      </c>
      <c r="Q29" s="220">
        <v>1185.9924088800001</v>
      </c>
      <c r="R29" s="220">
        <v>1158.1985487600002</v>
      </c>
      <c r="S29" s="220">
        <v>1026.7132607999999</v>
      </c>
      <c r="T29" s="220">
        <v>936.49565484000016</v>
      </c>
      <c r="U29" s="220">
        <v>985.10594507999986</v>
      </c>
      <c r="V29" s="220">
        <v>875.92409243999998</v>
      </c>
      <c r="W29" s="220">
        <v>882.94564511999988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126.75959926472454</v>
      </c>
      <c r="C31" s="59">
        <f t="shared" si="25"/>
        <v>120.590790703474</v>
      </c>
      <c r="D31" s="59">
        <f t="shared" si="25"/>
        <v>131.04187439940097</v>
      </c>
      <c r="E31" s="59">
        <f t="shared" si="25"/>
        <v>131.70215790113329</v>
      </c>
      <c r="F31" s="59">
        <f t="shared" si="25"/>
        <v>123.78982782438773</v>
      </c>
      <c r="G31" s="59">
        <f t="shared" si="25"/>
        <v>166.58882283016234</v>
      </c>
      <c r="H31" s="59">
        <f t="shared" si="25"/>
        <v>140.63965445150012</v>
      </c>
      <c r="I31" s="59">
        <f t="shared" si="25"/>
        <v>126.77361033815124</v>
      </c>
      <c r="J31" s="59">
        <f t="shared" si="25"/>
        <v>116.77039550700998</v>
      </c>
      <c r="K31" s="59">
        <f t="shared" si="25"/>
        <v>129.19956772152844</v>
      </c>
      <c r="L31" s="59">
        <f t="shared" si="25"/>
        <v>103.66492322615686</v>
      </c>
      <c r="M31" s="59">
        <f t="shared" si="25"/>
        <v>95.526882148090735</v>
      </c>
      <c r="N31" s="59">
        <f t="shared" si="25"/>
        <v>100.39230912286959</v>
      </c>
      <c r="O31" s="59">
        <f t="shared" si="25"/>
        <v>115.00874713534758</v>
      </c>
      <c r="P31" s="59">
        <f t="shared" si="25"/>
        <v>109.77135402062727</v>
      </c>
      <c r="Q31" s="59">
        <f t="shared" si="25"/>
        <v>100.01602955595395</v>
      </c>
      <c r="R31" s="59">
        <f t="shared" si="25"/>
        <v>104.60976350281268</v>
      </c>
      <c r="S31" s="59">
        <f t="shared" si="25"/>
        <v>94.530706483950723</v>
      </c>
      <c r="T31" s="59">
        <f t="shared" si="25"/>
        <v>92.231810716920464</v>
      </c>
      <c r="U31" s="59">
        <f t="shared" si="25"/>
        <v>93.425885031442363</v>
      </c>
      <c r="V31" s="59">
        <f t="shared" si="25"/>
        <v>93.717490357244174</v>
      </c>
      <c r="W31" s="59">
        <f t="shared" si="25"/>
        <v>89.72268261390775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126.45888445910977</v>
      </c>
      <c r="C32" s="55">
        <f t="shared" si="26"/>
        <v>122.34803499436494</v>
      </c>
      <c r="D32" s="55">
        <f t="shared" si="26"/>
        <v>127.81056238438663</v>
      </c>
      <c r="E32" s="55">
        <f t="shared" si="26"/>
        <v>135.43288032890183</v>
      </c>
      <c r="F32" s="55">
        <f t="shared" si="26"/>
        <v>134.84363036747558</v>
      </c>
      <c r="G32" s="55">
        <f t="shared" si="26"/>
        <v>154.4265560823676</v>
      </c>
      <c r="H32" s="55">
        <f t="shared" si="26"/>
        <v>146.93020171673029</v>
      </c>
      <c r="I32" s="55">
        <f t="shared" si="26"/>
        <v>137.2385115226293</v>
      </c>
      <c r="J32" s="55">
        <f t="shared" si="26"/>
        <v>139.32723127138399</v>
      </c>
      <c r="K32" s="55">
        <f t="shared" si="26"/>
        <v>156.36023356757096</v>
      </c>
      <c r="L32" s="55">
        <f t="shared" si="26"/>
        <v>144.58585940593423</v>
      </c>
      <c r="M32" s="55">
        <f t="shared" si="26"/>
        <v>132.8002659379103</v>
      </c>
      <c r="N32" s="55">
        <f t="shared" si="26"/>
        <v>135.04301399101354</v>
      </c>
      <c r="O32" s="55">
        <f t="shared" si="26"/>
        <v>132.95020410976801</v>
      </c>
      <c r="P32" s="55">
        <f t="shared" si="26"/>
        <v>130.15939664117732</v>
      </c>
      <c r="Q32" s="55">
        <f t="shared" si="26"/>
        <v>132.91816907674806</v>
      </c>
      <c r="R32" s="55">
        <f t="shared" si="26"/>
        <v>135.38540863538171</v>
      </c>
      <c r="S32" s="55">
        <f t="shared" si="26"/>
        <v>124.90211009173741</v>
      </c>
      <c r="T32" s="55">
        <f t="shared" si="26"/>
        <v>141.27985612939972</v>
      </c>
      <c r="U32" s="55">
        <f t="shared" si="26"/>
        <v>142.01198459584057</v>
      </c>
      <c r="V32" s="55">
        <f t="shared" si="26"/>
        <v>148.6260104466125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46.775237062738121</v>
      </c>
      <c r="C33" s="55">
        <f>IF(AGR_ued!C$5=0,"",AGR_ued!C$5/C$5*1000)</f>
        <v>46.145430141053886</v>
      </c>
      <c r="D33" s="55">
        <f>IF(AGR_ued!D$5=0,"",AGR_ued!D$5/D$5*1000)</f>
        <v>48.234639939574052</v>
      </c>
      <c r="E33" s="55">
        <f>IF(AGR_ued!E$5=0,"",AGR_ued!E$5/E$5*1000)</f>
        <v>50.457658269743469</v>
      </c>
      <c r="F33" s="55">
        <f>IF(AGR_ued!F$5=0,"",AGR_ued!F$5/F$5*1000)</f>
        <v>50.171644710065408</v>
      </c>
      <c r="G33" s="55">
        <f>IF(AGR_ued!G$5=0,"",AGR_ued!G$5/G$5*1000)</f>
        <v>62.637529329443083</v>
      </c>
      <c r="H33" s="55">
        <f>IF(AGR_ued!H$5=0,"",AGR_ued!H$5/H$5*1000)</f>
        <v>61.715272560400109</v>
      </c>
      <c r="I33" s="55">
        <f>IF(AGR_ued!I$5=0,"",AGR_ued!I$5/I$5*1000)</f>
        <v>57.414535939126317</v>
      </c>
      <c r="J33" s="55">
        <f>IF(AGR_ued!J$5=0,"",AGR_ued!J$5/J$5*1000)</f>
        <v>56.886491852926355</v>
      </c>
      <c r="K33" s="55">
        <f>IF(AGR_ued!K$5=0,"",AGR_ued!K$5/K$5*1000)</f>
        <v>65.591414270530294</v>
      </c>
      <c r="L33" s="55">
        <f>IF(AGR_ued!L$5=0,"",AGR_ued!L$5/L$5*1000)</f>
        <v>58.154863600428008</v>
      </c>
      <c r="M33" s="55">
        <f>IF(AGR_ued!M$5=0,"",AGR_ued!M$5/M$5*1000)</f>
        <v>53.283678502242928</v>
      </c>
      <c r="N33" s="55">
        <f>IF(AGR_ued!N$5=0,"",AGR_ued!N$5/N$5*1000)</f>
        <v>53.119355447316401</v>
      </c>
      <c r="O33" s="55">
        <f>IF(AGR_ued!O$5=0,"",AGR_ued!O$5/O$5*1000)</f>
        <v>52.949098274779303</v>
      </c>
      <c r="P33" s="55">
        <f>IF(AGR_ued!P$5=0,"",AGR_ued!P$5/P$5*1000)</f>
        <v>51.651208137029137</v>
      </c>
      <c r="Q33" s="55">
        <f>IF(AGR_ued!Q$5=0,"",AGR_ued!Q$5/Q$5*1000)</f>
        <v>53.21039170848772</v>
      </c>
      <c r="R33" s="55">
        <f>IF(AGR_ued!R$5=0,"",AGR_ued!R$5/R$5*1000)</f>
        <v>54.111456349708106</v>
      </c>
      <c r="S33" s="55">
        <f>IF(AGR_ued!S$5=0,"",AGR_ued!S$5/S$5*1000)</f>
        <v>49.232896175274171</v>
      </c>
      <c r="T33" s="55">
        <f>IF(AGR_ued!T$5=0,"",AGR_ued!T$5/T$5*1000)</f>
        <v>56.283713414612286</v>
      </c>
      <c r="U33" s="55">
        <f>IF(AGR_ued!U$5=0,"",AGR_ued!U$5/U$5*1000)</f>
        <v>55.549792698476843</v>
      </c>
      <c r="V33" s="55">
        <f>IF(AGR_ued!V$5=0,"",AGR_ued!V$5/V$5*1000)</f>
        <v>58.591247937513479</v>
      </c>
      <c r="W33" s="55">
        <f>IF(AGR_ued!W$5=0,"",AGR_ued!W$5/W$5*1000)</f>
        <v>57.325186014197122</v>
      </c>
      <c r="DA33" s="217"/>
    </row>
    <row r="34" spans="1:105" x14ac:dyDescent="0.25">
      <c r="A34" s="37" t="s">
        <v>110</v>
      </c>
      <c r="B34" s="218">
        <f t="shared" ref="B34:W34" si="27">IF(B$12=0,"",B$29/B$12)</f>
        <v>1.4153134581711919</v>
      </c>
      <c r="C34" s="218">
        <f t="shared" si="27"/>
        <v>1.4338133507476827</v>
      </c>
      <c r="D34" s="218">
        <f t="shared" si="27"/>
        <v>1.6406006413612078</v>
      </c>
      <c r="E34" s="218">
        <f t="shared" si="27"/>
        <v>1.6352321323033239</v>
      </c>
      <c r="F34" s="218">
        <f t="shared" si="27"/>
        <v>1.5097706773142336</v>
      </c>
      <c r="G34" s="218">
        <f t="shared" si="27"/>
        <v>2.2733443635788073</v>
      </c>
      <c r="H34" s="218">
        <f t="shared" si="27"/>
        <v>2.0901955289045429</v>
      </c>
      <c r="I34" s="218">
        <f t="shared" si="27"/>
        <v>2.0596789891363412</v>
      </c>
      <c r="J34" s="218">
        <f t="shared" si="27"/>
        <v>2.0883239307752581</v>
      </c>
      <c r="K34" s="218">
        <f t="shared" si="27"/>
        <v>2.0499158348552404</v>
      </c>
      <c r="L34" s="218">
        <f t="shared" si="27"/>
        <v>2.1852929710663438</v>
      </c>
      <c r="M34" s="218">
        <f t="shared" si="27"/>
        <v>2.1297540228843106</v>
      </c>
      <c r="N34" s="218">
        <f t="shared" si="27"/>
        <v>2.1924070043652071</v>
      </c>
      <c r="O34" s="218">
        <f t="shared" si="27"/>
        <v>1.9862539590036199</v>
      </c>
      <c r="P34" s="218">
        <f t="shared" si="27"/>
        <v>1.8910444385789966</v>
      </c>
      <c r="Q34" s="218">
        <f t="shared" si="27"/>
        <v>1.7959354961334064</v>
      </c>
      <c r="R34" s="218">
        <f t="shared" si="27"/>
        <v>1.7029185622956966</v>
      </c>
      <c r="S34" s="218">
        <f t="shared" si="27"/>
        <v>1.5764624523594639</v>
      </c>
      <c r="T34" s="218">
        <f t="shared" si="27"/>
        <v>1.4967961220103885</v>
      </c>
      <c r="U34" s="218">
        <f t="shared" si="27"/>
        <v>1.5267292154632615</v>
      </c>
      <c r="V34" s="218">
        <f t="shared" si="27"/>
        <v>1.4537787833974909</v>
      </c>
      <c r="W34" s="218">
        <f t="shared" si="27"/>
        <v>1.4847005042490249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809.82132416165086</v>
      </c>
      <c r="C5" s="80">
        <f t="shared" ref="C5:W5" si="1">SUM(C6:C9,C16:C17,C25:C27)</f>
        <v>782.1988822012039</v>
      </c>
      <c r="D5" s="80">
        <f t="shared" si="1"/>
        <v>848.58134135855482</v>
      </c>
      <c r="E5" s="80">
        <f t="shared" si="1"/>
        <v>853.73791917454855</v>
      </c>
      <c r="F5" s="80">
        <f t="shared" si="1"/>
        <v>824.22846087704193</v>
      </c>
      <c r="G5" s="80">
        <f t="shared" si="1"/>
        <v>784.22588134135822</v>
      </c>
      <c r="H5" s="80">
        <f t="shared" si="1"/>
        <v>752.54350816852957</v>
      </c>
      <c r="I5" s="80">
        <f t="shared" si="1"/>
        <v>812.60464316423065</v>
      </c>
      <c r="J5" s="80">
        <f t="shared" si="1"/>
        <v>740.73585554600152</v>
      </c>
      <c r="K5" s="80">
        <f t="shared" si="1"/>
        <v>718.30859845227849</v>
      </c>
      <c r="L5" s="80">
        <f t="shared" si="1"/>
        <v>701.70017196904519</v>
      </c>
      <c r="M5" s="80">
        <f t="shared" si="1"/>
        <v>675.85984522785884</v>
      </c>
      <c r="N5" s="80">
        <f t="shared" si="1"/>
        <v>653.71530524505556</v>
      </c>
      <c r="O5" s="80">
        <f t="shared" si="1"/>
        <v>717.91418744625958</v>
      </c>
      <c r="P5" s="80">
        <f t="shared" si="1"/>
        <v>691.53147033533935</v>
      </c>
      <c r="Q5" s="80">
        <f t="shared" si="1"/>
        <v>660.37583834909708</v>
      </c>
      <c r="R5" s="80">
        <f t="shared" si="1"/>
        <v>680.12562338779003</v>
      </c>
      <c r="S5" s="80">
        <f t="shared" si="1"/>
        <v>651.27669819432538</v>
      </c>
      <c r="T5" s="80">
        <f t="shared" si="1"/>
        <v>625.66680997420463</v>
      </c>
      <c r="U5" s="80">
        <f t="shared" si="1"/>
        <v>645.23946689595869</v>
      </c>
      <c r="V5" s="80">
        <f t="shared" si="1"/>
        <v>602.51539122957843</v>
      </c>
      <c r="W5" s="80">
        <f t="shared" si="1"/>
        <v>594.6961306964746</v>
      </c>
      <c r="DA5" s="103"/>
    </row>
    <row r="6" spans="1:105" x14ac:dyDescent="0.25">
      <c r="A6" s="239" t="s">
        <v>125</v>
      </c>
      <c r="B6" s="240">
        <v>16.34066410204538</v>
      </c>
      <c r="C6" s="240">
        <v>17.44084417020802</v>
      </c>
      <c r="D6" s="240">
        <v>18.14286082976345</v>
      </c>
      <c r="E6" s="240">
        <v>17.233348285107731</v>
      </c>
      <c r="F6" s="240">
        <v>17.012968383448481</v>
      </c>
      <c r="G6" s="240">
        <v>21.11304595047347</v>
      </c>
      <c r="H6" s="240">
        <v>24.35199752287328</v>
      </c>
      <c r="I6" s="240">
        <v>25.97674272839453</v>
      </c>
      <c r="J6" s="240">
        <v>21.127590382363699</v>
      </c>
      <c r="K6" s="240">
        <v>23.032964574221879</v>
      </c>
      <c r="L6" s="240">
        <v>17.823116998199549</v>
      </c>
      <c r="M6" s="240">
        <v>16.9818783731805</v>
      </c>
      <c r="N6" s="240">
        <v>13.319560864016671</v>
      </c>
      <c r="O6" s="240">
        <v>17.64787825986782</v>
      </c>
      <c r="P6" s="240">
        <v>16.974870824590209</v>
      </c>
      <c r="Q6" s="240">
        <v>17.30182869971404</v>
      </c>
      <c r="R6" s="240">
        <v>17.728140510913121</v>
      </c>
      <c r="S6" s="240">
        <v>15.96189672438231</v>
      </c>
      <c r="T6" s="240">
        <v>16.2408487656731</v>
      </c>
      <c r="U6" s="240">
        <v>14.73492589514902</v>
      </c>
      <c r="V6" s="240">
        <v>14.78250464679798</v>
      </c>
      <c r="W6" s="240">
        <v>16.106207500456939</v>
      </c>
      <c r="DA6" s="268" t="s">
        <v>993</v>
      </c>
    </row>
    <row r="7" spans="1:105" x14ac:dyDescent="0.25">
      <c r="A7" s="241" t="s">
        <v>124</v>
      </c>
      <c r="B7" s="242">
        <v>10.621431666329491</v>
      </c>
      <c r="C7" s="242">
        <v>11.33654871063521</v>
      </c>
      <c r="D7" s="242">
        <v>11.792859539346241</v>
      </c>
      <c r="E7" s="242">
        <v>11.201676385320029</v>
      </c>
      <c r="F7" s="242">
        <v>11.05842944924151</v>
      </c>
      <c r="G7" s="242">
        <v>13.72347986780775</v>
      </c>
      <c r="H7" s="242">
        <v>15.828798389867631</v>
      </c>
      <c r="I7" s="242">
        <v>16.88488277345644</v>
      </c>
      <c r="J7" s="242">
        <v>13.7329337485364</v>
      </c>
      <c r="K7" s="242">
        <v>14.97142697324422</v>
      </c>
      <c r="L7" s="242">
        <v>11.5850260488297</v>
      </c>
      <c r="M7" s="242">
        <v>11.038220942567319</v>
      </c>
      <c r="N7" s="242">
        <v>8.6577145616108346</v>
      </c>
      <c r="O7" s="242">
        <v>11.471120868914079</v>
      </c>
      <c r="P7" s="242">
        <v>11.03366603598363</v>
      </c>
      <c r="Q7" s="242">
        <v>11.246188654814119</v>
      </c>
      <c r="R7" s="242">
        <v>11.523291332093519</v>
      </c>
      <c r="S7" s="242">
        <v>10.3752328708485</v>
      </c>
      <c r="T7" s="242">
        <v>10.55655169768751</v>
      </c>
      <c r="U7" s="242">
        <v>9.5777018318468627</v>
      </c>
      <c r="V7" s="242">
        <v>9.6086280204186867</v>
      </c>
      <c r="W7" s="242">
        <v>10.469034875297011</v>
      </c>
      <c r="DA7" s="269" t="s">
        <v>994</v>
      </c>
    </row>
    <row r="8" spans="1:105" x14ac:dyDescent="0.25">
      <c r="A8" s="241" t="s">
        <v>123</v>
      </c>
      <c r="B8" s="242">
        <v>14.706597691840839</v>
      </c>
      <c r="C8" s="242">
        <v>15.696759753187219</v>
      </c>
      <c r="D8" s="242">
        <v>16.328574746787108</v>
      </c>
      <c r="E8" s="242">
        <v>15.51001345659696</v>
      </c>
      <c r="F8" s="242">
        <v>15.31167154510363</v>
      </c>
      <c r="G8" s="242">
        <v>19.00174135542612</v>
      </c>
      <c r="H8" s="242">
        <v>21.916797770585951</v>
      </c>
      <c r="I8" s="242">
        <v>23.379068455555071</v>
      </c>
      <c r="J8" s="242">
        <v>19.01483134412733</v>
      </c>
      <c r="K8" s="242">
        <v>20.72966811679969</v>
      </c>
      <c r="L8" s="242">
        <v>16.040805298379588</v>
      </c>
      <c r="M8" s="242">
        <v>15.28369053586245</v>
      </c>
      <c r="N8" s="242">
        <v>11.987604777614999</v>
      </c>
      <c r="O8" s="242">
        <v>15.883090433881041</v>
      </c>
      <c r="P8" s="242">
        <v>15.277383742131191</v>
      </c>
      <c r="Q8" s="242">
        <v>15.571645829742639</v>
      </c>
      <c r="R8" s="242">
        <v>15.9553264598218</v>
      </c>
      <c r="S8" s="242">
        <v>14.365707051944071</v>
      </c>
      <c r="T8" s="242">
        <v>14.61676388910579</v>
      </c>
      <c r="U8" s="242">
        <v>13.261433305634119</v>
      </c>
      <c r="V8" s="242">
        <v>13.30425418211818</v>
      </c>
      <c r="W8" s="242">
        <v>14.49558675041124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126.82813645533329</v>
      </c>
      <c r="C9" s="244">
        <f t="shared" ref="C9:W9" si="3">SUM(C10:C15)</f>
        <v>126.36828084634631</v>
      </c>
      <c r="D9" s="244">
        <f t="shared" si="3"/>
        <v>140.04802213137836</v>
      </c>
      <c r="E9" s="244">
        <f t="shared" si="3"/>
        <v>136.73440057708743</v>
      </c>
      <c r="F9" s="244">
        <f t="shared" si="3"/>
        <v>130.17260340193897</v>
      </c>
      <c r="G9" s="244">
        <f t="shared" si="3"/>
        <v>150.05685116461515</v>
      </c>
      <c r="H9" s="244">
        <f t="shared" si="3"/>
        <v>146.62033955022309</v>
      </c>
      <c r="I9" s="244">
        <f t="shared" si="3"/>
        <v>157.29244392795579</v>
      </c>
      <c r="J9" s="244">
        <f t="shared" si="3"/>
        <v>140.73933115981737</v>
      </c>
      <c r="K9" s="244">
        <f t="shared" si="3"/>
        <v>140.11524143408991</v>
      </c>
      <c r="L9" s="244">
        <f t="shared" si="3"/>
        <v>134.03156024217245</v>
      </c>
      <c r="M9" s="244">
        <f t="shared" si="3"/>
        <v>128.81477392458308</v>
      </c>
      <c r="N9" s="244">
        <f t="shared" si="3"/>
        <v>126.23071304192872</v>
      </c>
      <c r="O9" s="244">
        <f t="shared" si="3"/>
        <v>134.9180191928138</v>
      </c>
      <c r="P9" s="244">
        <f t="shared" si="3"/>
        <v>129.12660320782206</v>
      </c>
      <c r="Q9" s="244">
        <f t="shared" si="3"/>
        <v>123.26235797222536</v>
      </c>
      <c r="R9" s="244">
        <f t="shared" si="3"/>
        <v>126.52506757503305</v>
      </c>
      <c r="S9" s="244">
        <f t="shared" si="3"/>
        <v>119.08634274458102</v>
      </c>
      <c r="T9" s="244">
        <f t="shared" si="3"/>
        <v>115.45717389364719</v>
      </c>
      <c r="U9" s="244">
        <f t="shared" si="3"/>
        <v>118.540353340496</v>
      </c>
      <c r="V9" s="244">
        <f t="shared" si="3"/>
        <v>110.26329397628841</v>
      </c>
      <c r="W9" s="244">
        <f t="shared" si="3"/>
        <v>111.29502919880971</v>
      </c>
      <c r="DA9" s="270"/>
    </row>
    <row r="10" spans="1:105" x14ac:dyDescent="0.25">
      <c r="A10" s="254" t="s">
        <v>173</v>
      </c>
      <c r="B10" s="255">
        <v>85.853010826296895</v>
      </c>
      <c r="C10" s="255">
        <v>81.908863917498707</v>
      </c>
      <c r="D10" s="255">
        <v>99.033054779348461</v>
      </c>
      <c r="E10" s="255">
        <v>96.429847077818707</v>
      </c>
      <c r="F10" s="255">
        <v>87.72633860320849</v>
      </c>
      <c r="G10" s="255">
        <v>109.1638220553267</v>
      </c>
      <c r="H10" s="255">
        <v>85.86219472316121</v>
      </c>
      <c r="I10" s="255">
        <v>93.489729703085956</v>
      </c>
      <c r="J10" s="255">
        <v>93.589065749791757</v>
      </c>
      <c r="K10" s="255">
        <v>82.848201527640597</v>
      </c>
      <c r="L10" s="255">
        <v>98.54764776745256</v>
      </c>
      <c r="M10" s="255">
        <v>94.340684971220924</v>
      </c>
      <c r="N10" s="255">
        <v>100.7472182380298</v>
      </c>
      <c r="O10" s="255">
        <v>99.215734772907751</v>
      </c>
      <c r="P10" s="255">
        <v>100.3448295775481</v>
      </c>
      <c r="Q10" s="255">
        <v>90.961740903310769</v>
      </c>
      <c r="R10" s="255">
        <v>93.614441116574454</v>
      </c>
      <c r="S10" s="255">
        <v>91.787644203087567</v>
      </c>
      <c r="T10" s="255">
        <v>83.622019585791293</v>
      </c>
      <c r="U10" s="255">
        <v>92.704861900321788</v>
      </c>
      <c r="V10" s="255">
        <v>82.719263642696561</v>
      </c>
      <c r="W10" s="255">
        <v>80.215133422835862</v>
      </c>
      <c r="DA10" s="271" t="s">
        <v>996</v>
      </c>
    </row>
    <row r="11" spans="1:105" x14ac:dyDescent="0.25">
      <c r="A11" s="254" t="s">
        <v>176</v>
      </c>
      <c r="B11" s="256">
        <v>13.19151578617288</v>
      </c>
      <c r="C11" s="256">
        <v>11.772580169583639</v>
      </c>
      <c r="D11" s="256">
        <v>11.75222936760213</v>
      </c>
      <c r="E11" s="256">
        <v>12.943092000805089</v>
      </c>
      <c r="F11" s="256">
        <v>13.20904308694552</v>
      </c>
      <c r="G11" s="256">
        <v>8.2524978979795733</v>
      </c>
      <c r="H11" s="256">
        <v>7.6829647721436878</v>
      </c>
      <c r="I11" s="256">
        <v>8.103194849276802</v>
      </c>
      <c r="J11" s="256">
        <v>9.0794468995230382</v>
      </c>
      <c r="K11" s="256">
        <v>8.17279141089859</v>
      </c>
      <c r="L11" s="256">
        <v>9.2656195631606657</v>
      </c>
      <c r="M11" s="256">
        <v>9.3806433293834868</v>
      </c>
      <c r="N11" s="256">
        <v>9.7654779712905579</v>
      </c>
      <c r="O11" s="256">
        <v>9.8115811354915596</v>
      </c>
      <c r="P11" s="256">
        <v>3.3953366948755779</v>
      </c>
      <c r="Q11" s="256">
        <v>3.3039136192150012</v>
      </c>
      <c r="R11" s="256">
        <v>3.379961858328234</v>
      </c>
      <c r="S11" s="256">
        <v>1.5765398584148069</v>
      </c>
      <c r="T11" s="256">
        <v>3.5524677829522688</v>
      </c>
      <c r="U11" s="256">
        <v>4.2966213452816104</v>
      </c>
      <c r="V11" s="256">
        <v>3.061626653874856</v>
      </c>
      <c r="W11" s="256">
        <v>1.9520338791644929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7.1653482373256487</v>
      </c>
      <c r="C14" s="255">
        <v>7.1653482373277972</v>
      </c>
      <c r="D14" s="255">
        <v>7.1653482373245261</v>
      </c>
      <c r="E14" s="255">
        <v>7.1653482373228243</v>
      </c>
      <c r="F14" s="255">
        <v>7.1653482373242374</v>
      </c>
      <c r="G14" s="255">
        <v>7.1653482373182413</v>
      </c>
      <c r="H14" s="255">
        <v>7.1653482373128021</v>
      </c>
      <c r="I14" s="255">
        <v>7.1653482373134789</v>
      </c>
      <c r="J14" s="255">
        <v>7.1653482373220951</v>
      </c>
      <c r="K14" s="255">
        <v>7.1653482373133022</v>
      </c>
      <c r="L14" s="255">
        <v>7.1653482373174464</v>
      </c>
      <c r="M14" s="255">
        <v>7.1653482373174544</v>
      </c>
      <c r="N14" s="255">
        <v>7.165348237314852</v>
      </c>
      <c r="O14" s="255">
        <v>7.1653482373178647</v>
      </c>
      <c r="P14" s="255">
        <v>7.1653482373180797</v>
      </c>
      <c r="Q14" s="255">
        <v>7.1653482373199129</v>
      </c>
      <c r="R14" s="255">
        <v>7.1653482373201456</v>
      </c>
      <c r="S14" s="255">
        <v>7.1653482373192956</v>
      </c>
      <c r="T14" s="255">
        <v>7.1653482373210231</v>
      </c>
      <c r="U14" s="255">
        <v>7.1653482373176587</v>
      </c>
      <c r="V14" s="255">
        <v>7.1653482373194244</v>
      </c>
      <c r="W14" s="255">
        <v>7.1653482373227764</v>
      </c>
      <c r="DA14" s="271" t="s">
        <v>1000</v>
      </c>
    </row>
    <row r="15" spans="1:105" x14ac:dyDescent="0.25">
      <c r="A15" s="254" t="s">
        <v>24</v>
      </c>
      <c r="B15" s="256">
        <v>20.61826160553786</v>
      </c>
      <c r="C15" s="256">
        <v>25.521488521936181</v>
      </c>
      <c r="D15" s="256">
        <v>22.09738974710325</v>
      </c>
      <c r="E15" s="256">
        <v>20.196113261140791</v>
      </c>
      <c r="F15" s="256">
        <v>22.071873474460741</v>
      </c>
      <c r="G15" s="256">
        <v>25.475182973990631</v>
      </c>
      <c r="H15" s="256">
        <v>45.909831817605408</v>
      </c>
      <c r="I15" s="256">
        <v>48.534171138279532</v>
      </c>
      <c r="J15" s="256">
        <v>30.90547027318047</v>
      </c>
      <c r="K15" s="256">
        <v>41.928900258237412</v>
      </c>
      <c r="L15" s="256">
        <v>19.052944674241779</v>
      </c>
      <c r="M15" s="256">
        <v>17.9280973866612</v>
      </c>
      <c r="N15" s="256">
        <v>8.5526685952935271</v>
      </c>
      <c r="O15" s="256">
        <v>18.725355047096631</v>
      </c>
      <c r="P15" s="256">
        <v>18.221088698080301</v>
      </c>
      <c r="Q15" s="256">
        <v>21.83135521237968</v>
      </c>
      <c r="R15" s="256">
        <v>22.365316362810219</v>
      </c>
      <c r="S15" s="256">
        <v>18.55681044575935</v>
      </c>
      <c r="T15" s="256">
        <v>21.117338287582609</v>
      </c>
      <c r="U15" s="256">
        <v>14.373521857574939</v>
      </c>
      <c r="V15" s="256">
        <v>17.317055442397571</v>
      </c>
      <c r="W15" s="256">
        <v>21.962513659486589</v>
      </c>
      <c r="DA15" s="272" t="s">
        <v>1001</v>
      </c>
    </row>
    <row r="16" spans="1:105" x14ac:dyDescent="0.25">
      <c r="A16" s="257" t="s">
        <v>175</v>
      </c>
      <c r="B16" s="258">
        <v>163.34135386154949</v>
      </c>
      <c r="C16" s="258">
        <v>160.89611005441091</v>
      </c>
      <c r="D16" s="258">
        <v>182.11124889929351</v>
      </c>
      <c r="E16" s="258">
        <v>177.79989000377009</v>
      </c>
      <c r="F16" s="258">
        <v>167.48053525416159</v>
      </c>
      <c r="G16" s="258">
        <v>194.1910877140495</v>
      </c>
      <c r="H16" s="258">
        <v>177.84319528814731</v>
      </c>
      <c r="I16" s="258">
        <v>191.84693172636341</v>
      </c>
      <c r="J16" s="258">
        <v>178.01060623184819</v>
      </c>
      <c r="K16" s="258">
        <v>170.53254918094751</v>
      </c>
      <c r="L16" s="258">
        <v>174.04026994495939</v>
      </c>
      <c r="M16" s="258">
        <v>167.13238163611311</v>
      </c>
      <c r="N16" s="258">
        <v>166.60521831283191</v>
      </c>
      <c r="O16" s="258">
        <v>175.5120493212508</v>
      </c>
      <c r="P16" s="258">
        <v>169.99417373332139</v>
      </c>
      <c r="Q16" s="258">
        <v>160.12334508935231</v>
      </c>
      <c r="R16" s="258">
        <v>164.5643366624368</v>
      </c>
      <c r="S16" s="258">
        <v>156.66368117204439</v>
      </c>
      <c r="T16" s="258">
        <v>149.44313467905661</v>
      </c>
      <c r="U16" s="258">
        <v>156.48796395616171</v>
      </c>
      <c r="V16" s="258">
        <v>144.08028880669241</v>
      </c>
      <c r="W16" s="258">
        <v>143.44216187768981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406.5611109480862</v>
      </c>
      <c r="C17" s="258">
        <f t="shared" ref="C17:W17" si="5">SUM(C18:C24)</f>
        <v>376.81274203848318</v>
      </c>
      <c r="D17" s="258">
        <f t="shared" si="5"/>
        <v>400.71357203796089</v>
      </c>
      <c r="E17" s="258">
        <f t="shared" si="5"/>
        <v>418.87115656850256</v>
      </c>
      <c r="F17" s="258">
        <f t="shared" si="5"/>
        <v>409.32769971785342</v>
      </c>
      <c r="G17" s="258">
        <f t="shared" si="5"/>
        <v>297.09727687090879</v>
      </c>
      <c r="H17" s="258">
        <f t="shared" si="5"/>
        <v>272.14593364485557</v>
      </c>
      <c r="I17" s="258">
        <f t="shared" si="5"/>
        <v>296.71656713710695</v>
      </c>
      <c r="J17" s="258">
        <f t="shared" si="5"/>
        <v>282.14174476359142</v>
      </c>
      <c r="K17" s="258">
        <f t="shared" si="5"/>
        <v>259.72673446960869</v>
      </c>
      <c r="L17" s="258">
        <f t="shared" si="5"/>
        <v>271.0694685172067</v>
      </c>
      <c r="M17" s="258">
        <f t="shared" si="5"/>
        <v>262.88741783453912</v>
      </c>
      <c r="N17" s="258">
        <f t="shared" si="5"/>
        <v>262.26698842929335</v>
      </c>
      <c r="O17" s="258">
        <f t="shared" si="5"/>
        <v>285.51862468658771</v>
      </c>
      <c r="P17" s="258">
        <f t="shared" si="5"/>
        <v>274.87054210365625</v>
      </c>
      <c r="Q17" s="258">
        <f t="shared" si="5"/>
        <v>259.71195660607265</v>
      </c>
      <c r="R17" s="258">
        <f t="shared" si="5"/>
        <v>268.77310787210666</v>
      </c>
      <c r="S17" s="258">
        <f t="shared" si="5"/>
        <v>265.61295872651095</v>
      </c>
      <c r="T17" s="258">
        <f t="shared" si="5"/>
        <v>250.84551382653586</v>
      </c>
      <c r="U17" s="258">
        <f t="shared" si="5"/>
        <v>266.46605372168938</v>
      </c>
      <c r="V17" s="258">
        <f t="shared" si="5"/>
        <v>246.57305699286695</v>
      </c>
      <c r="W17" s="258">
        <f t="shared" si="5"/>
        <v>231.86429530533201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2.2595012897640481</v>
      </c>
      <c r="C19" s="55">
        <v>2.259501289763111</v>
      </c>
      <c r="D19" s="55">
        <v>2.2595012897632358</v>
      </c>
      <c r="E19" s="55">
        <v>3.3892519346471208</v>
      </c>
      <c r="F19" s="55">
        <v>3.389251934646961</v>
      </c>
      <c r="G19" s="55">
        <v>1.5048151332740221</v>
      </c>
      <c r="H19" s="55">
        <v>1.4777300086003751</v>
      </c>
      <c r="I19" s="55">
        <v>1.5387790197781479</v>
      </c>
      <c r="J19" s="55">
        <v>2.1995700773809772</v>
      </c>
      <c r="K19" s="55">
        <v>2.087790197766993</v>
      </c>
      <c r="L19" s="55">
        <v>2.1465176268244299</v>
      </c>
      <c r="M19" s="55">
        <v>1.3014617368854871</v>
      </c>
      <c r="N19" s="55">
        <v>1.3037833190012289</v>
      </c>
      <c r="O19" s="55">
        <v>1.6098882201176361</v>
      </c>
      <c r="P19" s="55">
        <v>0.96483233017892811</v>
      </c>
      <c r="Q19" s="55">
        <v>0.92072226998971551</v>
      </c>
      <c r="R19" s="55">
        <v>1.3172828890774091</v>
      </c>
      <c r="S19" s="55">
        <v>0.75881341358437071</v>
      </c>
      <c r="T19" s="55">
        <v>0.70378331900115421</v>
      </c>
      <c r="U19" s="55">
        <v>1.3174548581237331</v>
      </c>
      <c r="V19" s="55">
        <v>1.250386930350603</v>
      </c>
      <c r="W19" s="55">
        <v>1.0150472914846289</v>
      </c>
      <c r="DA19" s="101" t="s">
        <v>1004</v>
      </c>
    </row>
    <row r="20" spans="1:105" x14ac:dyDescent="0.25">
      <c r="A20" s="61" t="s">
        <v>173</v>
      </c>
      <c r="B20" s="55">
        <v>56.286504636809518</v>
      </c>
      <c r="C20" s="55">
        <v>62.118770188072013</v>
      </c>
      <c r="D20" s="55">
        <v>80.297959617726178</v>
      </c>
      <c r="E20" s="55">
        <v>68.527232232718163</v>
      </c>
      <c r="F20" s="55">
        <v>59.748952607517033</v>
      </c>
      <c r="G20" s="55">
        <v>183.7169286813328</v>
      </c>
      <c r="H20" s="55">
        <v>166.62313745384009</v>
      </c>
      <c r="I20" s="55">
        <v>175.60032948410401</v>
      </c>
      <c r="J20" s="55">
        <v>154.35635933322371</v>
      </c>
      <c r="K20" s="55">
        <v>161.20864023980491</v>
      </c>
      <c r="L20" s="55">
        <v>157.51728928429549</v>
      </c>
      <c r="M20" s="55">
        <v>147.78714972814649</v>
      </c>
      <c r="N20" s="55">
        <v>147.63349821497931</v>
      </c>
      <c r="O20" s="55">
        <v>144.2399220733939</v>
      </c>
      <c r="P20" s="55">
        <v>144.24206108594171</v>
      </c>
      <c r="Q20" s="55">
        <v>134.52206111115629</v>
      </c>
      <c r="R20" s="55">
        <v>136.2007051563142</v>
      </c>
      <c r="S20" s="55">
        <v>120.4710119127528</v>
      </c>
      <c r="T20" s="55">
        <v>116.2744218505154</v>
      </c>
      <c r="U20" s="55">
        <v>118.51022450827411</v>
      </c>
      <c r="V20" s="55">
        <v>107.9219579375831</v>
      </c>
      <c r="W20" s="55">
        <v>121.6392870523941</v>
      </c>
      <c r="DA20" s="101" t="s">
        <v>1005</v>
      </c>
    </row>
    <row r="21" spans="1:105" x14ac:dyDescent="0.25">
      <c r="A21" s="61" t="s">
        <v>129</v>
      </c>
      <c r="B21" s="55">
        <v>13.509114359392621</v>
      </c>
      <c r="C21" s="55">
        <v>7.7195184866562361</v>
      </c>
      <c r="D21" s="55">
        <v>32.807910576029442</v>
      </c>
      <c r="E21" s="55">
        <v>51.141702493481112</v>
      </c>
      <c r="F21" s="55">
        <v>32.80782459152703</v>
      </c>
      <c r="G21" s="55">
        <v>33.450816852922287</v>
      </c>
      <c r="H21" s="55">
        <v>29.68684436805238</v>
      </c>
      <c r="I21" s="55">
        <v>33.993379191783212</v>
      </c>
      <c r="J21" s="55">
        <v>31.959157351602698</v>
      </c>
      <c r="K21" s="55">
        <v>23.96870163373567</v>
      </c>
      <c r="L21" s="55">
        <v>28.333447979327541</v>
      </c>
      <c r="M21" s="55">
        <v>24.8943250214603</v>
      </c>
      <c r="N21" s="55">
        <v>24.977300085958671</v>
      </c>
      <c r="O21" s="55">
        <v>27.788392089376579</v>
      </c>
      <c r="P21" s="55">
        <v>25.924677557995501</v>
      </c>
      <c r="Q21" s="55">
        <v>24.68065348232798</v>
      </c>
      <c r="R21" s="55">
        <v>26.30894239031867</v>
      </c>
      <c r="S21" s="55">
        <v>28.957695614744161</v>
      </c>
      <c r="T21" s="55">
        <v>21.709802235553639</v>
      </c>
      <c r="U21" s="55">
        <v>18.235683576931169</v>
      </c>
      <c r="V21" s="55">
        <v>17.494325021469081</v>
      </c>
      <c r="W21" s="55">
        <v>12.072914875287911</v>
      </c>
      <c r="DA21" s="101" t="s">
        <v>1006</v>
      </c>
    </row>
    <row r="22" spans="1:105" x14ac:dyDescent="0.25">
      <c r="A22" s="61" t="s">
        <v>176</v>
      </c>
      <c r="B22" s="55">
        <v>8.6485530014462313</v>
      </c>
      <c r="C22" s="55">
        <v>8.9281936911200148</v>
      </c>
      <c r="D22" s="55">
        <v>9.5289400219002278</v>
      </c>
      <c r="E22" s="55">
        <v>9.1979226165612005</v>
      </c>
      <c r="F22" s="55">
        <v>8.996459922512857</v>
      </c>
      <c r="G22" s="55">
        <v>13.88851671937206</v>
      </c>
      <c r="H22" s="55">
        <v>14.90946858986575</v>
      </c>
      <c r="I22" s="55">
        <v>15.22010695641077</v>
      </c>
      <c r="J22" s="55">
        <v>14.974723349803501</v>
      </c>
      <c r="K22" s="55">
        <v>15.902874969168201</v>
      </c>
      <c r="L22" s="55">
        <v>14.810046816872219</v>
      </c>
      <c r="M22" s="55">
        <v>14.69502305064718</v>
      </c>
      <c r="N22" s="55">
        <v>14.310188408742899</v>
      </c>
      <c r="O22" s="55">
        <v>14.26408524453654</v>
      </c>
      <c r="P22" s="55">
        <v>4.8806736232592414</v>
      </c>
      <c r="Q22" s="55">
        <v>4.8861121761340991</v>
      </c>
      <c r="R22" s="55">
        <v>4.9175445905027786</v>
      </c>
      <c r="S22" s="55">
        <v>2.069203907704507</v>
      </c>
      <c r="T22" s="55">
        <v>4.9396216409432796</v>
      </c>
      <c r="U22" s="55">
        <v>5.4926305893628529</v>
      </c>
      <c r="V22" s="55">
        <v>3.994435254976286</v>
      </c>
      <c r="W22" s="55">
        <v>2.9600899385413459</v>
      </c>
      <c r="DA22" s="101" t="s">
        <v>1007</v>
      </c>
    </row>
    <row r="23" spans="1:105" x14ac:dyDescent="0.25">
      <c r="A23" s="61" t="s">
        <v>171</v>
      </c>
      <c r="B23" s="55">
        <v>325.85743766067378</v>
      </c>
      <c r="C23" s="55">
        <v>295.78675838287182</v>
      </c>
      <c r="D23" s="55">
        <v>275.81926053254182</v>
      </c>
      <c r="E23" s="55">
        <v>286.61504729109498</v>
      </c>
      <c r="F23" s="55">
        <v>304.38521066164952</v>
      </c>
      <c r="G23" s="55">
        <v>64.536199484007611</v>
      </c>
      <c r="H23" s="55">
        <v>59.448753224496947</v>
      </c>
      <c r="I23" s="55">
        <v>70.363972485030786</v>
      </c>
      <c r="J23" s="55">
        <v>78.651934651580532</v>
      </c>
      <c r="K23" s="55">
        <v>56.558727429132936</v>
      </c>
      <c r="L23" s="55">
        <v>68.262166809887034</v>
      </c>
      <c r="M23" s="55">
        <v>74.209458297399649</v>
      </c>
      <c r="N23" s="55">
        <v>74.042218400611219</v>
      </c>
      <c r="O23" s="55">
        <v>97.616337059163072</v>
      </c>
      <c r="P23" s="55">
        <v>98.858297506280877</v>
      </c>
      <c r="Q23" s="55">
        <v>94.702407566464572</v>
      </c>
      <c r="R23" s="55">
        <v>100.0286328458936</v>
      </c>
      <c r="S23" s="55">
        <v>113.3562338777251</v>
      </c>
      <c r="T23" s="55">
        <v>107.2178847805224</v>
      </c>
      <c r="U23" s="55">
        <v>122.91006018899751</v>
      </c>
      <c r="V23" s="55">
        <v>115.9119518484879</v>
      </c>
      <c r="W23" s="55">
        <v>94.176956147623997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31.387402386454959</v>
      </c>
      <c r="C25" s="258">
        <v>30.9175284109233</v>
      </c>
      <c r="D25" s="258">
        <v>34.994194141104913</v>
      </c>
      <c r="E25" s="258">
        <v>34.165730599649763</v>
      </c>
      <c r="F25" s="258">
        <v>32.182780585845677</v>
      </c>
      <c r="G25" s="258">
        <v>37.315435839417482</v>
      </c>
      <c r="H25" s="258">
        <v>34.174052070937194</v>
      </c>
      <c r="I25" s="258">
        <v>36.864986730831767</v>
      </c>
      <c r="J25" s="258">
        <v>34.206221478926103</v>
      </c>
      <c r="K25" s="258">
        <v>32.769250496522979</v>
      </c>
      <c r="L25" s="258">
        <v>33.443288273708824</v>
      </c>
      <c r="M25" s="258">
        <v>32.115879966721067</v>
      </c>
      <c r="N25" s="258">
        <v>32.014581140918317</v>
      </c>
      <c r="O25" s="258">
        <v>33.726102946268121</v>
      </c>
      <c r="P25" s="258">
        <v>32.665797167588593</v>
      </c>
      <c r="Q25" s="258">
        <v>30.769035182876429</v>
      </c>
      <c r="R25" s="258">
        <v>31.622408723648039</v>
      </c>
      <c r="S25" s="258">
        <v>30.104231929277329</v>
      </c>
      <c r="T25" s="258">
        <v>28.716743746599398</v>
      </c>
      <c r="U25" s="258">
        <v>30.070466401866469</v>
      </c>
      <c r="V25" s="258">
        <v>27.686228219740759</v>
      </c>
      <c r="W25" s="258">
        <v>27.563606812358461</v>
      </c>
      <c r="DA25" s="273" t="s">
        <v>1010</v>
      </c>
    </row>
    <row r="26" spans="1:105" x14ac:dyDescent="0.25">
      <c r="A26" s="257" t="s">
        <v>177</v>
      </c>
      <c r="B26" s="258">
        <v>16.34066410204538</v>
      </c>
      <c r="C26" s="258">
        <v>17.44084417020802</v>
      </c>
      <c r="D26" s="258">
        <v>18.14286082976345</v>
      </c>
      <c r="E26" s="258">
        <v>17.233348285107731</v>
      </c>
      <c r="F26" s="258">
        <v>17.012968383448481</v>
      </c>
      <c r="G26" s="258">
        <v>21.11304595047347</v>
      </c>
      <c r="H26" s="258">
        <v>24.35199752287328</v>
      </c>
      <c r="I26" s="258">
        <v>25.97674272839453</v>
      </c>
      <c r="J26" s="258">
        <v>21.127590382363699</v>
      </c>
      <c r="K26" s="258">
        <v>23.032964574221879</v>
      </c>
      <c r="L26" s="258">
        <v>17.823116998199549</v>
      </c>
      <c r="M26" s="258">
        <v>16.9818783731805</v>
      </c>
      <c r="N26" s="258">
        <v>13.319560864016671</v>
      </c>
      <c r="O26" s="258">
        <v>17.64787825986782</v>
      </c>
      <c r="P26" s="258">
        <v>16.974870824590209</v>
      </c>
      <c r="Q26" s="258">
        <v>17.30182869971404</v>
      </c>
      <c r="R26" s="258">
        <v>17.728140510913121</v>
      </c>
      <c r="S26" s="258">
        <v>15.96189672438231</v>
      </c>
      <c r="T26" s="258">
        <v>16.2408487656731</v>
      </c>
      <c r="U26" s="258">
        <v>14.73492589514902</v>
      </c>
      <c r="V26" s="258">
        <v>14.78250464679798</v>
      </c>
      <c r="W26" s="258">
        <v>16.106207500456939</v>
      </c>
      <c r="DA26" s="273" t="s">
        <v>1011</v>
      </c>
    </row>
    <row r="27" spans="1:105" x14ac:dyDescent="0.25">
      <c r="A27" s="129" t="s">
        <v>33</v>
      </c>
      <c r="B27" s="259">
        <v>23.693962947965812</v>
      </c>
      <c r="C27" s="259">
        <v>25.289224046801628</v>
      </c>
      <c r="D27" s="259">
        <v>26.307148203157009</v>
      </c>
      <c r="E27" s="259">
        <v>24.98835501340622</v>
      </c>
      <c r="F27" s="259">
        <v>24.668804156000299</v>
      </c>
      <c r="G27" s="259">
        <v>30.61391662818653</v>
      </c>
      <c r="H27" s="259">
        <v>35.310396408166262</v>
      </c>
      <c r="I27" s="259">
        <v>37.666276956172076</v>
      </c>
      <c r="J27" s="259">
        <v>30.635006054427361</v>
      </c>
      <c r="K27" s="259">
        <v>33.397798632621708</v>
      </c>
      <c r="L27" s="259">
        <v>25.84351964738935</v>
      </c>
      <c r="M27" s="259">
        <v>24.623723641111731</v>
      </c>
      <c r="N27" s="259">
        <v>19.313363252824171</v>
      </c>
      <c r="O27" s="259">
        <v>25.589423476808339</v>
      </c>
      <c r="P27" s="259">
        <v>24.613562695655801</v>
      </c>
      <c r="Q27" s="259">
        <v>25.087651614585361</v>
      </c>
      <c r="R27" s="259">
        <v>25.70580374082402</v>
      </c>
      <c r="S27" s="259">
        <v>23.144750250354338</v>
      </c>
      <c r="T27" s="259">
        <v>23.549230710225999</v>
      </c>
      <c r="U27" s="259">
        <v>21.365642547966079</v>
      </c>
      <c r="V27" s="259">
        <v>21.434631737857071</v>
      </c>
      <c r="W27" s="259">
        <v>23.35400087566256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0.99999999999999989</v>
      </c>
      <c r="D31" s="236">
        <f t="shared" si="6"/>
        <v>1.0000000000000002</v>
      </c>
      <c r="E31" s="236">
        <f t="shared" si="6"/>
        <v>0.99999999999999989</v>
      </c>
      <c r="F31" s="236">
        <f t="shared" si="6"/>
        <v>1.0000000000000002</v>
      </c>
      <c r="G31" s="236">
        <f t="shared" si="6"/>
        <v>1</v>
      </c>
      <c r="H31" s="236">
        <f t="shared" si="6"/>
        <v>1</v>
      </c>
      <c r="I31" s="236">
        <f t="shared" si="6"/>
        <v>0.99999999999999989</v>
      </c>
      <c r="J31" s="236">
        <f t="shared" si="6"/>
        <v>1</v>
      </c>
      <c r="K31" s="236">
        <f t="shared" si="6"/>
        <v>1</v>
      </c>
      <c r="L31" s="236">
        <f t="shared" si="6"/>
        <v>0.99999999999999989</v>
      </c>
      <c r="M31" s="236">
        <f t="shared" si="6"/>
        <v>1</v>
      </c>
      <c r="N31" s="236">
        <f t="shared" si="6"/>
        <v>1.0000000000000002</v>
      </c>
      <c r="O31" s="236">
        <f t="shared" si="6"/>
        <v>0.99999999999999989</v>
      </c>
      <c r="P31" s="236">
        <f t="shared" si="6"/>
        <v>1</v>
      </c>
      <c r="Q31" s="236">
        <f t="shared" si="6"/>
        <v>0.99999999999999978</v>
      </c>
      <c r="R31" s="236">
        <f t="shared" ref="R31:W31" si="7">SUM(R32:R40)</f>
        <v>1</v>
      </c>
      <c r="S31" s="236">
        <f t="shared" si="7"/>
        <v>0.99999999999999978</v>
      </c>
      <c r="T31" s="236">
        <f t="shared" si="7"/>
        <v>0.99999999999999989</v>
      </c>
      <c r="U31" s="236">
        <f t="shared" si="7"/>
        <v>1</v>
      </c>
      <c r="V31" s="236">
        <f t="shared" si="7"/>
        <v>1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2.0178110423261182E-2</v>
      </c>
      <c r="C32" s="245">
        <f t="shared" si="8"/>
        <v>2.2297199046267285E-2</v>
      </c>
      <c r="D32" s="245">
        <f t="shared" si="8"/>
        <v>2.1380225967162134E-2</v>
      </c>
      <c r="E32" s="245">
        <f t="shared" si="8"/>
        <v>2.0185759467929099E-2</v>
      </c>
      <c r="F32" s="245">
        <f t="shared" si="8"/>
        <v>2.064108337795735E-2</v>
      </c>
      <c r="G32" s="245">
        <f t="shared" si="8"/>
        <v>2.692214890225406E-2</v>
      </c>
      <c r="H32" s="245">
        <f t="shared" si="8"/>
        <v>3.2359587530213244E-2</v>
      </c>
      <c r="I32" s="245">
        <f t="shared" si="8"/>
        <v>3.1967258551763564E-2</v>
      </c>
      <c r="J32" s="245">
        <f t="shared" si="8"/>
        <v>2.8522435122018505E-2</v>
      </c>
      <c r="K32" s="245">
        <f t="shared" si="8"/>
        <v>3.2065555979491865E-2</v>
      </c>
      <c r="L32" s="245">
        <f t="shared" si="8"/>
        <v>2.5399903990597564E-2</v>
      </c>
      <c r="M32" s="245">
        <f t="shared" si="8"/>
        <v>2.5126331284639706E-2</v>
      </c>
      <c r="N32" s="245">
        <f t="shared" si="8"/>
        <v>2.0375170593602093E-2</v>
      </c>
      <c r="O32" s="245">
        <f t="shared" si="8"/>
        <v>2.4582155595286762E-2</v>
      </c>
      <c r="P32" s="245">
        <f t="shared" si="8"/>
        <v>2.4546779940989104E-2</v>
      </c>
      <c r="Q32" s="245">
        <f t="shared" si="8"/>
        <v>2.6199972341458842E-2</v>
      </c>
      <c r="R32" s="245">
        <f t="shared" si="8"/>
        <v>2.606597943275105E-2</v>
      </c>
      <c r="S32" s="245">
        <f t="shared" si="8"/>
        <v>2.4508625548306753E-2</v>
      </c>
      <c r="T32" s="245">
        <f t="shared" si="8"/>
        <v>2.595766389836579E-2</v>
      </c>
      <c r="U32" s="245">
        <f t="shared" si="8"/>
        <v>2.2836367970536661E-2</v>
      </c>
      <c r="V32" s="245">
        <f t="shared" si="8"/>
        <v>2.4534650669472031E-2</v>
      </c>
      <c r="W32" s="245">
        <f t="shared" si="8"/>
        <v>2.7083087763820249E-2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1.311577177511976E-2</v>
      </c>
      <c r="C33" s="246">
        <f t="shared" si="9"/>
        <v>1.4493179380073731E-2</v>
      </c>
      <c r="D33" s="246">
        <f t="shared" si="9"/>
        <v>1.3897146878655385E-2</v>
      </c>
      <c r="E33" s="246">
        <f t="shared" si="9"/>
        <v>1.3120743654153919E-2</v>
      </c>
      <c r="F33" s="246">
        <f t="shared" si="9"/>
        <v>1.3416704195672275E-2</v>
      </c>
      <c r="G33" s="246">
        <f t="shared" si="9"/>
        <v>1.7499396786465133E-2</v>
      </c>
      <c r="H33" s="246">
        <f t="shared" si="9"/>
        <v>2.103373189463861E-2</v>
      </c>
      <c r="I33" s="246">
        <f t="shared" si="9"/>
        <v>2.0778718058646308E-2</v>
      </c>
      <c r="J33" s="246">
        <f t="shared" si="9"/>
        <v>1.8539582829312021E-2</v>
      </c>
      <c r="K33" s="246">
        <f t="shared" si="9"/>
        <v>2.0842611386669711E-2</v>
      </c>
      <c r="L33" s="246">
        <f t="shared" si="9"/>
        <v>1.650993759388841E-2</v>
      </c>
      <c r="M33" s="246">
        <f t="shared" si="9"/>
        <v>1.6332115335015801E-2</v>
      </c>
      <c r="N33" s="246">
        <f t="shared" si="9"/>
        <v>1.3243860885841357E-2</v>
      </c>
      <c r="O33" s="246">
        <f t="shared" si="9"/>
        <v>1.5978401136936392E-2</v>
      </c>
      <c r="P33" s="246">
        <f t="shared" si="9"/>
        <v>1.595540696164291E-2</v>
      </c>
      <c r="Q33" s="246">
        <f t="shared" si="9"/>
        <v>1.7029982021948237E-2</v>
      </c>
      <c r="R33" s="246">
        <f t="shared" si="9"/>
        <v>1.6942886631288168E-2</v>
      </c>
      <c r="S33" s="246">
        <f t="shared" si="9"/>
        <v>1.5930606606399385E-2</v>
      </c>
      <c r="T33" s="246">
        <f t="shared" si="9"/>
        <v>1.6872481533937757E-2</v>
      </c>
      <c r="U33" s="246">
        <f t="shared" si="9"/>
        <v>1.4843639180848828E-2</v>
      </c>
      <c r="V33" s="246">
        <f t="shared" si="9"/>
        <v>1.5947522935156822E-2</v>
      </c>
      <c r="W33" s="246">
        <f t="shared" si="9"/>
        <v>1.7604007046483162E-2</v>
      </c>
      <c r="DA33" s="277"/>
    </row>
    <row r="34" spans="1:105" x14ac:dyDescent="0.25">
      <c r="A34" s="241" t="s">
        <v>123</v>
      </c>
      <c r="B34" s="246">
        <f t="shared" ref="B34:W34" si="10">IF(B$8=0,0,B$8/B$5)</f>
        <v>1.8160299380935059E-2</v>
      </c>
      <c r="C34" s="246">
        <f t="shared" si="10"/>
        <v>2.006747914164056E-2</v>
      </c>
      <c r="D34" s="246">
        <f t="shared" si="10"/>
        <v>1.9242203370445927E-2</v>
      </c>
      <c r="E34" s="246">
        <f t="shared" si="10"/>
        <v>1.816718352113619E-2</v>
      </c>
      <c r="F34" s="246">
        <f t="shared" si="10"/>
        <v>1.8576975040161613E-2</v>
      </c>
      <c r="G34" s="246">
        <f t="shared" si="10"/>
        <v>2.422993401202865E-2</v>
      </c>
      <c r="H34" s="246">
        <f t="shared" si="10"/>
        <v>2.9123628777191921E-2</v>
      </c>
      <c r="I34" s="246">
        <f t="shared" si="10"/>
        <v>2.8770532696587199E-2</v>
      </c>
      <c r="J34" s="246">
        <f t="shared" si="10"/>
        <v>2.5670191609816654E-2</v>
      </c>
      <c r="K34" s="246">
        <f t="shared" si="10"/>
        <v>2.8859000381542675E-2</v>
      </c>
      <c r="L34" s="246">
        <f t="shared" si="10"/>
        <v>2.28599135915378E-2</v>
      </c>
      <c r="M34" s="246">
        <f t="shared" si="10"/>
        <v>2.2613698156175737E-2</v>
      </c>
      <c r="N34" s="246">
        <f t="shared" si="10"/>
        <v>1.8337653534241875E-2</v>
      </c>
      <c r="O34" s="246">
        <f t="shared" si="10"/>
        <v>2.2123940035758089E-2</v>
      </c>
      <c r="P34" s="246">
        <f t="shared" si="10"/>
        <v>2.2092101946890198E-2</v>
      </c>
      <c r="Q34" s="246">
        <f t="shared" si="10"/>
        <v>2.3579975107312964E-2</v>
      </c>
      <c r="R34" s="246">
        <f t="shared" si="10"/>
        <v>2.345938148947593E-2</v>
      </c>
      <c r="S34" s="246">
        <f t="shared" si="10"/>
        <v>2.2057762993476067E-2</v>
      </c>
      <c r="T34" s="246">
        <f t="shared" si="10"/>
        <v>2.3361897508529211E-2</v>
      </c>
      <c r="U34" s="246">
        <f t="shared" si="10"/>
        <v>2.0552731173482996E-2</v>
      </c>
      <c r="V34" s="246">
        <f t="shared" si="10"/>
        <v>2.2081185602524825E-2</v>
      </c>
      <c r="W34" s="246">
        <f t="shared" si="10"/>
        <v>2.4374778987438218E-2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0.15661249299236377</v>
      </c>
      <c r="C35" s="247">
        <f t="shared" si="11"/>
        <v>0.16155517953532536</v>
      </c>
      <c r="D35" s="247">
        <f t="shared" si="11"/>
        <v>0.16503782879218795</v>
      </c>
      <c r="E35" s="247">
        <f t="shared" si="11"/>
        <v>0.1601596901181237</v>
      </c>
      <c r="F35" s="247">
        <f t="shared" si="11"/>
        <v>0.15793267228776037</v>
      </c>
      <c r="G35" s="247">
        <f t="shared" si="11"/>
        <v>0.19134391600026565</v>
      </c>
      <c r="H35" s="247">
        <f t="shared" si="11"/>
        <v>0.19483304016143072</v>
      </c>
      <c r="I35" s="247">
        <f t="shared" si="11"/>
        <v>0.19356577057629037</v>
      </c>
      <c r="J35" s="247">
        <f t="shared" si="11"/>
        <v>0.18999935011391805</v>
      </c>
      <c r="K35" s="247">
        <f t="shared" si="11"/>
        <v>0.19506273729145482</v>
      </c>
      <c r="L35" s="247">
        <f t="shared" si="11"/>
        <v>0.19100972979109532</v>
      </c>
      <c r="M35" s="247">
        <f t="shared" si="11"/>
        <v>0.19059391504632825</v>
      </c>
      <c r="N35" s="247">
        <f t="shared" si="11"/>
        <v>0.19309738050971459</v>
      </c>
      <c r="O35" s="247">
        <f t="shared" si="11"/>
        <v>0.18793056545203499</v>
      </c>
      <c r="P35" s="247">
        <f t="shared" si="11"/>
        <v>0.18672556311169125</v>
      </c>
      <c r="Q35" s="247">
        <f t="shared" si="11"/>
        <v>0.18665485745265062</v>
      </c>
      <c r="R35" s="247">
        <f t="shared" si="11"/>
        <v>0.18603190825953006</v>
      </c>
      <c r="S35" s="247">
        <f t="shared" si="11"/>
        <v>0.18285061184401305</v>
      </c>
      <c r="T35" s="247">
        <f t="shared" si="11"/>
        <v>0.18453459901190433</v>
      </c>
      <c r="U35" s="247">
        <f t="shared" si="11"/>
        <v>0.18371528621886046</v>
      </c>
      <c r="V35" s="247">
        <f t="shared" si="11"/>
        <v>0.18300494158542485</v>
      </c>
      <c r="W35" s="247">
        <f t="shared" si="11"/>
        <v>0.18714604560898562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0.20170048501827847</v>
      </c>
      <c r="C36" s="260">
        <f t="shared" si="12"/>
        <v>0.20569718739769796</v>
      </c>
      <c r="D36" s="260">
        <f t="shared" si="12"/>
        <v>0.21460670889574185</v>
      </c>
      <c r="E36" s="260">
        <f t="shared" si="12"/>
        <v>0.20826050478779135</v>
      </c>
      <c r="F36" s="260">
        <f t="shared" si="12"/>
        <v>0.20319673877306971</v>
      </c>
      <c r="G36" s="260">
        <f t="shared" si="12"/>
        <v>0.24762137074831111</v>
      </c>
      <c r="H36" s="260">
        <f t="shared" si="12"/>
        <v>0.23632280839278721</v>
      </c>
      <c r="I36" s="260">
        <f t="shared" si="12"/>
        <v>0.23608889432298061</v>
      </c>
      <c r="J36" s="260">
        <f t="shared" si="12"/>
        <v>0.24031590329947689</v>
      </c>
      <c r="K36" s="260">
        <f t="shared" si="12"/>
        <v>0.23740847533830128</v>
      </c>
      <c r="L36" s="260">
        <f t="shared" si="12"/>
        <v>0.24802654594851234</v>
      </c>
      <c r="M36" s="260">
        <f t="shared" si="12"/>
        <v>0.24728852115746902</v>
      </c>
      <c r="N36" s="260">
        <f t="shared" si="12"/>
        <v>0.25485898368308402</v>
      </c>
      <c r="O36" s="260">
        <f t="shared" si="12"/>
        <v>0.2444749698366826</v>
      </c>
      <c r="P36" s="260">
        <f t="shared" si="12"/>
        <v>0.24582275865317793</v>
      </c>
      <c r="Q36" s="260">
        <f t="shared" si="12"/>
        <v>0.24247305214807946</v>
      </c>
      <c r="R36" s="260">
        <f t="shared" si="12"/>
        <v>0.24196167737766067</v>
      </c>
      <c r="S36" s="260">
        <f t="shared" si="12"/>
        <v>0.24054857421798884</v>
      </c>
      <c r="T36" s="260">
        <f t="shared" si="12"/>
        <v>0.23885418292400382</v>
      </c>
      <c r="U36" s="260">
        <f t="shared" si="12"/>
        <v>0.2425269562461444</v>
      </c>
      <c r="V36" s="260">
        <f t="shared" si="12"/>
        <v>0.23913130005303554</v>
      </c>
      <c r="W36" s="260">
        <f t="shared" si="12"/>
        <v>0.24120244688610709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0.50203804076037306</v>
      </c>
      <c r="C37" s="260">
        <f t="shared" si="13"/>
        <v>0.48173520905333661</v>
      </c>
      <c r="D37" s="260">
        <f t="shared" si="13"/>
        <v>0.47221586488860307</v>
      </c>
      <c r="E37" s="260">
        <f t="shared" si="13"/>
        <v>0.49063201617364666</v>
      </c>
      <c r="F37" s="260">
        <f t="shared" si="13"/>
        <v>0.4966192253083539</v>
      </c>
      <c r="G37" s="260">
        <f t="shared" si="13"/>
        <v>0.37884145874240555</v>
      </c>
      <c r="H37" s="260">
        <f t="shared" si="13"/>
        <v>0.36163481671269621</v>
      </c>
      <c r="I37" s="260">
        <f t="shared" si="13"/>
        <v>0.36514259379778036</v>
      </c>
      <c r="J37" s="260">
        <f t="shared" si="13"/>
        <v>0.38089386743081688</v>
      </c>
      <c r="K37" s="260">
        <f t="shared" si="13"/>
        <v>0.36158099043953446</v>
      </c>
      <c r="L37" s="260">
        <f t="shared" si="13"/>
        <v>0.38630383651831951</v>
      </c>
      <c r="M37" s="260">
        <f t="shared" si="13"/>
        <v>0.38896735719801412</v>
      </c>
      <c r="N37" s="260">
        <f t="shared" si="13"/>
        <v>0.40119450519974964</v>
      </c>
      <c r="O37" s="260">
        <f t="shared" si="13"/>
        <v>0.39770578389351108</v>
      </c>
      <c r="P37" s="260">
        <f t="shared" si="13"/>
        <v>0.39748088683565663</v>
      </c>
      <c r="Q37" s="260">
        <f t="shared" si="13"/>
        <v>0.39327901101793505</v>
      </c>
      <c r="R37" s="260">
        <f t="shared" si="13"/>
        <v>0.39518156444880653</v>
      </c>
      <c r="S37" s="260">
        <f t="shared" si="13"/>
        <v>0.40783427299476083</v>
      </c>
      <c r="T37" s="260">
        <f t="shared" si="13"/>
        <v>0.40092507677829015</v>
      </c>
      <c r="U37" s="260">
        <f t="shared" si="13"/>
        <v>0.4129723418866062</v>
      </c>
      <c r="V37" s="260">
        <f t="shared" si="13"/>
        <v>0.40923943285444536</v>
      </c>
      <c r="W37" s="260">
        <f t="shared" si="13"/>
        <v>0.3898870084017288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3.8758429112678718E-2</v>
      </c>
      <c r="C38" s="260">
        <f t="shared" si="14"/>
        <v>3.9526428782303509E-2</v>
      </c>
      <c r="D38" s="260">
        <f t="shared" si="14"/>
        <v>4.1238467587656584E-2</v>
      </c>
      <c r="E38" s="260">
        <f t="shared" si="14"/>
        <v>4.001899158079273E-2</v>
      </c>
      <c r="F38" s="260">
        <f t="shared" si="14"/>
        <v>3.9045946741029479E-2</v>
      </c>
      <c r="G38" s="260">
        <f t="shared" si="14"/>
        <v>4.7582509997747449E-2</v>
      </c>
      <c r="H38" s="260">
        <f t="shared" si="14"/>
        <v>4.5411397082019647E-2</v>
      </c>
      <c r="I38" s="260">
        <f t="shared" si="14"/>
        <v>4.5366448544130709E-2</v>
      </c>
      <c r="J38" s="260">
        <f t="shared" si="14"/>
        <v>4.6178703545695733E-2</v>
      </c>
      <c r="K38" s="260">
        <f t="shared" si="14"/>
        <v>4.5620017033250138E-2</v>
      </c>
      <c r="L38" s="260">
        <f t="shared" si="14"/>
        <v>4.7660367789084911E-2</v>
      </c>
      <c r="M38" s="260">
        <f t="shared" si="14"/>
        <v>4.7518550174990119E-2</v>
      </c>
      <c r="N38" s="260">
        <f t="shared" si="14"/>
        <v>4.897327763944144E-2</v>
      </c>
      <c r="O38" s="260">
        <f t="shared" si="14"/>
        <v>4.6977902841337474E-2</v>
      </c>
      <c r="P38" s="260">
        <f t="shared" si="14"/>
        <v>4.7236891694528674E-2</v>
      </c>
      <c r="Q38" s="260">
        <f t="shared" si="14"/>
        <v>4.6593217674040448E-2</v>
      </c>
      <c r="R38" s="260">
        <f t="shared" si="14"/>
        <v>4.6494952750247669E-2</v>
      </c>
      <c r="S38" s="260">
        <f t="shared" si="14"/>
        <v>4.6223413201703319E-2</v>
      </c>
      <c r="T38" s="260">
        <f t="shared" si="14"/>
        <v>4.5897821793972657E-2</v>
      </c>
      <c r="U38" s="260">
        <f t="shared" si="14"/>
        <v>4.6603575795705572E-2</v>
      </c>
      <c r="V38" s="260">
        <f t="shared" si="14"/>
        <v>4.5951072159734062E-2</v>
      </c>
      <c r="W38" s="260">
        <f t="shared" si="14"/>
        <v>4.6349060284077377E-2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2.0178110423261182E-2</v>
      </c>
      <c r="C39" s="260">
        <f t="shared" si="15"/>
        <v>2.2297199046267285E-2</v>
      </c>
      <c r="D39" s="260">
        <f t="shared" si="15"/>
        <v>2.1380225967162134E-2</v>
      </c>
      <c r="E39" s="260">
        <f t="shared" si="15"/>
        <v>2.0185759467929099E-2</v>
      </c>
      <c r="F39" s="260">
        <f t="shared" si="15"/>
        <v>2.064108337795735E-2</v>
      </c>
      <c r="G39" s="260">
        <f t="shared" si="15"/>
        <v>2.692214890225406E-2</v>
      </c>
      <c r="H39" s="260">
        <f t="shared" si="15"/>
        <v>3.2359587530213244E-2</v>
      </c>
      <c r="I39" s="260">
        <f t="shared" si="15"/>
        <v>3.1967258551763564E-2</v>
      </c>
      <c r="J39" s="260">
        <f t="shared" si="15"/>
        <v>2.8522435122018505E-2</v>
      </c>
      <c r="K39" s="260">
        <f t="shared" si="15"/>
        <v>3.2065555979491865E-2</v>
      </c>
      <c r="L39" s="260">
        <f t="shared" si="15"/>
        <v>2.5399903990597564E-2</v>
      </c>
      <c r="M39" s="260">
        <f t="shared" si="15"/>
        <v>2.5126331284639706E-2</v>
      </c>
      <c r="N39" s="260">
        <f t="shared" si="15"/>
        <v>2.0375170593602093E-2</v>
      </c>
      <c r="O39" s="260">
        <f t="shared" si="15"/>
        <v>2.4582155595286762E-2</v>
      </c>
      <c r="P39" s="260">
        <f t="shared" si="15"/>
        <v>2.4546779940989104E-2</v>
      </c>
      <c r="Q39" s="260">
        <f t="shared" si="15"/>
        <v>2.6199972341458842E-2</v>
      </c>
      <c r="R39" s="260">
        <f t="shared" si="15"/>
        <v>2.606597943275105E-2</v>
      </c>
      <c r="S39" s="260">
        <f t="shared" si="15"/>
        <v>2.4508625548306753E-2</v>
      </c>
      <c r="T39" s="260">
        <f t="shared" si="15"/>
        <v>2.595766389836579E-2</v>
      </c>
      <c r="U39" s="260">
        <f t="shared" si="15"/>
        <v>2.2836367970536661E-2</v>
      </c>
      <c r="V39" s="260">
        <f t="shared" si="15"/>
        <v>2.4534650669472031E-2</v>
      </c>
      <c r="W39" s="260">
        <f t="shared" si="15"/>
        <v>2.7083087763820249E-2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2.9258260113728729E-2</v>
      </c>
      <c r="C40" s="262">
        <f t="shared" si="16"/>
        <v>3.2330938617087565E-2</v>
      </c>
      <c r="D40" s="262">
        <f t="shared" si="16"/>
        <v>3.1001327652385103E-2</v>
      </c>
      <c r="E40" s="262">
        <f t="shared" si="16"/>
        <v>2.9269351228497206E-2</v>
      </c>
      <c r="F40" s="262">
        <f t="shared" si="16"/>
        <v>2.992957089803816E-2</v>
      </c>
      <c r="G40" s="262">
        <f t="shared" si="16"/>
        <v>3.9037115908268388E-2</v>
      </c>
      <c r="H40" s="262">
        <f t="shared" si="16"/>
        <v>4.6921401918809218E-2</v>
      </c>
      <c r="I40" s="262">
        <f t="shared" si="16"/>
        <v>4.6352524900057174E-2</v>
      </c>
      <c r="J40" s="262">
        <f t="shared" si="16"/>
        <v>4.135753092692683E-2</v>
      </c>
      <c r="K40" s="262">
        <f t="shared" si="16"/>
        <v>4.6495056170263178E-2</v>
      </c>
      <c r="L40" s="262">
        <f t="shared" si="16"/>
        <v>3.6829860786366478E-2</v>
      </c>
      <c r="M40" s="262">
        <f t="shared" si="16"/>
        <v>3.6433180362727587E-2</v>
      </c>
      <c r="N40" s="262">
        <f t="shared" si="16"/>
        <v>2.954399736072303E-2</v>
      </c>
      <c r="O40" s="262">
        <f t="shared" si="16"/>
        <v>3.5644125613165809E-2</v>
      </c>
      <c r="P40" s="262">
        <f t="shared" si="16"/>
        <v>3.5592830914434194E-2</v>
      </c>
      <c r="Q40" s="262">
        <f t="shared" si="16"/>
        <v>3.7989959895115326E-2</v>
      </c>
      <c r="R40" s="262">
        <f t="shared" si="16"/>
        <v>3.7795670177489013E-2</v>
      </c>
      <c r="S40" s="262">
        <f t="shared" si="16"/>
        <v>3.5537507045044776E-2</v>
      </c>
      <c r="T40" s="262">
        <f t="shared" si="16"/>
        <v>3.7638612652630403E-2</v>
      </c>
      <c r="U40" s="262">
        <f t="shared" si="16"/>
        <v>3.3112733557278153E-2</v>
      </c>
      <c r="V40" s="262">
        <f t="shared" si="16"/>
        <v>3.5575243470734444E-2</v>
      </c>
      <c r="W40" s="262">
        <f t="shared" si="16"/>
        <v>3.9270477257539363E-2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126.45888445910974</v>
      </c>
      <c r="C44" s="237">
        <f t="shared" si="17"/>
        <v>122.34803499436492</v>
      </c>
      <c r="D44" s="237">
        <f t="shared" si="17"/>
        <v>127.81056238438653</v>
      </c>
      <c r="E44" s="237">
        <f t="shared" si="17"/>
        <v>135.43288032890183</v>
      </c>
      <c r="F44" s="237">
        <f t="shared" si="17"/>
        <v>134.84363036747558</v>
      </c>
      <c r="G44" s="237">
        <f t="shared" si="17"/>
        <v>154.42655608236757</v>
      </c>
      <c r="H44" s="237">
        <f t="shared" si="17"/>
        <v>146.93020171673029</v>
      </c>
      <c r="I44" s="237">
        <f t="shared" si="17"/>
        <v>137.2385115226293</v>
      </c>
      <c r="J44" s="237">
        <f t="shared" si="17"/>
        <v>139.32723127138394</v>
      </c>
      <c r="K44" s="237">
        <f t="shared" si="17"/>
        <v>156.36023356757096</v>
      </c>
      <c r="L44" s="237">
        <f t="shared" si="17"/>
        <v>144.58585940593417</v>
      </c>
      <c r="M44" s="237">
        <f t="shared" si="17"/>
        <v>132.8002659379103</v>
      </c>
      <c r="N44" s="237">
        <f t="shared" si="17"/>
        <v>135.04301399101348</v>
      </c>
      <c r="O44" s="237">
        <f t="shared" si="17"/>
        <v>132.95020410976801</v>
      </c>
      <c r="P44" s="237">
        <f t="shared" si="17"/>
        <v>130.1593966411773</v>
      </c>
      <c r="Q44" s="237">
        <f t="shared" si="17"/>
        <v>132.918169076748</v>
      </c>
      <c r="R44" s="237">
        <f t="shared" si="17"/>
        <v>135.38540863538168</v>
      </c>
      <c r="S44" s="237">
        <f t="shared" si="17"/>
        <v>124.90211009173746</v>
      </c>
      <c r="T44" s="237">
        <f t="shared" si="17"/>
        <v>141.27985612939972</v>
      </c>
      <c r="U44" s="237">
        <f t="shared" si="17"/>
        <v>142.0119845958406</v>
      </c>
      <c r="V44" s="237">
        <f t="shared" si="17"/>
        <v>148.62601044661247</v>
      </c>
      <c r="W44" s="237">
        <f t="shared" si="17"/>
        <v>142.54014154785793</v>
      </c>
      <c r="DA44" s="281"/>
    </row>
    <row r="45" spans="1:105" x14ac:dyDescent="0.25">
      <c r="A45" s="239" t="s">
        <v>125</v>
      </c>
      <c r="B45" s="248">
        <f>IF(B$6=0,0,B$6/AGR!B$5*1000)</f>
        <v>2.5517013346183437</v>
      </c>
      <c r="C45" s="248">
        <f>IF(C$6=0,0,C$6/AGR!C$5*1000)</f>
        <v>2.7280184891890307</v>
      </c>
      <c r="D45" s="248">
        <f>IF(D$6=0,0,D$6/AGR!D$5*1000)</f>
        <v>2.7326187047682566</v>
      </c>
      <c r="E45" s="248">
        <f>IF(E$6=0,0,E$6/AGR!E$5*1000)</f>
        <v>2.7338155463680387</v>
      </c>
      <c r="F45" s="248">
        <f>IF(F$6=0,0,F$6/AGR!F$5*1000)</f>
        <v>2.7833186174015245</v>
      </c>
      <c r="G45" s="248">
        <f>IF(G$6=0,0,G$6/AGR!G$5*1000)</f>
        <v>4.1574947373117856</v>
      </c>
      <c r="H45" s="248">
        <f>IF(H$6=0,0,H$6/AGR!H$5*1000)</f>
        <v>4.7546007232844225</v>
      </c>
      <c r="I45" s="248">
        <f>IF(I$6=0,0,I$6/AGR!I$5*1000)</f>
        <v>4.3871389811030745</v>
      </c>
      <c r="J45" s="248">
        <f>IF(J$6=0,0,J$6/AGR!J$5*1000)</f>
        <v>3.9739519146685169</v>
      </c>
      <c r="K45" s="248">
        <f>IF(K$6=0,0,K$6/AGR!K$5*1000)</f>
        <v>5.0137778224273699</v>
      </c>
      <c r="L45" s="248">
        <f>IF(L$6=0,0,L$6/AGR!L$5*1000)</f>
        <v>3.6724669473087657</v>
      </c>
      <c r="M45" s="248">
        <f>IF(M$6=0,0,M$6/AGR!M$5*1000)</f>
        <v>3.3367834766441877</v>
      </c>
      <c r="N45" s="248">
        <f>IF(N$6=0,0,N$6/AGR!N$5*1000)</f>
        <v>2.7515244475410938</v>
      </c>
      <c r="O45" s="248">
        <f>IF(O$6=0,0,O$6/AGR!O$5*1000)</f>
        <v>3.2682026038514502</v>
      </c>
      <c r="P45" s="248">
        <f>IF(P$6=0,0,P$6/AGR!P$5*1000)</f>
        <v>3.1949940666028955</v>
      </c>
      <c r="Q45" s="248">
        <f>IF(Q$6=0,0,Q$6/AGR!Q$5*1000)</f>
        <v>3.4824523534881484</v>
      </c>
      <c r="R45" s="248">
        <f>IF(R$6=0,0,R$6/AGR!R$5*1000)</f>
        <v>3.5289532769844545</v>
      </c>
      <c r="S45" s="248">
        <f>IF(S$6=0,0,S$6/AGR!S$5*1000)</f>
        <v>3.0611790464317803</v>
      </c>
      <c r="T45" s="248">
        <f>IF(T$6=0,0,T$6/AGR!T$5*1000)</f>
        <v>3.6672950210164319</v>
      </c>
      <c r="U45" s="248">
        <f>IF(U$6=0,0,U$6/AGR!U$5*1000)</f>
        <v>3.2430379364567998</v>
      </c>
      <c r="V45" s="248">
        <f>IF(V$6=0,0,V$6/AGR!V$5*1000)</f>
        <v>3.6464872467049378</v>
      </c>
      <c r="W45" s="248">
        <f>IF(W$6=0,0,W$6/AGR!W$5*1000)</f>
        <v>3.860427163407997</v>
      </c>
      <c r="DA45" s="282"/>
    </row>
    <row r="46" spans="1:105" x14ac:dyDescent="0.25">
      <c r="A46" s="241" t="s">
        <v>124</v>
      </c>
      <c r="B46" s="249">
        <f>IF(B$7=0,0,B$7/AGR!B$5*1000)</f>
        <v>1.6586058675019226</v>
      </c>
      <c r="C46" s="249">
        <f>IF(C$7=0,0,C$7/AGR!C$5*1000)</f>
        <v>1.7732120179728692</v>
      </c>
      <c r="D46" s="249">
        <f>IF(D$7=0,0,D$7/AGR!D$5*1000)</f>
        <v>1.7762021580993668</v>
      </c>
      <c r="E46" s="249">
        <f>IF(E$7=0,0,E$7/AGR!E$5*1000)</f>
        <v>1.7769801051392258</v>
      </c>
      <c r="F46" s="249">
        <f>IF(F$7=0,0,F$7/AGR!F$5*1000)</f>
        <v>1.8091571013109904</v>
      </c>
      <c r="G46" s="249">
        <f>IF(G$7=0,0,G$7/AGR!G$5*1000)</f>
        <v>2.7023715792526599</v>
      </c>
      <c r="H46" s="249">
        <f>IF(H$7=0,0,H$7/AGR!H$5*1000)</f>
        <v>3.0904904701348741</v>
      </c>
      <c r="I46" s="249">
        <f>IF(I$7=0,0,I$7/AGR!I$5*1000)</f>
        <v>2.8516403377169977</v>
      </c>
      <c r="J46" s="249">
        <f>IF(J$7=0,0,J$7/AGR!J$5*1000)</f>
        <v>2.5830687445345353</v>
      </c>
      <c r="K46" s="249">
        <f>IF(K$7=0,0,K$7/AGR!K$5*1000)</f>
        <v>3.2589555845777904</v>
      </c>
      <c r="L46" s="249">
        <f>IF(L$7=0,0,L$7/AGR!L$5*1000)</f>
        <v>2.3871035157506966</v>
      </c>
      <c r="M46" s="249">
        <f>IF(M$7=0,0,M$7/AGR!M$5*1000)</f>
        <v>2.168909259818721</v>
      </c>
      <c r="N46" s="249">
        <f>IF(N$7=0,0,N$7/AGR!N$5*1000)</f>
        <v>1.7884908909017108</v>
      </c>
      <c r="O46" s="249">
        <f>IF(O$7=0,0,O$7/AGR!O$5*1000)</f>
        <v>2.1243316925034419</v>
      </c>
      <c r="P46" s="249">
        <f>IF(P$7=0,0,P$7/AGR!P$5*1000)</f>
        <v>2.076746143291881</v>
      </c>
      <c r="Q46" s="249">
        <f>IF(Q$7=0,0,Q$7/AGR!Q$5*1000)</f>
        <v>2.2635940297672952</v>
      </c>
      <c r="R46" s="249">
        <f>IF(R$7=0,0,R$7/AGR!R$5*1000)</f>
        <v>2.2938196300398932</v>
      </c>
      <c r="S46" s="249">
        <f>IF(S$7=0,0,S$7/AGR!S$5*1000)</f>
        <v>1.9897663801806569</v>
      </c>
      <c r="T46" s="249">
        <f>IF(T$7=0,0,T$7/AGR!T$5*1000)</f>
        <v>2.3837417636606797</v>
      </c>
      <c r="U46" s="249">
        <f>IF(U$7=0,0,U$7/AGR!U$5*1000)</f>
        <v>2.1079746586969197</v>
      </c>
      <c r="V46" s="249">
        <f>IF(V$7=0,0,V$7/AGR!V$5*1000)</f>
        <v>2.3702167103582097</v>
      </c>
      <c r="W46" s="249">
        <f>IF(W$7=0,0,W$7/AGR!W$5*1000)</f>
        <v>2.5092776562151977</v>
      </c>
      <c r="DA46" s="283"/>
    </row>
    <row r="47" spans="1:105" x14ac:dyDescent="0.25">
      <c r="A47" s="241" t="s">
        <v>123</v>
      </c>
      <c r="B47" s="249">
        <f>IF(B$8=0,0,B$8/AGR!B$5*1000)</f>
        <v>2.2965312011565091</v>
      </c>
      <c r="C47" s="249">
        <f>IF(C$8=0,0,C$8/AGR!C$5*1000)</f>
        <v>2.4552166402701276</v>
      </c>
      <c r="D47" s="249">
        <f>IF(D$8=0,0,D$8/AGR!D$5*1000)</f>
        <v>2.4593568342914316</v>
      </c>
      <c r="E47" s="249">
        <f>IF(E$8=0,0,E$8/AGR!E$5*1000)</f>
        <v>2.460433991731235</v>
      </c>
      <c r="F47" s="249">
        <f>IF(F$8=0,0,F$8/AGR!F$5*1000)</f>
        <v>2.5049867556613714</v>
      </c>
      <c r="G47" s="249">
        <f>IF(G$8=0,0,G$8/AGR!G$5*1000)</f>
        <v>3.741745263580607</v>
      </c>
      <c r="H47" s="249">
        <f>IF(H$8=0,0,H$8/AGR!H$5*1000)</f>
        <v>4.2791406509559797</v>
      </c>
      <c r="I47" s="249">
        <f>IF(I$8=0,0,I$8/AGR!I$5*1000)</f>
        <v>3.9484250829927658</v>
      </c>
      <c r="J47" s="249">
        <f>IF(J$8=0,0,J$8/AGR!J$5*1000)</f>
        <v>3.5765567232016648</v>
      </c>
      <c r="K47" s="249">
        <f>IF(K$8=0,0,K$8/AGR!K$5*1000)</f>
        <v>4.5124000401846329</v>
      </c>
      <c r="L47" s="249">
        <f>IF(L$8=0,0,L$8/AGR!L$5*1000)</f>
        <v>3.3052202525778882</v>
      </c>
      <c r="M47" s="249">
        <f>IF(M$8=0,0,M$8/AGR!M$5*1000)</f>
        <v>3.0031051289797688</v>
      </c>
      <c r="N47" s="249">
        <f>IF(N$8=0,0,N$8/AGR!N$5*1000)</f>
        <v>2.4763720027869836</v>
      </c>
      <c r="O47" s="249">
        <f>IF(O$8=0,0,O$8/AGR!O$5*1000)</f>
        <v>2.941382343466306</v>
      </c>
      <c r="P47" s="249">
        <f>IF(P$8=0,0,P$8/AGR!P$5*1000)</f>
        <v>2.8754946599426066</v>
      </c>
      <c r="Q47" s="249">
        <f>IF(Q$8=0,0,Q$8/AGR!Q$5*1000)</f>
        <v>3.1342071181393343</v>
      </c>
      <c r="R47" s="249">
        <f>IF(R$8=0,0,R$8/AGR!R$5*1000)</f>
        <v>3.1760579492860068</v>
      </c>
      <c r="S47" s="249">
        <f>IF(S$8=0,0,S$8/AGR!S$5*1000)</f>
        <v>2.7550611417886008</v>
      </c>
      <c r="T47" s="249">
        <f>IF(T$8=0,0,T$8/AGR!T$5*1000)</f>
        <v>3.3005655189147887</v>
      </c>
      <c r="U47" s="249">
        <f>IF(U$8=0,0,U$8/AGR!U$5*1000)</f>
        <v>2.9187341428111204</v>
      </c>
      <c r="V47" s="249">
        <f>IF(V$8=0,0,V$8/AGR!V$5*1000)</f>
        <v>3.2818385220344437</v>
      </c>
      <c r="W47" s="249">
        <f>IF(W$8=0,0,W$8/AGR!W$5*1000)</f>
        <v>3.4743844470671958</v>
      </c>
      <c r="DA47" s="283"/>
    </row>
    <row r="48" spans="1:105" x14ac:dyDescent="0.25">
      <c r="A48" s="243" t="s">
        <v>122</v>
      </c>
      <c r="B48" s="250">
        <f>IF(B$9=0,0,B$9/AGR!B$5*1000)</f>
        <v>19.805041156174465</v>
      </c>
      <c r="C48" s="250">
        <f>IF(C$9=0,0,C$9/AGR!C$5*1000)</f>
        <v>19.765958759308898</v>
      </c>
      <c r="D48" s="250">
        <f>IF(D$9=0,0,D$9/AGR!D$5*1000)</f>
        <v>21.093577712627638</v>
      </c>
      <c r="E48" s="250">
        <f>IF(E$9=0,0,E$9/AGR!E$5*1000)</f>
        <v>21.690888145281846</v>
      </c>
      <c r="F48" s="250">
        <f>IF(F$9=0,0,F$9/AGR!F$5*1000)</f>
        <v>21.296214884918406</v>
      </c>
      <c r="G48" s="250">
        <f>IF(G$9=0,0,G$9/AGR!G$5*1000)</f>
        <v>29.548581975234846</v>
      </c>
      <c r="H48" s="250">
        <f>IF(H$9=0,0,H$9/AGR!H$5*1000)</f>
        <v>28.626857892002828</v>
      </c>
      <c r="I48" s="250">
        <f>IF(I$9=0,0,I$9/AGR!I$5*1000)</f>
        <v>26.56467823562085</v>
      </c>
      <c r="J48" s="250">
        <f>IF(J$9=0,0,J$9/AGR!J$5*1000)</f>
        <v>26.472083394734511</v>
      </c>
      <c r="K48" s="250">
        <f>IF(K$9=0,0,K$9/AGR!K$5*1000)</f>
        <v>30.50005516322161</v>
      </c>
      <c r="L48" s="250">
        <f>IF(L$9=0,0,L$9/AGR!L$5*1000)</f>
        <v>27.617305936740784</v>
      </c>
      <c r="M48" s="250">
        <f>IF(M$9=0,0,M$9/AGR!M$5*1000)</f>
        <v>25.310922604299869</v>
      </c>
      <c r="N48" s="250">
        <f>IF(N$9=0,0,N$9/AGR!N$5*1000)</f>
        <v>26.076452257801442</v>
      </c>
      <c r="O48" s="250">
        <f>IF(O$9=0,0,O$9/AGR!O$5*1000)</f>
        <v>24.985407035312164</v>
      </c>
      <c r="P48" s="250">
        <f>IF(P$9=0,0,P$9/AGR!P$5*1000)</f>
        <v>24.304086632101807</v>
      </c>
      <c r="Q48" s="250">
        <f>IF(Q$9=0,0,Q$9/AGR!Q$5*1000)</f>
        <v>24.809821901887716</v>
      </c>
      <c r="R48" s="250">
        <f>IF(R$9=0,0,R$9/AGR!R$5*1000)</f>
        <v>25.18600591893631</v>
      </c>
      <c r="S48" s="250">
        <f>IF(S$9=0,0,S$9/AGR!S$5*1000)</f>
        <v>22.838427250882475</v>
      </c>
      <c r="T48" s="250">
        <f>IF(T$9=0,0,T$9/AGR!T$5*1000)</f>
        <v>26.071021599298312</v>
      </c>
      <c r="U48" s="250">
        <f>IF(U$9=0,0,U$9/AGR!U$5*1000)</f>
        <v>26.089772396533263</v>
      </c>
      <c r="V48" s="250">
        <f>IF(V$9=0,0,V$9/AGR!V$5*1000)</f>
        <v>27.199294359857063</v>
      </c>
      <c r="W48" s="250">
        <f>IF(W$9=0,0,W$9/AGR!W$5*1000)</f>
        <v>26.675823831226683</v>
      </c>
      <c r="DA48" s="284"/>
    </row>
    <row r="49" spans="1:105" x14ac:dyDescent="0.25">
      <c r="A49" s="128" t="s">
        <v>175</v>
      </c>
      <c r="B49" s="263">
        <f>IF(B$16=0,0,B$16/AGR!B$5*1000)</f>
        <v>25.506818330272871</v>
      </c>
      <c r="C49" s="263">
        <f>IF(C$16=0,0,C$16/AGR!C$5*1000)</f>
        <v>25.166646681975994</v>
      </c>
      <c r="D49" s="263">
        <f>IF(D$16=0,0,D$16/AGR!D$5*1000)</f>
        <v>27.429004155427091</v>
      </c>
      <c r="E49" s="263">
        <f>IF(E$16=0,0,E$16/AGR!E$5*1000)</f>
        <v>28.205320022161629</v>
      </c>
      <c r="F49" s="263">
        <f>IF(F$16=0,0,F$16/AGR!F$5*1000)</f>
        <v>27.399785934992298</v>
      </c>
      <c r="G49" s="263">
        <f>IF(G$16=0,0,G$16/AGR!G$5*1000)</f>
        <v>38.239315497056786</v>
      </c>
      <c r="H49" s="263">
        <f>IF(H$16=0,0,H$16/AGR!H$5*1000)</f>
        <v>34.722957907416422</v>
      </c>
      <c r="I49" s="263">
        <f>IF(I$16=0,0,I$16/AGR!I$5*1000)</f>
        <v>32.400488443909182</v>
      </c>
      <c r="J49" s="263">
        <f>IF(J$16=0,0,J$16/AGR!J$5*1000)</f>
        <v>33.482549437197754</v>
      </c>
      <c r="K49" s="263">
        <f>IF(K$16=0,0,K$16/AGR!K$5*1000)</f>
        <v>37.121244654817701</v>
      </c>
      <c r="L49" s="263">
        <f>IF(L$16=0,0,L$16/AGR!L$5*1000)</f>
        <v>35.861131301451074</v>
      </c>
      <c r="M49" s="263">
        <f>IF(M$16=0,0,M$16/AGR!M$5*1000)</f>
        <v>32.839981373104443</v>
      </c>
      <c r="N49" s="263">
        <f>IF(N$16=0,0,N$16/AGR!N$5*1000)</f>
        <v>34.416925299250195</v>
      </c>
      <c r="O49" s="263">
        <f>IF(O$16=0,0,O$16/AGR!O$5*1000)</f>
        <v>32.502997139516324</v>
      </c>
      <c r="P49" s="263">
        <f>IF(P$16=0,0,P$16/AGR!P$5*1000)</f>
        <v>31.996141946967384</v>
      </c>
      <c r="Q49" s="263">
        <f>IF(Q$16=0,0,Q$16/AGR!Q$5*1000)</f>
        <v>32.22907414197357</v>
      </c>
      <c r="R49" s="263">
        <f>IF(R$16=0,0,R$16/AGR!R$5*1000)</f>
        <v>32.758080565876973</v>
      </c>
      <c r="S49" s="263">
        <f>IF(S$16=0,0,S$16/AGR!S$5*1000)</f>
        <v>30.045024499385729</v>
      </c>
      <c r="T49" s="263">
        <f>IF(T$16=0,0,T$16/AGR!T$5*1000)</f>
        <v>33.745284599408585</v>
      </c>
      <c r="U49" s="263">
        <f>IF(U$16=0,0,U$16/AGR!U$5*1000)</f>
        <v>34.441734374503568</v>
      </c>
      <c r="V49" s="263">
        <f>IF(V$16=0,0,V$16/AGR!V$5*1000)</f>
        <v>35.541131099794484</v>
      </c>
      <c r="W49" s="263">
        <f>IF(W$16=0,0,W$16/AGR!W$5*1000)</f>
        <v>34.381030920835379</v>
      </c>
      <c r="DA49" s="285"/>
    </row>
    <row r="50" spans="1:105" x14ac:dyDescent="0.25">
      <c r="A50" s="128" t="s">
        <v>121</v>
      </c>
      <c r="B50" s="263">
        <f>IF(B$17=0,0,B$17/AGR!B$5*1000)</f>
        <v>63.487170590593848</v>
      </c>
      <c r="C50" s="263">
        <f>IF(C$17=0,0,C$17/AGR!C$5*1000)</f>
        <v>58.939356215275339</v>
      </c>
      <c r="D50" s="263">
        <f>IF(D$17=0,0,D$17/AGR!D$5*1000)</f>
        <v>60.354175258241838</v>
      </c>
      <c r="E50" s="263">
        <f>IF(E$17=0,0,E$17/AGR!E$5*1000)</f>
        <v>66.447707131973317</v>
      </c>
      <c r="F50" s="263">
        <f>IF(F$17=0,0,F$17/AGR!F$5*1000)</f>
        <v>66.965939250861723</v>
      </c>
      <c r="G50" s="263">
        <f>IF(G$17=0,0,G$17/AGR!G$5*1000)</f>
        <v>58.503181774810017</v>
      </c>
      <c r="H50" s="263">
        <f>IF(H$17=0,0,H$17/AGR!H$5*1000)</f>
        <v>53.135076567389234</v>
      </c>
      <c r="I50" s="263">
        <f>IF(I$17=0,0,I$17/AGR!I$5*1000)</f>
        <v>50.111626066319445</v>
      </c>
      <c r="J50" s="263">
        <f>IF(J$17=0,0,J$17/AGR!J$5*1000)</f>
        <v>53.068887957385286</v>
      </c>
      <c r="K50" s="263">
        <f>IF(K$17=0,0,K$17/AGR!K$5*1000)</f>
        <v>56.536888118719247</v>
      </c>
      <c r="L50" s="263">
        <f>IF(L$17=0,0,L$17/AGR!L$5*1000)</f>
        <v>55.854072194810719</v>
      </c>
      <c r="M50" s="263">
        <f>IF(M$17=0,0,M$17/AGR!M$5*1000)</f>
        <v>51.654968477062418</v>
      </c>
      <c r="N50" s="263">
        <f>IF(N$17=0,0,N$17/AGR!N$5*1000)</f>
        <v>54.178515178807523</v>
      </c>
      <c r="O50" s="263">
        <f>IF(O$17=0,0,O$17/AGR!O$5*1000)</f>
        <v>52.875065144277578</v>
      </c>
      <c r="P50" s="263">
        <f>IF(P$17=0,0,P$17/AGR!P$5*1000)</f>
        <v>51.73587240692914</v>
      </c>
      <c r="Q50" s="263">
        <f>IF(Q$17=0,0,Q$17/AGR!Q$5*1000)</f>
        <v>52.273926080818143</v>
      </c>
      <c r="R50" s="263">
        <f>IF(R$17=0,0,R$17/AGR!R$5*1000)</f>
        <v>53.501817588071084</v>
      </c>
      <c r="S50" s="263">
        <f>IF(S$17=0,0,S$17/AGR!S$5*1000)</f>
        <v>50.939361264775343</v>
      </c>
      <c r="T50" s="263">
        <f>IF(T$17=0,0,T$17/AGR!T$5*1000)</f>
        <v>56.64263716590537</v>
      </c>
      <c r="U50" s="263">
        <f>IF(U$17=0,0,U$17/AGR!U$5*1000)</f>
        <v>58.647021854508935</v>
      </c>
      <c r="V50" s="263">
        <f>IF(V$17=0,0,V$17/AGR!V$5*1000)</f>
        <v>60.823624222590567</v>
      </c>
      <c r="W50" s="263">
        <f>IF(W$17=0,0,W$17/AGR!W$5*1000)</f>
        <v>55.57454936525329</v>
      </c>
      <c r="DA50" s="285"/>
    </row>
    <row r="51" spans="1:105" x14ac:dyDescent="0.25">
      <c r="A51" s="128" t="s">
        <v>174</v>
      </c>
      <c r="B51" s="263">
        <f>IF(B$25=0,0,B$25/AGR!B$5*1000)</f>
        <v>4.9013477089768331</v>
      </c>
      <c r="C51" s="263">
        <f>IF(C$25=0,0,C$25/AGR!C$5*1000)</f>
        <v>4.8359808918595437</v>
      </c>
      <c r="D51" s="263">
        <f>IF(D$25=0,0,D$25/AGR!D$5*1000)</f>
        <v>5.2707117342486836</v>
      </c>
      <c r="E51" s="263">
        <f>IF(E$25=0,0,E$25/AGR!E$5*1000)</f>
        <v>5.4198872976448316</v>
      </c>
      <c r="F51" s="263">
        <f>IF(F$25=0,0,F$25/AGR!F$5*1000)</f>
        <v>5.2650972096955151</v>
      </c>
      <c r="G51" s="263">
        <f>IF(G$25=0,0,G$25/AGR!G$5*1000)</f>
        <v>7.3480031487069608</v>
      </c>
      <c r="H51" s="263">
        <f>IF(H$25=0,0,H$25/AGR!H$5*1000)</f>
        <v>6.6723057334996847</v>
      </c>
      <c r="I51" s="263">
        <f>IF(I$25=0,0,I$25/AGR!I$5*1000)</f>
        <v>6.2260238712644531</v>
      </c>
      <c r="J51" s="263">
        <f>IF(J$25=0,0,J$25/AGR!J$5*1000)</f>
        <v>6.433950908723828</v>
      </c>
      <c r="K51" s="263">
        <f>IF(K$25=0,0,K$25/AGR!K$5*1000)</f>
        <v>7.1331565186755581</v>
      </c>
      <c r="L51" s="263">
        <f>IF(L$25=0,0,L$25/AGR!L$5*1000)</f>
        <v>6.8910152363877444</v>
      </c>
      <c r="M51" s="263">
        <f>IF(M$25=0,0,M$25/AGR!M$5*1000)</f>
        <v>6.3104761002226208</v>
      </c>
      <c r="N51" s="263">
        <f>IF(N$25=0,0,N$25/AGR!N$5*1000)</f>
        <v>6.6134990174488797</v>
      </c>
      <c r="O51" s="263">
        <f>IF(O$25=0,0,O$25/AGR!O$5*1000)</f>
        <v>6.2457217714046669</v>
      </c>
      <c r="P51" s="263">
        <f>IF(P$25=0,0,P$25/AGR!P$5*1000)</f>
        <v>6.1483253221644913</v>
      </c>
      <c r="Q51" s="263">
        <f>IF(Q$25=0,0,Q$25/AGR!Q$5*1000)</f>
        <v>6.193085184627833</v>
      </c>
      <c r="R51" s="263">
        <f>IF(R$25=0,0,R$25/AGR!R$5*1000)</f>
        <v>6.2947381775750424</v>
      </c>
      <c r="S51" s="263">
        <f>IF(S$25=0,0,S$25/AGR!S$5*1000)</f>
        <v>5.7734018445350204</v>
      </c>
      <c r="T51" s="263">
        <f>IF(T$25=0,0,T$25/AGR!T$5*1000)</f>
        <v>6.484437659705284</v>
      </c>
      <c r="U51" s="263">
        <f>IF(U$25=0,0,U$25/AGR!U$5*1000)</f>
        <v>6.6182662880108296</v>
      </c>
      <c r="V51" s="263">
        <f>IF(V$25=0,0,V$25/AGR!V$5*1000)</f>
        <v>6.8295245308456787</v>
      </c>
      <c r="W51" s="263">
        <f>IF(W$25=0,0,W$25/AGR!W$5*1000)</f>
        <v>6.6066016135025896</v>
      </c>
      <c r="DA51" s="285"/>
    </row>
    <row r="52" spans="1:105" x14ac:dyDescent="0.25">
      <c r="A52" s="128" t="s">
        <v>177</v>
      </c>
      <c r="B52" s="263">
        <f>IF(B$26=0,0,B$26/AGR!B$5*1000)</f>
        <v>2.5517013346183437</v>
      </c>
      <c r="C52" s="263">
        <f>IF(C$26=0,0,C$26/AGR!C$5*1000)</f>
        <v>2.7280184891890307</v>
      </c>
      <c r="D52" s="263">
        <f>IF(D$26=0,0,D$26/AGR!D$5*1000)</f>
        <v>2.7326187047682566</v>
      </c>
      <c r="E52" s="263">
        <f>IF(E$26=0,0,E$26/AGR!E$5*1000)</f>
        <v>2.7338155463680387</v>
      </c>
      <c r="F52" s="263">
        <f>IF(F$26=0,0,F$26/AGR!F$5*1000)</f>
        <v>2.7833186174015245</v>
      </c>
      <c r="G52" s="263">
        <f>IF(G$26=0,0,G$26/AGR!G$5*1000)</f>
        <v>4.1574947373117856</v>
      </c>
      <c r="H52" s="263">
        <f>IF(H$26=0,0,H$26/AGR!H$5*1000)</f>
        <v>4.7546007232844225</v>
      </c>
      <c r="I52" s="263">
        <f>IF(I$26=0,0,I$26/AGR!I$5*1000)</f>
        <v>4.3871389811030745</v>
      </c>
      <c r="J52" s="263">
        <f>IF(J$26=0,0,J$26/AGR!J$5*1000)</f>
        <v>3.9739519146685169</v>
      </c>
      <c r="K52" s="263">
        <f>IF(K$26=0,0,K$26/AGR!K$5*1000)</f>
        <v>5.0137778224273699</v>
      </c>
      <c r="L52" s="263">
        <f>IF(L$26=0,0,L$26/AGR!L$5*1000)</f>
        <v>3.6724669473087657</v>
      </c>
      <c r="M52" s="263">
        <f>IF(M$26=0,0,M$26/AGR!M$5*1000)</f>
        <v>3.3367834766441877</v>
      </c>
      <c r="N52" s="263">
        <f>IF(N$26=0,0,N$26/AGR!N$5*1000)</f>
        <v>2.7515244475410938</v>
      </c>
      <c r="O52" s="263">
        <f>IF(O$26=0,0,O$26/AGR!O$5*1000)</f>
        <v>3.2682026038514502</v>
      </c>
      <c r="P52" s="263">
        <f>IF(P$26=0,0,P$26/AGR!P$5*1000)</f>
        <v>3.1949940666028955</v>
      </c>
      <c r="Q52" s="263">
        <f>IF(Q$26=0,0,Q$26/AGR!Q$5*1000)</f>
        <v>3.4824523534881484</v>
      </c>
      <c r="R52" s="263">
        <f>IF(R$26=0,0,R$26/AGR!R$5*1000)</f>
        <v>3.5289532769844545</v>
      </c>
      <c r="S52" s="263">
        <f>IF(S$26=0,0,S$26/AGR!S$5*1000)</f>
        <v>3.0611790464317803</v>
      </c>
      <c r="T52" s="263">
        <f>IF(T$26=0,0,T$26/AGR!T$5*1000)</f>
        <v>3.6672950210164319</v>
      </c>
      <c r="U52" s="263">
        <f>IF(U$26=0,0,U$26/AGR!U$5*1000)</f>
        <v>3.2430379364567998</v>
      </c>
      <c r="V52" s="263">
        <f>IF(V$26=0,0,V$26/AGR!V$5*1000)</f>
        <v>3.6464872467049378</v>
      </c>
      <c r="W52" s="263">
        <f>IF(W$26=0,0,W$26/AGR!W$5*1000)</f>
        <v>3.860427163407997</v>
      </c>
      <c r="DA52" s="285"/>
    </row>
    <row r="53" spans="1:105" x14ac:dyDescent="0.25">
      <c r="A53" s="261" t="s">
        <v>33</v>
      </c>
      <c r="B53" s="264">
        <f>IF(B$27=0,0,B$27/AGR!B$5*1000)</f>
        <v>3.6999669351966</v>
      </c>
      <c r="C53" s="264">
        <f>IF(C$27=0,0,C$27/AGR!C$5*1000)</f>
        <v>3.9556268093240941</v>
      </c>
      <c r="D53" s="264">
        <f>IF(D$27=0,0,D$27/AGR!D$5*1000)</f>
        <v>3.9622971219139735</v>
      </c>
      <c r="E53" s="264">
        <f>IF(E$27=0,0,E$27/AGR!E$5*1000)</f>
        <v>3.9640325422336575</v>
      </c>
      <c r="F53" s="264">
        <f>IF(F$27=0,0,F$27/AGR!F$5*1000)</f>
        <v>4.0358119952322102</v>
      </c>
      <c r="G53" s="264">
        <f>IF(G$27=0,0,G$27/AGR!G$5*1000)</f>
        <v>6.0283673691020896</v>
      </c>
      <c r="H53" s="264">
        <f>IF(H$27=0,0,H$27/AGR!H$5*1000)</f>
        <v>6.8941710487624137</v>
      </c>
      <c r="I53" s="264">
        <f>IF(I$27=0,0,I$27/AGR!I$5*1000)</f>
        <v>6.3613515225994588</v>
      </c>
      <c r="J53" s="264">
        <f>IF(J$27=0,0,J$27/AGR!J$5*1000)</f>
        <v>5.7622302762693485</v>
      </c>
      <c r="K53" s="264">
        <f>IF(K$27=0,0,K$27/AGR!K$5*1000)</f>
        <v>7.2699778425196833</v>
      </c>
      <c r="L53" s="264">
        <f>IF(L$27=0,0,L$27/AGR!L$5*1000)</f>
        <v>5.3250770735977113</v>
      </c>
      <c r="M53" s="264">
        <f>IF(M$27=0,0,M$27/AGR!M$5*1000)</f>
        <v>4.8383360411340739</v>
      </c>
      <c r="N53" s="264">
        <f>IF(N$27=0,0,N$27/AGR!N$5*1000)</f>
        <v>3.989710448934586</v>
      </c>
      <c r="O53" s="264">
        <f>IF(O$27=0,0,O$27/AGR!O$5*1000)</f>
        <v>4.7388937755846028</v>
      </c>
      <c r="P53" s="264">
        <f>IF(P$27=0,0,P$27/AGR!P$5*1000)</f>
        <v>4.6327413965741977</v>
      </c>
      <c r="Q53" s="264">
        <f>IF(Q$27=0,0,Q$27/AGR!Q$5*1000)</f>
        <v>5.0495559125578167</v>
      </c>
      <c r="R53" s="264">
        <f>IF(R$27=0,0,R$27/AGR!R$5*1000)</f>
        <v>5.1169822516274577</v>
      </c>
      <c r="S53" s="264">
        <f>IF(S$27=0,0,S$27/AGR!S$5*1000)</f>
        <v>4.4387096173260794</v>
      </c>
      <c r="T53" s="264">
        <f>IF(T$27=0,0,T$27/AGR!T$5*1000)</f>
        <v>5.3175777804738269</v>
      </c>
      <c r="U53" s="264">
        <f>IF(U$27=0,0,U$27/AGR!U$5*1000)</f>
        <v>4.7024050078623603</v>
      </c>
      <c r="V53" s="264">
        <f>IF(V$27=0,0,V$27/AGR!V$5*1000)</f>
        <v>5.2874065077221601</v>
      </c>
      <c r="W53" s="264">
        <f>IF(W$27=0,0,W$27/AGR!W$5*1000)</f>
        <v>5.5976193869415951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299.54071300043779</v>
      </c>
      <c r="C5" s="80">
        <f t="shared" ref="C5:W5" si="1">SUM(C6:C9,C16:C17,C25:C27)</f>
        <v>295.01825572179018</v>
      </c>
      <c r="D5" s="80">
        <f t="shared" si="1"/>
        <v>320.24751864225306</v>
      </c>
      <c r="E5" s="80">
        <f t="shared" si="1"/>
        <v>318.07354368463751</v>
      </c>
      <c r="F5" s="80">
        <f t="shared" si="1"/>
        <v>306.67297659038235</v>
      </c>
      <c r="G5" s="80">
        <f t="shared" si="1"/>
        <v>318.09277425851008</v>
      </c>
      <c r="H5" s="80">
        <f t="shared" si="1"/>
        <v>316.09177131410814</v>
      </c>
      <c r="I5" s="80">
        <f t="shared" si="1"/>
        <v>339.95791685310297</v>
      </c>
      <c r="J5" s="80">
        <f t="shared" si="1"/>
        <v>302.43810795042066</v>
      </c>
      <c r="K5" s="80">
        <f t="shared" si="1"/>
        <v>301.32263031448292</v>
      </c>
      <c r="L5" s="80">
        <f t="shared" si="1"/>
        <v>282.23560697376098</v>
      </c>
      <c r="M5" s="80">
        <f t="shared" si="1"/>
        <v>271.17640504224715</v>
      </c>
      <c r="N5" s="80">
        <f t="shared" si="1"/>
        <v>257.13981519231965</v>
      </c>
      <c r="O5" s="80">
        <f t="shared" si="1"/>
        <v>285.91839417234473</v>
      </c>
      <c r="P5" s="80">
        <f t="shared" si="1"/>
        <v>274.42072435280863</v>
      </c>
      <c r="Q5" s="80">
        <f t="shared" si="1"/>
        <v>264.36458820830552</v>
      </c>
      <c r="R5" s="80">
        <f t="shared" si="1"/>
        <v>271.8357048460274</v>
      </c>
      <c r="S5" s="80">
        <f t="shared" si="1"/>
        <v>256.71494292631411</v>
      </c>
      <c r="T5" s="80">
        <f t="shared" si="1"/>
        <v>249.25599721285928</v>
      </c>
      <c r="U5" s="80">
        <f t="shared" si="1"/>
        <v>252.39361824956865</v>
      </c>
      <c r="V5" s="80">
        <f t="shared" si="1"/>
        <v>237.52322065040522</v>
      </c>
      <c r="W5" s="80">
        <f t="shared" si="1"/>
        <v>239.16818058338043</v>
      </c>
      <c r="DA5" s="103"/>
    </row>
    <row r="6" spans="1:105" x14ac:dyDescent="0.25">
      <c r="A6" s="239" t="s">
        <v>125</v>
      </c>
      <c r="B6" s="240">
        <v>8.0394522758602438</v>
      </c>
      <c r="C6" s="240">
        <v>8.5807304697947906</v>
      </c>
      <c r="D6" s="240">
        <v>8.9261160303882718</v>
      </c>
      <c r="E6" s="240">
        <v>8.4786444557084746</v>
      </c>
      <c r="F6" s="240">
        <v>8.3702196272630633</v>
      </c>
      <c r="G6" s="240">
        <v>10.387419033699461</v>
      </c>
      <c r="H6" s="240">
        <v>11.980952590690659</v>
      </c>
      <c r="I6" s="240">
        <v>12.78031187368247</v>
      </c>
      <c r="J6" s="240">
        <v>10.394574756706239</v>
      </c>
      <c r="K6" s="240">
        <v>11.332000848292219</v>
      </c>
      <c r="L6" s="240">
        <v>8.7688050876808106</v>
      </c>
      <c r="M6" s="240">
        <v>8.3549236360937638</v>
      </c>
      <c r="N6" s="240">
        <v>6.5530980401386669</v>
      </c>
      <c r="O6" s="240">
        <v>8.6825892848895663</v>
      </c>
      <c r="P6" s="240">
        <v>8.3514759884271417</v>
      </c>
      <c r="Q6" s="240">
        <v>8.5123361723743631</v>
      </c>
      <c r="R6" s="240">
        <v>8.7220775537140298</v>
      </c>
      <c r="S6" s="240">
        <v>7.8531023064000731</v>
      </c>
      <c r="T6" s="240">
        <v>7.9903440738831009</v>
      </c>
      <c r="U6" s="240">
        <v>7.2494442565256536</v>
      </c>
      <c r="V6" s="240">
        <v>7.2728525525923304</v>
      </c>
      <c r="W6" s="240">
        <v>7.9241018441115889</v>
      </c>
      <c r="DA6" s="268" t="s">
        <v>1014</v>
      </c>
    </row>
    <row r="7" spans="1:105" x14ac:dyDescent="0.25">
      <c r="A7" s="241" t="s">
        <v>124</v>
      </c>
      <c r="B7" s="242">
        <v>5.1818944372966698</v>
      </c>
      <c r="C7" s="242">
        <v>5.5307797053392989</v>
      </c>
      <c r="D7" s="242">
        <v>5.7534007812222887</v>
      </c>
      <c r="E7" s="242">
        <v>5.4649793335766521</v>
      </c>
      <c r="F7" s="242">
        <v>5.3950932273958676</v>
      </c>
      <c r="G7" s="242">
        <v>6.6952955327839474</v>
      </c>
      <c r="H7" s="242">
        <v>7.7224205645989654</v>
      </c>
      <c r="I7" s="242">
        <v>8.2376541003927244</v>
      </c>
      <c r="J7" s="242">
        <v>6.6999078123238087</v>
      </c>
      <c r="K7" s="242">
        <v>7.3041334340060207</v>
      </c>
      <c r="L7" s="242">
        <v>5.6520047319678657</v>
      </c>
      <c r="M7" s="242">
        <v>5.3852340717179166</v>
      </c>
      <c r="N7" s="242">
        <v>4.223852709868936</v>
      </c>
      <c r="O7" s="242">
        <v>5.5964336341416541</v>
      </c>
      <c r="P7" s="242">
        <v>5.3830118623369314</v>
      </c>
      <c r="Q7" s="242">
        <v>5.4866956039372772</v>
      </c>
      <c r="R7" s="242">
        <v>5.621886119402915</v>
      </c>
      <c r="S7" s="242">
        <v>5.0617810468564333</v>
      </c>
      <c r="T7" s="242">
        <v>5.1502413457776006</v>
      </c>
      <c r="U7" s="242">
        <v>4.6726883346493828</v>
      </c>
      <c r="V7" s="242">
        <v>4.687776342515134</v>
      </c>
      <c r="W7" s="242">
        <v>5.1075443771050173</v>
      </c>
      <c r="DA7" s="269" t="s">
        <v>1015</v>
      </c>
    </row>
    <row r="8" spans="1:105" x14ac:dyDescent="0.25">
      <c r="A8" s="241" t="s">
        <v>123</v>
      </c>
      <c r="B8" s="242">
        <v>10.29762765087079</v>
      </c>
      <c r="C8" s="242">
        <v>10.990943700946779</v>
      </c>
      <c r="D8" s="242">
        <v>11.43334347856077</v>
      </c>
      <c r="E8" s="242">
        <v>10.860183081273849</v>
      </c>
      <c r="F8" s="242">
        <v>10.721303158472031</v>
      </c>
      <c r="G8" s="242">
        <v>13.305107088425309</v>
      </c>
      <c r="H8" s="242">
        <v>15.34624305838879</v>
      </c>
      <c r="I8" s="242">
        <v>16.370131747949529</v>
      </c>
      <c r="J8" s="242">
        <v>13.31427275899193</v>
      </c>
      <c r="K8" s="242">
        <v>14.51500939006181</v>
      </c>
      <c r="L8" s="242">
        <v>11.23184598124084</v>
      </c>
      <c r="M8" s="242">
        <v>10.70171072652421</v>
      </c>
      <c r="N8" s="242">
        <v>8.393776250108834</v>
      </c>
      <c r="O8" s="242">
        <v>11.121413304448801</v>
      </c>
      <c r="P8" s="242">
        <v>10.6972946804151</v>
      </c>
      <c r="Q8" s="242">
        <v>10.90333835370275</v>
      </c>
      <c r="R8" s="242">
        <v>11.171993303555549</v>
      </c>
      <c r="S8" s="242">
        <v>10.058934449840921</v>
      </c>
      <c r="T8" s="242">
        <v>10.23472560714788</v>
      </c>
      <c r="U8" s="242">
        <v>9.2857168707375717</v>
      </c>
      <c r="V8" s="242">
        <v>9.3157002462916196</v>
      </c>
      <c r="W8" s="242">
        <v>10.149876814774469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86.487280479081804</v>
      </c>
      <c r="C9" s="244">
        <f t="shared" ref="C9:W9" si="3">SUM(C10:C15)</f>
        <v>87.281571519312706</v>
      </c>
      <c r="D9" s="244">
        <f t="shared" si="3"/>
        <v>95.080742578296594</v>
      </c>
      <c r="E9" s="244">
        <f t="shared" si="3"/>
        <v>92.615018404722434</v>
      </c>
      <c r="F9" s="244">
        <f t="shared" si="3"/>
        <v>88.947897708263909</v>
      </c>
      <c r="G9" s="244">
        <f t="shared" si="3"/>
        <v>101.96499200929883</v>
      </c>
      <c r="H9" s="244">
        <f t="shared" si="3"/>
        <v>104.68550045847192</v>
      </c>
      <c r="I9" s="244">
        <f t="shared" si="3"/>
        <v>112.07680126579803</v>
      </c>
      <c r="J9" s="244">
        <f t="shared" si="3"/>
        <v>97.455879295442074</v>
      </c>
      <c r="K9" s="244">
        <f t="shared" si="3"/>
        <v>99.657532776622105</v>
      </c>
      <c r="L9" s="244">
        <f t="shared" si="3"/>
        <v>90.381320853661549</v>
      </c>
      <c r="M9" s="244">
        <f t="shared" si="3"/>
        <v>86.828473471436197</v>
      </c>
      <c r="N9" s="244">
        <f t="shared" si="3"/>
        <v>82.965164246344372</v>
      </c>
      <c r="O9" s="244">
        <f t="shared" si="3"/>
        <v>90.898988689128842</v>
      </c>
      <c r="P9" s="244">
        <f t="shared" si="3"/>
        <v>86.682781583040082</v>
      </c>
      <c r="Q9" s="244">
        <f t="shared" si="3"/>
        <v>83.849052253465587</v>
      </c>
      <c r="R9" s="244">
        <f t="shared" si="3"/>
        <v>86.040425427472144</v>
      </c>
      <c r="S9" s="244">
        <f t="shared" si="3"/>
        <v>80.307080619923155</v>
      </c>
      <c r="T9" s="244">
        <f t="shared" si="3"/>
        <v>78.772286065832859</v>
      </c>
      <c r="U9" s="244">
        <f t="shared" si="3"/>
        <v>79.141878499713187</v>
      </c>
      <c r="V9" s="244">
        <f t="shared" si="3"/>
        <v>74.547033730625699</v>
      </c>
      <c r="W9" s="244">
        <f t="shared" si="3"/>
        <v>76.241082574171557</v>
      </c>
      <c r="DA9" s="270"/>
    </row>
    <row r="10" spans="1:105" x14ac:dyDescent="0.25">
      <c r="A10" s="254" t="s">
        <v>173</v>
      </c>
      <c r="B10" s="255">
        <v>54.136897513608581</v>
      </c>
      <c r="C10" s="255">
        <v>51.649810864868449</v>
      </c>
      <c r="D10" s="255">
        <v>62.447924486848457</v>
      </c>
      <c r="E10" s="255">
        <v>60.806402690606618</v>
      </c>
      <c r="F10" s="255">
        <v>55.318174126880187</v>
      </c>
      <c r="G10" s="255">
        <v>68.836149017069175</v>
      </c>
      <c r="H10" s="255">
        <v>54.142688663837717</v>
      </c>
      <c r="I10" s="255">
        <v>58.952433546578263</v>
      </c>
      <c r="J10" s="255">
        <v>59.015072530676328</v>
      </c>
      <c r="K10" s="255">
        <v>52.242135157767379</v>
      </c>
      <c r="L10" s="255">
        <v>62.141838195843889</v>
      </c>
      <c r="M10" s="255">
        <v>59.489026004970839</v>
      </c>
      <c r="N10" s="255">
        <v>63.528835809480583</v>
      </c>
      <c r="O10" s="255">
        <v>62.56311821149388</v>
      </c>
      <c r="P10" s="255">
        <v>63.275098946166487</v>
      </c>
      <c r="Q10" s="255">
        <v>57.358343027774232</v>
      </c>
      <c r="R10" s="255">
        <v>59.031073642549543</v>
      </c>
      <c r="S10" s="255">
        <v>57.879138301764463</v>
      </c>
      <c r="T10" s="255">
        <v>52.730086698489018</v>
      </c>
      <c r="U10" s="255">
        <v>58.457514295744481</v>
      </c>
      <c r="V10" s="255">
        <v>52.16082994790164</v>
      </c>
      <c r="W10" s="255">
        <v>50.581784090702612</v>
      </c>
      <c r="DA10" s="271" t="s">
        <v>1017</v>
      </c>
    </row>
    <row r="11" spans="1:105" x14ac:dyDescent="0.25">
      <c r="A11" s="254" t="s">
        <v>176</v>
      </c>
      <c r="B11" s="256">
        <v>9.2284271461805787</v>
      </c>
      <c r="C11" s="256">
        <v>8.2357782212905253</v>
      </c>
      <c r="D11" s="256">
        <v>8.2215413514344018</v>
      </c>
      <c r="E11" s="256">
        <v>9.0546365946013445</v>
      </c>
      <c r="F11" s="256">
        <v>9.2406887710666989</v>
      </c>
      <c r="G11" s="256">
        <v>5.7732240070045542</v>
      </c>
      <c r="H11" s="256">
        <v>5.3747940582171596</v>
      </c>
      <c r="I11" s="256">
        <v>5.6687756380687873</v>
      </c>
      <c r="J11" s="256">
        <v>6.3517351302182918</v>
      </c>
      <c r="K11" s="256">
        <v>5.7174635075268627</v>
      </c>
      <c r="L11" s="256">
        <v>6.4819764831332547</v>
      </c>
      <c r="M11" s="256">
        <v>6.5624439945150206</v>
      </c>
      <c r="N11" s="256">
        <v>6.8316638865829544</v>
      </c>
      <c r="O11" s="256">
        <v>6.8639164115341273</v>
      </c>
      <c r="P11" s="256">
        <v>2.375285587593821</v>
      </c>
      <c r="Q11" s="256">
        <v>2.311328480094641</v>
      </c>
      <c r="R11" s="256">
        <v>2.364529768379299</v>
      </c>
      <c r="S11" s="256">
        <v>1.1029045836931699</v>
      </c>
      <c r="T11" s="256">
        <v>2.4852102408498</v>
      </c>
      <c r="U11" s="256">
        <v>3.0057999173390879</v>
      </c>
      <c r="V11" s="256">
        <v>2.1418310815883701</v>
      </c>
      <c r="W11" s="256">
        <v>1.3655900301941011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5.1495061782473064</v>
      </c>
      <c r="C14" s="255">
        <v>5.1495061782488509</v>
      </c>
      <c r="D14" s="255">
        <v>5.1495061782464999</v>
      </c>
      <c r="E14" s="255">
        <v>5.1495061782452778</v>
      </c>
      <c r="F14" s="255">
        <v>5.149506178246293</v>
      </c>
      <c r="G14" s="255">
        <v>5.1495061782419844</v>
      </c>
      <c r="H14" s="255">
        <v>5.1495061782380747</v>
      </c>
      <c r="I14" s="255">
        <v>5.1495061782385596</v>
      </c>
      <c r="J14" s="255">
        <v>5.1495061782447529</v>
      </c>
      <c r="K14" s="255">
        <v>5.1495061782384344</v>
      </c>
      <c r="L14" s="255">
        <v>5.1495061782414124</v>
      </c>
      <c r="M14" s="255">
        <v>5.1495061782414169</v>
      </c>
      <c r="N14" s="255">
        <v>5.1495061782395481</v>
      </c>
      <c r="O14" s="255">
        <v>5.1495061782417144</v>
      </c>
      <c r="P14" s="255">
        <v>5.1495061782418681</v>
      </c>
      <c r="Q14" s="255">
        <v>5.1495061782431844</v>
      </c>
      <c r="R14" s="255">
        <v>5.1495061782433522</v>
      </c>
      <c r="S14" s="255">
        <v>5.149506178242742</v>
      </c>
      <c r="T14" s="255">
        <v>5.1495061782439828</v>
      </c>
      <c r="U14" s="255">
        <v>5.1495061782415652</v>
      </c>
      <c r="V14" s="255">
        <v>5.1495061782428344</v>
      </c>
      <c r="W14" s="255">
        <v>5.1495061782452431</v>
      </c>
      <c r="DA14" s="271" t="s">
        <v>1021</v>
      </c>
    </row>
    <row r="15" spans="1:105" x14ac:dyDescent="0.25">
      <c r="A15" s="254" t="s">
        <v>24</v>
      </c>
      <c r="B15" s="256">
        <v>17.97244964104534</v>
      </c>
      <c r="C15" s="256">
        <v>22.24647625490487</v>
      </c>
      <c r="D15" s="256">
        <v>19.261770561767239</v>
      </c>
      <c r="E15" s="256">
        <v>17.604472941269201</v>
      </c>
      <c r="F15" s="256">
        <v>19.23952863207073</v>
      </c>
      <c r="G15" s="256">
        <v>22.206112806983111</v>
      </c>
      <c r="H15" s="256">
        <v>40.018511558178972</v>
      </c>
      <c r="I15" s="256">
        <v>42.306085902912407</v>
      </c>
      <c r="J15" s="256">
        <v>26.939565456302699</v>
      </c>
      <c r="K15" s="256">
        <v>36.548427933089421</v>
      </c>
      <c r="L15" s="256">
        <v>16.607999996442999</v>
      </c>
      <c r="M15" s="256">
        <v>15.62749729370891</v>
      </c>
      <c r="N15" s="256">
        <v>7.4551583720412831</v>
      </c>
      <c r="O15" s="256">
        <v>16.322447887859131</v>
      </c>
      <c r="P15" s="256">
        <v>15.88289087103791</v>
      </c>
      <c r="Q15" s="256">
        <v>19.029874567353531</v>
      </c>
      <c r="R15" s="256">
        <v>19.495315838299948</v>
      </c>
      <c r="S15" s="256">
        <v>16.175531556222779</v>
      </c>
      <c r="T15" s="256">
        <v>18.40748294825006</v>
      </c>
      <c r="U15" s="256">
        <v>12.52905810838805</v>
      </c>
      <c r="V15" s="256">
        <v>15.094866522892859</v>
      </c>
      <c r="W15" s="256">
        <v>19.144202275029599</v>
      </c>
      <c r="DA15" s="272" t="s">
        <v>1022</v>
      </c>
    </row>
    <row r="16" spans="1:105" x14ac:dyDescent="0.25">
      <c r="A16" s="257" t="s">
        <v>175</v>
      </c>
      <c r="B16" s="258">
        <v>57.505704396657798</v>
      </c>
      <c r="C16" s="258">
        <v>56.644835644031573</v>
      </c>
      <c r="D16" s="258">
        <v>64.113804611816406</v>
      </c>
      <c r="E16" s="258">
        <v>62.595954267536648</v>
      </c>
      <c r="F16" s="258">
        <v>58.962938195573479</v>
      </c>
      <c r="G16" s="258">
        <v>68.36661398077409</v>
      </c>
      <c r="H16" s="258">
        <v>62.61120025897322</v>
      </c>
      <c r="I16" s="258">
        <v>67.541334049509459</v>
      </c>
      <c r="J16" s="258">
        <v>62.670138696874169</v>
      </c>
      <c r="K16" s="258">
        <v>60.037425498017392</v>
      </c>
      <c r="L16" s="258">
        <v>61.272348244722821</v>
      </c>
      <c r="M16" s="258">
        <v>58.840367771300578</v>
      </c>
      <c r="N16" s="258">
        <v>58.654775467081848</v>
      </c>
      <c r="O16" s="258">
        <v>61.790500615504882</v>
      </c>
      <c r="P16" s="258">
        <v>59.847885870643893</v>
      </c>
      <c r="Q16" s="258">
        <v>56.372777205686432</v>
      </c>
      <c r="R16" s="258">
        <v>57.936265829922483</v>
      </c>
      <c r="S16" s="258">
        <v>55.154773278101011</v>
      </c>
      <c r="T16" s="258">
        <v>52.612718847965532</v>
      </c>
      <c r="U16" s="258">
        <v>55.092910546863202</v>
      </c>
      <c r="V16" s="258">
        <v>50.724683624978347</v>
      </c>
      <c r="W16" s="258">
        <v>50.500025645359358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104.17140263289112</v>
      </c>
      <c r="C17" s="258">
        <f t="shared" ref="C17:W17" si="5">SUM(C18:C24)</f>
        <v>96.89305664142482</v>
      </c>
      <c r="D17" s="258">
        <f t="shared" si="5"/>
        <v>103.9746389406404</v>
      </c>
      <c r="E17" s="258">
        <f t="shared" si="5"/>
        <v>108.41745063363818</v>
      </c>
      <c r="F17" s="258">
        <f t="shared" si="5"/>
        <v>105.394271273313</v>
      </c>
      <c r="G17" s="258">
        <f t="shared" si="5"/>
        <v>82.178281859934145</v>
      </c>
      <c r="H17" s="258">
        <f t="shared" si="5"/>
        <v>75.336047303536361</v>
      </c>
      <c r="I17" s="258">
        <f t="shared" si="5"/>
        <v>81.878377553481329</v>
      </c>
      <c r="J17" s="258">
        <f t="shared" si="5"/>
        <v>77.456597219863113</v>
      </c>
      <c r="K17" s="258">
        <f t="shared" si="5"/>
        <v>72.037604647579869</v>
      </c>
      <c r="L17" s="258">
        <f t="shared" si="5"/>
        <v>74.739755277088676</v>
      </c>
      <c r="M17" s="258">
        <f t="shared" si="5"/>
        <v>72.239213857013837</v>
      </c>
      <c r="N17" s="258">
        <f t="shared" si="5"/>
        <v>72.057480000127981</v>
      </c>
      <c r="O17" s="258">
        <f t="shared" si="5"/>
        <v>77.785037122674794</v>
      </c>
      <c r="P17" s="258">
        <f t="shared" si="5"/>
        <v>74.504899991694174</v>
      </c>
      <c r="Q17" s="258">
        <f t="shared" si="5"/>
        <v>70.351831733716239</v>
      </c>
      <c r="R17" s="258">
        <f t="shared" si="5"/>
        <v>72.719224930776804</v>
      </c>
      <c r="S17" s="258">
        <f t="shared" si="5"/>
        <v>71.204567301370346</v>
      </c>
      <c r="T17" s="258">
        <f t="shared" si="5"/>
        <v>67.419404251744012</v>
      </c>
      <c r="U17" s="258">
        <f t="shared" si="5"/>
        <v>71.395512715270357</v>
      </c>
      <c r="V17" s="258">
        <f t="shared" si="5"/>
        <v>65.948691574120033</v>
      </c>
      <c r="W17" s="258">
        <f t="shared" si="5"/>
        <v>62.619252298107938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0.67492352911059494</v>
      </c>
      <c r="C19" s="55">
        <v>0.67492352911031506</v>
      </c>
      <c r="D19" s="55">
        <v>0.67492352911035247</v>
      </c>
      <c r="E19" s="55">
        <v>1.0123852936662061</v>
      </c>
      <c r="F19" s="55">
        <v>1.0123852936661579</v>
      </c>
      <c r="G19" s="55">
        <v>0.44949526915932542</v>
      </c>
      <c r="H19" s="55">
        <v>0.44140481662718811</v>
      </c>
      <c r="I19" s="55">
        <v>0.45964043979743102</v>
      </c>
      <c r="J19" s="55">
        <v>0.65702179763175061</v>
      </c>
      <c r="K19" s="55">
        <v>0.62363262844897682</v>
      </c>
      <c r="L19" s="55">
        <v>0.64117478425769348</v>
      </c>
      <c r="M19" s="55">
        <v>0.3887526652188299</v>
      </c>
      <c r="N19" s="55">
        <v>0.38944613257898381</v>
      </c>
      <c r="O19" s="55">
        <v>0.48088108819306502</v>
      </c>
      <c r="P19" s="55">
        <v>0.28819989801924939</v>
      </c>
      <c r="Q19" s="55">
        <v>0.27502401817928118</v>
      </c>
      <c r="R19" s="55">
        <v>0.39347851685712798</v>
      </c>
      <c r="S19" s="55">
        <v>0.22666109081367339</v>
      </c>
      <c r="T19" s="55">
        <v>0.21022334598402881</v>
      </c>
      <c r="U19" s="55">
        <v>0.39352988480994511</v>
      </c>
      <c r="V19" s="55">
        <v>0.37349638329886509</v>
      </c>
      <c r="W19" s="55">
        <v>0.3031993401758567</v>
      </c>
      <c r="DA19" s="101" t="s">
        <v>1025</v>
      </c>
    </row>
    <row r="20" spans="1:105" x14ac:dyDescent="0.25">
      <c r="A20" s="61" t="s">
        <v>173</v>
      </c>
      <c r="B20" s="55">
        <v>16.071898260941008</v>
      </c>
      <c r="C20" s="55">
        <v>17.737227795533961</v>
      </c>
      <c r="D20" s="55">
        <v>22.928065010689512</v>
      </c>
      <c r="E20" s="55">
        <v>19.567082938525001</v>
      </c>
      <c r="F20" s="55">
        <v>17.060556410493628</v>
      </c>
      <c r="G20" s="55">
        <v>52.458041330354369</v>
      </c>
      <c r="H20" s="55">
        <v>47.577125820060537</v>
      </c>
      <c r="I20" s="55">
        <v>50.140449265179512</v>
      </c>
      <c r="J20" s="55">
        <v>44.074502745200888</v>
      </c>
      <c r="K20" s="55">
        <v>46.031084741126442</v>
      </c>
      <c r="L20" s="55">
        <v>44.977066244416022</v>
      </c>
      <c r="M20" s="55">
        <v>42.198748172966333</v>
      </c>
      <c r="N20" s="55">
        <v>42.1548749301136</v>
      </c>
      <c r="O20" s="55">
        <v>41.185882258775308</v>
      </c>
      <c r="P20" s="55">
        <v>41.186493026707488</v>
      </c>
      <c r="Q20" s="55">
        <v>38.41107018424983</v>
      </c>
      <c r="R20" s="55">
        <v>38.890385723279913</v>
      </c>
      <c r="S20" s="55">
        <v>34.398971109464952</v>
      </c>
      <c r="T20" s="55">
        <v>33.200687987100878</v>
      </c>
      <c r="U20" s="55">
        <v>33.839093108877449</v>
      </c>
      <c r="V20" s="55">
        <v>30.815747740712929</v>
      </c>
      <c r="W20" s="55">
        <v>34.732557273790768</v>
      </c>
      <c r="DA20" s="101" t="s">
        <v>1026</v>
      </c>
    </row>
    <row r="21" spans="1:105" x14ac:dyDescent="0.25">
      <c r="A21" s="61" t="s">
        <v>129</v>
      </c>
      <c r="B21" s="55">
        <v>3.5957855988802181</v>
      </c>
      <c r="C21" s="55">
        <v>2.0547411670483569</v>
      </c>
      <c r="D21" s="55">
        <v>8.7326385165001046</v>
      </c>
      <c r="E21" s="55">
        <v>13.61263162306548</v>
      </c>
      <c r="F21" s="55">
        <v>8.7326156295937363</v>
      </c>
      <c r="G21" s="55">
        <v>8.903763955990792</v>
      </c>
      <c r="H21" s="55">
        <v>7.9018893922251534</v>
      </c>
      <c r="I21" s="55">
        <v>9.0481803694335028</v>
      </c>
      <c r="J21" s="55">
        <v>8.5067218101784317</v>
      </c>
      <c r="K21" s="55">
        <v>6.3798639840901066</v>
      </c>
      <c r="L21" s="55">
        <v>7.5416494005657686</v>
      </c>
      <c r="M21" s="55">
        <v>6.6262415895363764</v>
      </c>
      <c r="N21" s="55">
        <v>6.648327459420357</v>
      </c>
      <c r="O21" s="55">
        <v>7.3965692666998626</v>
      </c>
      <c r="P21" s="55">
        <v>6.9004954535631473</v>
      </c>
      <c r="Q21" s="55">
        <v>6.5693676137254906</v>
      </c>
      <c r="R21" s="55">
        <v>7.0027770623692103</v>
      </c>
      <c r="S21" s="55">
        <v>7.7078083801886956</v>
      </c>
      <c r="T21" s="55">
        <v>5.7786019243271198</v>
      </c>
      <c r="U21" s="55">
        <v>4.8538791402024781</v>
      </c>
      <c r="V21" s="55">
        <v>4.6565481867130103</v>
      </c>
      <c r="W21" s="55">
        <v>3.2135055111798478</v>
      </c>
      <c r="DA21" s="101" t="s">
        <v>1027</v>
      </c>
    </row>
    <row r="22" spans="1:105" x14ac:dyDescent="0.25">
      <c r="A22" s="61" t="s">
        <v>176</v>
      </c>
      <c r="B22" s="55">
        <v>2.6740882887722708</v>
      </c>
      <c r="C22" s="55">
        <v>2.7605517576549641</v>
      </c>
      <c r="D22" s="55">
        <v>2.946299446013195</v>
      </c>
      <c r="E22" s="55">
        <v>2.8439505598065828</v>
      </c>
      <c r="F22" s="55">
        <v>2.7816593267310501</v>
      </c>
      <c r="G22" s="55">
        <v>4.2942582304207679</v>
      </c>
      <c r="H22" s="55">
        <v>4.6099313192982692</v>
      </c>
      <c r="I22" s="55">
        <v>4.7059791110944769</v>
      </c>
      <c r="J22" s="55">
        <v>4.630107756825681</v>
      </c>
      <c r="K22" s="55">
        <v>4.9170874833918612</v>
      </c>
      <c r="L22" s="55">
        <v>4.5791906163429301</v>
      </c>
      <c r="M22" s="55">
        <v>4.543625856996317</v>
      </c>
      <c r="N22" s="55">
        <v>4.4246369569042407</v>
      </c>
      <c r="O22" s="55">
        <v>4.4103820946794317</v>
      </c>
      <c r="P22" s="55">
        <v>1.50907928471905</v>
      </c>
      <c r="Q22" s="55">
        <v>1.510760857410816</v>
      </c>
      <c r="R22" s="55">
        <v>1.520479598931747</v>
      </c>
      <c r="S22" s="55">
        <v>0.63978724946810905</v>
      </c>
      <c r="T22" s="55">
        <v>1.527305709845757</v>
      </c>
      <c r="U22" s="55">
        <v>1.6982932440966041</v>
      </c>
      <c r="V22" s="55">
        <v>1.235058920700953</v>
      </c>
      <c r="W22" s="55">
        <v>0.91524464694179375</v>
      </c>
      <c r="DA22" s="101" t="s">
        <v>1028</v>
      </c>
    </row>
    <row r="23" spans="1:105" x14ac:dyDescent="0.25">
      <c r="A23" s="61" t="s">
        <v>171</v>
      </c>
      <c r="B23" s="55">
        <v>81.154706955187024</v>
      </c>
      <c r="C23" s="55">
        <v>73.665612392077222</v>
      </c>
      <c r="D23" s="55">
        <v>68.692712438327234</v>
      </c>
      <c r="E23" s="55">
        <v>71.38140021857491</v>
      </c>
      <c r="F23" s="55">
        <v>75.807054612828424</v>
      </c>
      <c r="G23" s="55">
        <v>16.072723074008898</v>
      </c>
      <c r="H23" s="55">
        <v>14.80569595532522</v>
      </c>
      <c r="I23" s="55">
        <v>17.524128367976399</v>
      </c>
      <c r="J23" s="55">
        <v>19.588243110026362</v>
      </c>
      <c r="K23" s="55">
        <v>14.08593581052248</v>
      </c>
      <c r="L23" s="55">
        <v>17.00067423150626</v>
      </c>
      <c r="M23" s="55">
        <v>18.481845572295981</v>
      </c>
      <c r="N23" s="55">
        <v>18.44019452111079</v>
      </c>
      <c r="O23" s="55">
        <v>24.311322414327119</v>
      </c>
      <c r="P23" s="55">
        <v>24.62063232868524</v>
      </c>
      <c r="Q23" s="55">
        <v>23.585609060150819</v>
      </c>
      <c r="R23" s="55">
        <v>24.912104029338799</v>
      </c>
      <c r="S23" s="55">
        <v>28.231339471434922</v>
      </c>
      <c r="T23" s="55">
        <v>26.702585284486229</v>
      </c>
      <c r="U23" s="55">
        <v>30.61071733728388</v>
      </c>
      <c r="V23" s="55">
        <v>28.867840342694279</v>
      </c>
      <c r="W23" s="55">
        <v>23.454745526019671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7.7351402355893004</v>
      </c>
      <c r="C25" s="258">
        <v>7.6193440620467694</v>
      </c>
      <c r="D25" s="258">
        <v>8.6240013040931487</v>
      </c>
      <c r="E25" s="258">
        <v>8.4198339889924263</v>
      </c>
      <c r="F25" s="258">
        <v>7.9311539686426844</v>
      </c>
      <c r="G25" s="258">
        <v>9.1960502374860447</v>
      </c>
      <c r="H25" s="258">
        <v>8.4218847400097339</v>
      </c>
      <c r="I25" s="258">
        <v>9.0850411459719815</v>
      </c>
      <c r="J25" s="258">
        <v>8.4298125984233199</v>
      </c>
      <c r="K25" s="258">
        <v>8.0756841513952438</v>
      </c>
      <c r="L25" s="258">
        <v>8.2417946394956338</v>
      </c>
      <c r="M25" s="258">
        <v>7.9146669186980896</v>
      </c>
      <c r="N25" s="258">
        <v>7.8897027431464686</v>
      </c>
      <c r="O25" s="258">
        <v>8.3114917468253093</v>
      </c>
      <c r="P25" s="258">
        <v>8.0501890181155513</v>
      </c>
      <c r="Q25" s="258">
        <v>7.5827492547149724</v>
      </c>
      <c r="R25" s="258">
        <v>7.793055412897032</v>
      </c>
      <c r="S25" s="258">
        <v>7.4189145310780704</v>
      </c>
      <c r="T25" s="258">
        <v>7.0769806706045379</v>
      </c>
      <c r="U25" s="258">
        <v>7.4105933235300281</v>
      </c>
      <c r="V25" s="258">
        <v>6.8230194788799334</v>
      </c>
      <c r="W25" s="258">
        <v>6.7928005467647763</v>
      </c>
      <c r="DA25" s="273" t="s">
        <v>1031</v>
      </c>
    </row>
    <row r="26" spans="1:105" x14ac:dyDescent="0.25">
      <c r="A26" s="257" t="s">
        <v>177</v>
      </c>
      <c r="B26" s="258">
        <v>7.9721452881487274</v>
      </c>
      <c r="C26" s="258">
        <v>8.5088918543681533</v>
      </c>
      <c r="D26" s="258">
        <v>8.8513858172650615</v>
      </c>
      <c r="E26" s="258">
        <v>8.4076605131948519</v>
      </c>
      <c r="F26" s="258">
        <v>8.3001434267628724</v>
      </c>
      <c r="G26" s="258">
        <v>10.30045466582146</v>
      </c>
      <c r="H26" s="258">
        <v>11.88064702245995</v>
      </c>
      <c r="I26" s="258">
        <v>12.673314000604201</v>
      </c>
      <c r="J26" s="258">
        <v>10.30755048049817</v>
      </c>
      <c r="K26" s="258">
        <v>11.23712836000926</v>
      </c>
      <c r="L26" s="258">
        <v>8.6953918953351828</v>
      </c>
      <c r="M26" s="258">
        <v>8.2849754949506469</v>
      </c>
      <c r="N26" s="258">
        <v>6.4982349382599036</v>
      </c>
      <c r="O26" s="258">
        <v>8.609897898679467</v>
      </c>
      <c r="P26" s="258">
        <v>8.2815567112875872</v>
      </c>
      <c r="Q26" s="258">
        <v>8.4410701599035072</v>
      </c>
      <c r="R26" s="258">
        <v>8.6490555683121801</v>
      </c>
      <c r="S26" s="258">
        <v>7.7873554567022074</v>
      </c>
      <c r="T26" s="258">
        <v>7.9234482242732351</v>
      </c>
      <c r="U26" s="258">
        <v>7.1887512840759742</v>
      </c>
      <c r="V26" s="258">
        <v>7.211963603869437</v>
      </c>
      <c r="W26" s="258">
        <v>7.8577605801615702</v>
      </c>
      <c r="DA26" s="273" t="s">
        <v>1032</v>
      </c>
    </row>
    <row r="27" spans="1:105" x14ac:dyDescent="0.25">
      <c r="A27" s="129" t="s">
        <v>33</v>
      </c>
      <c r="B27" s="259">
        <v>12.150065604041361</v>
      </c>
      <c r="C27" s="259">
        <v>12.968102124525339</v>
      </c>
      <c r="D27" s="259">
        <v>13.49008509997007</v>
      </c>
      <c r="E27" s="259">
        <v>12.813819005993979</v>
      </c>
      <c r="F27" s="259">
        <v>12.64995600469546</v>
      </c>
      <c r="G27" s="259">
        <v>15.6985598502868</v>
      </c>
      <c r="H27" s="259">
        <v>18.106875316978549</v>
      </c>
      <c r="I27" s="259">
        <v>19.31495111571331</v>
      </c>
      <c r="J27" s="259">
        <v>15.709374331297861</v>
      </c>
      <c r="K27" s="259">
        <v>17.12611120849898</v>
      </c>
      <c r="L27" s="259">
        <v>13.252340262567611</v>
      </c>
      <c r="M27" s="259">
        <v>12.626839094511929</v>
      </c>
      <c r="N27" s="259">
        <v>9.9037307972426571</v>
      </c>
      <c r="O27" s="259">
        <v>13.1220418760514</v>
      </c>
      <c r="P27" s="259">
        <v>12.621628646848119</v>
      </c>
      <c r="Q27" s="259">
        <v>12.86473747080438</v>
      </c>
      <c r="R27" s="259">
        <v>13.18172069997425</v>
      </c>
      <c r="S27" s="259">
        <v>11.868433936041949</v>
      </c>
      <c r="T27" s="259">
        <v>12.0758481256305</v>
      </c>
      <c r="U27" s="259">
        <v>10.95612241820325</v>
      </c>
      <c r="V27" s="259">
        <v>10.9914994965327</v>
      </c>
      <c r="W27" s="259">
        <v>11.975735902824161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1.0000000000000002</v>
      </c>
      <c r="D31" s="236">
        <f t="shared" si="6"/>
        <v>0.99999999999999989</v>
      </c>
      <c r="E31" s="236">
        <f t="shared" si="6"/>
        <v>1</v>
      </c>
      <c r="F31" s="236">
        <f t="shared" si="6"/>
        <v>0.99999999999999989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1</v>
      </c>
      <c r="L31" s="236">
        <f t="shared" si="6"/>
        <v>1</v>
      </c>
      <c r="M31" s="236">
        <f t="shared" si="6"/>
        <v>1.0000000000000002</v>
      </c>
      <c r="N31" s="236">
        <f t="shared" si="6"/>
        <v>1</v>
      </c>
      <c r="O31" s="236">
        <f t="shared" si="6"/>
        <v>0.99999999999999989</v>
      </c>
      <c r="P31" s="236">
        <f t="shared" si="6"/>
        <v>0.99999999999999978</v>
      </c>
      <c r="Q31" s="236">
        <f t="shared" si="6"/>
        <v>1</v>
      </c>
      <c r="R31" s="236">
        <f t="shared" ref="R31:W31" si="7">SUM(R32:R40)</f>
        <v>0.99999999999999989</v>
      </c>
      <c r="S31" s="236">
        <f t="shared" si="7"/>
        <v>1.0000000000000002</v>
      </c>
      <c r="T31" s="236">
        <f t="shared" si="7"/>
        <v>0.99999999999999978</v>
      </c>
      <c r="U31" s="236">
        <f t="shared" si="7"/>
        <v>1</v>
      </c>
      <c r="V31" s="236">
        <f t="shared" si="7"/>
        <v>0.99999999999999989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2.6839264002982106E-2</v>
      </c>
      <c r="C32" s="245">
        <f t="shared" si="8"/>
        <v>2.9085422014990966E-2</v>
      </c>
      <c r="D32" s="245">
        <f t="shared" si="8"/>
        <v>2.7872553293253124E-2</v>
      </c>
      <c r="E32" s="245">
        <f t="shared" si="8"/>
        <v>2.6656239175034478E-2</v>
      </c>
      <c r="F32" s="245">
        <f t="shared" si="8"/>
        <v>2.7293632847353932E-2</v>
      </c>
      <c r="G32" s="245">
        <f t="shared" si="8"/>
        <v>3.2655312771291474E-2</v>
      </c>
      <c r="H32" s="245">
        <f t="shared" si="8"/>
        <v>3.7903399196004037E-2</v>
      </c>
      <c r="I32" s="245">
        <f t="shared" si="8"/>
        <v>3.7593805703912721E-2</v>
      </c>
      <c r="J32" s="245">
        <f t="shared" si="8"/>
        <v>3.4369262614254437E-2</v>
      </c>
      <c r="K32" s="245">
        <f t="shared" si="8"/>
        <v>3.760753328239997E-2</v>
      </c>
      <c r="L32" s="245">
        <f t="shared" si="8"/>
        <v>3.1069095716530316E-2</v>
      </c>
      <c r="M32" s="245">
        <f t="shared" si="8"/>
        <v>3.080992107256578E-2</v>
      </c>
      <c r="N32" s="245">
        <f t="shared" si="8"/>
        <v>2.5484571633675179E-2</v>
      </c>
      <c r="O32" s="245">
        <f t="shared" si="8"/>
        <v>3.0367368668333769E-2</v>
      </c>
      <c r="P32" s="245">
        <f t="shared" si="8"/>
        <v>3.043310962801074E-2</v>
      </c>
      <c r="Q32" s="245">
        <f t="shared" si="8"/>
        <v>3.2199229972764302E-2</v>
      </c>
      <c r="R32" s="245">
        <f t="shared" si="8"/>
        <v>3.2085842287179936E-2</v>
      </c>
      <c r="S32" s="245">
        <f t="shared" si="8"/>
        <v>3.0590748699245683E-2</v>
      </c>
      <c r="T32" s="245">
        <f t="shared" si="8"/>
        <v>3.2056777623125823E-2</v>
      </c>
      <c r="U32" s="245">
        <f t="shared" si="8"/>
        <v>2.8722771624745878E-2</v>
      </c>
      <c r="V32" s="245">
        <f t="shared" si="8"/>
        <v>3.0619543355286358E-2</v>
      </c>
      <c r="W32" s="245">
        <f t="shared" si="8"/>
        <v>3.3131923422183809E-2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1.7299466190724786E-2</v>
      </c>
      <c r="C33" s="246">
        <f t="shared" si="9"/>
        <v>1.8747245629961853E-2</v>
      </c>
      <c r="D33" s="246">
        <f t="shared" si="9"/>
        <v>1.7965481217824469E-2</v>
      </c>
      <c r="E33" s="246">
        <f t="shared" si="9"/>
        <v>1.7181496047326248E-2</v>
      </c>
      <c r="F33" s="246">
        <f t="shared" si="9"/>
        <v>1.7592333329721443E-2</v>
      </c>
      <c r="G33" s="246">
        <f t="shared" si="9"/>
        <v>2.1048247789944335E-2</v>
      </c>
      <c r="H33" s="246">
        <f t="shared" si="9"/>
        <v>2.4430944635142074E-2</v>
      </c>
      <c r="I33" s="246">
        <f t="shared" si="9"/>
        <v>2.4231393628500918E-2</v>
      </c>
      <c r="J33" s="246">
        <f t="shared" si="9"/>
        <v>2.2152988119546559E-2</v>
      </c>
      <c r="K33" s="246">
        <f t="shared" si="9"/>
        <v>2.4240241851011583E-2</v>
      </c>
      <c r="L33" s="246">
        <f t="shared" si="9"/>
        <v>2.0025838669226893E-2</v>
      </c>
      <c r="M33" s="246">
        <f t="shared" si="9"/>
        <v>1.9858785541754412E-2</v>
      </c>
      <c r="N33" s="246">
        <f t="shared" si="9"/>
        <v>1.6426288191542168E-2</v>
      </c>
      <c r="O33" s="246">
        <f t="shared" si="9"/>
        <v>1.9573534785482388E-2</v>
      </c>
      <c r="P33" s="246">
        <f t="shared" si="9"/>
        <v>1.9615908656433211E-2</v>
      </c>
      <c r="Q33" s="246">
        <f t="shared" si="9"/>
        <v>2.0754275907838484E-2</v>
      </c>
      <c r="R33" s="246">
        <f t="shared" si="9"/>
        <v>2.0681190951671532E-2</v>
      </c>
      <c r="S33" s="246">
        <f t="shared" si="9"/>
        <v>1.9717516203602282E-2</v>
      </c>
      <c r="T33" s="246">
        <f t="shared" si="9"/>
        <v>2.0662457085754309E-2</v>
      </c>
      <c r="U33" s="246">
        <f t="shared" si="9"/>
        <v>1.8513496367523027E-2</v>
      </c>
      <c r="V33" s="246">
        <f t="shared" si="9"/>
        <v>1.9736076033655518E-2</v>
      </c>
      <c r="W33" s="246">
        <f t="shared" si="9"/>
        <v>2.13554510664699E-2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3.4378056818125224E-2</v>
      </c>
      <c r="C34" s="246">
        <f t="shared" si="10"/>
        <v>3.7255130785233584E-2</v>
      </c>
      <c r="D34" s="246">
        <f t="shared" si="10"/>
        <v>3.5701583347263657E-2</v>
      </c>
      <c r="E34" s="246">
        <f t="shared" si="10"/>
        <v>3.4143622746698687E-2</v>
      </c>
      <c r="F34" s="246">
        <f t="shared" si="10"/>
        <v>3.4960051836560369E-2</v>
      </c>
      <c r="G34" s="246">
        <f t="shared" si="10"/>
        <v>4.182775644445294E-2</v>
      </c>
      <c r="H34" s="246">
        <f t="shared" si="10"/>
        <v>4.8549960647785585E-2</v>
      </c>
      <c r="I34" s="246">
        <f t="shared" si="10"/>
        <v>4.8153406455373478E-2</v>
      </c>
      <c r="J34" s="246">
        <f t="shared" si="10"/>
        <v>4.4023132035909206E-2</v>
      </c>
      <c r="K34" s="246">
        <f t="shared" si="10"/>
        <v>4.8170989928346425E-2</v>
      </c>
      <c r="L34" s="246">
        <f t="shared" si="10"/>
        <v>3.9795992085027911E-2</v>
      </c>
      <c r="M34" s="246">
        <f t="shared" si="10"/>
        <v>3.946401872558554E-2</v>
      </c>
      <c r="N34" s="246">
        <f t="shared" si="10"/>
        <v>3.2642849353496553E-2</v>
      </c>
      <c r="O34" s="246">
        <f t="shared" si="10"/>
        <v>3.8897159228395359E-2</v>
      </c>
      <c r="P34" s="246">
        <f t="shared" si="10"/>
        <v>3.8981365950561869E-2</v>
      </c>
      <c r="Q34" s="246">
        <f t="shared" si="10"/>
        <v>4.1243566044902688E-2</v>
      </c>
      <c r="R34" s="246">
        <f t="shared" si="10"/>
        <v>4.1098329264301632E-2</v>
      </c>
      <c r="S34" s="246">
        <f t="shared" si="10"/>
        <v>3.9183283743354884E-2</v>
      </c>
      <c r="T34" s="246">
        <f t="shared" si="10"/>
        <v>4.1061100722112789E-2</v>
      </c>
      <c r="U34" s="246">
        <f t="shared" si="10"/>
        <v>3.6790616716607258E-2</v>
      </c>
      <c r="V34" s="246">
        <f t="shared" si="10"/>
        <v>3.9220166435865171E-2</v>
      </c>
      <c r="W34" s="246">
        <f t="shared" si="10"/>
        <v>4.2438240697474178E-2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0.28873297259913849</v>
      </c>
      <c r="C35" s="247">
        <f t="shared" si="11"/>
        <v>0.2958514255525308</v>
      </c>
      <c r="D35" s="247">
        <f t="shared" si="11"/>
        <v>0.29689767146802104</v>
      </c>
      <c r="E35" s="247">
        <f t="shared" si="11"/>
        <v>0.29117485639279722</v>
      </c>
      <c r="F35" s="247">
        <f t="shared" si="11"/>
        <v>0.29004152467946348</v>
      </c>
      <c r="G35" s="247">
        <f t="shared" si="11"/>
        <v>0.32055111043306234</v>
      </c>
      <c r="H35" s="247">
        <f t="shared" si="11"/>
        <v>0.33118704743010652</v>
      </c>
      <c r="I35" s="247">
        <f t="shared" si="11"/>
        <v>0.32967845639031496</v>
      </c>
      <c r="J35" s="247">
        <f t="shared" si="11"/>
        <v>0.32223412570554183</v>
      </c>
      <c r="K35" s="247">
        <f t="shared" si="11"/>
        <v>0.3307336480921198</v>
      </c>
      <c r="L35" s="247">
        <f t="shared" si="11"/>
        <v>0.32023358718896217</v>
      </c>
      <c r="M35" s="247">
        <f t="shared" si="11"/>
        <v>0.32019184507556625</v>
      </c>
      <c r="N35" s="247">
        <f t="shared" si="11"/>
        <v>0.32264612224401418</v>
      </c>
      <c r="O35" s="247">
        <f t="shared" si="11"/>
        <v>0.31791934531619226</v>
      </c>
      <c r="P35" s="247">
        <f t="shared" si="11"/>
        <v>0.31587549295874784</v>
      </c>
      <c r="Q35" s="247">
        <f t="shared" si="11"/>
        <v>0.31717202678974882</v>
      </c>
      <c r="R35" s="247">
        <f t="shared" si="11"/>
        <v>0.31651627763985962</v>
      </c>
      <c r="S35" s="247">
        <f t="shared" si="11"/>
        <v>0.31282589047796105</v>
      </c>
      <c r="T35" s="247">
        <f t="shared" si="11"/>
        <v>0.31602965203105227</v>
      </c>
      <c r="U35" s="247">
        <f t="shared" si="11"/>
        <v>0.31356529158141044</v>
      </c>
      <c r="V35" s="247">
        <f t="shared" si="11"/>
        <v>0.31385156165571942</v>
      </c>
      <c r="W35" s="247">
        <f t="shared" si="11"/>
        <v>0.31877602776508085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0.19197959376084461</v>
      </c>
      <c r="C36" s="260">
        <f t="shared" si="12"/>
        <v>0.19200451004445337</v>
      </c>
      <c r="D36" s="260">
        <f t="shared" si="12"/>
        <v>0.20020078495420796</v>
      </c>
      <c r="E36" s="260">
        <f t="shared" si="12"/>
        <v>0.19679711032363972</v>
      </c>
      <c r="F36" s="260">
        <f t="shared" si="12"/>
        <v>0.19226649459345493</v>
      </c>
      <c r="G36" s="260">
        <f t="shared" si="12"/>
        <v>0.2149266488059656</v>
      </c>
      <c r="H36" s="260">
        <f t="shared" si="12"/>
        <v>0.19807918440481936</v>
      </c>
      <c r="I36" s="260">
        <f t="shared" si="12"/>
        <v>0.19867557336131786</v>
      </c>
      <c r="J36" s="260">
        <f t="shared" si="12"/>
        <v>0.20721640907483729</v>
      </c>
      <c r="K36" s="260">
        <f t="shared" si="12"/>
        <v>0.19924632091309513</v>
      </c>
      <c r="L36" s="260">
        <f t="shared" si="12"/>
        <v>0.21709644967092767</v>
      </c>
      <c r="M36" s="260">
        <f t="shared" si="12"/>
        <v>0.21698188587658912</v>
      </c>
      <c r="N36" s="260">
        <f t="shared" si="12"/>
        <v>0.22810460302778413</v>
      </c>
      <c r="O36" s="260">
        <f t="shared" si="12"/>
        <v>0.21611236588807592</v>
      </c>
      <c r="P36" s="260">
        <f t="shared" si="12"/>
        <v>0.2180880690107812</v>
      </c>
      <c r="Q36" s="260">
        <f t="shared" si="12"/>
        <v>0.21323876086334081</v>
      </c>
      <c r="R36" s="260">
        <f t="shared" si="12"/>
        <v>0.21312971326830896</v>
      </c>
      <c r="S36" s="260">
        <f t="shared" si="12"/>
        <v>0.2148483163830954</v>
      </c>
      <c r="T36" s="260">
        <f t="shared" si="12"/>
        <v>0.21107904899489899</v>
      </c>
      <c r="U36" s="260">
        <f t="shared" si="12"/>
        <v>0.21828170985047224</v>
      </c>
      <c r="V36" s="260">
        <f t="shared" si="12"/>
        <v>0.21355673557338911</v>
      </c>
      <c r="W36" s="260">
        <f t="shared" si="12"/>
        <v>0.2111485964486555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0.34777043023443316</v>
      </c>
      <c r="C37" s="260">
        <f t="shared" si="13"/>
        <v>0.32843071492090126</v>
      </c>
      <c r="D37" s="260">
        <f t="shared" si="13"/>
        <v>0.32466961611899314</v>
      </c>
      <c r="E37" s="260">
        <f t="shared" si="13"/>
        <v>0.34085654964479395</v>
      </c>
      <c r="F37" s="260">
        <f t="shared" si="13"/>
        <v>0.34366990024714911</v>
      </c>
      <c r="G37" s="260">
        <f t="shared" si="13"/>
        <v>0.25834689911298919</v>
      </c>
      <c r="H37" s="260">
        <f t="shared" si="13"/>
        <v>0.23833599650613202</v>
      </c>
      <c r="I37" s="260">
        <f t="shared" si="13"/>
        <v>0.24084856829164908</v>
      </c>
      <c r="J37" s="260">
        <f t="shared" si="13"/>
        <v>0.25610726685461455</v>
      </c>
      <c r="K37" s="260">
        <f t="shared" si="13"/>
        <v>0.23907133882508597</v>
      </c>
      <c r="L37" s="260">
        <f t="shared" si="13"/>
        <v>0.26481334541193136</v>
      </c>
      <c r="M37" s="260">
        <f t="shared" si="13"/>
        <v>0.26639195930692988</v>
      </c>
      <c r="N37" s="260">
        <f t="shared" si="13"/>
        <v>0.28022684836354439</v>
      </c>
      <c r="O37" s="260">
        <f t="shared" si="13"/>
        <v>0.27205328061470518</v>
      </c>
      <c r="P37" s="260">
        <f t="shared" si="13"/>
        <v>0.27149880960122769</v>
      </c>
      <c r="Q37" s="260">
        <f t="shared" si="13"/>
        <v>0.26611669970821761</v>
      </c>
      <c r="R37" s="260">
        <f t="shared" si="13"/>
        <v>0.26751167574534135</v>
      </c>
      <c r="S37" s="260">
        <f t="shared" si="13"/>
        <v>0.2773682220820643</v>
      </c>
      <c r="T37" s="260">
        <f t="shared" si="13"/>
        <v>0.27048257616914745</v>
      </c>
      <c r="U37" s="260">
        <f t="shared" si="13"/>
        <v>0.28287368440779653</v>
      </c>
      <c r="V37" s="260">
        <f t="shared" si="13"/>
        <v>0.27765155505021366</v>
      </c>
      <c r="W37" s="260">
        <f t="shared" si="13"/>
        <v>0.26182100037457612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2.5823335192428399E-2</v>
      </c>
      <c r="C38" s="260">
        <f t="shared" si="14"/>
        <v>2.5826686702507005E-2</v>
      </c>
      <c r="D38" s="260">
        <f t="shared" si="14"/>
        <v>2.6929174473095539E-2</v>
      </c>
      <c r="E38" s="260">
        <f t="shared" si="14"/>
        <v>2.647134336120861E-2</v>
      </c>
      <c r="F38" s="260">
        <f t="shared" si="14"/>
        <v>2.5861926462585536E-2</v>
      </c>
      <c r="G38" s="260">
        <f t="shared" si="14"/>
        <v>2.8909962695388133E-2</v>
      </c>
      <c r="H38" s="260">
        <f t="shared" si="14"/>
        <v>2.6643796214614837E-2</v>
      </c>
      <c r="I38" s="260">
        <f t="shared" si="14"/>
        <v>2.6724016990307832E-2</v>
      </c>
      <c r="J38" s="260">
        <f t="shared" si="14"/>
        <v>2.7872851921839286E-2</v>
      </c>
      <c r="K38" s="260">
        <f t="shared" si="14"/>
        <v>2.6800788719276922E-2</v>
      </c>
      <c r="L38" s="260">
        <f t="shared" si="14"/>
        <v>2.920182441849678E-2</v>
      </c>
      <c r="M38" s="260">
        <f t="shared" si="14"/>
        <v>2.9186414347019043E-2</v>
      </c>
      <c r="N38" s="260">
        <f t="shared" si="14"/>
        <v>3.0682540303008359E-2</v>
      </c>
      <c r="O38" s="260">
        <f t="shared" si="14"/>
        <v>2.9069454488525638E-2</v>
      </c>
      <c r="P38" s="260">
        <f t="shared" si="14"/>
        <v>2.9335207962521943E-2</v>
      </c>
      <c r="Q38" s="260">
        <f t="shared" si="14"/>
        <v>2.86829234811894E-2</v>
      </c>
      <c r="R38" s="260">
        <f t="shared" si="14"/>
        <v>2.8668255398278743E-2</v>
      </c>
      <c r="S38" s="260">
        <f t="shared" si="14"/>
        <v>2.8899426135889372E-2</v>
      </c>
      <c r="T38" s="260">
        <f t="shared" si="14"/>
        <v>2.8392418837412958E-2</v>
      </c>
      <c r="U38" s="260">
        <f t="shared" si="14"/>
        <v>2.9361254753289281E-2</v>
      </c>
      <c r="V38" s="260">
        <f t="shared" si="14"/>
        <v>2.8725694524504138E-2</v>
      </c>
      <c r="W38" s="260">
        <f t="shared" si="14"/>
        <v>2.8401773723393042E-2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2.6614563370345838E-2</v>
      </c>
      <c r="C39" s="260">
        <f t="shared" si="15"/>
        <v>2.8841916353787467E-2</v>
      </c>
      <c r="D39" s="260">
        <f t="shared" si="15"/>
        <v>2.7639201873576113E-2</v>
      </c>
      <c r="E39" s="260">
        <f t="shared" si="15"/>
        <v>2.6433070842040388E-2</v>
      </c>
      <c r="F39" s="260">
        <f t="shared" si="15"/>
        <v>2.706512819957145E-2</v>
      </c>
      <c r="G39" s="260">
        <f t="shared" si="15"/>
        <v>3.2381919676837449E-2</v>
      </c>
      <c r="H39" s="260">
        <f t="shared" si="15"/>
        <v>3.758606866944935E-2</v>
      </c>
      <c r="I39" s="260">
        <f t="shared" si="15"/>
        <v>3.727906712077067E-2</v>
      </c>
      <c r="J39" s="260">
        <f t="shared" si="15"/>
        <v>3.4081520183917795E-2</v>
      </c>
      <c r="K39" s="260">
        <f t="shared" si="15"/>
        <v>3.7292679770787041E-2</v>
      </c>
      <c r="L39" s="260">
        <f t="shared" si="15"/>
        <v>3.080898256804139E-2</v>
      </c>
      <c r="M39" s="260">
        <f t="shared" si="15"/>
        <v>3.0551977756545275E-2</v>
      </c>
      <c r="N39" s="260">
        <f t="shared" si="15"/>
        <v>2.5271212602372577E-2</v>
      </c>
      <c r="O39" s="260">
        <f t="shared" si="15"/>
        <v>3.0113130439203668E-2</v>
      </c>
      <c r="P39" s="260">
        <f t="shared" si="15"/>
        <v>3.0178321009897251E-2</v>
      </c>
      <c r="Q39" s="260">
        <f t="shared" si="15"/>
        <v>3.1929655242828453E-2</v>
      </c>
      <c r="R39" s="260">
        <f t="shared" si="15"/>
        <v>3.1817216848725446E-2</v>
      </c>
      <c r="S39" s="260">
        <f t="shared" si="15"/>
        <v>3.0334640313234289E-2</v>
      </c>
      <c r="T39" s="260">
        <f t="shared" si="15"/>
        <v>3.1788395516545102E-2</v>
      </c>
      <c r="U39" s="260">
        <f t="shared" si="15"/>
        <v>2.8482302103881581E-2</v>
      </c>
      <c r="V39" s="260">
        <f t="shared" si="15"/>
        <v>3.0363193897931566E-2</v>
      </c>
      <c r="W39" s="260">
        <f t="shared" si="15"/>
        <v>3.2854540102261409E-2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4.0562317830977461E-2</v>
      </c>
      <c r="C40" s="262">
        <f t="shared" si="16"/>
        <v>4.3956947995633849E-2</v>
      </c>
      <c r="D40" s="262">
        <f t="shared" si="16"/>
        <v>4.212393325376481E-2</v>
      </c>
      <c r="E40" s="262">
        <f t="shared" si="16"/>
        <v>4.0285711466460664E-2</v>
      </c>
      <c r="F40" s="262">
        <f t="shared" si="16"/>
        <v>4.1249007804139787E-2</v>
      </c>
      <c r="G40" s="262">
        <f t="shared" si="16"/>
        <v>4.9352142270068587E-2</v>
      </c>
      <c r="H40" s="262">
        <f t="shared" si="16"/>
        <v>5.7283602295946208E-2</v>
      </c>
      <c r="I40" s="262">
        <f t="shared" si="16"/>
        <v>5.6815712057852644E-2</v>
      </c>
      <c r="J40" s="262">
        <f t="shared" si="16"/>
        <v>5.1942443489539129E-2</v>
      </c>
      <c r="K40" s="262">
        <f t="shared" si="16"/>
        <v>5.6836458617877068E-2</v>
      </c>
      <c r="L40" s="262">
        <f t="shared" si="16"/>
        <v>4.6954884270855521E-2</v>
      </c>
      <c r="M40" s="262">
        <f t="shared" si="16"/>
        <v>4.656319229744478E-2</v>
      </c>
      <c r="N40" s="262">
        <f t="shared" si="16"/>
        <v>3.8514964280562593E-2</v>
      </c>
      <c r="O40" s="262">
        <f t="shared" si="16"/>
        <v>4.5894360571085709E-2</v>
      </c>
      <c r="P40" s="262">
        <f t="shared" si="16"/>
        <v>4.5993715221818082E-2</v>
      </c>
      <c r="Q40" s="262">
        <f t="shared" si="16"/>
        <v>4.8662861989169436E-2</v>
      </c>
      <c r="R40" s="262">
        <f t="shared" si="16"/>
        <v>4.8491498596332706E-2</v>
      </c>
      <c r="S40" s="262">
        <f t="shared" si="16"/>
        <v>4.6231955961553016E-2</v>
      </c>
      <c r="T40" s="262">
        <f t="shared" si="16"/>
        <v>4.8447573019950188E-2</v>
      </c>
      <c r="U40" s="262">
        <f t="shared" si="16"/>
        <v>4.340887259427359E-2</v>
      </c>
      <c r="V40" s="262">
        <f t="shared" si="16"/>
        <v>4.6275473473435108E-2</v>
      </c>
      <c r="W40" s="262">
        <f t="shared" si="16"/>
        <v>5.0072446399905185E-2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0.36988494136102246</v>
      </c>
      <c r="C44" s="238">
        <f>IF(C$5=0,0,C$5/AGR_fec!C$5)</f>
        <v>0.37716527399217514</v>
      </c>
      <c r="D44" s="238">
        <f>IF(D$5=0,0,D$5/AGR_fec!D$5)</f>
        <v>0.3773916571504457</v>
      </c>
      <c r="E44" s="238">
        <f>IF(E$5=0,0,E$5/AGR_fec!E$5)</f>
        <v>0.37256579160988007</v>
      </c>
      <c r="F44" s="238">
        <f>IF(F$5=0,0,F$5/AGR_fec!F$5)</f>
        <v>0.37207278217990547</v>
      </c>
      <c r="G44" s="238">
        <f>IF(G$5=0,0,G$5/AGR_fec!G$5)</f>
        <v>0.40561371643898919</v>
      </c>
      <c r="H44" s="238">
        <f>IF(H$5=0,0,H$5/AGR_fec!H$5)</f>
        <v>0.42003122461767417</v>
      </c>
      <c r="I44" s="238">
        <f>IF(I$5=0,0,I$5/AGR_fec!I$5)</f>
        <v>0.41835586310377026</v>
      </c>
      <c r="J44" s="238">
        <f>IF(J$5=0,0,J$5/AGR_fec!J$5)</f>
        <v>0.40829413843817702</v>
      </c>
      <c r="K44" s="238">
        <f>IF(K$5=0,0,K$5/AGR_fec!K$5)</f>
        <v>0.41948910393629596</v>
      </c>
      <c r="L44" s="238">
        <f>IF(L$5=0,0,L$5/AGR_fec!L$5)</f>
        <v>0.40221681317503161</v>
      </c>
      <c r="M44" s="238">
        <f>IF(M$5=0,0,M$5/AGR_fec!M$5)</f>
        <v>0.40123171535782387</v>
      </c>
      <c r="N44" s="238">
        <f>IF(N$5=0,0,N$5/AGR_fec!N$5)</f>
        <v>0.39335137655363095</v>
      </c>
      <c r="O44" s="238">
        <f>IF(O$5=0,0,O$5/AGR_fec!O$5)</f>
        <v>0.39826263245946442</v>
      </c>
      <c r="P44" s="238">
        <f>IF(P$5=0,0,P$5/AGR_fec!P$5)</f>
        <v>0.39683042077569625</v>
      </c>
      <c r="Q44" s="238">
        <f>IF(Q$5=0,0,Q$5/AGR_fec!Q$5)</f>
        <v>0.40032444080510626</v>
      </c>
      <c r="R44" s="238">
        <f>IF(R$5=0,0,R$5/AGR_fec!R$5)</f>
        <v>0.39968455164500355</v>
      </c>
      <c r="S44" s="238">
        <f>IF(S$5=0,0,S$5/AGR_fec!S$5)</f>
        <v>0.39417185297441198</v>
      </c>
      <c r="T44" s="238">
        <f>IF(T$5=0,0,T$5/AGR_fec!T$5)</f>
        <v>0.39838456066278433</v>
      </c>
      <c r="U44" s="238">
        <f>IF(U$5=0,0,U$5/AGR_fec!U$5)</f>
        <v>0.39116270965840616</v>
      </c>
      <c r="V44" s="238">
        <f>IF(V$5=0,0,V$5/AGR_fec!V$5)</f>
        <v>0.39421934129463748</v>
      </c>
      <c r="W44" s="238">
        <f>IF(W$5=0,0,W$5/AGR_fec!W$5)</f>
        <v>0.40216871817087518</v>
      </c>
      <c r="DA44" s="287"/>
    </row>
    <row r="45" spans="1:105" x14ac:dyDescent="0.25">
      <c r="A45" s="239" t="s">
        <v>125</v>
      </c>
      <c r="B45" s="251">
        <f>IF(B$6=0,0,B$6/AGR_fec!B$6)</f>
        <v>0.49199054736422471</v>
      </c>
      <c r="C45" s="251">
        <f>IF(C$6=0,0,C$6/AGR_fec!C$6)</f>
        <v>0.49199054736422465</v>
      </c>
      <c r="D45" s="251">
        <f>IF(D$6=0,0,D$6/AGR_fec!D$6)</f>
        <v>0.49199054736422471</v>
      </c>
      <c r="E45" s="251">
        <f>IF(E$6=0,0,E$6/AGR_fec!E$6)</f>
        <v>0.49199054736422465</v>
      </c>
      <c r="F45" s="251">
        <f>IF(F$6=0,0,F$6/AGR_fec!F$6)</f>
        <v>0.49199054736422448</v>
      </c>
      <c r="G45" s="251">
        <f>IF(G$6=0,0,G$6/AGR_fec!G$6)</f>
        <v>0.49199054736422421</v>
      </c>
      <c r="H45" s="251">
        <f>IF(H$6=0,0,H$6/AGR_fec!H$6)</f>
        <v>0.49199054736422432</v>
      </c>
      <c r="I45" s="251">
        <f>IF(I$6=0,0,I$6/AGR_fec!I$6)</f>
        <v>0.49199054736422476</v>
      </c>
      <c r="J45" s="251">
        <f>IF(J$6=0,0,J$6/AGR_fec!J$6)</f>
        <v>0.49199054736422437</v>
      </c>
      <c r="K45" s="251">
        <f>IF(K$6=0,0,K$6/AGR_fec!K$6)</f>
        <v>0.49199054736422471</v>
      </c>
      <c r="L45" s="251">
        <f>IF(L$6=0,0,L$6/AGR_fec!L$6)</f>
        <v>0.49199054736422454</v>
      </c>
      <c r="M45" s="251">
        <f>IF(M$6=0,0,M$6/AGR_fec!M$6)</f>
        <v>0.49199054736422471</v>
      </c>
      <c r="N45" s="251">
        <f>IF(N$6=0,0,N$6/AGR_fec!N$6)</f>
        <v>0.49199054736422465</v>
      </c>
      <c r="O45" s="251">
        <f>IF(O$6=0,0,O$6/AGR_fec!O$6)</f>
        <v>0.49199054736422448</v>
      </c>
      <c r="P45" s="251">
        <f>IF(P$6=0,0,P$6/AGR_fec!P$6)</f>
        <v>0.49199054736422448</v>
      </c>
      <c r="Q45" s="251">
        <f>IF(Q$6=0,0,Q$6/AGR_fec!Q$6)</f>
        <v>0.49199054736422471</v>
      </c>
      <c r="R45" s="251">
        <f>IF(R$6=0,0,R$6/AGR_fec!R$6)</f>
        <v>0.49199054736422454</v>
      </c>
      <c r="S45" s="251">
        <f>IF(S$6=0,0,S$6/AGR_fec!S$6)</f>
        <v>0.49199054736422437</v>
      </c>
      <c r="T45" s="251">
        <f>IF(T$6=0,0,T$6/AGR_fec!T$6)</f>
        <v>0.49199054736422465</v>
      </c>
      <c r="U45" s="251">
        <f>IF(U$6=0,0,U$6/AGR_fec!U$6)</f>
        <v>0.4919905473642246</v>
      </c>
      <c r="V45" s="251">
        <f>IF(V$6=0,0,V$6/AGR_fec!V$6)</f>
        <v>0.49199054736422448</v>
      </c>
      <c r="W45" s="251">
        <f>IF(W$6=0,0,W$6/AGR_fec!W$6)</f>
        <v>0.4919905473642246</v>
      </c>
      <c r="DA45" s="288"/>
    </row>
    <row r="46" spans="1:105" x14ac:dyDescent="0.25">
      <c r="A46" s="241" t="s">
        <v>124</v>
      </c>
      <c r="B46" s="252">
        <f>IF(B$7=0,0,B$7/AGR_fec!B$7)</f>
        <v>0.48787156007636462</v>
      </c>
      <c r="C46" s="252">
        <f>IF(C$7=0,0,C$7/AGR_fec!C$7)</f>
        <v>0.48787156007636456</v>
      </c>
      <c r="D46" s="252">
        <f>IF(D$7=0,0,D$7/AGR_fec!D$7)</f>
        <v>0.48787156007636462</v>
      </c>
      <c r="E46" s="252">
        <f>IF(E$7=0,0,E$7/AGR_fec!E$7)</f>
        <v>0.48787156007636434</v>
      </c>
      <c r="F46" s="252">
        <f>IF(F$7=0,0,F$7/AGR_fec!F$7)</f>
        <v>0.48787156007636451</v>
      </c>
      <c r="G46" s="252">
        <f>IF(G$7=0,0,G$7/AGR_fec!G$7)</f>
        <v>0.48787156007636451</v>
      </c>
      <c r="H46" s="252">
        <f>IF(H$7=0,0,H$7/AGR_fec!H$7)</f>
        <v>0.4878715600763644</v>
      </c>
      <c r="I46" s="252">
        <f>IF(I$7=0,0,I$7/AGR_fec!I$7)</f>
        <v>0.48787156007636445</v>
      </c>
      <c r="J46" s="252">
        <f>IF(J$7=0,0,J$7/AGR_fec!J$7)</f>
        <v>0.4878715600763644</v>
      </c>
      <c r="K46" s="252">
        <f>IF(K$7=0,0,K$7/AGR_fec!K$7)</f>
        <v>0.48787156007636445</v>
      </c>
      <c r="L46" s="252">
        <f>IF(L$7=0,0,L$7/AGR_fec!L$7)</f>
        <v>0.4878715600763644</v>
      </c>
      <c r="M46" s="252">
        <f>IF(M$7=0,0,M$7/AGR_fec!M$7)</f>
        <v>0.48787156007636451</v>
      </c>
      <c r="N46" s="252">
        <f>IF(N$7=0,0,N$7/AGR_fec!N$7)</f>
        <v>0.48787156007636451</v>
      </c>
      <c r="O46" s="252">
        <f>IF(O$7=0,0,O$7/AGR_fec!O$7)</f>
        <v>0.48787156007636451</v>
      </c>
      <c r="P46" s="252">
        <f>IF(P$7=0,0,P$7/AGR_fec!P$7)</f>
        <v>0.48787156007636462</v>
      </c>
      <c r="Q46" s="252">
        <f>IF(Q$7=0,0,Q$7/AGR_fec!Q$7)</f>
        <v>0.48787156007636462</v>
      </c>
      <c r="R46" s="252">
        <f>IF(R$7=0,0,R$7/AGR_fec!R$7)</f>
        <v>0.48787156007636462</v>
      </c>
      <c r="S46" s="252">
        <f>IF(S$7=0,0,S$7/AGR_fec!S$7)</f>
        <v>0.48787156007636429</v>
      </c>
      <c r="T46" s="252">
        <f>IF(T$7=0,0,T$7/AGR_fec!T$7)</f>
        <v>0.48787156007636456</v>
      </c>
      <c r="U46" s="252">
        <f>IF(U$7=0,0,U$7/AGR_fec!U$7)</f>
        <v>0.48787156007636445</v>
      </c>
      <c r="V46" s="252">
        <f>IF(V$7=0,0,V$7/AGR_fec!V$7)</f>
        <v>0.48787156007636445</v>
      </c>
      <c r="W46" s="252">
        <f>IF(W$7=0,0,W$7/AGR_fec!W$7)</f>
        <v>0.48787156007636417</v>
      </c>
      <c r="DA46" s="289"/>
    </row>
    <row r="47" spans="1:105" x14ac:dyDescent="0.25">
      <c r="A47" s="241" t="s">
        <v>123</v>
      </c>
      <c r="B47" s="252">
        <f>IF(B$8=0,0,B$8/AGR_fec!B$8)</f>
        <v>0.70020462017424145</v>
      </c>
      <c r="C47" s="252">
        <f>IF(C$8=0,0,C$8/AGR_fec!C$8)</f>
        <v>0.70020462017424157</v>
      </c>
      <c r="D47" s="252">
        <f>IF(D$8=0,0,D$8/AGR_fec!D$8)</f>
        <v>0.70020462017424101</v>
      </c>
      <c r="E47" s="252">
        <f>IF(E$8=0,0,E$8/AGR_fec!E$8)</f>
        <v>0.70020462017424157</v>
      </c>
      <c r="F47" s="252">
        <f>IF(F$8=0,0,F$8/AGR_fec!F$8)</f>
        <v>0.70020462017424168</v>
      </c>
      <c r="G47" s="252">
        <f>IF(G$8=0,0,G$8/AGR_fec!G$8)</f>
        <v>0.70020462017424079</v>
      </c>
      <c r="H47" s="252">
        <f>IF(H$8=0,0,H$8/AGR_fec!H$8)</f>
        <v>0.70020462017424112</v>
      </c>
      <c r="I47" s="252">
        <f>IF(I$8=0,0,I$8/AGR_fec!I$8)</f>
        <v>0.70020462017424145</v>
      </c>
      <c r="J47" s="252">
        <f>IF(J$8=0,0,J$8/AGR_fec!J$8)</f>
        <v>0.70020462017424101</v>
      </c>
      <c r="K47" s="252">
        <f>IF(K$8=0,0,K$8/AGR_fec!K$8)</f>
        <v>0.70020462017424145</v>
      </c>
      <c r="L47" s="252">
        <f>IF(L$8=0,0,L$8/AGR_fec!L$8)</f>
        <v>0.70020462017424145</v>
      </c>
      <c r="M47" s="252">
        <f>IF(M$8=0,0,M$8/AGR_fec!M$8)</f>
        <v>0.70020462017424112</v>
      </c>
      <c r="N47" s="252">
        <f>IF(N$8=0,0,N$8/AGR_fec!N$8)</f>
        <v>0.70020462017424157</v>
      </c>
      <c r="O47" s="252">
        <f>IF(O$8=0,0,O$8/AGR_fec!O$8)</f>
        <v>0.70020462017424134</v>
      </c>
      <c r="P47" s="252">
        <f>IF(P$8=0,0,P$8/AGR_fec!P$8)</f>
        <v>0.70020462017424134</v>
      </c>
      <c r="Q47" s="252">
        <f>IF(Q$8=0,0,Q$8/AGR_fec!Q$8)</f>
        <v>0.70020462017424112</v>
      </c>
      <c r="R47" s="252">
        <f>IF(R$8=0,0,R$8/AGR_fec!R$8)</f>
        <v>0.70020462017424157</v>
      </c>
      <c r="S47" s="252">
        <f>IF(S$8=0,0,S$8/AGR_fec!S$8)</f>
        <v>0.70020462017424145</v>
      </c>
      <c r="T47" s="252">
        <f>IF(T$8=0,0,T$8/AGR_fec!T$8)</f>
        <v>0.7002046201742409</v>
      </c>
      <c r="U47" s="252">
        <f>IF(U$8=0,0,U$8/AGR_fec!U$8)</f>
        <v>0.70020462017424134</v>
      </c>
      <c r="V47" s="252">
        <f>IF(V$8=0,0,V$8/AGR_fec!V$8)</f>
        <v>0.70020462017424112</v>
      </c>
      <c r="W47" s="252">
        <f>IF(W$8=0,0,W$8/AGR_fec!W$8)</f>
        <v>0.70020462017424145</v>
      </c>
      <c r="DA47" s="289"/>
    </row>
    <row r="48" spans="1:105" x14ac:dyDescent="0.25">
      <c r="A48" s="243" t="s">
        <v>122</v>
      </c>
      <c r="B48" s="253">
        <f>IF(B$9=0,0,B$9/AGR_fec!B$9)</f>
        <v>0.68192502780754138</v>
      </c>
      <c r="C48" s="253">
        <f>IF(C$9=0,0,C$9/AGR_fec!C$9)</f>
        <v>0.69069208613702748</v>
      </c>
      <c r="D48" s="253">
        <f>IF(D$9=0,0,D$9/AGR_fec!D$9)</f>
        <v>0.67891528299558435</v>
      </c>
      <c r="E48" s="253">
        <f>IF(E$9=0,0,E$9/AGR_fec!E$9)</f>
        <v>0.6773351695977079</v>
      </c>
      <c r="F48" s="253">
        <f>IF(F$9=0,0,F$9/AGR_fec!F$9)</f>
        <v>0.68330735795162711</v>
      </c>
      <c r="G48" s="253">
        <f>IF(G$9=0,0,G$9/AGR_fec!G$9)</f>
        <v>0.67950907418043405</v>
      </c>
      <c r="H48" s="253">
        <f>IF(H$9=0,0,H$9/AGR_fec!H$9)</f>
        <v>0.71399030161578037</v>
      </c>
      <c r="I48" s="253">
        <f>IF(I$9=0,0,I$9/AGR_fec!I$9)</f>
        <v>0.71253773205489923</v>
      </c>
      <c r="J48" s="253">
        <f>IF(J$9=0,0,J$9/AGR_fec!J$9)</f>
        <v>0.69245660393806674</v>
      </c>
      <c r="K48" s="253">
        <f>IF(K$9=0,0,K$9/AGR_fec!K$9)</f>
        <v>0.71125404885735377</v>
      </c>
      <c r="L48" s="253">
        <f>IF(L$9=0,0,L$9/AGR_fec!L$9)</f>
        <v>0.67432864834489525</v>
      </c>
      <c r="M48" s="253">
        <f>IF(M$9=0,0,M$9/AGR_fec!M$9)</f>
        <v>0.67405679353419112</v>
      </c>
      <c r="N48" s="253">
        <f>IF(N$9=0,0,N$9/AGR_fec!N$9)</f>
        <v>0.65725022260459476</v>
      </c>
      <c r="O48" s="253">
        <f>IF(O$9=0,0,O$9/AGR_fec!O$9)</f>
        <v>0.67373497797372373</v>
      </c>
      <c r="P48" s="253">
        <f>IF(P$9=0,0,P$9/AGR_fec!P$9)</f>
        <v>0.67130071905886801</v>
      </c>
      <c r="Q48" s="253">
        <f>IF(Q$9=0,0,Q$9/AGR_fec!Q$9)</f>
        <v>0.68024864713653499</v>
      </c>
      <c r="R48" s="253">
        <f>IF(R$9=0,0,R$9/AGR_fec!R$9)</f>
        <v>0.6800267099359395</v>
      </c>
      <c r="S48" s="253">
        <f>IF(S$9=0,0,S$9/AGR_fec!S$9)</f>
        <v>0.67436012198449602</v>
      </c>
      <c r="T48" s="253">
        <f>IF(T$9=0,0,T$9/AGR_fec!T$9)</f>
        <v>0.68226411065971149</v>
      </c>
      <c r="U48" s="253">
        <f>IF(U$9=0,0,U$9/AGR_fec!U$9)</f>
        <v>0.66763660027556693</v>
      </c>
      <c r="V48" s="253">
        <f>IF(V$9=0,0,V$9/AGR_fec!V$9)</f>
        <v>0.67608204908749303</v>
      </c>
      <c r="W48" s="253">
        <f>IF(W$9=0,0,W$9/AGR_fec!W$9)</f>
        <v>0.68503582885071879</v>
      </c>
      <c r="DA48" s="290"/>
    </row>
    <row r="49" spans="1:105" x14ac:dyDescent="0.25">
      <c r="A49" s="128" t="s">
        <v>175</v>
      </c>
      <c r="B49" s="265">
        <f>IF(B$16=0,0,B$16/AGR_fec!B$16)</f>
        <v>0.35205845327693602</v>
      </c>
      <c r="C49" s="265">
        <f>IF(C$16=0,0,C$16/AGR_fec!C$16)</f>
        <v>0.35205845327693597</v>
      </c>
      <c r="D49" s="265">
        <f>IF(D$16=0,0,D$16/AGR_fec!D$16)</f>
        <v>0.35205845327693608</v>
      </c>
      <c r="E49" s="265">
        <f>IF(E$16=0,0,E$16/AGR_fec!E$16)</f>
        <v>0.35205845327693597</v>
      </c>
      <c r="F49" s="265">
        <f>IF(F$16=0,0,F$16/AGR_fec!F$16)</f>
        <v>0.35205845327693597</v>
      </c>
      <c r="G49" s="265">
        <f>IF(G$16=0,0,G$16/AGR_fec!G$16)</f>
        <v>0.35205845327693608</v>
      </c>
      <c r="H49" s="265">
        <f>IF(H$16=0,0,H$16/AGR_fec!H$16)</f>
        <v>0.35205845327693602</v>
      </c>
      <c r="I49" s="265">
        <f>IF(I$16=0,0,I$16/AGR_fec!I$16)</f>
        <v>0.35205845327693608</v>
      </c>
      <c r="J49" s="265">
        <f>IF(J$16=0,0,J$16/AGR_fec!J$16)</f>
        <v>0.35205845327693597</v>
      </c>
      <c r="K49" s="265">
        <f>IF(K$16=0,0,K$16/AGR_fec!K$16)</f>
        <v>0.35205845327693597</v>
      </c>
      <c r="L49" s="265">
        <f>IF(L$16=0,0,L$16/AGR_fec!L$16)</f>
        <v>0.35205845327693602</v>
      </c>
      <c r="M49" s="265">
        <f>IF(M$16=0,0,M$16/AGR_fec!M$16)</f>
        <v>0.35205845327693608</v>
      </c>
      <c r="N49" s="265">
        <f>IF(N$16=0,0,N$16/AGR_fec!N$16)</f>
        <v>0.35205845327693597</v>
      </c>
      <c r="O49" s="265">
        <f>IF(O$16=0,0,O$16/AGR_fec!O$16)</f>
        <v>0.35205845327693613</v>
      </c>
      <c r="P49" s="265">
        <f>IF(P$16=0,0,P$16/AGR_fec!P$16)</f>
        <v>0.35205845327693613</v>
      </c>
      <c r="Q49" s="265">
        <f>IF(Q$16=0,0,Q$16/AGR_fec!Q$16)</f>
        <v>0.35205845327693597</v>
      </c>
      <c r="R49" s="265">
        <f>IF(R$16=0,0,R$16/AGR_fec!R$16)</f>
        <v>0.35205845327693608</v>
      </c>
      <c r="S49" s="265">
        <f>IF(S$16=0,0,S$16/AGR_fec!S$16)</f>
        <v>0.35205845327693613</v>
      </c>
      <c r="T49" s="265">
        <f>IF(T$16=0,0,T$16/AGR_fec!T$16)</f>
        <v>0.35205845327693619</v>
      </c>
      <c r="U49" s="265">
        <f>IF(U$16=0,0,U$16/AGR_fec!U$16)</f>
        <v>0.35205845327693602</v>
      </c>
      <c r="V49" s="265">
        <f>IF(V$16=0,0,V$16/AGR_fec!V$16)</f>
        <v>0.35205845327693586</v>
      </c>
      <c r="W49" s="265">
        <f>IF(W$16=0,0,W$16/AGR_fec!W$16)</f>
        <v>0.35205845327693608</v>
      </c>
      <c r="DA49" s="291"/>
    </row>
    <row r="50" spans="1:105" x14ac:dyDescent="0.25">
      <c r="A50" s="128" t="s">
        <v>121</v>
      </c>
      <c r="B50" s="265">
        <f>IF(B$17=0,0,B$17/AGR_fec!B$17)</f>
        <v>0.25622569357400432</v>
      </c>
      <c r="C50" s="265">
        <f>IF(C$17=0,0,C$17/AGR_fec!C$17)</f>
        <v>0.25713848241238435</v>
      </c>
      <c r="D50" s="265">
        <f>IF(D$17=0,0,D$17/AGR_fec!D$17)</f>
        <v>0.25947371438367589</v>
      </c>
      <c r="E50" s="265">
        <f>IF(E$17=0,0,E$17/AGR_fec!E$17)</f>
        <v>0.25883245703003543</v>
      </c>
      <c r="F50" s="265">
        <f>IF(F$17=0,0,F$17/AGR_fec!F$17)</f>
        <v>0.25748140510881745</v>
      </c>
      <c r="G50" s="265">
        <f>IF(G$17=0,0,G$17/AGR_fec!G$17)</f>
        <v>0.27660395519424869</v>
      </c>
      <c r="H50" s="265">
        <f>IF(H$17=0,0,H$17/AGR_fec!H$17)</f>
        <v>0.27682224126798177</v>
      </c>
      <c r="I50" s="265">
        <f>IF(I$17=0,0,I$17/AGR_fec!I$17)</f>
        <v>0.27594811554842141</v>
      </c>
      <c r="J50" s="265">
        <f>IF(J$17=0,0,J$17/AGR_fec!J$17)</f>
        <v>0.27453079403320679</v>
      </c>
      <c r="K50" s="265">
        <f>IF(K$17=0,0,K$17/AGR_fec!K$17)</f>
        <v>0.27735922062350954</v>
      </c>
      <c r="L50" s="265">
        <f>IF(L$17=0,0,L$17/AGR_fec!L$17)</f>
        <v>0.2757217759931691</v>
      </c>
      <c r="M50" s="265">
        <f>IF(M$17=0,0,M$17/AGR_fec!M$17)</f>
        <v>0.27479144666589206</v>
      </c>
      <c r="N50" s="265">
        <f>IF(N$17=0,0,N$17/AGR_fec!N$17)</f>
        <v>0.27474856988932306</v>
      </c>
      <c r="O50" s="265">
        <f>IF(O$17=0,0,O$17/AGR_fec!O$17)</f>
        <v>0.27243419657144613</v>
      </c>
      <c r="P50" s="265">
        <f>IF(P$17=0,0,P$17/AGR_fec!P$17)</f>
        <v>0.27105450959382066</v>
      </c>
      <c r="Q50" s="265">
        <f>IF(Q$17=0,0,Q$17/AGR_fec!Q$17)</f>
        <v>0.27088406961726791</v>
      </c>
      <c r="R50" s="265">
        <f>IF(R$17=0,0,R$17/AGR_fec!R$17)</f>
        <v>0.27055989904086541</v>
      </c>
      <c r="S50" s="265">
        <f>IF(S$17=0,0,S$17/AGR_fec!S$17)</f>
        <v>0.26807640577012021</v>
      </c>
      <c r="T50" s="265">
        <f>IF(T$17=0,0,T$17/AGR_fec!T$17)</f>
        <v>0.26876862664709933</v>
      </c>
      <c r="U50" s="265">
        <f>IF(U$17=0,0,U$17/AGR_fec!U$17)</f>
        <v>0.26793473959665964</v>
      </c>
      <c r="V50" s="265">
        <f>IF(V$17=0,0,V$17/AGR_fec!V$17)</f>
        <v>0.26746106155478233</v>
      </c>
      <c r="W50" s="265">
        <f>IF(W$17=0,0,W$17/AGR_fec!W$17)</f>
        <v>0.27006854253108425</v>
      </c>
      <c r="DA50" s="291"/>
    </row>
    <row r="51" spans="1:105" x14ac:dyDescent="0.25">
      <c r="A51" s="128" t="s">
        <v>174</v>
      </c>
      <c r="B51" s="265">
        <f>IF(B$25=0,0,B$25/AGR_fec!B$25)</f>
        <v>0.24644091729385523</v>
      </c>
      <c r="C51" s="265">
        <f>IF(C$25=0,0,C$25/AGR_fec!C$25)</f>
        <v>0.24644091729385526</v>
      </c>
      <c r="D51" s="265">
        <f>IF(D$25=0,0,D$25/AGR_fec!D$25)</f>
        <v>0.24644091729385523</v>
      </c>
      <c r="E51" s="265">
        <f>IF(E$25=0,0,E$25/AGR_fec!E$25)</f>
        <v>0.24644091729385523</v>
      </c>
      <c r="F51" s="265">
        <f>IF(F$25=0,0,F$25/AGR_fec!F$25)</f>
        <v>0.24644091729385523</v>
      </c>
      <c r="G51" s="265">
        <f>IF(G$25=0,0,G$25/AGR_fec!G$25)</f>
        <v>0.24644091729385523</v>
      </c>
      <c r="H51" s="265">
        <f>IF(H$25=0,0,H$25/AGR_fec!H$25)</f>
        <v>0.2464409172938552</v>
      </c>
      <c r="I51" s="265">
        <f>IF(I$25=0,0,I$25/AGR_fec!I$25)</f>
        <v>0.24644091729385523</v>
      </c>
      <c r="J51" s="265">
        <f>IF(J$25=0,0,J$25/AGR_fec!J$25)</f>
        <v>0.24644091729385517</v>
      </c>
      <c r="K51" s="265">
        <f>IF(K$25=0,0,K$25/AGR_fec!K$25)</f>
        <v>0.24644091729385523</v>
      </c>
      <c r="L51" s="265">
        <f>IF(L$25=0,0,L$25/AGR_fec!L$25)</f>
        <v>0.2464409172938552</v>
      </c>
      <c r="M51" s="265">
        <f>IF(M$25=0,0,M$25/AGR_fec!M$25)</f>
        <v>0.24644091729385526</v>
      </c>
      <c r="N51" s="265">
        <f>IF(N$25=0,0,N$25/AGR_fec!N$25)</f>
        <v>0.24644091729385523</v>
      </c>
      <c r="O51" s="265">
        <f>IF(O$25=0,0,O$25/AGR_fec!O$25)</f>
        <v>0.24644091729385523</v>
      </c>
      <c r="P51" s="265">
        <f>IF(P$25=0,0,P$25/AGR_fec!P$25)</f>
        <v>0.24644091729385526</v>
      </c>
      <c r="Q51" s="265">
        <f>IF(Q$25=0,0,Q$25/AGR_fec!Q$25)</f>
        <v>0.24644091729385526</v>
      </c>
      <c r="R51" s="265">
        <f>IF(R$25=0,0,R$25/AGR_fec!R$25)</f>
        <v>0.2464409172938552</v>
      </c>
      <c r="S51" s="265">
        <f>IF(S$25=0,0,S$25/AGR_fec!S$25)</f>
        <v>0.24644091729385523</v>
      </c>
      <c r="T51" s="265">
        <f>IF(T$25=0,0,T$25/AGR_fec!T$25)</f>
        <v>0.24644091729385528</v>
      </c>
      <c r="U51" s="265">
        <f>IF(U$25=0,0,U$25/AGR_fec!U$25)</f>
        <v>0.24644091729385528</v>
      </c>
      <c r="V51" s="265">
        <f>IF(V$25=0,0,V$25/AGR_fec!V$25)</f>
        <v>0.24644091729385526</v>
      </c>
      <c r="W51" s="265">
        <f>IF(W$25=0,0,W$25/AGR_fec!W$25)</f>
        <v>0.24644091729385523</v>
      </c>
      <c r="DA51" s="291"/>
    </row>
    <row r="52" spans="1:105" x14ac:dyDescent="0.25">
      <c r="A52" s="128" t="s">
        <v>177</v>
      </c>
      <c r="B52" s="265">
        <f>IF(B$26=0,0,B$26/AGR_fec!B$26)</f>
        <v>0.48787156007636462</v>
      </c>
      <c r="C52" s="265">
        <f>IF(C$26=0,0,C$26/AGR_fec!C$26)</f>
        <v>0.48787156007636445</v>
      </c>
      <c r="D52" s="265">
        <f>IF(D$26=0,0,D$26/AGR_fec!D$26)</f>
        <v>0.48787156007636462</v>
      </c>
      <c r="E52" s="265">
        <f>IF(E$26=0,0,E$26/AGR_fec!E$26)</f>
        <v>0.48787156007636462</v>
      </c>
      <c r="F52" s="265">
        <f>IF(F$26=0,0,F$26/AGR_fec!F$26)</f>
        <v>0.48787156007636434</v>
      </c>
      <c r="G52" s="265">
        <f>IF(G$26=0,0,G$26/AGR_fec!G$26)</f>
        <v>0.48787156007636445</v>
      </c>
      <c r="H52" s="265">
        <f>IF(H$26=0,0,H$26/AGR_fec!H$26)</f>
        <v>0.48787156007636445</v>
      </c>
      <c r="I52" s="265">
        <f>IF(I$26=0,0,I$26/AGR_fec!I$26)</f>
        <v>0.48787156007636467</v>
      </c>
      <c r="J52" s="265">
        <f>IF(J$26=0,0,J$26/AGR_fec!J$26)</f>
        <v>0.4878715600763644</v>
      </c>
      <c r="K52" s="265">
        <f>IF(K$26=0,0,K$26/AGR_fec!K$26)</f>
        <v>0.48787156007636429</v>
      </c>
      <c r="L52" s="265">
        <f>IF(L$26=0,0,L$26/AGR_fec!L$26)</f>
        <v>0.4878715600763644</v>
      </c>
      <c r="M52" s="265">
        <f>IF(M$26=0,0,M$26/AGR_fec!M$26)</f>
        <v>0.48787156007636462</v>
      </c>
      <c r="N52" s="265">
        <f>IF(N$26=0,0,N$26/AGR_fec!N$26)</f>
        <v>0.48787156007636456</v>
      </c>
      <c r="O52" s="265">
        <f>IF(O$26=0,0,O$26/AGR_fec!O$26)</f>
        <v>0.48787156007636434</v>
      </c>
      <c r="P52" s="265">
        <f>IF(P$26=0,0,P$26/AGR_fec!P$26)</f>
        <v>0.4878715600763644</v>
      </c>
      <c r="Q52" s="265">
        <f>IF(Q$26=0,0,Q$26/AGR_fec!Q$26)</f>
        <v>0.48787156007636456</v>
      </c>
      <c r="R52" s="265">
        <f>IF(R$26=0,0,R$26/AGR_fec!R$26)</f>
        <v>0.4878715600763644</v>
      </c>
      <c r="S52" s="265">
        <f>IF(S$26=0,0,S$26/AGR_fec!S$26)</f>
        <v>0.48787156007636434</v>
      </c>
      <c r="T52" s="265">
        <f>IF(T$26=0,0,T$26/AGR_fec!T$26)</f>
        <v>0.48787156007636456</v>
      </c>
      <c r="U52" s="265">
        <f>IF(U$26=0,0,U$26/AGR_fec!U$26)</f>
        <v>0.48787156007636451</v>
      </c>
      <c r="V52" s="265">
        <f>IF(V$26=0,0,V$26/AGR_fec!V$26)</f>
        <v>0.48787156007636445</v>
      </c>
      <c r="W52" s="265">
        <f>IF(W$26=0,0,W$26/AGR_fec!W$26)</f>
        <v>0.48787156007636451</v>
      </c>
      <c r="DA52" s="291"/>
    </row>
    <row r="53" spans="1:105" x14ac:dyDescent="0.25">
      <c r="A53" s="261" t="s">
        <v>33</v>
      </c>
      <c r="B53" s="266">
        <f>IF(B$27=0,0,B$27/AGR_fec!B$27)</f>
        <v>0.51279161830057962</v>
      </c>
      <c r="C53" s="266">
        <f>IF(C$27=0,0,C$27/AGR_fec!C$27)</f>
        <v>0.51279161830057962</v>
      </c>
      <c r="D53" s="266">
        <f>IF(D$27=0,0,D$27/AGR_fec!D$27)</f>
        <v>0.51279161830057973</v>
      </c>
      <c r="E53" s="266">
        <f>IF(E$27=0,0,E$27/AGR_fec!E$27)</f>
        <v>0.51279161830057973</v>
      </c>
      <c r="F53" s="266">
        <f>IF(F$27=0,0,F$27/AGR_fec!F$27)</f>
        <v>0.51279161830057973</v>
      </c>
      <c r="G53" s="266">
        <f>IF(G$27=0,0,G$27/AGR_fec!G$27)</f>
        <v>0.51279161830057984</v>
      </c>
      <c r="H53" s="266">
        <f>IF(H$27=0,0,H$27/AGR_fec!H$27)</f>
        <v>0.51279161830057951</v>
      </c>
      <c r="I53" s="266">
        <f>IF(I$27=0,0,I$27/AGR_fec!I$27)</f>
        <v>0.51279161830057962</v>
      </c>
      <c r="J53" s="266">
        <f>IF(J$27=0,0,J$27/AGR_fec!J$27)</f>
        <v>0.51279161830057962</v>
      </c>
      <c r="K53" s="266">
        <f>IF(K$27=0,0,K$27/AGR_fec!K$27)</f>
        <v>0.51279161830057984</v>
      </c>
      <c r="L53" s="266">
        <f>IF(L$27=0,0,L$27/AGR_fec!L$27)</f>
        <v>0.51279161830057962</v>
      </c>
      <c r="M53" s="266">
        <f>IF(M$27=0,0,M$27/AGR_fec!M$27)</f>
        <v>0.51279161830057973</v>
      </c>
      <c r="N53" s="266">
        <f>IF(N$27=0,0,N$27/AGR_fec!N$27)</f>
        <v>0.51279161830057984</v>
      </c>
      <c r="O53" s="266">
        <f>IF(O$27=0,0,O$27/AGR_fec!O$27)</f>
        <v>0.51279161830057984</v>
      </c>
      <c r="P53" s="266">
        <f>IF(P$27=0,0,P$27/AGR_fec!P$27)</f>
        <v>0.51279161830057973</v>
      </c>
      <c r="Q53" s="266">
        <f>IF(Q$27=0,0,Q$27/AGR_fec!Q$27)</f>
        <v>0.51279161830057973</v>
      </c>
      <c r="R53" s="266">
        <f>IF(R$27=0,0,R$27/AGR_fec!R$27)</f>
        <v>0.51279161830057984</v>
      </c>
      <c r="S53" s="266">
        <f>IF(S$27=0,0,S$27/AGR_fec!S$27)</f>
        <v>0.51279161830057973</v>
      </c>
      <c r="T53" s="266">
        <f>IF(T$27=0,0,T$27/AGR_fec!T$27)</f>
        <v>0.51279161830057973</v>
      </c>
      <c r="U53" s="266">
        <f>IF(U$27=0,0,U$27/AGR_fec!U$27)</f>
        <v>0.51279161830057984</v>
      </c>
      <c r="V53" s="266">
        <f>IF(V$27=0,0,V$27/AGR_fec!V$27)</f>
        <v>0.51279161830057995</v>
      </c>
      <c r="W53" s="266">
        <f>IF(W$27=0,0,W$27/AGR_fec!W$27)</f>
        <v>0.51279161830057973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1146.151018799977</v>
      </c>
      <c r="C5" s="80">
        <f t="shared" ref="C5:W5" si="0">SUM(C6:C9,C16:C17,C25:C27)</f>
        <v>1121.5272002398315</v>
      </c>
      <c r="D5" s="80">
        <f t="shared" si="0"/>
        <v>1392.1830928791696</v>
      </c>
      <c r="E5" s="80">
        <f t="shared" si="0"/>
        <v>1396.0596779995722</v>
      </c>
      <c r="F5" s="80">
        <f t="shared" si="0"/>
        <v>1244.3959616398429</v>
      </c>
      <c r="G5" s="80">
        <f t="shared" si="0"/>
        <v>1782.8154871182658</v>
      </c>
      <c r="H5" s="80">
        <f t="shared" si="0"/>
        <v>1572.9630760813925</v>
      </c>
      <c r="I5" s="80">
        <f t="shared" si="0"/>
        <v>1673.704710001246</v>
      </c>
      <c r="J5" s="80">
        <f t="shared" si="0"/>
        <v>1546.8964135175599</v>
      </c>
      <c r="K5" s="80">
        <f t="shared" si="0"/>
        <v>1472.4721702812576</v>
      </c>
      <c r="L5" s="80">
        <f t="shared" si="0"/>
        <v>1533.4204535985386</v>
      </c>
      <c r="M5" s="80">
        <f t="shared" si="0"/>
        <v>1439.4152242784662</v>
      </c>
      <c r="N5" s="80">
        <f t="shared" si="0"/>
        <v>1433.2100140787802</v>
      </c>
      <c r="O5" s="80">
        <f t="shared" si="0"/>
        <v>1425.9598970382683</v>
      </c>
      <c r="P5" s="80">
        <f t="shared" si="0"/>
        <v>1307.716741078443</v>
      </c>
      <c r="Q5" s="80">
        <f t="shared" si="0"/>
        <v>1185.9924088785501</v>
      </c>
      <c r="R5" s="80">
        <f t="shared" si="0"/>
        <v>1158.1985487585102</v>
      </c>
      <c r="S5" s="80">
        <f t="shared" si="0"/>
        <v>1026.7132607989709</v>
      </c>
      <c r="T5" s="80">
        <f t="shared" si="0"/>
        <v>936.49565483880178</v>
      </c>
      <c r="U5" s="80">
        <f t="shared" si="0"/>
        <v>985.10594507908718</v>
      </c>
      <c r="V5" s="80">
        <f t="shared" si="0"/>
        <v>875.92409243914881</v>
      </c>
      <c r="W5" s="80">
        <f t="shared" si="0"/>
        <v>882.94564511836938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297.3361585067878</v>
      </c>
      <c r="C9" s="244">
        <f t="shared" ref="C9:W9" si="1">SUM(C10:C15)</f>
        <v>281.76697438919075</v>
      </c>
      <c r="D9" s="244">
        <f t="shared" si="1"/>
        <v>334.84558619591166</v>
      </c>
      <c r="E9" s="244">
        <f t="shared" si="1"/>
        <v>329.56643764276237</v>
      </c>
      <c r="F9" s="244">
        <f t="shared" si="1"/>
        <v>303.1891738533534</v>
      </c>
      <c r="G9" s="244">
        <f t="shared" si="1"/>
        <v>357.11704069743183</v>
      </c>
      <c r="H9" s="244">
        <f t="shared" si="1"/>
        <v>281.17548566685184</v>
      </c>
      <c r="I9" s="244">
        <f t="shared" si="1"/>
        <v>302.43172145647014</v>
      </c>
      <c r="J9" s="244">
        <f t="shared" si="1"/>
        <v>303.0811936741149</v>
      </c>
      <c r="K9" s="244">
        <f t="shared" si="1"/>
        <v>266.6308980659482</v>
      </c>
      <c r="L9" s="244">
        <f t="shared" si="1"/>
        <v>315.84312512349476</v>
      </c>
      <c r="M9" s="244">
        <f t="shared" si="1"/>
        <v>300.4225728787477</v>
      </c>
      <c r="N9" s="244">
        <f t="shared" si="1"/>
        <v>315.03941520410973</v>
      </c>
      <c r="O9" s="244">
        <f t="shared" si="1"/>
        <v>303.2438905466974</v>
      </c>
      <c r="P9" s="244">
        <f t="shared" si="1"/>
        <v>278.35332292751167</v>
      </c>
      <c r="Q9" s="244">
        <f t="shared" si="1"/>
        <v>245.35899796233326</v>
      </c>
      <c r="R9" s="244">
        <f t="shared" si="1"/>
        <v>239.42561285939729</v>
      </c>
      <c r="S9" s="244">
        <f t="shared" si="1"/>
        <v>216.68156483100464</v>
      </c>
      <c r="T9" s="244">
        <f t="shared" si="1"/>
        <v>193.84457544442421</v>
      </c>
      <c r="U9" s="244">
        <f t="shared" si="1"/>
        <v>218.13613427337171</v>
      </c>
      <c r="V9" s="244">
        <f t="shared" si="1"/>
        <v>188.16409481006173</v>
      </c>
      <c r="W9" s="244">
        <f t="shared" si="1"/>
        <v>182.7463295358281</v>
      </c>
      <c r="DA9" s="270"/>
    </row>
    <row r="10" spans="1:105" x14ac:dyDescent="0.25">
      <c r="A10" s="254" t="s">
        <v>173</v>
      </c>
      <c r="B10" s="255">
        <v>266.35199482410701</v>
      </c>
      <c r="C10" s="255">
        <v>254.11559930428959</v>
      </c>
      <c r="D10" s="255">
        <v>307.24201096888049</v>
      </c>
      <c r="E10" s="255">
        <v>299.16577045534979</v>
      </c>
      <c r="F10" s="255">
        <v>272.16384213775979</v>
      </c>
      <c r="G10" s="255">
        <v>337.73361654764648</v>
      </c>
      <c r="H10" s="255">
        <v>263.12977796145759</v>
      </c>
      <c r="I10" s="255">
        <v>283.39897953110199</v>
      </c>
      <c r="J10" s="255">
        <v>281.75543600963908</v>
      </c>
      <c r="K10" s="255">
        <v>247.43468809854491</v>
      </c>
      <c r="L10" s="255">
        <v>294.08008607476472</v>
      </c>
      <c r="M10" s="255">
        <v>278.38936660603707</v>
      </c>
      <c r="N10" s="255">
        <v>292.10231132562791</v>
      </c>
      <c r="O10" s="255">
        <v>280.19849979587673</v>
      </c>
      <c r="P10" s="255">
        <v>270.37837375433872</v>
      </c>
      <c r="Q10" s="255">
        <v>237.59878283387189</v>
      </c>
      <c r="R10" s="255">
        <v>231.48677602235759</v>
      </c>
      <c r="S10" s="255">
        <v>212.9785962095672</v>
      </c>
      <c r="T10" s="255">
        <v>188.95034426083811</v>
      </c>
      <c r="U10" s="255">
        <v>212.35326231442011</v>
      </c>
      <c r="V10" s="255">
        <v>185.01369128584329</v>
      </c>
      <c r="W10" s="255">
        <v>179.67737867982871</v>
      </c>
      <c r="DA10" s="271" t="s">
        <v>1038</v>
      </c>
    </row>
    <row r="11" spans="1:105" x14ac:dyDescent="0.25">
      <c r="A11" s="254" t="s">
        <v>176</v>
      </c>
      <c r="B11" s="256">
        <v>30.984163682680791</v>
      </c>
      <c r="C11" s="256">
        <v>27.651375084901169</v>
      </c>
      <c r="D11" s="256">
        <v>27.603575227031161</v>
      </c>
      <c r="E11" s="256">
        <v>30.40066718741258</v>
      </c>
      <c r="F11" s="256">
        <v>31.02533171559358</v>
      </c>
      <c r="G11" s="256">
        <v>19.383424149785359</v>
      </c>
      <c r="H11" s="256">
        <v>18.045707705394278</v>
      </c>
      <c r="I11" s="256">
        <v>19.032741925368139</v>
      </c>
      <c r="J11" s="256">
        <v>21.325757664475841</v>
      </c>
      <c r="K11" s="256">
        <v>19.19620996740327</v>
      </c>
      <c r="L11" s="256">
        <v>21.76303904873005</v>
      </c>
      <c r="M11" s="256">
        <v>22.033206272710618</v>
      </c>
      <c r="N11" s="256">
        <v>22.93710387848181</v>
      </c>
      <c r="O11" s="256">
        <v>23.045390750820669</v>
      </c>
      <c r="P11" s="256">
        <v>7.9749491731729449</v>
      </c>
      <c r="Q11" s="256">
        <v>7.7602151284613754</v>
      </c>
      <c r="R11" s="256">
        <v>7.9388368370396947</v>
      </c>
      <c r="S11" s="256">
        <v>3.7029686214374351</v>
      </c>
      <c r="T11" s="256">
        <v>4.8942311835860988</v>
      </c>
      <c r="U11" s="256">
        <v>5.7828719589516</v>
      </c>
      <c r="V11" s="256">
        <v>3.1504035242184201</v>
      </c>
      <c r="W11" s="256">
        <v>3.0689508559993941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506.75328703752382</v>
      </c>
      <c r="C16" s="258">
        <v>499.16711667967331</v>
      </c>
      <c r="D16" s="258">
        <v>564.98536227664761</v>
      </c>
      <c r="E16" s="258">
        <v>551.60972138562829</v>
      </c>
      <c r="F16" s="258">
        <v>519.59476120657359</v>
      </c>
      <c r="G16" s="258">
        <v>600.79298361088229</v>
      </c>
      <c r="H16" s="258">
        <v>545.01099860079898</v>
      </c>
      <c r="I16" s="258">
        <v>581.55291335310983</v>
      </c>
      <c r="J16" s="258">
        <v>535.91149320032787</v>
      </c>
      <c r="K16" s="258">
        <v>509.31302477531511</v>
      </c>
      <c r="L16" s="258">
        <v>519.36072271014473</v>
      </c>
      <c r="M16" s="258">
        <v>493.18995168658739</v>
      </c>
      <c r="N16" s="258">
        <v>483.04826871853822</v>
      </c>
      <c r="O16" s="258">
        <v>495.66949263115458</v>
      </c>
      <c r="P16" s="258">
        <v>458.04799744273038</v>
      </c>
      <c r="Q16" s="258">
        <v>418.25399908472269</v>
      </c>
      <c r="R16" s="258">
        <v>406.92939345552242</v>
      </c>
      <c r="S16" s="258">
        <v>363.51309789823381</v>
      </c>
      <c r="T16" s="258">
        <v>337.67818434541272</v>
      </c>
      <c r="U16" s="258">
        <v>358.45724784923038</v>
      </c>
      <c r="V16" s="258">
        <v>322.25656878184878</v>
      </c>
      <c r="W16" s="258">
        <v>321.3023595247646</v>
      </c>
      <c r="DA16" s="273" t="s">
        <v>1044</v>
      </c>
    </row>
    <row r="17" spans="1:105" x14ac:dyDescent="0.25">
      <c r="A17" s="257" t="s">
        <v>121</v>
      </c>
      <c r="B17" s="258">
        <f>SUM(B18:B24)</f>
        <v>244.68470600876276</v>
      </c>
      <c r="C17" s="258">
        <f t="shared" ref="C17:W17" si="2">SUM(C18:C24)</f>
        <v>244.67398777938484</v>
      </c>
      <c r="D17" s="258">
        <f t="shared" si="2"/>
        <v>383.78549861239674</v>
      </c>
      <c r="E17" s="258">
        <f t="shared" si="2"/>
        <v>408.88711404309294</v>
      </c>
      <c r="F17" s="258">
        <f t="shared" si="2"/>
        <v>321.76756305411323</v>
      </c>
      <c r="G17" s="258">
        <f t="shared" si="2"/>
        <v>709.458084165488</v>
      </c>
      <c r="H17" s="258">
        <f t="shared" si="2"/>
        <v>642.04818646070032</v>
      </c>
      <c r="I17" s="258">
        <f t="shared" si="2"/>
        <v>677.96983638869199</v>
      </c>
      <c r="J17" s="258">
        <f t="shared" si="2"/>
        <v>604.92386708555387</v>
      </c>
      <c r="K17" s="258">
        <f t="shared" si="2"/>
        <v>598.65950525462404</v>
      </c>
      <c r="L17" s="258">
        <f t="shared" si="2"/>
        <v>598.41711468659776</v>
      </c>
      <c r="M17" s="258">
        <f t="shared" si="2"/>
        <v>551.0321403870206</v>
      </c>
      <c r="N17" s="258">
        <f t="shared" si="2"/>
        <v>542.30057973033115</v>
      </c>
      <c r="O17" s="258">
        <f t="shared" si="2"/>
        <v>531.79949007799439</v>
      </c>
      <c r="P17" s="258">
        <f t="shared" si="2"/>
        <v>483.29768075343736</v>
      </c>
      <c r="Q17" s="258">
        <f t="shared" si="2"/>
        <v>442.00842029346927</v>
      </c>
      <c r="R17" s="258">
        <f t="shared" si="2"/>
        <v>433.64866825336753</v>
      </c>
      <c r="S17" s="258">
        <f t="shared" si="2"/>
        <v>376.66652689031946</v>
      </c>
      <c r="T17" s="258">
        <f t="shared" si="2"/>
        <v>340.08521780979669</v>
      </c>
      <c r="U17" s="258">
        <f t="shared" si="2"/>
        <v>339.63201549805297</v>
      </c>
      <c r="V17" s="258">
        <f t="shared" si="2"/>
        <v>303.57914355811539</v>
      </c>
      <c r="W17" s="258">
        <f t="shared" si="2"/>
        <v>317.15603002952008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5.9693104799899777</v>
      </c>
      <c r="C19" s="55">
        <v>5.9693104799875014</v>
      </c>
      <c r="D19" s="55">
        <v>5.9693104799878327</v>
      </c>
      <c r="E19" s="55">
        <v>8.9539657199877389</v>
      </c>
      <c r="F19" s="55">
        <v>8.9539657199873144</v>
      </c>
      <c r="G19" s="55">
        <v>3.975527159994749</v>
      </c>
      <c r="H19" s="55">
        <v>3.9039717600050792</v>
      </c>
      <c r="I19" s="55">
        <v>4.065255360004512</v>
      </c>
      <c r="J19" s="55">
        <v>5.810979959986545</v>
      </c>
      <c r="K19" s="55">
        <v>5.5156719600068449</v>
      </c>
      <c r="L19" s="55">
        <v>5.6708222399927593</v>
      </c>
      <c r="M19" s="55">
        <v>3.4382937599950512</v>
      </c>
      <c r="N19" s="55">
        <v>3.4444270799964332</v>
      </c>
      <c r="O19" s="55">
        <v>4.2531166799927558</v>
      </c>
      <c r="P19" s="55">
        <v>2.5489623599956688</v>
      </c>
      <c r="Q19" s="55">
        <v>2.4324292799955471</v>
      </c>
      <c r="R19" s="55">
        <v>3.4800911999932458</v>
      </c>
      <c r="S19" s="55">
        <v>2.0046869999968728</v>
      </c>
      <c r="T19" s="55">
        <v>1.859304599996235</v>
      </c>
      <c r="U19" s="55">
        <v>3.4805455199952329</v>
      </c>
      <c r="V19" s="55">
        <v>3.3033607199948918</v>
      </c>
      <c r="W19" s="55">
        <v>2.6816237999923298</v>
      </c>
      <c r="DA19" s="101" t="s">
        <v>1046</v>
      </c>
    </row>
    <row r="20" spans="1:105" x14ac:dyDescent="0.25">
      <c r="A20" s="61" t="s">
        <v>173</v>
      </c>
      <c r="B20" s="55">
        <v>174.624310171525</v>
      </c>
      <c r="C20" s="55">
        <v>192.71844046435419</v>
      </c>
      <c r="D20" s="55">
        <v>249.11789951967449</v>
      </c>
      <c r="E20" s="55">
        <v>212.60017359075081</v>
      </c>
      <c r="F20" s="55">
        <v>185.36627384986991</v>
      </c>
      <c r="G20" s="55">
        <v>568.38778247545713</v>
      </c>
      <c r="H20" s="55">
        <v>510.62646724593492</v>
      </c>
      <c r="I20" s="55">
        <v>532.30396899390848</v>
      </c>
      <c r="J20" s="55">
        <v>464.69897927034009</v>
      </c>
      <c r="K20" s="55">
        <v>481.46621026189263</v>
      </c>
      <c r="L20" s="55">
        <v>470.05381701549118</v>
      </c>
      <c r="M20" s="55">
        <v>436.10422181989611</v>
      </c>
      <c r="N20" s="55">
        <v>428.04244932893903</v>
      </c>
      <c r="O20" s="55">
        <v>407.35282430902521</v>
      </c>
      <c r="P20" s="55">
        <v>388.65912740677021</v>
      </c>
      <c r="Q20" s="55">
        <v>351.38155522209371</v>
      </c>
      <c r="R20" s="55">
        <v>336.79271865059201</v>
      </c>
      <c r="S20" s="55">
        <v>279.5337784719074</v>
      </c>
      <c r="T20" s="55">
        <v>262.73094271353688</v>
      </c>
      <c r="U20" s="55">
        <v>271.46400173709759</v>
      </c>
      <c r="V20" s="55">
        <v>241.38319092242901</v>
      </c>
      <c r="W20" s="55">
        <v>272.46514852564491</v>
      </c>
      <c r="DA20" s="101" t="s">
        <v>1047</v>
      </c>
    </row>
    <row r="21" spans="1:105" x14ac:dyDescent="0.25">
      <c r="A21" s="61" t="s">
        <v>129</v>
      </c>
      <c r="B21" s="55">
        <v>43.777409039926489</v>
      </c>
      <c r="C21" s="55">
        <v>25.015741919947629</v>
      </c>
      <c r="D21" s="55">
        <v>106.31676383978331</v>
      </c>
      <c r="E21" s="55">
        <v>165.72894191977301</v>
      </c>
      <c r="F21" s="55">
        <v>106.3164851998494</v>
      </c>
      <c r="G21" s="55">
        <v>104.473498679862</v>
      </c>
      <c r="H21" s="55">
        <v>92.498465160120361</v>
      </c>
      <c r="I21" s="55">
        <v>105.8517039601175</v>
      </c>
      <c r="J21" s="55">
        <v>99.241355519770252</v>
      </c>
      <c r="K21" s="55">
        <v>74.325033000092219</v>
      </c>
      <c r="L21" s="55">
        <v>87.906714479887782</v>
      </c>
      <c r="M21" s="55">
        <v>76.97403107988923</v>
      </c>
      <c r="N21" s="55">
        <v>77.202007199920089</v>
      </c>
      <c r="O21" s="55">
        <v>86.690139839852364</v>
      </c>
      <c r="P21" s="55">
        <v>80.625890159863019</v>
      </c>
      <c r="Q21" s="55">
        <v>76.717960919859536</v>
      </c>
      <c r="R21" s="55">
        <v>81.825555239841208</v>
      </c>
      <c r="S21" s="55">
        <v>90.267926039859177</v>
      </c>
      <c r="T21" s="55">
        <v>68.689658879860929</v>
      </c>
      <c r="U21" s="55">
        <v>57.294873719921533</v>
      </c>
      <c r="V21" s="55">
        <v>54.782331479915321</v>
      </c>
      <c r="W21" s="55">
        <v>37.355460119893152</v>
      </c>
      <c r="DA21" s="101" t="s">
        <v>1048</v>
      </c>
    </row>
    <row r="22" spans="1:105" x14ac:dyDescent="0.25">
      <c r="A22" s="61" t="s">
        <v>176</v>
      </c>
      <c r="B22" s="55">
        <v>20.313676317321299</v>
      </c>
      <c r="C22" s="55">
        <v>20.9704949150955</v>
      </c>
      <c r="D22" s="55">
        <v>22.381524772951149</v>
      </c>
      <c r="E22" s="55">
        <v>21.604032812581341</v>
      </c>
      <c r="F22" s="55">
        <v>21.1308382844066</v>
      </c>
      <c r="G22" s="55">
        <v>32.621275850174158</v>
      </c>
      <c r="H22" s="55">
        <v>35.019282294640007</v>
      </c>
      <c r="I22" s="55">
        <v>35.748908074661443</v>
      </c>
      <c r="J22" s="55">
        <v>35.172552335457048</v>
      </c>
      <c r="K22" s="55">
        <v>37.352590032632428</v>
      </c>
      <c r="L22" s="55">
        <v>34.785760951226038</v>
      </c>
      <c r="M22" s="55">
        <v>34.515593727240237</v>
      </c>
      <c r="N22" s="55">
        <v>33.611696121475603</v>
      </c>
      <c r="O22" s="55">
        <v>33.503409249124147</v>
      </c>
      <c r="P22" s="55">
        <v>11.46370082680847</v>
      </c>
      <c r="Q22" s="55">
        <v>11.476474871520461</v>
      </c>
      <c r="R22" s="55">
        <v>11.550303162941059</v>
      </c>
      <c r="S22" s="55">
        <v>4.860135378556028</v>
      </c>
      <c r="T22" s="55">
        <v>6.8053116164026761</v>
      </c>
      <c r="U22" s="55">
        <v>7.3925945210385793</v>
      </c>
      <c r="V22" s="55">
        <v>4.1102604357761674</v>
      </c>
      <c r="W22" s="55">
        <v>4.6537975839896477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97.376867246902734</v>
      </c>
      <c r="C25" s="258">
        <v>95.919121391582578</v>
      </c>
      <c r="D25" s="258">
        <v>108.5666457942137</v>
      </c>
      <c r="E25" s="258">
        <v>105.99640492808869</v>
      </c>
      <c r="F25" s="258">
        <v>99.844463525802652</v>
      </c>
      <c r="G25" s="258">
        <v>115.4473786444634</v>
      </c>
      <c r="H25" s="258">
        <v>104.7284053530413</v>
      </c>
      <c r="I25" s="258">
        <v>111.7502388029739</v>
      </c>
      <c r="J25" s="258">
        <v>102.9798595575632</v>
      </c>
      <c r="K25" s="258">
        <v>97.868742185370209</v>
      </c>
      <c r="L25" s="258">
        <v>99.799491078301287</v>
      </c>
      <c r="M25" s="258">
        <v>94.770559326110543</v>
      </c>
      <c r="N25" s="258">
        <v>92.821750425800886</v>
      </c>
      <c r="O25" s="258">
        <v>95.247023782422048</v>
      </c>
      <c r="P25" s="258">
        <v>88.017739954763499</v>
      </c>
      <c r="Q25" s="258">
        <v>80.370991538025081</v>
      </c>
      <c r="R25" s="258">
        <v>78.194874190222805</v>
      </c>
      <c r="S25" s="258">
        <v>69.852071179413073</v>
      </c>
      <c r="T25" s="258">
        <v>64.887677239168198</v>
      </c>
      <c r="U25" s="258">
        <v>68.88054745843209</v>
      </c>
      <c r="V25" s="258">
        <v>61.924285289122977</v>
      </c>
      <c r="W25" s="258">
        <v>61.740926028256553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1.0000000000000002</v>
      </c>
      <c r="C31" s="236">
        <f t="shared" si="3"/>
        <v>1</v>
      </c>
      <c r="D31" s="236">
        <f t="shared" si="3"/>
        <v>1</v>
      </c>
      <c r="E31" s="236">
        <f t="shared" si="3"/>
        <v>1</v>
      </c>
      <c r="F31" s="236">
        <f t="shared" si="3"/>
        <v>1</v>
      </c>
      <c r="G31" s="236">
        <f t="shared" si="3"/>
        <v>0.99999999999999989</v>
      </c>
      <c r="H31" s="236">
        <f t="shared" si="3"/>
        <v>1</v>
      </c>
      <c r="I31" s="236">
        <f t="shared" si="3"/>
        <v>1</v>
      </c>
      <c r="J31" s="236">
        <f t="shared" si="3"/>
        <v>0.99999999999999989</v>
      </c>
      <c r="K31" s="236">
        <f t="shared" si="3"/>
        <v>0.99999999999999989</v>
      </c>
      <c r="L31" s="236">
        <f t="shared" si="3"/>
        <v>0.99999999999999978</v>
      </c>
      <c r="M31" s="236">
        <f t="shared" si="3"/>
        <v>1</v>
      </c>
      <c r="N31" s="236">
        <f t="shared" si="3"/>
        <v>0.99999999999999989</v>
      </c>
      <c r="O31" s="236">
        <f t="shared" si="3"/>
        <v>1</v>
      </c>
      <c r="P31" s="236">
        <f t="shared" si="3"/>
        <v>1</v>
      </c>
      <c r="Q31" s="236">
        <f t="shared" si="3"/>
        <v>1.0000000000000002</v>
      </c>
      <c r="R31" s="236">
        <f t="shared" ref="R31:W31" si="4">SUM(R32:R40)</f>
        <v>0.99999999999999978</v>
      </c>
      <c r="S31" s="236">
        <f t="shared" si="4"/>
        <v>1</v>
      </c>
      <c r="T31" s="236">
        <f t="shared" si="4"/>
        <v>1</v>
      </c>
      <c r="U31" s="236">
        <f t="shared" si="4"/>
        <v>0.99999999999999989</v>
      </c>
      <c r="V31" s="236">
        <f t="shared" si="4"/>
        <v>1</v>
      </c>
      <c r="W31" s="236">
        <f t="shared" si="4"/>
        <v>0.99999999999999989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0.25942144938116402</v>
      </c>
      <c r="C35" s="247">
        <f t="shared" si="8"/>
        <v>0.25123507867569922</v>
      </c>
      <c r="D35" s="247">
        <f t="shared" si="8"/>
        <v>0.24051835416519715</v>
      </c>
      <c r="E35" s="247">
        <f t="shared" si="8"/>
        <v>0.23606901827793023</v>
      </c>
      <c r="F35" s="247">
        <f t="shared" si="8"/>
        <v>0.24364364977029987</v>
      </c>
      <c r="G35" s="247">
        <f t="shared" si="8"/>
        <v>0.20031071262157032</v>
      </c>
      <c r="H35" s="247">
        <f t="shared" si="8"/>
        <v>0.17875529943609592</v>
      </c>
      <c r="I35" s="247">
        <f t="shared" si="8"/>
        <v>0.18069598516947771</v>
      </c>
      <c r="J35" s="247">
        <f t="shared" si="8"/>
        <v>0.19592856446342416</v>
      </c>
      <c r="K35" s="247">
        <f t="shared" si="8"/>
        <v>0.18107703727603824</v>
      </c>
      <c r="L35" s="247">
        <f t="shared" si="8"/>
        <v>0.20597294393869153</v>
      </c>
      <c r="M35" s="247">
        <f t="shared" si="8"/>
        <v>0.20871154327920918</v>
      </c>
      <c r="N35" s="247">
        <f t="shared" si="8"/>
        <v>0.21981385289622513</v>
      </c>
      <c r="O35" s="247">
        <f t="shared" si="8"/>
        <v>0.21265948023961803</v>
      </c>
      <c r="P35" s="247">
        <f t="shared" si="8"/>
        <v>0.21285444636730758</v>
      </c>
      <c r="Q35" s="247">
        <f t="shared" si="8"/>
        <v>0.20688074908872281</v>
      </c>
      <c r="R35" s="247">
        <f t="shared" si="8"/>
        <v>0.20672242519733863</v>
      </c>
      <c r="S35" s="247">
        <f t="shared" si="8"/>
        <v>0.21104389424403336</v>
      </c>
      <c r="T35" s="247">
        <f t="shared" si="8"/>
        <v>0.20698929508411923</v>
      </c>
      <c r="U35" s="247">
        <f t="shared" si="8"/>
        <v>0.2214341872191819</v>
      </c>
      <c r="V35" s="247">
        <f t="shared" si="8"/>
        <v>0.21481780948174301</v>
      </c>
      <c r="W35" s="247">
        <f t="shared" si="8"/>
        <v>0.20697347627931137</v>
      </c>
      <c r="DA35" s="278"/>
    </row>
    <row r="36" spans="1:105" x14ac:dyDescent="0.25">
      <c r="A36" s="128" t="s">
        <v>175</v>
      </c>
      <c r="B36" s="260">
        <f t="shared" ref="B36:W36" si="9">IF(B$16=0,0,B$16/B$5)</f>
        <v>0.44213483103482804</v>
      </c>
      <c r="C36" s="260">
        <f t="shared" si="9"/>
        <v>0.4450780298265879</v>
      </c>
      <c r="D36" s="260">
        <f t="shared" si="9"/>
        <v>0.40582690966904583</v>
      </c>
      <c r="E36" s="260">
        <f t="shared" si="9"/>
        <v>0.39511901251673953</v>
      </c>
      <c r="F36" s="260">
        <f t="shared" si="9"/>
        <v>0.41754777195022463</v>
      </c>
      <c r="G36" s="260">
        <f t="shared" si="9"/>
        <v>0.3369911176742138</v>
      </c>
      <c r="H36" s="260">
        <f t="shared" si="9"/>
        <v>0.34648683550700055</v>
      </c>
      <c r="I36" s="260">
        <f t="shared" si="9"/>
        <v>0.34746446603037695</v>
      </c>
      <c r="J36" s="260">
        <f t="shared" si="9"/>
        <v>0.34644303814868488</v>
      </c>
      <c r="K36" s="260">
        <f t="shared" si="9"/>
        <v>0.34588974586734023</v>
      </c>
      <c r="L36" s="260">
        <f t="shared" si="9"/>
        <v>0.33869427102745386</v>
      </c>
      <c r="M36" s="260">
        <f t="shared" si="9"/>
        <v>0.3426321629561811</v>
      </c>
      <c r="N36" s="260">
        <f t="shared" si="9"/>
        <v>0.33703941779183394</v>
      </c>
      <c r="O36" s="260">
        <f t="shared" si="9"/>
        <v>0.34760409017158522</v>
      </c>
      <c r="P36" s="260">
        <f t="shared" si="9"/>
        <v>0.35026545356067634</v>
      </c>
      <c r="Q36" s="260">
        <f t="shared" si="9"/>
        <v>0.352661615667688</v>
      </c>
      <c r="R36" s="260">
        <f t="shared" si="9"/>
        <v>0.35134683417771151</v>
      </c>
      <c r="S36" s="260">
        <f t="shared" si="9"/>
        <v>0.35405513085060775</v>
      </c>
      <c r="T36" s="260">
        <f t="shared" si="9"/>
        <v>0.36057634928753296</v>
      </c>
      <c r="U36" s="260">
        <f t="shared" si="9"/>
        <v>0.3638768496320996</v>
      </c>
      <c r="V36" s="260">
        <f t="shared" si="9"/>
        <v>0.36790467526070042</v>
      </c>
      <c r="W36" s="260">
        <f t="shared" si="9"/>
        <v>0.36389823235573032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0.21348382717047903</v>
      </c>
      <c r="C37" s="260">
        <f t="shared" si="10"/>
        <v>0.21816143890853729</v>
      </c>
      <c r="D37" s="260">
        <f t="shared" si="10"/>
        <v>0.27567171342290264</v>
      </c>
      <c r="E37" s="260">
        <f t="shared" si="10"/>
        <v>0.29288655813696401</v>
      </c>
      <c r="F37" s="260">
        <f t="shared" si="10"/>
        <v>0.25857329417084707</v>
      </c>
      <c r="G37" s="260">
        <f t="shared" si="10"/>
        <v>0.3979425180517433</v>
      </c>
      <c r="H37" s="260">
        <f t="shared" si="10"/>
        <v>0.40817753208815799</v>
      </c>
      <c r="I37" s="260">
        <f t="shared" si="10"/>
        <v>0.40507135597902888</v>
      </c>
      <c r="J37" s="260">
        <f t="shared" si="10"/>
        <v>0.39105648044654084</v>
      </c>
      <c r="K37" s="260">
        <f t="shared" si="10"/>
        <v>0.40656761963811772</v>
      </c>
      <c r="L37" s="260">
        <f t="shared" si="10"/>
        <v>0.39024985827094488</v>
      </c>
      <c r="M37" s="260">
        <f t="shared" si="10"/>
        <v>0.38281666825028599</v>
      </c>
      <c r="N37" s="260">
        <f t="shared" si="10"/>
        <v>0.37838179638934771</v>
      </c>
      <c r="O37" s="260">
        <f t="shared" si="10"/>
        <v>0.37294140682535798</v>
      </c>
      <c r="P37" s="260">
        <f t="shared" si="10"/>
        <v>0.36957367415429221</v>
      </c>
      <c r="Q37" s="260">
        <f t="shared" si="10"/>
        <v>0.37269076680804669</v>
      </c>
      <c r="R37" s="260">
        <f t="shared" si="10"/>
        <v>0.37441651840973361</v>
      </c>
      <c r="S37" s="260">
        <f t="shared" si="10"/>
        <v>0.3668663309142457</v>
      </c>
      <c r="T37" s="260">
        <f t="shared" si="10"/>
        <v>0.36314660516853681</v>
      </c>
      <c r="U37" s="260">
        <f t="shared" si="10"/>
        <v>0.34476699404223604</v>
      </c>
      <c r="V37" s="260">
        <f t="shared" si="10"/>
        <v>0.34658156588974665</v>
      </c>
      <c r="W37" s="260">
        <f t="shared" si="10"/>
        <v>0.35920221338993247</v>
      </c>
      <c r="DA37" s="279"/>
    </row>
    <row r="38" spans="1:105" x14ac:dyDescent="0.25">
      <c r="A38" s="128" t="s">
        <v>174</v>
      </c>
      <c r="B38" s="260">
        <f t="shared" ref="B38:W38" si="11">IF(B$25=0,0,B$25/B$5)</f>
        <v>8.4959892413529026E-2</v>
      </c>
      <c r="C38" s="260">
        <f t="shared" si="11"/>
        <v>8.5525452589175613E-2</v>
      </c>
      <c r="D38" s="260">
        <f t="shared" si="11"/>
        <v>7.798302274285443E-2</v>
      </c>
      <c r="E38" s="260">
        <f t="shared" si="11"/>
        <v>7.5925411068366366E-2</v>
      </c>
      <c r="F38" s="260">
        <f t="shared" si="11"/>
        <v>8.0235284108628402E-2</v>
      </c>
      <c r="G38" s="260">
        <f t="shared" si="11"/>
        <v>6.4755651652472448E-2</v>
      </c>
      <c r="H38" s="260">
        <f t="shared" si="11"/>
        <v>6.658033296874552E-2</v>
      </c>
      <c r="I38" s="260">
        <f t="shared" si="11"/>
        <v>6.6768192821116401E-2</v>
      </c>
      <c r="J38" s="260">
        <f t="shared" si="11"/>
        <v>6.6571916941349993E-2</v>
      </c>
      <c r="K38" s="260">
        <f t="shared" si="11"/>
        <v>6.64655972185038E-2</v>
      </c>
      <c r="L38" s="260">
        <f t="shared" si="11"/>
        <v>6.5082926762909582E-2</v>
      </c>
      <c r="M38" s="260">
        <f t="shared" si="11"/>
        <v>6.5839625514323749E-2</v>
      </c>
      <c r="N38" s="260">
        <f t="shared" si="11"/>
        <v>6.4764932922593083E-2</v>
      </c>
      <c r="O38" s="260">
        <f t="shared" si="11"/>
        <v>6.6795022763438849E-2</v>
      </c>
      <c r="P38" s="260">
        <f t="shared" si="11"/>
        <v>6.7306425917723858E-2</v>
      </c>
      <c r="Q38" s="260">
        <f t="shared" si="11"/>
        <v>6.7766868435542707E-2</v>
      </c>
      <c r="R38" s="260">
        <f t="shared" si="11"/>
        <v>6.7514222215216052E-2</v>
      </c>
      <c r="S38" s="260">
        <f t="shared" si="11"/>
        <v>6.8034643991113322E-2</v>
      </c>
      <c r="T38" s="260">
        <f t="shared" si="11"/>
        <v>6.9287750459811004E-2</v>
      </c>
      <c r="U38" s="260">
        <f t="shared" si="11"/>
        <v>6.9921969106482407E-2</v>
      </c>
      <c r="V38" s="260">
        <f t="shared" si="11"/>
        <v>7.0695949367809985E-2</v>
      </c>
      <c r="W38" s="260">
        <f t="shared" si="11"/>
        <v>6.9926077975025799E-2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1.4153134581711637</v>
      </c>
      <c r="C44" s="238">
        <f>IF(C$5=0,0,C$5/AGR_fec!C$5)</f>
        <v>1.4338133507474671</v>
      </c>
      <c r="D44" s="238">
        <f>IF(D$5=0,0,D$5/AGR_fec!D$5)</f>
        <v>1.6406006413602303</v>
      </c>
      <c r="E44" s="238">
        <f>IF(E$5=0,0,E$5/AGR_fec!E$5)</f>
        <v>1.6352321323028229</v>
      </c>
      <c r="F44" s="238">
        <f>IF(F$5=0,0,F$5/AGR_fec!F$5)</f>
        <v>1.5097706773140431</v>
      </c>
      <c r="G44" s="238">
        <f>IF(G$5=0,0,G$5/AGR_fec!G$5)</f>
        <v>2.2733443635765971</v>
      </c>
      <c r="H44" s="238">
        <f>IF(H$5=0,0,H$5/AGR_fec!H$5)</f>
        <v>2.0901955289063934</v>
      </c>
      <c r="I44" s="238">
        <f>IF(I$5=0,0,I$5/AGR_fec!I$5)</f>
        <v>2.0596789891378746</v>
      </c>
      <c r="J44" s="238">
        <f>IF(J$5=0,0,J$5/AGR_fec!J$5)</f>
        <v>2.0883239307719643</v>
      </c>
      <c r="K44" s="238">
        <f>IF(K$5=0,0,K$5/AGR_fec!K$5)</f>
        <v>2.049915834856991</v>
      </c>
      <c r="L44" s="238">
        <f>IF(L$5=0,0,L$5/AGR_fec!L$5)</f>
        <v>2.1852929710642623</v>
      </c>
      <c r="M44" s="238">
        <f>IF(M$5=0,0,M$5/AGR_fec!M$5)</f>
        <v>2.1297540228820413</v>
      </c>
      <c r="N44" s="238">
        <f>IF(N$5=0,0,N$5/AGR_fec!N$5)</f>
        <v>2.1924070043633423</v>
      </c>
      <c r="O44" s="238">
        <f>IF(O$5=0,0,O$5/AGR_fec!O$5)</f>
        <v>1.9862539590012078</v>
      </c>
      <c r="P44" s="238">
        <f>IF(P$5=0,0,P$5/AGR_fec!P$5)</f>
        <v>1.8910444385767453</v>
      </c>
      <c r="Q44" s="238">
        <f>IF(Q$5=0,0,Q$5/AGR_fec!Q$5)</f>
        <v>1.7959354961312111</v>
      </c>
      <c r="R44" s="238">
        <f>IF(R$5=0,0,R$5/AGR_fec!R$5)</f>
        <v>1.7029185622935066</v>
      </c>
      <c r="S44" s="238">
        <f>IF(S$5=0,0,S$5/AGR_fec!S$5)</f>
        <v>1.5764624523578827</v>
      </c>
      <c r="T44" s="238">
        <f>IF(T$5=0,0,T$5/AGR_fec!T$5)</f>
        <v>1.4967961220084731</v>
      </c>
      <c r="U44" s="238">
        <f>IF(U$5=0,0,U$5/AGR_fec!U$5)</f>
        <v>1.5267292154618466</v>
      </c>
      <c r="V44" s="238">
        <f>IF(V$5=0,0,V$5/AGR_fec!V$5)</f>
        <v>1.4537787833960785</v>
      </c>
      <c r="W44" s="238">
        <f>IF(W$5=0,0,W$5/AGR_fec!W$5)</f>
        <v>1.4847005042462833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2.3444021714495862</v>
      </c>
      <c r="C48" s="253">
        <f>IF(C$9=0,0,C$9/AGR_fec!C$9)</f>
        <v>2.229728635240332</v>
      </c>
      <c r="D48" s="253">
        <f>IF(D$9=0,0,D$9/AGR_fec!D$9)</f>
        <v>2.3909340603310674</v>
      </c>
      <c r="E48" s="253">
        <f>IF(E$9=0,0,E$9/AGR_fec!E$9)</f>
        <v>2.4102671767443122</v>
      </c>
      <c r="F48" s="253">
        <f>IF(F$9=0,0,F$9/AGR_fec!F$9)</f>
        <v>2.3291319826890491</v>
      </c>
      <c r="G48" s="253">
        <f>IF(G$9=0,0,G$9/AGR_fec!G$9)</f>
        <v>2.379878278970867</v>
      </c>
      <c r="H48" s="253">
        <f>IF(H$9=0,0,H$9/AGR_fec!H$9)</f>
        <v>1.9177113252458295</v>
      </c>
      <c r="I48" s="253">
        <f>IF(I$9=0,0,I$9/AGR_fec!I$9)</f>
        <v>1.9227352179421415</v>
      </c>
      <c r="J48" s="253">
        <f>IF(J$9=0,0,J$9/AGR_fec!J$9)</f>
        <v>2.1534932074527857</v>
      </c>
      <c r="K48" s="253">
        <f>IF(K$9=0,0,K$9/AGR_fec!K$9)</f>
        <v>1.9029400037923152</v>
      </c>
      <c r="L48" s="253">
        <f>IF(L$9=0,0,L$9/AGR_fec!L$9)</f>
        <v>2.3564832383717644</v>
      </c>
      <c r="M48" s="253">
        <f>IF(M$9=0,0,M$9/AGR_fec!M$9)</f>
        <v>2.332205877678561</v>
      </c>
      <c r="N48" s="253">
        <f>IF(N$9=0,0,N$9/AGR_fec!N$9)</f>
        <v>2.4957429742115647</v>
      </c>
      <c r="O48" s="253">
        <f>IF(O$9=0,0,O$9/AGR_fec!O$9)</f>
        <v>2.2476159401163907</v>
      </c>
      <c r="P48" s="253">
        <f>IF(P$9=0,0,P$9/AGR_fec!P$9)</f>
        <v>2.1556620867623812</v>
      </c>
      <c r="Q48" s="253">
        <f>IF(Q$9=0,0,Q$9/AGR_fec!Q$9)</f>
        <v>1.9905427901810857</v>
      </c>
      <c r="R48" s="253">
        <f>IF(R$9=0,0,R$9/AGR_fec!R$9)</f>
        <v>1.8923176051054937</v>
      </c>
      <c r="S48" s="253">
        <f>IF(S$9=0,0,S$9/AGR_fec!S$9)</f>
        <v>1.8195332885127555</v>
      </c>
      <c r="T48" s="253">
        <f>IF(T$9=0,0,T$9/AGR_fec!T$9)</f>
        <v>1.678930541145786</v>
      </c>
      <c r="U48" s="253">
        <f>IF(U$9=0,0,U$9/AGR_fec!U$9)</f>
        <v>1.8401846133088215</v>
      </c>
      <c r="V48" s="253">
        <f>IF(V$9=0,0,V$9/AGR_fec!V$9)</f>
        <v>1.7064980377833217</v>
      </c>
      <c r="W48" s="253">
        <f>IF(W$9=0,0,W$9/AGR_fec!W$9)</f>
        <v>1.6419990259347768</v>
      </c>
      <c r="DA48" s="290"/>
    </row>
    <row r="49" spans="1:105" x14ac:dyDescent="0.25">
      <c r="A49" s="128" t="s">
        <v>175</v>
      </c>
      <c r="B49" s="265">
        <f>IF(B$16=0,0,B$16/AGR_fec!B$16)</f>
        <v>3.1024188000000006</v>
      </c>
      <c r="C49" s="265">
        <f>IF(C$16=0,0,C$16/AGR_fec!C$16)</f>
        <v>3.1024187999999993</v>
      </c>
      <c r="D49" s="265">
        <f>IF(D$16=0,0,D$16/AGR_fec!D$16)</f>
        <v>3.1024188000000006</v>
      </c>
      <c r="E49" s="265">
        <f>IF(E$16=0,0,E$16/AGR_fec!E$16)</f>
        <v>3.1024187999999993</v>
      </c>
      <c r="F49" s="265">
        <f>IF(F$16=0,0,F$16/AGR_fec!F$16)</f>
        <v>3.1024187999999993</v>
      </c>
      <c r="G49" s="265">
        <f>IF(G$16=0,0,G$16/AGR_fec!G$16)</f>
        <v>3.0938236696812922</v>
      </c>
      <c r="H49" s="265">
        <f>IF(H$16=0,0,H$16/AGR_fec!H$16)</f>
        <v>3.0645591905709662</v>
      </c>
      <c r="I49" s="265">
        <f>IF(I$16=0,0,I$16/AGR_fec!I$16)</f>
        <v>3.0313380991810432</v>
      </c>
      <c r="J49" s="265">
        <f>IF(J$16=0,0,J$16/AGR_fec!J$16)</f>
        <v>3.0105593399436836</v>
      </c>
      <c r="K49" s="265">
        <f>IF(K$16=0,0,K$16/AGR_fec!K$16)</f>
        <v>2.9866030105191048</v>
      </c>
      <c r="L49" s="265">
        <f>IF(L$16=0,0,L$16/AGR_fec!L$16)</f>
        <v>2.9841411006452336</v>
      </c>
      <c r="M49" s="265">
        <f>IF(M$16=0,0,M$16/AGR_fec!M$16)</f>
        <v>2.9508940569062139</v>
      </c>
      <c r="N49" s="265">
        <f>IF(N$16=0,0,N$16/AGR_fec!N$16)</f>
        <v>2.8993585771816965</v>
      </c>
      <c r="O49" s="265">
        <f>IF(O$16=0,0,O$16/AGR_fec!O$16)</f>
        <v>2.8241336965070665</v>
      </c>
      <c r="P49" s="265">
        <f>IF(P$16=0,0,P$16/AGR_fec!P$16)</f>
        <v>2.694492331021261</v>
      </c>
      <c r="Q49" s="265">
        <f>IF(Q$16=0,0,Q$16/AGR_fec!Q$16)</f>
        <v>2.6120738287807308</v>
      </c>
      <c r="R49" s="265">
        <f>IF(R$16=0,0,R$16/AGR_fec!R$16)</f>
        <v>2.4727678044255592</v>
      </c>
      <c r="S49" s="265">
        <f>IF(S$16=0,0,S$16/AGR_fec!S$16)</f>
        <v>2.3203405867824096</v>
      </c>
      <c r="T49" s="265">
        <f>IF(T$16=0,0,T$16/AGR_fec!T$16)</f>
        <v>2.2595764273187178</v>
      </c>
      <c r="U49" s="265">
        <f>IF(U$16=0,0,U$16/AGR_fec!U$16)</f>
        <v>2.2906378151207081</v>
      </c>
      <c r="V49" s="265">
        <f>IF(V$16=0,0,V$16/AGR_fec!V$16)</f>
        <v>2.2366457719571162</v>
      </c>
      <c r="W49" s="265">
        <f>IF(W$16=0,0,W$16/AGR_fec!W$16)</f>
        <v>2.239943649195224</v>
      </c>
      <c r="DA49" s="291"/>
    </row>
    <row r="50" spans="1:105" x14ac:dyDescent="0.25">
      <c r="A50" s="128" t="s">
        <v>121</v>
      </c>
      <c r="B50" s="265">
        <f>IF(B$17=0,0,B$17/AGR_fec!B$17)</f>
        <v>0.60183991882097787</v>
      </c>
      <c r="C50" s="265">
        <f>IF(C$17=0,0,C$17/AGR_fec!C$17)</f>
        <v>0.64932514345387171</v>
      </c>
      <c r="D50" s="265">
        <f>IF(D$17=0,0,D$17/AGR_fec!D$17)</f>
        <v>0.95775517824497225</v>
      </c>
      <c r="E50" s="265">
        <f>IF(E$17=0,0,E$17/AGR_fec!E$17)</f>
        <v>0.97616440671828208</v>
      </c>
      <c r="F50" s="265">
        <f>IF(F$17=0,0,F$17/AGR_fec!F$17)</f>
        <v>0.78608792729127608</v>
      </c>
      <c r="G50" s="265">
        <f>IF(G$17=0,0,G$17/AGR_fec!G$17)</f>
        <v>2.3879656240462728</v>
      </c>
      <c r="H50" s="265">
        <f>IF(H$17=0,0,H$17/AGR_fec!H$17)</f>
        <v>2.3592055110349692</v>
      </c>
      <c r="I50" s="265">
        <f>IF(I$17=0,0,I$17/AGR_fec!I$17)</f>
        <v>2.2849072531747625</v>
      </c>
      <c r="J50" s="265">
        <f>IF(J$17=0,0,J$17/AGR_fec!J$17)</f>
        <v>2.1440424124137456</v>
      </c>
      <c r="K50" s="265">
        <f>IF(K$17=0,0,K$17/AGR_fec!K$17)</f>
        <v>2.3049591197346486</v>
      </c>
      <c r="L50" s="265">
        <f>IF(L$17=0,0,L$17/AGR_fec!L$17)</f>
        <v>2.2076153318189426</v>
      </c>
      <c r="M50" s="265">
        <f>IF(M$17=0,0,M$17/AGR_fec!M$17)</f>
        <v>2.096076506536495</v>
      </c>
      <c r="N50" s="265">
        <f>IF(N$17=0,0,N$17/AGR_fec!N$17)</f>
        <v>2.0677424291106856</v>
      </c>
      <c r="O50" s="265">
        <f>IF(O$17=0,0,O$17/AGR_fec!O$17)</f>
        <v>1.8625737310893391</v>
      </c>
      <c r="P50" s="265">
        <f>IF(P$17=0,0,P$17/AGR_fec!P$17)</f>
        <v>1.7582738297623079</v>
      </c>
      <c r="Q50" s="265">
        <f>IF(Q$17=0,0,Q$17/AGR_fec!Q$17)</f>
        <v>1.7019178711279022</v>
      </c>
      <c r="R50" s="265">
        <f>IF(R$17=0,0,R$17/AGR_fec!R$17)</f>
        <v>1.6134377121527927</v>
      </c>
      <c r="S50" s="265">
        <f>IF(S$17=0,0,S$17/AGR_fec!S$17)</f>
        <v>1.4181029747052178</v>
      </c>
      <c r="T50" s="265">
        <f>IF(T$17=0,0,T$17/AGR_fec!T$17)</f>
        <v>1.3557556307144949</v>
      </c>
      <c r="U50" s="265">
        <f>IF(U$17=0,0,U$17/AGR_fec!U$17)</f>
        <v>1.2745789219844934</v>
      </c>
      <c r="V50" s="265">
        <f>IF(V$17=0,0,V$17/AGR_fec!V$17)</f>
        <v>1.2311934939708256</v>
      </c>
      <c r="W50" s="265">
        <f>IF(W$17=0,0,W$17/AGR_fec!W$17)</f>
        <v>1.3678519567312901</v>
      </c>
      <c r="DA50" s="291"/>
    </row>
    <row r="51" spans="1:105" x14ac:dyDescent="0.25">
      <c r="A51" s="128" t="s">
        <v>174</v>
      </c>
      <c r="B51" s="265">
        <f>IF(B$25=0,0,B$25/AGR_fec!B$25)</f>
        <v>3.1024188000000001</v>
      </c>
      <c r="C51" s="265">
        <f>IF(C$25=0,0,C$25/AGR_fec!C$25)</f>
        <v>3.1024188000000001</v>
      </c>
      <c r="D51" s="265">
        <f>IF(D$25=0,0,D$25/AGR_fec!D$25)</f>
        <v>3.1024187999999988</v>
      </c>
      <c r="E51" s="265">
        <f>IF(E$25=0,0,E$25/AGR_fec!E$25)</f>
        <v>3.1024187999999997</v>
      </c>
      <c r="F51" s="265">
        <f>IF(F$25=0,0,F$25/AGR_fec!F$25)</f>
        <v>3.1024188000000001</v>
      </c>
      <c r="G51" s="265">
        <f>IF(G$25=0,0,G$25/AGR_fec!G$25)</f>
        <v>3.0938236696812922</v>
      </c>
      <c r="H51" s="265">
        <f>IF(H$25=0,0,H$25/AGR_fec!H$25)</f>
        <v>3.0645591905709648</v>
      </c>
      <c r="I51" s="265">
        <f>IF(I$25=0,0,I$25/AGR_fec!I$25)</f>
        <v>3.0313380991810419</v>
      </c>
      <c r="J51" s="265">
        <f>IF(J$25=0,0,J$25/AGR_fec!J$25)</f>
        <v>3.0105593399436832</v>
      </c>
      <c r="K51" s="265">
        <f>IF(K$25=0,0,K$25/AGR_fec!K$25)</f>
        <v>2.9866030105191053</v>
      </c>
      <c r="L51" s="265">
        <f>IF(L$25=0,0,L$25/AGR_fec!L$25)</f>
        <v>2.9841411006452336</v>
      </c>
      <c r="M51" s="265">
        <f>IF(M$25=0,0,M$25/AGR_fec!M$25)</f>
        <v>2.9508940569062143</v>
      </c>
      <c r="N51" s="265">
        <f>IF(N$25=0,0,N$25/AGR_fec!N$25)</f>
        <v>2.8993585771816961</v>
      </c>
      <c r="O51" s="265">
        <f>IF(O$25=0,0,O$25/AGR_fec!O$25)</f>
        <v>2.8241336965070665</v>
      </c>
      <c r="P51" s="265">
        <f>IF(P$25=0,0,P$25/AGR_fec!P$25)</f>
        <v>2.694492331021261</v>
      </c>
      <c r="Q51" s="265">
        <f>IF(Q$25=0,0,Q$25/AGR_fec!Q$25)</f>
        <v>2.6120738287807317</v>
      </c>
      <c r="R51" s="265">
        <f>IF(R$25=0,0,R$25/AGR_fec!R$25)</f>
        <v>2.4727678044255588</v>
      </c>
      <c r="S51" s="265">
        <f>IF(S$25=0,0,S$25/AGR_fec!S$25)</f>
        <v>2.3203405867824083</v>
      </c>
      <c r="T51" s="265">
        <f>IF(T$25=0,0,T$25/AGR_fec!T$25)</f>
        <v>2.2595764273187178</v>
      </c>
      <c r="U51" s="265">
        <f>IF(U$25=0,0,U$25/AGR_fec!U$25)</f>
        <v>2.290637815120709</v>
      </c>
      <c r="V51" s="265">
        <f>IF(V$25=0,0,V$25/AGR_fec!V$25)</f>
        <v>2.2366457719571167</v>
      </c>
      <c r="W51" s="265">
        <f>IF(W$25=0,0,W$25/AGR_fec!W$25)</f>
        <v>2.239943649195224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2024-05-20T16:55:53Z</dcterms:created>
  <dcterms:modified xsi:type="dcterms:W3CDTF">2024-05-20T16:55:53Z</dcterms:modified>
</cp:coreProperties>
</file>