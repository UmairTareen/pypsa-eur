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Y122" i="59"/>
  <c r="X122" i="59"/>
  <c r="T90" i="59"/>
  <c r="Y89" i="59"/>
  <c r="U121" i="59"/>
  <c r="W85" i="59"/>
  <c r="U116" i="59"/>
  <c r="V115" i="59"/>
  <c r="U113" i="59"/>
  <c r="Y80" i="59"/>
  <c r="W80" i="59"/>
  <c r="V111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U103" i="59"/>
  <c r="W69" i="59"/>
  <c r="V101" i="59"/>
  <c r="U101" i="59"/>
  <c r="U100" i="59"/>
  <c r="W98" i="59"/>
  <c r="Y82" i="59"/>
  <c r="W74" i="59"/>
  <c r="U115" i="59"/>
  <c r="V113" i="59"/>
  <c r="T112" i="59"/>
  <c r="X110" i="59"/>
  <c r="T80" i="59"/>
  <c r="W78" i="59"/>
  <c r="W122" i="59"/>
  <c r="Y120" i="59"/>
  <c r="W87" i="59"/>
  <c r="T118" i="59"/>
  <c r="T83" i="59"/>
  <c r="Y114" i="59"/>
  <c r="W113" i="59"/>
  <c r="Y111" i="59"/>
  <c r="W110" i="59"/>
  <c r="Y77" i="59"/>
  <c r="U108" i="59"/>
  <c r="W73" i="59"/>
  <c r="Y102" i="59"/>
  <c r="W101" i="59"/>
  <c r="Y99" i="59"/>
  <c r="W67" i="59"/>
  <c r="X20" i="59"/>
  <c r="U20" i="59"/>
  <c r="X13" i="59"/>
  <c r="Y13" i="59"/>
  <c r="W5" i="59"/>
  <c r="T5" i="59"/>
  <c r="Y5" i="59"/>
  <c r="U5" i="59"/>
  <c r="T71" i="59" l="1"/>
  <c r="U71" i="59"/>
  <c r="Y69" i="59"/>
  <c r="V94" i="59"/>
  <c r="Y73" i="59"/>
  <c r="Y67" i="59"/>
  <c r="W90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72" i="59"/>
  <c r="Y65" i="59"/>
  <c r="Y84" i="59"/>
  <c r="W81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<sst xmlns="http://schemas.openxmlformats.org/spreadsheetml/2006/main" count="722" uniqueCount="281">
  <si>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</si>
  <si>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</si>
  <si>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</si>
  <si>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</si>
  <si>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</si>
  <si>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</si>
  <si>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</si>
  <si>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</si>
  <si>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</si>
  <si>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</si>
  <si>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</si>
  <si>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</si>
  <si>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</si>
  <si>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</si>
  <si>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</si>
  <si>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</si>
  <si>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</si>
  <si>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</si>
  <si>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</si>
  <si>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</si>
  <si>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</si>
  <si>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</si>
  <si>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</si>
  <si>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</si>
  <si>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</si>
  <si>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</si>
  <si>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</si>
  <si>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</si>
  <si>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</si>
  <si>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</si>
  <si>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</si>
  <si>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</si>
  <si>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</si>
  <si>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</si>
  <si>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</si>
  <si>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</si>
  <si>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</si>
  <si>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</si>
  <si>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</si>
  <si>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</si>
  <si>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</si>
  <si>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</si>
  <si>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</si>
  <si>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</si>
  <si>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</si>
  <si>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</si>
  <si>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</si>
  <si>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</si>
  <si>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</si>
  <si>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</si>
  <si>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</si>
  <si>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</si>
  <si>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</si>
  <si>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</si>
  <si>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</si>
  <si>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</si>
  <si>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</si>
  <si>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</si>
  <si>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</si>
  <si>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</si>
  <si>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</si>
  <si>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</si>
  <si>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</si>
  <si>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</si>
  <si>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</si>
  <si>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</si>
  <si>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</si>
  <si>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</si>
  <si>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</si>
  <si>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</si>
  <si>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</si>
  <si>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</si>
  <si>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</si>
  <si>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</si>
  <si>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</si>
  <si>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</si>
  <si>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</si>
  <si>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</si>
  <si>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</si>
  <si>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</si>
  <si>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</si>
  <si>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</si>
  <si>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</si>
  <si>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</si>
  <si>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</si>
  <si>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</si>
  <si>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</si>
  <si>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</si>
  <si>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</si>
  <si>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</si>
  <si>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</si>
  <si>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</si>
  <si>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</si>
  <si>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</si>
  <si>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</si>
  <si>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</si>
  <si>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</si>
  <si>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</si>
  <si>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</si>
  <si>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</si>
  <si>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</si>
  <si>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</si>
  <si>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</si>
  <si>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</si>
  <si>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</si>
  <si>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</si>
  <si>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</si>
  <si>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</si>
  <si>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</si>
  <si>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</si>
  <si>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</si>
  <si>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</si>
  <si>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</si>
  <si>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</si>
  <si>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</si>
  <si>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</si>
  <si>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</si>
  <si>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</si>
  <si>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</si>
  <si>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</si>
  <si>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</si>
  <si>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</si>
  <si>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</si>
  <si>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</si>
  <si>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</si>
  <si>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</si>
  <si>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</si>
  <si>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</si>
  <si>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</si>
  <si>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</si>
  <si>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</si>
  <si>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</si>
  <si>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</si>
  <si>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</si>
  <si>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</si>
  <si>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</si>
  <si>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</si>
  <si>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</si>
  <si>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</si>
  <si>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</si>
  <si>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</si>
  <si>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</si>
  <si>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</si>
  <si>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</si>
  <si>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</si>
  <si>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</si>
  <si>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</si>
  <si>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</si>
  <si>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</si>
  <si>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</si>
  <si>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</si>
  <si>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</si>
  <si>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</si>
  <si>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</si>
  <si>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</si>
  <si>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</si>
  <si>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</si>
  <si>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</si>
  <si>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</si>
  <si>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</si>
  <si>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</si>
  <si>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</si>
  <si>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</si>
  <si>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</si>
  <si>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</si>
  <si>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</si>
  <si>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</si>
  <si>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</si>
  <si>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</si>
  <si>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</si>
  <si>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</si>
  <si>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</si>
  <si>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</si>
  <si>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</si>
  <si>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</si>
  <si>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</si>
  <si>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</si>
  <si>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</si>
  <si>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</si>
  <si>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</si>
  <si>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</si>
  <si>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</si>
  <si>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</si>
  <si>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</si>
  <si>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</si>
  <si>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</si>
  <si>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</si>
  <si>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</si>
  <si>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</si>
  <si>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</si>
  <si>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</si>
  <si>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</si>
  <si>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</si>
  <si>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</si>
  <si>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</si>
  <si>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</si>
  <si>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</si>
  <si>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</si>
  <si>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</si>
  <si>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</si>
  <si>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</si>
  <si>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</si>
  <si>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</si>
  <si>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</si>
  <si>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</si>
  <si>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</si>
  <si>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</si>
  <si>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</si>
  <si>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</si>
  <si>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</si>
  <si>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</si>
  <si>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</si>
  <si>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</si>
  <si>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</si>
  <si>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</si>
  <si>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</si>
  <si>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</si>
  <si>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</si>
  <si>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</si>
  <si>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</si>
  <si>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</si>
  <si>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</si>
  <si>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</si>
  <si>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</si>
  <si>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</si>
  <si>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</si>
  <si>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</si>
  <si>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</si>
  <si>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</si>
  <si>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</si>
  <si>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</si>
  <si>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</si>
  <si>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</si>
  <si>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</si>
  <si>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</si>
  <si>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</si>
  <si>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</si>
  <si>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</si>
  <si>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</si>
  <si>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</si>
  <si>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</si>
  <si>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</si>
  <si>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</si>
  <si>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</si>
  <si>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</si>
  <si>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</si>
  <si>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</si>
  <si>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</si>
  <si>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</si>
  <si>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</si>
  <si>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</si>
  <si>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</si>
  <si>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</si>
  <si>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</si>
  <si>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</si>
  <si>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</si>
  <si>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</si>
  <si>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</si>
  <si>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</si>
  <si>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</si>
  <si>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</si>
  <si>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</si>
  <si>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</si>
  <si>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</si>
  <si>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</si>
  <si>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</si>
  <si>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</si>
  <si>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</si>
  <si>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</si>
  <si>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</si>
  <si>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</si>
  <si>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</si>
  <si>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</si>
  <si>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</si>
  <si>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</si>
  <si>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</si>
  <si>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</si>
  <si>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</si>
  <si>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</si>
  <si>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HR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</si>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</sst>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45432.785277777781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23550.6089741094</v>
      </c>
      <c r="E2" s="19">
        <v>25850.347649930362</v>
      </c>
      <c r="F2" s="19">
        <v>28670.866445646483</v>
      </c>
      <c r="G2" s="19">
        <v>30928.269510031925</v>
      </c>
      <c r="H2" s="19">
        <v>33711.401675269059</v>
      </c>
      <c r="I2" s="19">
        <v>36729.136778320142</v>
      </c>
      <c r="J2" s="19">
        <v>40507.8931213416</v>
      </c>
      <c r="K2" s="19">
        <v>44305.704671508742</v>
      </c>
      <c r="L2" s="19">
        <v>48438.122693994075</v>
      </c>
      <c r="M2" s="19">
        <v>45548.42933649433</v>
      </c>
      <c r="N2" s="19">
        <v>45717.788964760999</v>
      </c>
      <c r="O2" s="19">
        <v>45505.765410825246</v>
      </c>
      <c r="P2" s="19">
        <v>44576.230564949765</v>
      </c>
      <c r="Q2" s="19">
        <v>44392.933490316595</v>
      </c>
      <c r="R2" s="19">
        <v>43945.713748908536</v>
      </c>
      <c r="S2" s="19">
        <v>45218.267401999998</v>
      </c>
      <c r="T2" s="19">
        <v>47299.983596851642</v>
      </c>
      <c r="U2" s="19">
        <v>49939.521435774128</v>
      </c>
      <c r="V2" s="19">
        <v>52710.587458558839</v>
      </c>
      <c r="W2" s="19">
        <v>55596.718911286218</v>
      </c>
      <c r="X2" s="19">
        <v>50384.019897825761</v>
      </c>
      <c r="Y2" s="19">
        <v>58271.405609614907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15022.694821226292</v>
      </c>
      <c r="E3" s="23">
        <v>16912.40619065085</v>
      </c>
      <c r="F3" s="23">
        <v>19116.570633761105</v>
      </c>
      <c r="G3" s="23">
        <v>20020.595875990592</v>
      </c>
      <c r="H3" s="23">
        <v>21586.498026416441</v>
      </c>
      <c r="I3" s="23">
        <v>23597.418614153634</v>
      </c>
      <c r="J3" s="23">
        <v>25029.541212926073</v>
      </c>
      <c r="K3" s="23">
        <v>26998.026023434926</v>
      </c>
      <c r="L3" s="23">
        <v>29789.405961781009</v>
      </c>
      <c r="M3" s="23">
        <v>27553.814970566131</v>
      </c>
      <c r="N3" s="23">
        <v>27712.948581705223</v>
      </c>
      <c r="O3" s="23">
        <v>28018.585109879448</v>
      </c>
      <c r="P3" s="23">
        <v>27904.884248432041</v>
      </c>
      <c r="Q3" s="23">
        <v>27777.47507689265</v>
      </c>
      <c r="R3" s="23">
        <v>26802.746352677768</v>
      </c>
      <c r="S3" s="23">
        <v>26891.134758</v>
      </c>
      <c r="T3" s="23">
        <v>27728.438772386191</v>
      </c>
      <c r="U3" s="23">
        <v>29126.04672255199</v>
      </c>
      <c r="V3" s="23">
        <v>30726.655237994357</v>
      </c>
      <c r="W3" s="23">
        <v>32338.062719030931</v>
      </c>
      <c r="X3" s="23">
        <v>30345.907517899763</v>
      </c>
      <c r="Y3" s="23">
        <v>34381.797262847431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19546.400000000001</v>
      </c>
      <c r="E4" s="27">
        <v>21536.7</v>
      </c>
      <c r="F4" s="27">
        <v>23841.200000000001</v>
      </c>
      <c r="G4" s="27">
        <v>25924.5</v>
      </c>
      <c r="H4" s="27">
        <v>28475.4</v>
      </c>
      <c r="I4" s="27">
        <v>31053.200000000001</v>
      </c>
      <c r="J4" s="27">
        <v>34138.1</v>
      </c>
      <c r="K4" s="27">
        <v>37513.9</v>
      </c>
      <c r="L4" s="27">
        <v>41033.300000000003</v>
      </c>
      <c r="M4" s="27">
        <v>39012.300000000003</v>
      </c>
      <c r="N4" s="27">
        <v>38908.400000000001</v>
      </c>
      <c r="O4" s="27">
        <v>38958.199999999997</v>
      </c>
      <c r="P4" s="27">
        <v>37646.899999999994</v>
      </c>
      <c r="Q4" s="27">
        <v>37136</v>
      </c>
      <c r="R4" s="27">
        <v>36718.199999999997</v>
      </c>
      <c r="S4" s="27">
        <v>37597.199999999997</v>
      </c>
      <c r="T4" s="27">
        <v>39338.300000000003</v>
      </c>
      <c r="U4" s="27">
        <v>41432</v>
      </c>
      <c r="V4" s="27">
        <v>43488</v>
      </c>
      <c r="W4" s="27">
        <v>45826.400000000001</v>
      </c>
      <c r="X4" s="27">
        <v>42174.1</v>
      </c>
      <c r="Y4" s="27">
        <v>48337.3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1173.9000000000001</v>
      </c>
      <c r="E6" s="19">
        <v>1287.2</v>
      </c>
      <c r="F6" s="19">
        <v>1392.7</v>
      </c>
      <c r="G6" s="19">
        <v>1220.8</v>
      </c>
      <c r="H6" s="19">
        <v>1493.3</v>
      </c>
      <c r="I6" s="19">
        <v>1424.2</v>
      </c>
      <c r="J6" s="19">
        <v>1616</v>
      </c>
      <c r="K6" s="19">
        <v>1639.4</v>
      </c>
      <c r="L6" s="19">
        <v>1884.3</v>
      </c>
      <c r="M6" s="19">
        <v>1821.9</v>
      </c>
      <c r="N6" s="19">
        <v>1671.7</v>
      </c>
      <c r="O6" s="19">
        <v>1654.6</v>
      </c>
      <c r="P6" s="19">
        <v>1469.1</v>
      </c>
      <c r="Q6" s="19">
        <v>1534.6</v>
      </c>
      <c r="R6" s="19">
        <v>1296.3000000000002</v>
      </c>
      <c r="S6" s="19">
        <v>1342.8</v>
      </c>
      <c r="T6" s="19">
        <v>1449.2</v>
      </c>
      <c r="U6" s="19">
        <v>1443.4</v>
      </c>
      <c r="V6" s="19">
        <v>1556.8</v>
      </c>
      <c r="W6" s="19">
        <v>1594.2</v>
      </c>
      <c r="X6" s="19">
        <v>1554.9</v>
      </c>
      <c r="Y6" s="19">
        <v>1929.9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4769.5000000000009</v>
      </c>
      <c r="E7" s="23">
        <v>5006.5000000000009</v>
      </c>
      <c r="F7" s="23">
        <v>5295.8999999999978</v>
      </c>
      <c r="G7" s="23">
        <v>5559.9999999999973</v>
      </c>
      <c r="H7" s="23">
        <v>6269</v>
      </c>
      <c r="I7" s="23">
        <v>6536.6</v>
      </c>
      <c r="J7" s="23">
        <v>6975.2999999999975</v>
      </c>
      <c r="K7" s="23">
        <v>7388.0999999999967</v>
      </c>
      <c r="L7" s="23">
        <v>7876.7000000000062</v>
      </c>
      <c r="M7" s="23">
        <v>7545.8000000000065</v>
      </c>
      <c r="N7" s="23">
        <v>7673.9000000000033</v>
      </c>
      <c r="O7" s="23">
        <v>7885.8999999999969</v>
      </c>
      <c r="P7" s="23">
        <v>7820.2999999999975</v>
      </c>
      <c r="Q7" s="23">
        <v>7559.199999999998</v>
      </c>
      <c r="R7" s="23">
        <v>7581.8999999999978</v>
      </c>
      <c r="S7" s="23">
        <v>7674.1999999999935</v>
      </c>
      <c r="T7" s="23">
        <v>7979.8000000000065</v>
      </c>
      <c r="U7" s="23">
        <v>8224.6</v>
      </c>
      <c r="V7" s="23">
        <v>8338.4000000000015</v>
      </c>
      <c r="W7" s="23">
        <v>8624.9</v>
      </c>
      <c r="X7" s="23">
        <v>7907.5999999999967</v>
      </c>
      <c r="Y7" s="23">
        <v>8928.6000000000076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949.8</v>
      </c>
      <c r="E8" s="23">
        <v>1167.5</v>
      </c>
      <c r="F8" s="23">
        <v>1293.9999999999998</v>
      </c>
      <c r="G8" s="23">
        <v>1679.5</v>
      </c>
      <c r="H8" s="23">
        <v>1894</v>
      </c>
      <c r="I8" s="23">
        <v>2220.3999999999996</v>
      </c>
      <c r="J8" s="23">
        <v>2532.3000000000002</v>
      </c>
      <c r="K8" s="23">
        <v>2803.1</v>
      </c>
      <c r="L8" s="23">
        <v>3177.5</v>
      </c>
      <c r="M8" s="23">
        <v>2780.5</v>
      </c>
      <c r="N8" s="23">
        <v>2101.1999999999998</v>
      </c>
      <c r="O8" s="23">
        <v>1926.3</v>
      </c>
      <c r="P8" s="23">
        <v>1611.7</v>
      </c>
      <c r="Q8" s="23">
        <v>1605.8</v>
      </c>
      <c r="R8" s="23">
        <v>1575.1</v>
      </c>
      <c r="S8" s="23">
        <v>1647.1</v>
      </c>
      <c r="T8" s="23">
        <v>1767.9</v>
      </c>
      <c r="U8" s="23">
        <v>1873.7</v>
      </c>
      <c r="V8" s="23">
        <v>2135.6</v>
      </c>
      <c r="W8" s="23">
        <v>2465.3000000000006</v>
      </c>
      <c r="X8" s="23">
        <v>2539.6</v>
      </c>
      <c r="Y8" s="23">
        <v>2875.4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3866.6</v>
      </c>
      <c r="E9" s="23">
        <v>4566</v>
      </c>
      <c r="F9" s="23">
        <v>5269.8</v>
      </c>
      <c r="G9" s="23">
        <v>6033.4</v>
      </c>
      <c r="H9" s="23">
        <v>6290.4</v>
      </c>
      <c r="I9" s="23">
        <v>6906.3</v>
      </c>
      <c r="J9" s="23">
        <v>7573.6</v>
      </c>
      <c r="K9" s="23">
        <v>8102.2</v>
      </c>
      <c r="L9" s="23">
        <v>8987.2999999999993</v>
      </c>
      <c r="M9" s="23">
        <v>7860.3</v>
      </c>
      <c r="N9" s="23">
        <v>8092.6</v>
      </c>
      <c r="O9" s="23">
        <v>8132.5</v>
      </c>
      <c r="P9" s="23">
        <v>7961.6</v>
      </c>
      <c r="Q9" s="23">
        <v>8059.8</v>
      </c>
      <c r="R9" s="23">
        <v>7926</v>
      </c>
      <c r="S9" s="23">
        <v>8429.5</v>
      </c>
      <c r="T9" s="23">
        <v>8769.7999999999993</v>
      </c>
      <c r="U9" s="23">
        <v>9508.6</v>
      </c>
      <c r="V9" s="23">
        <v>10189.299999999999</v>
      </c>
      <c r="W9" s="23">
        <v>10698.1</v>
      </c>
      <c r="X9" s="23">
        <v>8387.1</v>
      </c>
      <c r="Y9" s="23">
        <v>10437.700000000001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930.2</v>
      </c>
      <c r="E10" s="23">
        <v>1114.0999999999999</v>
      </c>
      <c r="F10" s="23">
        <v>1259.7</v>
      </c>
      <c r="G10" s="23">
        <v>1290.9000000000001</v>
      </c>
      <c r="H10" s="23">
        <v>1400.1</v>
      </c>
      <c r="I10" s="23">
        <v>1523.3</v>
      </c>
      <c r="J10" s="23">
        <v>1646.6</v>
      </c>
      <c r="K10" s="23">
        <v>1761.4</v>
      </c>
      <c r="L10" s="23">
        <v>1996.6</v>
      </c>
      <c r="M10" s="23">
        <v>1915</v>
      </c>
      <c r="N10" s="23">
        <v>1960.5</v>
      </c>
      <c r="O10" s="23">
        <v>1864.6</v>
      </c>
      <c r="P10" s="23">
        <v>1799.6</v>
      </c>
      <c r="Q10" s="23">
        <v>1735.8</v>
      </c>
      <c r="R10" s="23">
        <v>1649.3</v>
      </c>
      <c r="S10" s="23">
        <v>1703.2</v>
      </c>
      <c r="T10" s="23">
        <v>1779.8</v>
      </c>
      <c r="U10" s="23">
        <v>1926.9</v>
      </c>
      <c r="V10" s="23">
        <v>2082.8000000000002</v>
      </c>
      <c r="W10" s="23">
        <v>2231.1</v>
      </c>
      <c r="X10" s="23">
        <v>2531.4</v>
      </c>
      <c r="Y10" s="23">
        <v>2932.4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857.3</v>
      </c>
      <c r="E11" s="23">
        <v>1025.3</v>
      </c>
      <c r="F11" s="23">
        <v>1177.5999999999999</v>
      </c>
      <c r="G11" s="23">
        <v>1403.6</v>
      </c>
      <c r="H11" s="23">
        <v>1482.3</v>
      </c>
      <c r="I11" s="23">
        <v>1839.3000000000002</v>
      </c>
      <c r="J11" s="23">
        <v>1970.2000000000003</v>
      </c>
      <c r="K11" s="23">
        <v>2275.8999999999996</v>
      </c>
      <c r="L11" s="23">
        <v>2528</v>
      </c>
      <c r="M11" s="23">
        <v>2506</v>
      </c>
      <c r="N11" s="23">
        <v>2635.4</v>
      </c>
      <c r="O11" s="23">
        <v>2762</v>
      </c>
      <c r="P11" s="23">
        <v>2497.1</v>
      </c>
      <c r="Q11" s="23">
        <v>2324.6</v>
      </c>
      <c r="R11" s="23">
        <v>2379.1999999999998</v>
      </c>
      <c r="S11" s="23">
        <v>2360.6</v>
      </c>
      <c r="T11" s="23">
        <v>2448.3000000000006</v>
      </c>
      <c r="U11" s="23">
        <v>2567.6</v>
      </c>
      <c r="V11" s="23">
        <v>2552.3000000000002</v>
      </c>
      <c r="W11" s="23">
        <v>2499.8999999999996</v>
      </c>
      <c r="X11" s="23">
        <v>2175.3000000000002</v>
      </c>
      <c r="Y11" s="23">
        <v>2568.5000000000005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1821.8</v>
      </c>
      <c r="E12" s="23">
        <v>1956.2</v>
      </c>
      <c r="F12" s="23">
        <v>2116.9</v>
      </c>
      <c r="G12" s="23">
        <v>2241.3000000000002</v>
      </c>
      <c r="H12" s="23">
        <v>2434.6</v>
      </c>
      <c r="I12" s="23">
        <v>2662</v>
      </c>
      <c r="J12" s="23">
        <v>2937.3</v>
      </c>
      <c r="K12" s="23">
        <v>3488.9</v>
      </c>
      <c r="L12" s="23">
        <v>3640.7</v>
      </c>
      <c r="M12" s="23">
        <v>3599</v>
      </c>
      <c r="N12" s="23">
        <v>3581.4</v>
      </c>
      <c r="O12" s="23">
        <v>3671.4</v>
      </c>
      <c r="P12" s="23">
        <v>3647.5</v>
      </c>
      <c r="Q12" s="23">
        <v>3605.6</v>
      </c>
      <c r="R12" s="23">
        <v>3617.7</v>
      </c>
      <c r="S12" s="23">
        <v>3675.8</v>
      </c>
      <c r="T12" s="23">
        <v>3755.7</v>
      </c>
      <c r="U12" s="23">
        <v>3853.5</v>
      </c>
      <c r="V12" s="23">
        <v>3914.5</v>
      </c>
      <c r="W12" s="23">
        <v>4173.8</v>
      </c>
      <c r="X12" s="23">
        <v>4154.6000000000004</v>
      </c>
      <c r="Y12" s="23">
        <v>4499.3999999999996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911.2</v>
      </c>
      <c r="E13" s="23">
        <v>1061.3</v>
      </c>
      <c r="F13" s="23">
        <v>1293.2</v>
      </c>
      <c r="G13" s="23">
        <v>1505.5</v>
      </c>
      <c r="H13" s="23">
        <v>1698.1</v>
      </c>
      <c r="I13" s="23">
        <v>2043.3999999999996</v>
      </c>
      <c r="J13" s="23">
        <v>2481</v>
      </c>
      <c r="K13" s="23">
        <v>3039.3</v>
      </c>
      <c r="L13" s="23">
        <v>3380.5</v>
      </c>
      <c r="M13" s="23">
        <v>3109.8</v>
      </c>
      <c r="N13" s="23">
        <v>3097.5</v>
      </c>
      <c r="O13" s="23">
        <v>3028.8</v>
      </c>
      <c r="P13" s="23">
        <v>2963.1</v>
      </c>
      <c r="Q13" s="23">
        <v>2965.3</v>
      </c>
      <c r="R13" s="23">
        <v>3004.7</v>
      </c>
      <c r="S13" s="23">
        <v>3004.4</v>
      </c>
      <c r="T13" s="23">
        <v>3160.3</v>
      </c>
      <c r="U13" s="23">
        <v>3364.8</v>
      </c>
      <c r="V13" s="23">
        <v>3508.1</v>
      </c>
      <c r="W13" s="23">
        <v>3740.6</v>
      </c>
      <c r="X13" s="23">
        <v>3183.3</v>
      </c>
      <c r="Y13" s="23">
        <v>3630.9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3773.1</v>
      </c>
      <c r="E14" s="23">
        <v>3780.9</v>
      </c>
      <c r="F14" s="23">
        <v>4061.2</v>
      </c>
      <c r="G14" s="23">
        <v>4283.8999999999996</v>
      </c>
      <c r="H14" s="23">
        <v>4762.6000000000004</v>
      </c>
      <c r="I14" s="23">
        <v>5030.5</v>
      </c>
      <c r="J14" s="23">
        <v>5417.2</v>
      </c>
      <c r="K14" s="23">
        <v>5976.1</v>
      </c>
      <c r="L14" s="23">
        <v>6413.4</v>
      </c>
      <c r="M14" s="23">
        <v>6722.7</v>
      </c>
      <c r="N14" s="23">
        <v>6875.2</v>
      </c>
      <c r="O14" s="23">
        <v>6790.7</v>
      </c>
      <c r="P14" s="23">
        <v>6637.1</v>
      </c>
      <c r="Q14" s="23">
        <v>6469.5</v>
      </c>
      <c r="R14" s="23">
        <v>6400</v>
      </c>
      <c r="S14" s="23">
        <v>6504.4</v>
      </c>
      <c r="T14" s="23">
        <v>6818.2</v>
      </c>
      <c r="U14" s="23">
        <v>7134.6</v>
      </c>
      <c r="V14" s="23">
        <v>7569.3</v>
      </c>
      <c r="W14" s="23">
        <v>7933.6</v>
      </c>
      <c r="X14" s="23">
        <v>8230.1</v>
      </c>
      <c r="Y14" s="23">
        <v>8880.2000000000007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493</v>
      </c>
      <c r="E15" s="23">
        <v>571.70000000000005</v>
      </c>
      <c r="F15" s="23">
        <v>680.2</v>
      </c>
      <c r="G15" s="23">
        <v>705.6</v>
      </c>
      <c r="H15" s="23">
        <v>751</v>
      </c>
      <c r="I15" s="23">
        <v>867.2</v>
      </c>
      <c r="J15" s="23">
        <v>988.60000000000014</v>
      </c>
      <c r="K15" s="23">
        <v>1039.5</v>
      </c>
      <c r="L15" s="23">
        <v>1148.3</v>
      </c>
      <c r="M15" s="23">
        <v>1151.3</v>
      </c>
      <c r="N15" s="23">
        <v>1218.9999999999998</v>
      </c>
      <c r="O15" s="23">
        <v>1241.4000000000003</v>
      </c>
      <c r="P15" s="23">
        <v>1239.8000000000002</v>
      </c>
      <c r="Q15" s="23">
        <v>1275.8</v>
      </c>
      <c r="R15" s="23">
        <v>1288</v>
      </c>
      <c r="S15" s="23">
        <v>1255.2</v>
      </c>
      <c r="T15" s="23">
        <v>1409.3</v>
      </c>
      <c r="U15" s="23">
        <v>1534.3</v>
      </c>
      <c r="V15" s="23">
        <v>1640.9</v>
      </c>
      <c r="W15" s="23">
        <v>1864.9</v>
      </c>
      <c r="X15" s="23">
        <v>1510.2</v>
      </c>
      <c r="Y15" s="23">
        <v>1654.3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19546.400000000001</v>
      </c>
      <c r="E16" s="30">
        <f t="shared" ref="E16:S16" si="0">SUM(E6:E15)</f>
        <v>21536.700000000004</v>
      </c>
      <c r="F16" s="30">
        <f t="shared" si="0"/>
        <v>23841.200000000001</v>
      </c>
      <c r="G16" s="30">
        <f t="shared" si="0"/>
        <v>25924.499999999993</v>
      </c>
      <c r="H16" s="30">
        <f t="shared" si="0"/>
        <v>28475.399999999994</v>
      </c>
      <c r="I16" s="30">
        <f t="shared" si="0"/>
        <v>31053.200000000001</v>
      </c>
      <c r="J16" s="30">
        <f t="shared" si="0"/>
        <v>34138.099999999991</v>
      </c>
      <c r="K16" s="30">
        <f t="shared" si="0"/>
        <v>37513.9</v>
      </c>
      <c r="L16" s="30">
        <f t="shared" si="0"/>
        <v>41033.30000000001</v>
      </c>
      <c r="M16" s="30">
        <f t="shared" si="0"/>
        <v>39012.30000000001</v>
      </c>
      <c r="N16" s="30">
        <f t="shared" si="0"/>
        <v>38908.400000000001</v>
      </c>
      <c r="O16" s="30">
        <f t="shared" si="0"/>
        <v>38958.199999999997</v>
      </c>
      <c r="P16" s="30">
        <f t="shared" si="0"/>
        <v>37646.899999999994</v>
      </c>
      <c r="Q16" s="30">
        <f t="shared" si="0"/>
        <v>37136</v>
      </c>
      <c r="R16" s="30">
        <f t="shared" si="0"/>
        <v>36718.199999999997</v>
      </c>
      <c r="S16" s="30">
        <f t="shared" si="0"/>
        <v>37597.19999999999</v>
      </c>
      <c r="T16" s="30">
        <f t="shared" ref="T16:Y16" si="1">SUM(T6:T15)</f>
        <v>39338.300000000003</v>
      </c>
      <c r="U16" s="30">
        <f t="shared" si="1"/>
        <v>41432.000000000007</v>
      </c>
      <c r="V16" s="30">
        <f t="shared" si="1"/>
        <v>43488</v>
      </c>
      <c r="W16" s="30">
        <f t="shared" si="1"/>
        <v>45826.400000000001</v>
      </c>
      <c r="X16" s="30">
        <f t="shared" si="1"/>
        <v>42174.1</v>
      </c>
      <c r="Y16" s="30">
        <f t="shared" si="1"/>
        <v>48337.300000000017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1173.9000000000001</v>
      </c>
      <c r="E18" s="19">
        <v>1287.2</v>
      </c>
      <c r="F18" s="19">
        <v>1392.7</v>
      </c>
      <c r="G18" s="19">
        <v>1220.8</v>
      </c>
      <c r="H18" s="19">
        <v>1493.3</v>
      </c>
      <c r="I18" s="19">
        <v>1424.2</v>
      </c>
      <c r="J18" s="19">
        <v>1616</v>
      </c>
      <c r="K18" s="19">
        <v>1639.4</v>
      </c>
      <c r="L18" s="19">
        <v>1884.3</v>
      </c>
      <c r="M18" s="19">
        <v>1821.9</v>
      </c>
      <c r="N18" s="19">
        <v>1671.7</v>
      </c>
      <c r="O18" s="19">
        <v>1654.6</v>
      </c>
      <c r="P18" s="19">
        <v>1469.1</v>
      </c>
      <c r="Q18" s="19">
        <v>1534.6</v>
      </c>
      <c r="R18" s="19">
        <v>1296.3000000000002</v>
      </c>
      <c r="S18" s="19">
        <v>1342.8</v>
      </c>
      <c r="T18" s="19">
        <v>1449.2</v>
      </c>
      <c r="U18" s="19">
        <v>1443.4</v>
      </c>
      <c r="V18" s="19">
        <v>1556.8</v>
      </c>
      <c r="W18" s="19">
        <v>1594.2</v>
      </c>
      <c r="X18" s="19">
        <v>1554.9</v>
      </c>
      <c r="Y18" s="19">
        <v>1929.9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131.1</v>
      </c>
      <c r="E19" s="23">
        <v>110.1</v>
      </c>
      <c r="F19" s="23">
        <v>165.7</v>
      </c>
      <c r="G19" s="23">
        <v>142.6</v>
      </c>
      <c r="H19" s="23">
        <v>225.1</v>
      </c>
      <c r="I19" s="23">
        <v>267.60000000000008</v>
      </c>
      <c r="J19" s="23">
        <v>407.4</v>
      </c>
      <c r="K19" s="23">
        <v>326.2</v>
      </c>
      <c r="L19" s="23">
        <v>354</v>
      </c>
      <c r="M19" s="23">
        <v>390.7</v>
      </c>
      <c r="N19" s="23">
        <v>403.5</v>
      </c>
      <c r="O19" s="23">
        <v>385.2</v>
      </c>
      <c r="P19" s="23">
        <v>377.2</v>
      </c>
      <c r="Q19" s="23">
        <v>406.7</v>
      </c>
      <c r="R19" s="23">
        <v>316.2</v>
      </c>
      <c r="S19" s="23">
        <v>218.2</v>
      </c>
      <c r="T19" s="23">
        <v>163.80000000000004</v>
      </c>
      <c r="U19" s="23">
        <v>170.3</v>
      </c>
      <c r="V19" s="23">
        <v>167.4</v>
      </c>
      <c r="W19" s="23">
        <v>168.8</v>
      </c>
      <c r="X19" s="23">
        <v>94.9</v>
      </c>
      <c r="Y19" s="23">
        <v>111.2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3940.8000000000011</v>
      </c>
      <c r="E20" s="23">
        <v>4242.1000000000004</v>
      </c>
      <c r="F20" s="23">
        <v>4377.4999999999973</v>
      </c>
      <c r="G20" s="23">
        <v>4603.4999999999973</v>
      </c>
      <c r="H20" s="23">
        <v>5074.9999999999991</v>
      </c>
      <c r="I20" s="23">
        <v>5262.6</v>
      </c>
      <c r="J20" s="23">
        <v>5593.699999999998</v>
      </c>
      <c r="K20" s="23">
        <v>6149.3999999999978</v>
      </c>
      <c r="L20" s="23">
        <v>6533.7000000000044</v>
      </c>
      <c r="M20" s="23">
        <v>6031.0000000000055</v>
      </c>
      <c r="N20" s="23">
        <v>5918.3000000000038</v>
      </c>
      <c r="O20" s="23">
        <v>6176.6999999999962</v>
      </c>
      <c r="P20" s="23">
        <v>6028.0999999999976</v>
      </c>
      <c r="Q20" s="23">
        <v>5602.4999999999973</v>
      </c>
      <c r="R20" s="23">
        <v>5600.3999999999978</v>
      </c>
      <c r="S20" s="23">
        <v>5772.2999999999938</v>
      </c>
      <c r="T20" s="23">
        <v>6093.0000000000082</v>
      </c>
      <c r="U20" s="23">
        <v>6367.2</v>
      </c>
      <c r="V20" s="23">
        <v>6487.1000000000022</v>
      </c>
      <c r="W20" s="23">
        <v>6621.3999999999987</v>
      </c>
      <c r="X20" s="23">
        <v>6083.2999999999956</v>
      </c>
      <c r="Y20" s="23">
        <v>6809.0000000000073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367.7</v>
      </c>
      <c r="E21" s="23">
        <v>381</v>
      </c>
      <c r="F21" s="23">
        <v>475</v>
      </c>
      <c r="G21" s="23">
        <v>499.2</v>
      </c>
      <c r="H21" s="23">
        <v>614.20000000000005</v>
      </c>
      <c r="I21" s="23">
        <v>622.70000000000005</v>
      </c>
      <c r="J21" s="23">
        <v>610.4</v>
      </c>
      <c r="K21" s="23">
        <v>504.4</v>
      </c>
      <c r="L21" s="23">
        <v>554.20000000000005</v>
      </c>
      <c r="M21" s="23">
        <v>709.7</v>
      </c>
      <c r="N21" s="23">
        <v>860.6</v>
      </c>
      <c r="O21" s="23">
        <v>826</v>
      </c>
      <c r="P21" s="23">
        <v>885.2</v>
      </c>
      <c r="Q21" s="23">
        <v>1028.5</v>
      </c>
      <c r="R21" s="23">
        <v>1108.4000000000001</v>
      </c>
      <c r="S21" s="23">
        <v>1122.5999999999999</v>
      </c>
      <c r="T21" s="23">
        <v>1186.2</v>
      </c>
      <c r="U21" s="23">
        <v>1143.5</v>
      </c>
      <c r="V21" s="23">
        <v>1128.5000000000002</v>
      </c>
      <c r="W21" s="23">
        <v>1284.3000000000002</v>
      </c>
      <c r="X21" s="23">
        <v>1046.3</v>
      </c>
      <c r="Y21" s="23">
        <v>1226.3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329.9</v>
      </c>
      <c r="E22" s="23">
        <v>273.3</v>
      </c>
      <c r="F22" s="23">
        <v>277.7</v>
      </c>
      <c r="G22" s="23">
        <v>314.7</v>
      </c>
      <c r="H22" s="23">
        <v>354.7</v>
      </c>
      <c r="I22" s="23">
        <v>383.7</v>
      </c>
      <c r="J22" s="23">
        <v>363.8</v>
      </c>
      <c r="K22" s="23">
        <v>408.1</v>
      </c>
      <c r="L22" s="23">
        <v>434.8</v>
      </c>
      <c r="M22" s="23">
        <v>414.4</v>
      </c>
      <c r="N22" s="23">
        <v>491.5</v>
      </c>
      <c r="O22" s="23">
        <v>498</v>
      </c>
      <c r="P22" s="23">
        <v>529.79999999999995</v>
      </c>
      <c r="Q22" s="23">
        <v>521.5</v>
      </c>
      <c r="R22" s="23">
        <v>556.9</v>
      </c>
      <c r="S22" s="23">
        <v>561.1</v>
      </c>
      <c r="T22" s="23">
        <v>536.79999999999995</v>
      </c>
      <c r="U22" s="23">
        <v>543.6</v>
      </c>
      <c r="V22" s="23">
        <v>555.4</v>
      </c>
      <c r="W22" s="23">
        <v>550.4</v>
      </c>
      <c r="X22" s="23">
        <v>683.1</v>
      </c>
      <c r="Y22" s="23">
        <v>782.1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949.8</v>
      </c>
      <c r="E23" s="23">
        <v>1167.5</v>
      </c>
      <c r="F23" s="23">
        <v>1293.9999999999998</v>
      </c>
      <c r="G23" s="23">
        <v>1679.5</v>
      </c>
      <c r="H23" s="23">
        <v>1894</v>
      </c>
      <c r="I23" s="23">
        <v>2220.3999999999996</v>
      </c>
      <c r="J23" s="23">
        <v>2532.3000000000002</v>
      </c>
      <c r="K23" s="23">
        <v>2803.1</v>
      </c>
      <c r="L23" s="23">
        <v>3177.5</v>
      </c>
      <c r="M23" s="23">
        <v>2780.5</v>
      </c>
      <c r="N23" s="23">
        <v>2101.1999999999998</v>
      </c>
      <c r="O23" s="23">
        <v>1926.3</v>
      </c>
      <c r="P23" s="23">
        <v>1611.7</v>
      </c>
      <c r="Q23" s="23">
        <v>1605.8</v>
      </c>
      <c r="R23" s="23">
        <v>1575.1</v>
      </c>
      <c r="S23" s="23">
        <v>1647.1</v>
      </c>
      <c r="T23" s="23">
        <v>1767.9</v>
      </c>
      <c r="U23" s="23">
        <v>1873.7</v>
      </c>
      <c r="V23" s="23">
        <v>2135.6</v>
      </c>
      <c r="W23" s="23">
        <v>2465.3000000000006</v>
      </c>
      <c r="X23" s="23">
        <v>2539.6</v>
      </c>
      <c r="Y23" s="23">
        <v>2875.4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2163.4999999999995</v>
      </c>
      <c r="E24" s="23">
        <v>2648.9</v>
      </c>
      <c r="F24" s="23">
        <v>3101.2</v>
      </c>
      <c r="G24" s="23">
        <v>3565.2000000000007</v>
      </c>
      <c r="H24" s="23">
        <v>3546.3</v>
      </c>
      <c r="I24" s="23">
        <v>3965.5999999999995</v>
      </c>
      <c r="J24" s="23">
        <v>4468.2999999999993</v>
      </c>
      <c r="K24" s="23">
        <v>4767.3999999999996</v>
      </c>
      <c r="L24" s="23">
        <v>5239.8999999999978</v>
      </c>
      <c r="M24" s="23">
        <v>4400.0000000000009</v>
      </c>
      <c r="N24" s="23">
        <v>4580.4999999999991</v>
      </c>
      <c r="O24" s="23">
        <v>4591.9000000000005</v>
      </c>
      <c r="P24" s="23">
        <v>4457.9000000000005</v>
      </c>
      <c r="Q24" s="23">
        <v>4338.6000000000004</v>
      </c>
      <c r="R24" s="23">
        <v>4307.6000000000004</v>
      </c>
      <c r="S24" s="23">
        <v>4563.0999999999995</v>
      </c>
      <c r="T24" s="23">
        <v>4563.1999999999989</v>
      </c>
      <c r="U24" s="23">
        <v>4863.7</v>
      </c>
      <c r="V24" s="23">
        <v>5259.0999999999985</v>
      </c>
      <c r="W24" s="23">
        <v>5628</v>
      </c>
      <c r="X24" s="23">
        <v>5077.0999999999995</v>
      </c>
      <c r="Y24" s="23">
        <v>5717.5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1017.1</v>
      </c>
      <c r="E25" s="23">
        <v>1103.4000000000001</v>
      </c>
      <c r="F25" s="23">
        <v>1214.6999999999998</v>
      </c>
      <c r="G25" s="23">
        <v>1393.8</v>
      </c>
      <c r="H25" s="23">
        <v>1596.2</v>
      </c>
      <c r="I25" s="23">
        <v>1653.4</v>
      </c>
      <c r="J25" s="23">
        <v>1716.2</v>
      </c>
      <c r="K25" s="23">
        <v>1782.1</v>
      </c>
      <c r="L25" s="23">
        <v>2119.6000000000004</v>
      </c>
      <c r="M25" s="23">
        <v>1848</v>
      </c>
      <c r="N25" s="23">
        <v>1827.3</v>
      </c>
      <c r="O25" s="23">
        <v>1784.9</v>
      </c>
      <c r="P25" s="23">
        <v>1719.9</v>
      </c>
      <c r="Q25" s="23">
        <v>1667.1</v>
      </c>
      <c r="R25" s="23">
        <v>1552.5</v>
      </c>
      <c r="S25" s="23">
        <v>1668.1</v>
      </c>
      <c r="T25" s="23">
        <v>1800</v>
      </c>
      <c r="U25" s="23">
        <v>2008.7</v>
      </c>
      <c r="V25" s="23">
        <v>2145.6</v>
      </c>
      <c r="W25" s="23">
        <v>2168.1999999999998</v>
      </c>
      <c r="X25" s="23">
        <v>2056.6999999999998</v>
      </c>
      <c r="Y25" s="23">
        <v>2314.3000000000006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686</v>
      </c>
      <c r="E26" s="23">
        <v>813.7</v>
      </c>
      <c r="F26" s="23">
        <v>953.9</v>
      </c>
      <c r="G26" s="23">
        <v>1074.4000000000001</v>
      </c>
      <c r="H26" s="23">
        <v>1147.9000000000001</v>
      </c>
      <c r="I26" s="23">
        <v>1287.3</v>
      </c>
      <c r="J26" s="23">
        <v>1389.1</v>
      </c>
      <c r="K26" s="23">
        <v>1552.7</v>
      </c>
      <c r="L26" s="23">
        <v>1627.8</v>
      </c>
      <c r="M26" s="23">
        <v>1612.3</v>
      </c>
      <c r="N26" s="23">
        <v>1684.8</v>
      </c>
      <c r="O26" s="23">
        <v>1755.7</v>
      </c>
      <c r="P26" s="23">
        <v>1783.8</v>
      </c>
      <c r="Q26" s="23">
        <v>2054.1</v>
      </c>
      <c r="R26" s="23">
        <v>2065.9</v>
      </c>
      <c r="S26" s="23">
        <v>2198.3000000000002</v>
      </c>
      <c r="T26" s="23">
        <v>2406.6000000000004</v>
      </c>
      <c r="U26" s="23">
        <v>2636.2</v>
      </c>
      <c r="V26" s="23">
        <v>2784.6</v>
      </c>
      <c r="W26" s="23">
        <v>2901.9</v>
      </c>
      <c r="X26" s="23">
        <v>1253.3</v>
      </c>
      <c r="Y26" s="23">
        <v>2405.9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930.2</v>
      </c>
      <c r="E27" s="23">
        <v>1114.0999999999999</v>
      </c>
      <c r="F27" s="23">
        <v>1259.7</v>
      </c>
      <c r="G27" s="23">
        <v>1290.9000000000001</v>
      </c>
      <c r="H27" s="23">
        <v>1400.1</v>
      </c>
      <c r="I27" s="23">
        <v>1523.3</v>
      </c>
      <c r="J27" s="23">
        <v>1646.6</v>
      </c>
      <c r="K27" s="23">
        <v>1761.4</v>
      </c>
      <c r="L27" s="23">
        <v>1996.6</v>
      </c>
      <c r="M27" s="23">
        <v>1915</v>
      </c>
      <c r="N27" s="23">
        <v>1960.5</v>
      </c>
      <c r="O27" s="23">
        <v>1864.6</v>
      </c>
      <c r="P27" s="23">
        <v>1799.6</v>
      </c>
      <c r="Q27" s="23">
        <v>1735.8</v>
      </c>
      <c r="R27" s="23">
        <v>1649.3</v>
      </c>
      <c r="S27" s="23">
        <v>1703.2</v>
      </c>
      <c r="T27" s="23">
        <v>1779.8</v>
      </c>
      <c r="U27" s="23">
        <v>1926.9</v>
      </c>
      <c r="V27" s="23">
        <v>2082.8000000000002</v>
      </c>
      <c r="W27" s="23">
        <v>2231.1</v>
      </c>
      <c r="X27" s="23">
        <v>2531.4</v>
      </c>
      <c r="Y27" s="23">
        <v>2932.4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857.3</v>
      </c>
      <c r="E28" s="23">
        <v>1025.3</v>
      </c>
      <c r="F28" s="23">
        <v>1177.5999999999999</v>
      </c>
      <c r="G28" s="23">
        <v>1403.6</v>
      </c>
      <c r="H28" s="23">
        <v>1482.3</v>
      </c>
      <c r="I28" s="23">
        <v>1839.3000000000002</v>
      </c>
      <c r="J28" s="23">
        <v>1970.2000000000003</v>
      </c>
      <c r="K28" s="23">
        <v>2275.8999999999996</v>
      </c>
      <c r="L28" s="23">
        <v>2528</v>
      </c>
      <c r="M28" s="23">
        <v>2506</v>
      </c>
      <c r="N28" s="23">
        <v>2635.4</v>
      </c>
      <c r="O28" s="23">
        <v>2762</v>
      </c>
      <c r="P28" s="23">
        <v>2497.1</v>
      </c>
      <c r="Q28" s="23">
        <v>2324.6</v>
      </c>
      <c r="R28" s="23">
        <v>2379.1999999999998</v>
      </c>
      <c r="S28" s="23">
        <v>2360.6</v>
      </c>
      <c r="T28" s="23">
        <v>2448.3000000000006</v>
      </c>
      <c r="U28" s="23">
        <v>2567.6</v>
      </c>
      <c r="V28" s="23">
        <v>2552.3000000000002</v>
      </c>
      <c r="W28" s="23">
        <v>2499.8999999999996</v>
      </c>
      <c r="X28" s="23">
        <v>2175.3000000000002</v>
      </c>
      <c r="Y28" s="23">
        <v>2568.5000000000005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1821.8</v>
      </c>
      <c r="E29" s="23">
        <v>1956.2</v>
      </c>
      <c r="F29" s="23">
        <v>2116.9</v>
      </c>
      <c r="G29" s="23">
        <v>2241.3000000000002</v>
      </c>
      <c r="H29" s="23">
        <v>2434.6</v>
      </c>
      <c r="I29" s="23">
        <v>2662</v>
      </c>
      <c r="J29" s="23">
        <v>2937.3</v>
      </c>
      <c r="K29" s="23">
        <v>3488.9</v>
      </c>
      <c r="L29" s="23">
        <v>3640.7</v>
      </c>
      <c r="M29" s="23">
        <v>3599</v>
      </c>
      <c r="N29" s="23">
        <v>3581.4</v>
      </c>
      <c r="O29" s="23">
        <v>3671.4</v>
      </c>
      <c r="P29" s="23">
        <v>3647.5</v>
      </c>
      <c r="Q29" s="23">
        <v>3605.6</v>
      </c>
      <c r="R29" s="23">
        <v>3617.7</v>
      </c>
      <c r="S29" s="23">
        <v>3675.8</v>
      </c>
      <c r="T29" s="23">
        <v>3755.7</v>
      </c>
      <c r="U29" s="23">
        <v>3853.5</v>
      </c>
      <c r="V29" s="23">
        <v>3914.5</v>
      </c>
      <c r="W29" s="23">
        <v>4173.8</v>
      </c>
      <c r="X29" s="23">
        <v>4154.6000000000004</v>
      </c>
      <c r="Y29" s="23">
        <v>4499.3999999999996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699</v>
      </c>
      <c r="E30" s="23">
        <v>820.5</v>
      </c>
      <c r="F30" s="23">
        <v>991.69999999999982</v>
      </c>
      <c r="G30" s="23">
        <v>1170.2</v>
      </c>
      <c r="H30" s="23">
        <v>1305.5</v>
      </c>
      <c r="I30" s="23">
        <v>1583.2999999999997</v>
      </c>
      <c r="J30" s="23">
        <v>1928.8999999999996</v>
      </c>
      <c r="K30" s="23">
        <v>2385.9</v>
      </c>
      <c r="L30" s="23">
        <v>2685.3</v>
      </c>
      <c r="M30" s="23">
        <v>2433</v>
      </c>
      <c r="N30" s="23">
        <v>2390.6999999999998</v>
      </c>
      <c r="O30" s="23">
        <v>2352.1999999999998</v>
      </c>
      <c r="P30" s="23">
        <v>2273.1000000000004</v>
      </c>
      <c r="Q30" s="23">
        <v>2259.2000000000003</v>
      </c>
      <c r="R30" s="23">
        <v>2289.6</v>
      </c>
      <c r="S30" s="23">
        <v>2251.6999999999998</v>
      </c>
      <c r="T30" s="23">
        <v>2312.6000000000004</v>
      </c>
      <c r="U30" s="23">
        <v>2409.7000000000003</v>
      </c>
      <c r="V30" s="23">
        <v>2433.0000000000005</v>
      </c>
      <c r="W30" s="23">
        <v>2630.3</v>
      </c>
      <c r="X30" s="23">
        <v>2351.9</v>
      </c>
      <c r="Y30" s="23">
        <v>2578.6999999999998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212.2</v>
      </c>
      <c r="E31" s="23">
        <v>240.8</v>
      </c>
      <c r="F31" s="23">
        <v>301.5</v>
      </c>
      <c r="G31" s="23">
        <v>335.3</v>
      </c>
      <c r="H31" s="23">
        <v>392.6</v>
      </c>
      <c r="I31" s="23">
        <v>460.10000000000008</v>
      </c>
      <c r="J31" s="23">
        <v>552.1</v>
      </c>
      <c r="K31" s="23">
        <v>653.40000000000009</v>
      </c>
      <c r="L31" s="23">
        <v>695.2</v>
      </c>
      <c r="M31" s="23">
        <v>676.8</v>
      </c>
      <c r="N31" s="23">
        <v>706.8</v>
      </c>
      <c r="O31" s="23">
        <v>676.6</v>
      </c>
      <c r="P31" s="23">
        <v>690</v>
      </c>
      <c r="Q31" s="23">
        <v>706.1</v>
      </c>
      <c r="R31" s="23">
        <v>715.1</v>
      </c>
      <c r="S31" s="23">
        <v>752.7</v>
      </c>
      <c r="T31" s="23">
        <v>847.7</v>
      </c>
      <c r="U31" s="23">
        <v>955.1</v>
      </c>
      <c r="V31" s="23">
        <v>1075.0999999999999</v>
      </c>
      <c r="W31" s="23">
        <v>1110.3</v>
      </c>
      <c r="X31" s="23">
        <v>831.4</v>
      </c>
      <c r="Y31" s="23">
        <v>1052.2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1893.3999999999994</v>
      </c>
      <c r="E32" s="23">
        <v>1826.8999999999996</v>
      </c>
      <c r="F32" s="23">
        <v>1943.6999999999998</v>
      </c>
      <c r="G32" s="23">
        <v>2011.4999999999998</v>
      </c>
      <c r="H32" s="23">
        <v>2273.9</v>
      </c>
      <c r="I32" s="23">
        <v>2300.4000000000005</v>
      </c>
      <c r="J32" s="23">
        <v>2540.3000000000002</v>
      </c>
      <c r="K32" s="23">
        <v>2804.2000000000007</v>
      </c>
      <c r="L32" s="23">
        <v>2920.4</v>
      </c>
      <c r="M32" s="23">
        <v>3128.3999999999996</v>
      </c>
      <c r="N32" s="23">
        <v>3130.4999999999995</v>
      </c>
      <c r="O32" s="23">
        <v>3032.3</v>
      </c>
      <c r="P32" s="23">
        <v>2921.1999999999994</v>
      </c>
      <c r="Q32" s="23">
        <v>2804.9</v>
      </c>
      <c r="R32" s="23">
        <v>2778.7</v>
      </c>
      <c r="S32" s="23">
        <v>2870</v>
      </c>
      <c r="T32" s="23">
        <v>2918.3</v>
      </c>
      <c r="U32" s="23">
        <v>3049.8</v>
      </c>
      <c r="V32" s="23">
        <v>3246.5</v>
      </c>
      <c r="W32" s="23">
        <v>3414.599999999999</v>
      </c>
      <c r="X32" s="23">
        <v>3516.9000000000005</v>
      </c>
      <c r="Y32" s="23">
        <v>3653.4000000000005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896.2</v>
      </c>
      <c r="E33" s="23">
        <v>940</v>
      </c>
      <c r="F33" s="23">
        <v>1034.8</v>
      </c>
      <c r="G33" s="23">
        <v>1141.3</v>
      </c>
      <c r="H33" s="23">
        <v>1248.5999999999999</v>
      </c>
      <c r="I33" s="23">
        <v>1399.7</v>
      </c>
      <c r="J33" s="23">
        <v>1466.8</v>
      </c>
      <c r="K33" s="23">
        <v>1627.1</v>
      </c>
      <c r="L33" s="23">
        <v>1807.8</v>
      </c>
      <c r="M33" s="23">
        <v>1854.1</v>
      </c>
      <c r="N33" s="23">
        <v>1965.7</v>
      </c>
      <c r="O33" s="23">
        <v>1964.4</v>
      </c>
      <c r="P33" s="23">
        <v>1931.4</v>
      </c>
      <c r="Q33" s="23">
        <v>1899.1</v>
      </c>
      <c r="R33" s="23">
        <v>1858.9</v>
      </c>
      <c r="S33" s="23">
        <v>1818.9</v>
      </c>
      <c r="T33" s="23">
        <v>1968.4</v>
      </c>
      <c r="U33" s="23">
        <v>2058</v>
      </c>
      <c r="V33" s="23">
        <v>2173.6</v>
      </c>
      <c r="W33" s="23">
        <v>2230.6999999999998</v>
      </c>
      <c r="X33" s="23">
        <v>2284.6999999999994</v>
      </c>
      <c r="Y33" s="23">
        <v>2538.1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983.5</v>
      </c>
      <c r="E34" s="23">
        <v>1014</v>
      </c>
      <c r="F34" s="23">
        <v>1082.6999999999998</v>
      </c>
      <c r="G34" s="23">
        <v>1131.0999999999999</v>
      </c>
      <c r="H34" s="23">
        <v>1240.0999999999999</v>
      </c>
      <c r="I34" s="23">
        <v>1330.4</v>
      </c>
      <c r="J34" s="23">
        <v>1410.1</v>
      </c>
      <c r="K34" s="23">
        <v>1544.8</v>
      </c>
      <c r="L34" s="23">
        <v>1685.2</v>
      </c>
      <c r="M34" s="23">
        <v>1740.2</v>
      </c>
      <c r="N34" s="23">
        <v>1779</v>
      </c>
      <c r="O34" s="23">
        <v>1794</v>
      </c>
      <c r="P34" s="23">
        <v>1784.5</v>
      </c>
      <c r="Q34" s="23">
        <v>1765.5</v>
      </c>
      <c r="R34" s="23">
        <v>1762.4</v>
      </c>
      <c r="S34" s="23">
        <v>1815.5</v>
      </c>
      <c r="T34" s="23">
        <v>1931.5</v>
      </c>
      <c r="U34" s="23">
        <v>2026.8</v>
      </c>
      <c r="V34" s="23">
        <v>2149.1999999999998</v>
      </c>
      <c r="W34" s="23">
        <v>2288.3000000000002</v>
      </c>
      <c r="X34" s="23">
        <v>2428.5</v>
      </c>
      <c r="Y34" s="23">
        <v>2688.7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191.40000000000003</v>
      </c>
      <c r="E35" s="23">
        <v>240.50000000000009</v>
      </c>
      <c r="F35" s="23">
        <v>305.39999999999998</v>
      </c>
      <c r="G35" s="23">
        <v>287.3</v>
      </c>
      <c r="H35" s="23">
        <v>300.39999999999998</v>
      </c>
      <c r="I35" s="23">
        <v>369.8</v>
      </c>
      <c r="J35" s="23">
        <v>449</v>
      </c>
      <c r="K35" s="23">
        <v>472.3</v>
      </c>
      <c r="L35" s="23">
        <v>542.40000000000009</v>
      </c>
      <c r="M35" s="23">
        <v>544.29999999999995</v>
      </c>
      <c r="N35" s="23">
        <v>605.99999999999989</v>
      </c>
      <c r="O35" s="23">
        <v>632.3000000000003</v>
      </c>
      <c r="P35" s="23">
        <v>622.4</v>
      </c>
      <c r="Q35" s="23">
        <v>652.19999999999993</v>
      </c>
      <c r="R35" s="23">
        <v>652.30000000000007</v>
      </c>
      <c r="S35" s="23">
        <v>628.70000000000005</v>
      </c>
      <c r="T35" s="23">
        <v>720.59999999999991</v>
      </c>
      <c r="U35" s="23">
        <v>795</v>
      </c>
      <c r="V35" s="23">
        <v>869.9</v>
      </c>
      <c r="W35" s="23">
        <v>959.7</v>
      </c>
      <c r="X35" s="23">
        <v>765.5</v>
      </c>
      <c r="Y35" s="23">
        <v>788.40000000000009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259</v>
      </c>
      <c r="E36" s="23">
        <v>286.5</v>
      </c>
      <c r="F36" s="23">
        <v>324.8</v>
      </c>
      <c r="G36" s="23">
        <v>364.3</v>
      </c>
      <c r="H36" s="23">
        <v>392.7</v>
      </c>
      <c r="I36" s="23">
        <v>434.8</v>
      </c>
      <c r="J36" s="23">
        <v>471.70000000000005</v>
      </c>
      <c r="K36" s="23">
        <v>492.7</v>
      </c>
      <c r="L36" s="23">
        <v>525.29999999999984</v>
      </c>
      <c r="M36" s="23">
        <v>534.6</v>
      </c>
      <c r="N36" s="23">
        <v>544.9</v>
      </c>
      <c r="O36" s="23">
        <v>556.09999999999991</v>
      </c>
      <c r="P36" s="23">
        <v>571.70000000000005</v>
      </c>
      <c r="Q36" s="23">
        <v>583.20000000000005</v>
      </c>
      <c r="R36" s="23">
        <v>610.99999999999989</v>
      </c>
      <c r="S36" s="23">
        <v>606.6</v>
      </c>
      <c r="T36" s="23">
        <v>671.3</v>
      </c>
      <c r="U36" s="23">
        <v>719.8</v>
      </c>
      <c r="V36" s="23">
        <v>752.2</v>
      </c>
      <c r="W36" s="23">
        <v>886.6</v>
      </c>
      <c r="X36" s="23">
        <v>729.3</v>
      </c>
      <c r="Y36" s="23">
        <v>850.2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42.6</v>
      </c>
      <c r="E37" s="23">
        <v>44.7</v>
      </c>
      <c r="F37" s="23">
        <v>50.000000000000007</v>
      </c>
      <c r="G37" s="23">
        <v>54</v>
      </c>
      <c r="H37" s="23">
        <v>57.9</v>
      </c>
      <c r="I37" s="23">
        <v>62.599999999999994</v>
      </c>
      <c r="J37" s="23">
        <v>67.900000000000006</v>
      </c>
      <c r="K37" s="23">
        <v>74.5</v>
      </c>
      <c r="L37" s="23">
        <v>80.599999999999994</v>
      </c>
      <c r="M37" s="23">
        <v>72.400000000000006</v>
      </c>
      <c r="N37" s="23">
        <v>68.099999999999994</v>
      </c>
      <c r="O37" s="23">
        <v>53</v>
      </c>
      <c r="P37" s="23">
        <v>45.7</v>
      </c>
      <c r="Q37" s="23">
        <v>40.4</v>
      </c>
      <c r="R37" s="23">
        <v>24.7</v>
      </c>
      <c r="S37" s="23">
        <v>19.899999999999999</v>
      </c>
      <c r="T37" s="23">
        <v>17.399999999999999</v>
      </c>
      <c r="U37" s="23">
        <v>19.5</v>
      </c>
      <c r="V37" s="23">
        <v>18.8</v>
      </c>
      <c r="W37" s="23">
        <v>18.600000000000005</v>
      </c>
      <c r="X37" s="23">
        <v>15.4</v>
      </c>
      <c r="Y37" s="23">
        <v>15.7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19546.400000000001</v>
      </c>
      <c r="E39" s="30">
        <f t="shared" ref="E39:S39" si="2">SUM(E18:E38)</f>
        <v>21536.7</v>
      </c>
      <c r="F39" s="30">
        <f t="shared" si="2"/>
        <v>23841.200000000001</v>
      </c>
      <c r="G39" s="30">
        <f t="shared" si="2"/>
        <v>25924.499999999989</v>
      </c>
      <c r="H39" s="30">
        <f t="shared" si="2"/>
        <v>28475.399999999998</v>
      </c>
      <c r="I39" s="30">
        <f t="shared" si="2"/>
        <v>31053.199999999997</v>
      </c>
      <c r="J39" s="30">
        <f t="shared" si="2"/>
        <v>34138.099999999991</v>
      </c>
      <c r="K39" s="30">
        <f t="shared" si="2"/>
        <v>37513.9</v>
      </c>
      <c r="L39" s="30">
        <f t="shared" si="2"/>
        <v>41033.300000000003</v>
      </c>
      <c r="M39" s="30">
        <f t="shared" si="2"/>
        <v>39012.300000000003</v>
      </c>
      <c r="N39" s="30">
        <f t="shared" si="2"/>
        <v>38908.400000000001</v>
      </c>
      <c r="O39" s="30">
        <f t="shared" si="2"/>
        <v>38958.200000000004</v>
      </c>
      <c r="P39" s="30">
        <f t="shared" si="2"/>
        <v>37646.899999999994</v>
      </c>
      <c r="Q39" s="30">
        <f t="shared" si="2"/>
        <v>37135.999999999985</v>
      </c>
      <c r="R39" s="30">
        <f t="shared" si="2"/>
        <v>36718.199999999997</v>
      </c>
      <c r="S39" s="30">
        <f t="shared" si="2"/>
        <v>37597.19999999999</v>
      </c>
      <c r="T39" s="30">
        <f t="shared" ref="T39:Y39" si="3">SUM(T18:T38)</f>
        <v>39338.30000000001</v>
      </c>
      <c r="U39" s="30">
        <f t="shared" si="3"/>
        <v>41432.000000000007</v>
      </c>
      <c r="V39" s="30">
        <f t="shared" si="3"/>
        <v>43487.999999999993</v>
      </c>
      <c r="W39" s="30">
        <f t="shared" si="3"/>
        <v>45826.399999999994</v>
      </c>
      <c r="X39" s="30">
        <f t="shared" si="3"/>
        <v>42174.100000000006</v>
      </c>
      <c r="Y39" s="30">
        <f t="shared" si="3"/>
        <v>48337.299999999996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881.2</v>
      </c>
      <c r="E41" s="19">
        <v>921.4</v>
      </c>
      <c r="F41" s="19">
        <v>1025.3</v>
      </c>
      <c r="G41" s="19">
        <v>1076.2</v>
      </c>
      <c r="H41" s="19">
        <v>1210</v>
      </c>
      <c r="I41" s="19">
        <v>1283.5</v>
      </c>
      <c r="J41" s="19">
        <v>1396.2</v>
      </c>
      <c r="K41" s="19">
        <v>1433.6</v>
      </c>
      <c r="L41" s="19">
        <v>1563.7</v>
      </c>
      <c r="M41" s="19">
        <v>1517.9</v>
      </c>
      <c r="N41" s="19">
        <v>1529.9</v>
      </c>
      <c r="O41" s="19">
        <v>1602.8</v>
      </c>
      <c r="P41" s="19">
        <v>1557.6</v>
      </c>
      <c r="Q41" s="19">
        <v>1516.7</v>
      </c>
      <c r="R41" s="19">
        <v>1459.9</v>
      </c>
      <c r="S41" s="19">
        <v>1438</v>
      </c>
      <c r="T41" s="19">
        <v>1451.1</v>
      </c>
      <c r="U41" s="19">
        <v>1485.4</v>
      </c>
      <c r="V41" s="19">
        <v>1550.9</v>
      </c>
      <c r="W41" s="19">
        <v>1600.3</v>
      </c>
      <c r="X41" s="19">
        <v>1355.1</v>
      </c>
      <c r="Y41" s="19">
        <v>1374.5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335.8</v>
      </c>
      <c r="E42" s="23">
        <v>356.2</v>
      </c>
      <c r="F42" s="23">
        <v>382.8</v>
      </c>
      <c r="G42" s="23">
        <v>374.2</v>
      </c>
      <c r="H42" s="23">
        <v>373.8</v>
      </c>
      <c r="I42" s="23">
        <v>375</v>
      </c>
      <c r="J42" s="23">
        <v>389.8</v>
      </c>
      <c r="K42" s="23">
        <v>399</v>
      </c>
      <c r="L42" s="23">
        <v>403.1</v>
      </c>
      <c r="M42" s="23">
        <v>352.6</v>
      </c>
      <c r="N42" s="23">
        <v>342.8</v>
      </c>
      <c r="O42" s="23">
        <v>351.9</v>
      </c>
      <c r="P42" s="23">
        <v>322.60000000000002</v>
      </c>
      <c r="Q42" s="23">
        <v>315.39999999999998</v>
      </c>
      <c r="R42" s="23">
        <v>325.5</v>
      </c>
      <c r="S42" s="23">
        <v>292.89999999999998</v>
      </c>
      <c r="T42" s="23">
        <v>312.2</v>
      </c>
      <c r="U42" s="23">
        <v>335.2</v>
      </c>
      <c r="V42" s="23">
        <v>346.3</v>
      </c>
      <c r="W42" s="23">
        <v>392.7</v>
      </c>
      <c r="X42" s="23">
        <v>316.8</v>
      </c>
      <c r="Y42" s="23">
        <v>338.7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316.2</v>
      </c>
      <c r="E43" s="23">
        <v>322.60000000000002</v>
      </c>
      <c r="F43" s="23">
        <v>358.8</v>
      </c>
      <c r="G43" s="23">
        <v>386.7</v>
      </c>
      <c r="H43" s="23">
        <v>394.5</v>
      </c>
      <c r="I43" s="23">
        <v>402</v>
      </c>
      <c r="J43" s="23">
        <v>412.1</v>
      </c>
      <c r="K43" s="23">
        <v>495.89999999999992</v>
      </c>
      <c r="L43" s="23">
        <v>539.70000000000005</v>
      </c>
      <c r="M43" s="23">
        <v>452.9</v>
      </c>
      <c r="N43" s="23">
        <v>410.9</v>
      </c>
      <c r="O43" s="23">
        <v>423.9</v>
      </c>
      <c r="P43" s="23">
        <v>402.1</v>
      </c>
      <c r="Q43" s="23">
        <v>408.2</v>
      </c>
      <c r="R43" s="23">
        <v>448.3</v>
      </c>
      <c r="S43" s="23">
        <v>505.2</v>
      </c>
      <c r="T43" s="23">
        <v>529.20000000000005</v>
      </c>
      <c r="U43" s="23">
        <v>558.79999999999984</v>
      </c>
      <c r="V43" s="23">
        <v>590.70000000000005</v>
      </c>
      <c r="W43" s="23">
        <v>679</v>
      </c>
      <c r="X43" s="23">
        <v>552.20000000000016</v>
      </c>
      <c r="Y43" s="23">
        <v>737.6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502</v>
      </c>
      <c r="E44" s="23">
        <v>473.9</v>
      </c>
      <c r="F44" s="23">
        <v>326.3</v>
      </c>
      <c r="G44" s="23">
        <v>393.2</v>
      </c>
      <c r="H44" s="23">
        <v>522.29999999999995</v>
      </c>
      <c r="I44" s="23">
        <v>530.5</v>
      </c>
      <c r="J44" s="23">
        <v>491.80000000000007</v>
      </c>
      <c r="K44" s="23">
        <v>548.90000000000009</v>
      </c>
      <c r="L44" s="23">
        <v>438.2</v>
      </c>
      <c r="M44" s="23">
        <v>535.79999999999995</v>
      </c>
      <c r="N44" s="23">
        <v>677</v>
      </c>
      <c r="O44" s="23">
        <v>863.9</v>
      </c>
      <c r="P44" s="23">
        <v>929.2</v>
      </c>
      <c r="Q44" s="23">
        <v>747.8</v>
      </c>
      <c r="R44" s="23">
        <v>590.29999999999984</v>
      </c>
      <c r="S44" s="23">
        <v>572</v>
      </c>
      <c r="T44" s="23">
        <v>519.70000000000005</v>
      </c>
      <c r="U44" s="23">
        <v>557.20000000000016</v>
      </c>
      <c r="V44" s="23">
        <v>532.20000000000005</v>
      </c>
      <c r="W44" s="23">
        <v>517.79999999999995</v>
      </c>
      <c r="X44" s="23">
        <v>183.6</v>
      </c>
      <c r="Y44" s="23">
        <v>379.7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212.5</v>
      </c>
      <c r="E45" s="23">
        <v>228.8</v>
      </c>
      <c r="F45" s="23">
        <v>183.4</v>
      </c>
      <c r="G45" s="23">
        <v>158.5</v>
      </c>
      <c r="H45" s="23">
        <v>167.8</v>
      </c>
      <c r="I45" s="23">
        <v>186.7</v>
      </c>
      <c r="J45" s="23">
        <v>155.1</v>
      </c>
      <c r="K45" s="23">
        <v>182.5</v>
      </c>
      <c r="L45" s="23">
        <v>205.3</v>
      </c>
      <c r="M45" s="23">
        <v>185.2</v>
      </c>
      <c r="N45" s="23">
        <v>210.4</v>
      </c>
      <c r="O45" s="23">
        <v>206.7</v>
      </c>
      <c r="P45" s="23">
        <v>206.6</v>
      </c>
      <c r="Q45" s="23">
        <v>171.3</v>
      </c>
      <c r="R45" s="23">
        <v>164.6</v>
      </c>
      <c r="S45" s="23">
        <v>179.8</v>
      </c>
      <c r="T45" s="23">
        <v>167.7</v>
      </c>
      <c r="U45" s="23">
        <v>162.4</v>
      </c>
      <c r="V45" s="23">
        <v>137.6</v>
      </c>
      <c r="W45" s="23">
        <v>216</v>
      </c>
      <c r="X45" s="23">
        <v>241.8</v>
      </c>
      <c r="Y45" s="23">
        <v>201.7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337.8</v>
      </c>
      <c r="E46" s="23">
        <v>366.8</v>
      </c>
      <c r="F46" s="23">
        <v>307.39999999999998</v>
      </c>
      <c r="G46" s="23">
        <v>283.2</v>
      </c>
      <c r="H46" s="23">
        <v>291.10000000000002</v>
      </c>
      <c r="I46" s="23">
        <v>275.10000000000002</v>
      </c>
      <c r="J46" s="23">
        <v>207.7</v>
      </c>
      <c r="K46" s="23">
        <v>243.7</v>
      </c>
      <c r="L46" s="23">
        <v>346.7</v>
      </c>
      <c r="M46" s="23">
        <v>279.8</v>
      </c>
      <c r="N46" s="23">
        <v>343.8</v>
      </c>
      <c r="O46" s="23">
        <v>327.49999999999994</v>
      </c>
      <c r="P46" s="23">
        <v>365.3</v>
      </c>
      <c r="Q46" s="23">
        <v>362.6</v>
      </c>
      <c r="R46" s="23">
        <v>386.3</v>
      </c>
      <c r="S46" s="23">
        <v>375.4</v>
      </c>
      <c r="T46" s="23">
        <v>376.6</v>
      </c>
      <c r="U46" s="23">
        <v>363.8</v>
      </c>
      <c r="V46" s="23">
        <v>374.4</v>
      </c>
      <c r="W46" s="23">
        <v>310.60000000000002</v>
      </c>
      <c r="X46" s="23">
        <v>378.2</v>
      </c>
      <c r="Y46" s="23">
        <v>375.8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340.8</v>
      </c>
      <c r="E47" s="23">
        <v>386.9</v>
      </c>
      <c r="F47" s="23">
        <v>430.3</v>
      </c>
      <c r="G47" s="23">
        <v>475.1</v>
      </c>
      <c r="H47" s="23">
        <v>506.3</v>
      </c>
      <c r="I47" s="23">
        <v>525.9</v>
      </c>
      <c r="J47" s="23">
        <v>595.50000000000011</v>
      </c>
      <c r="K47" s="23">
        <v>670.1</v>
      </c>
      <c r="L47" s="23">
        <v>704.5</v>
      </c>
      <c r="M47" s="23">
        <v>612.70000000000005</v>
      </c>
      <c r="N47" s="23">
        <v>454.6</v>
      </c>
      <c r="O47" s="23">
        <v>483.2</v>
      </c>
      <c r="P47" s="23">
        <v>479.8</v>
      </c>
      <c r="Q47" s="23">
        <v>473.9</v>
      </c>
      <c r="R47" s="23">
        <v>505.1</v>
      </c>
      <c r="S47" s="23">
        <v>547.4</v>
      </c>
      <c r="T47" s="23">
        <v>588.29999999999984</v>
      </c>
      <c r="U47" s="23">
        <v>610.5</v>
      </c>
      <c r="V47" s="23">
        <v>630.40000000000009</v>
      </c>
      <c r="W47" s="23">
        <v>606.79999999999984</v>
      </c>
      <c r="X47" s="23">
        <v>716.8</v>
      </c>
      <c r="Y47" s="23">
        <v>780.4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279.3</v>
      </c>
      <c r="E48" s="23">
        <v>320.7</v>
      </c>
      <c r="F48" s="23">
        <v>410.1</v>
      </c>
      <c r="G48" s="23">
        <v>440.5</v>
      </c>
      <c r="H48" s="23">
        <v>456.1</v>
      </c>
      <c r="I48" s="23">
        <v>495.09999999999991</v>
      </c>
      <c r="J48" s="23">
        <v>603.79999999999995</v>
      </c>
      <c r="K48" s="23">
        <v>672.4</v>
      </c>
      <c r="L48" s="23">
        <v>707.7</v>
      </c>
      <c r="M48" s="23">
        <v>628.20000000000005</v>
      </c>
      <c r="N48" s="23">
        <v>561.79999999999995</v>
      </c>
      <c r="O48" s="23">
        <v>592.6</v>
      </c>
      <c r="P48" s="23">
        <v>572.5</v>
      </c>
      <c r="Q48" s="23">
        <v>587.40000000000009</v>
      </c>
      <c r="R48" s="23">
        <v>602.6</v>
      </c>
      <c r="S48" s="23">
        <v>648.70000000000005</v>
      </c>
      <c r="T48" s="23">
        <v>782.3</v>
      </c>
      <c r="U48" s="23">
        <v>835.8</v>
      </c>
      <c r="V48" s="23">
        <v>833.1</v>
      </c>
      <c r="W48" s="23">
        <v>809.3</v>
      </c>
      <c r="X48" s="23">
        <v>819.8</v>
      </c>
      <c r="Y48" s="23">
        <v>936.7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144.1</v>
      </c>
      <c r="E49" s="23">
        <v>158</v>
      </c>
      <c r="F49" s="23">
        <v>166.5</v>
      </c>
      <c r="G49" s="23">
        <v>193.6</v>
      </c>
      <c r="H49" s="23">
        <v>217</v>
      </c>
      <c r="I49" s="23">
        <v>232.6</v>
      </c>
      <c r="J49" s="23">
        <v>259.29999999999995</v>
      </c>
      <c r="K49" s="23">
        <v>297.10000000000002</v>
      </c>
      <c r="L49" s="23">
        <v>315.7</v>
      </c>
      <c r="M49" s="23">
        <v>291.29999999999995</v>
      </c>
      <c r="N49" s="23">
        <v>275.7</v>
      </c>
      <c r="O49" s="23">
        <v>248.3</v>
      </c>
      <c r="P49" s="23">
        <v>218.3</v>
      </c>
      <c r="Q49" s="23">
        <v>174.2</v>
      </c>
      <c r="R49" s="23">
        <v>185.3</v>
      </c>
      <c r="S49" s="23">
        <v>204</v>
      </c>
      <c r="T49" s="23">
        <v>243.4</v>
      </c>
      <c r="U49" s="23">
        <v>237.7</v>
      </c>
      <c r="V49" s="23">
        <v>257.3</v>
      </c>
      <c r="W49" s="23">
        <v>206</v>
      </c>
      <c r="X49" s="23">
        <v>225.1</v>
      </c>
      <c r="Y49" s="23">
        <v>146.6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141</v>
      </c>
      <c r="E50" s="23">
        <v>158.4</v>
      </c>
      <c r="F50" s="23">
        <v>168.4</v>
      </c>
      <c r="G50" s="23">
        <v>189.8</v>
      </c>
      <c r="H50" s="23">
        <v>222</v>
      </c>
      <c r="I50" s="23">
        <v>227.7</v>
      </c>
      <c r="J50" s="23">
        <v>264</v>
      </c>
      <c r="K50" s="23">
        <v>281</v>
      </c>
      <c r="L50" s="23">
        <v>326.2</v>
      </c>
      <c r="M50" s="23">
        <v>302.3</v>
      </c>
      <c r="N50" s="23">
        <v>262.20000000000005</v>
      </c>
      <c r="O50" s="23">
        <v>236.8</v>
      </c>
      <c r="P50" s="23">
        <v>195.7</v>
      </c>
      <c r="Q50" s="23">
        <v>195</v>
      </c>
      <c r="R50" s="23">
        <v>228.1</v>
      </c>
      <c r="S50" s="23">
        <v>244.7</v>
      </c>
      <c r="T50" s="23">
        <v>280.89999999999998</v>
      </c>
      <c r="U50" s="23">
        <v>292.60000000000002</v>
      </c>
      <c r="V50" s="23">
        <v>292.10000000000002</v>
      </c>
      <c r="W50" s="23">
        <v>274.39999999999998</v>
      </c>
      <c r="X50" s="23">
        <v>294.50000000000006</v>
      </c>
      <c r="Y50" s="23">
        <v>357.7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116.19999999999999</v>
      </c>
      <c r="E51" s="23">
        <v>185.6</v>
      </c>
      <c r="F51" s="23">
        <v>202</v>
      </c>
      <c r="G51" s="23">
        <v>198.2</v>
      </c>
      <c r="H51" s="23">
        <v>217</v>
      </c>
      <c r="I51" s="23">
        <v>225.69999999999996</v>
      </c>
      <c r="J51" s="23">
        <v>250.3</v>
      </c>
      <c r="K51" s="23">
        <v>284.10000000000002</v>
      </c>
      <c r="L51" s="23">
        <v>266.2</v>
      </c>
      <c r="M51" s="23">
        <v>225.2</v>
      </c>
      <c r="N51" s="23">
        <v>213.1</v>
      </c>
      <c r="O51" s="23">
        <v>231.1</v>
      </c>
      <c r="P51" s="23">
        <v>216.9</v>
      </c>
      <c r="Q51" s="23">
        <v>218.3</v>
      </c>
      <c r="R51" s="23">
        <v>234.4</v>
      </c>
      <c r="S51" s="23">
        <v>258.2</v>
      </c>
      <c r="T51" s="23">
        <v>273</v>
      </c>
      <c r="U51" s="23">
        <v>285.39999999999998</v>
      </c>
      <c r="V51" s="23">
        <v>288.10000000000002</v>
      </c>
      <c r="W51" s="23">
        <v>293.8</v>
      </c>
      <c r="X51" s="23">
        <v>305.8</v>
      </c>
      <c r="Y51" s="23">
        <v>377.6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165.7</v>
      </c>
      <c r="E52" s="23">
        <v>172.6</v>
      </c>
      <c r="F52" s="23">
        <v>209.2</v>
      </c>
      <c r="G52" s="23">
        <v>208.6</v>
      </c>
      <c r="H52" s="23">
        <v>245.1</v>
      </c>
      <c r="I52" s="23">
        <v>223.2</v>
      </c>
      <c r="J52" s="23">
        <v>277</v>
      </c>
      <c r="K52" s="23">
        <v>284.39999999999998</v>
      </c>
      <c r="L52" s="23">
        <v>301.5</v>
      </c>
      <c r="M52" s="23">
        <v>286.39999999999998</v>
      </c>
      <c r="N52" s="23">
        <v>276.5</v>
      </c>
      <c r="O52" s="23">
        <v>260.2</v>
      </c>
      <c r="P52" s="23">
        <v>229.1</v>
      </c>
      <c r="Q52" s="23">
        <v>97.9</v>
      </c>
      <c r="R52" s="23">
        <v>124.9</v>
      </c>
      <c r="S52" s="23">
        <v>122.2</v>
      </c>
      <c r="T52" s="23">
        <v>148.19999999999996</v>
      </c>
      <c r="U52" s="23">
        <v>142.1</v>
      </c>
      <c r="V52" s="23">
        <v>128.19999999999999</v>
      </c>
      <c r="W52" s="23">
        <v>237.6</v>
      </c>
      <c r="X52" s="23">
        <v>140.80000000000001</v>
      </c>
      <c r="Y52" s="23">
        <v>186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168.2000000000007</v>
      </c>
      <c r="E53" s="23">
        <v>190.20000000000033</v>
      </c>
      <c r="F53" s="23">
        <v>206.99999999999778</v>
      </c>
      <c r="G53" s="23">
        <v>225.69999999999752</v>
      </c>
      <c r="H53" s="23">
        <v>252.00000000000063</v>
      </c>
      <c r="I53" s="23">
        <v>279.60000000000042</v>
      </c>
      <c r="J53" s="23">
        <v>291.09999999999849</v>
      </c>
      <c r="K53" s="23">
        <v>356.69999999999641</v>
      </c>
      <c r="L53" s="23">
        <v>415.20000000000437</v>
      </c>
      <c r="M53" s="23">
        <v>360.70000000000664</v>
      </c>
      <c r="N53" s="23">
        <v>359.60000000000468</v>
      </c>
      <c r="O53" s="23">
        <v>347.79999999999632</v>
      </c>
      <c r="P53" s="23">
        <v>332.39999999999628</v>
      </c>
      <c r="Q53" s="23">
        <v>333.79999999999688</v>
      </c>
      <c r="R53" s="23">
        <v>345.09999999999832</v>
      </c>
      <c r="S53" s="23">
        <v>383.79999999999382</v>
      </c>
      <c r="T53" s="23">
        <v>420.40000000000805</v>
      </c>
      <c r="U53" s="23">
        <v>500.30000000000052</v>
      </c>
      <c r="V53" s="23">
        <v>525.80000000000177</v>
      </c>
      <c r="W53" s="23">
        <v>477.09999999999826</v>
      </c>
      <c r="X53" s="23">
        <v>552.79999999999495</v>
      </c>
      <c r="Y53" s="23">
        <v>616.00000000000614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3940.8000000000006</v>
      </c>
      <c r="E54" s="30">
        <f t="shared" ref="E54:S54" si="4">SUM(E41:E53)</f>
        <v>4242.1000000000004</v>
      </c>
      <c r="F54" s="30">
        <f t="shared" si="4"/>
        <v>4377.4999999999982</v>
      </c>
      <c r="G54" s="30">
        <f t="shared" si="4"/>
        <v>4603.4999999999973</v>
      </c>
      <c r="H54" s="30">
        <f t="shared" si="4"/>
        <v>5075.0000000000009</v>
      </c>
      <c r="I54" s="30">
        <f t="shared" si="4"/>
        <v>5262.5999999999995</v>
      </c>
      <c r="J54" s="30">
        <f t="shared" si="4"/>
        <v>5593.6999999999989</v>
      </c>
      <c r="K54" s="30">
        <f t="shared" si="4"/>
        <v>6149.399999999996</v>
      </c>
      <c r="L54" s="30">
        <f t="shared" si="4"/>
        <v>6533.7000000000035</v>
      </c>
      <c r="M54" s="30">
        <f t="shared" si="4"/>
        <v>6031.0000000000055</v>
      </c>
      <c r="N54" s="30">
        <f t="shared" si="4"/>
        <v>5918.3000000000047</v>
      </c>
      <c r="O54" s="30">
        <f t="shared" si="4"/>
        <v>6176.6999999999971</v>
      </c>
      <c r="P54" s="30">
        <f t="shared" si="4"/>
        <v>6028.0999999999958</v>
      </c>
      <c r="Q54" s="30">
        <f t="shared" si="4"/>
        <v>5602.4999999999955</v>
      </c>
      <c r="R54" s="30">
        <f t="shared" si="4"/>
        <v>5600.3999999999987</v>
      </c>
      <c r="S54" s="30">
        <f t="shared" si="4"/>
        <v>5772.2999999999938</v>
      </c>
      <c r="T54" s="30">
        <f t="shared" ref="T54:Y54" si="5">SUM(T41:T53)</f>
        <v>6093.0000000000064</v>
      </c>
      <c r="U54" s="30">
        <f t="shared" si="5"/>
        <v>6367.2000000000007</v>
      </c>
      <c r="V54" s="30">
        <f t="shared" si="5"/>
        <v>6487.1000000000031</v>
      </c>
      <c r="W54" s="30">
        <f t="shared" si="5"/>
        <v>6621.3999999999987</v>
      </c>
      <c r="X54" s="30">
        <f t="shared" si="5"/>
        <v>6083.2999999999956</v>
      </c>
      <c r="Y54" s="30">
        <f t="shared" si="5"/>
        <v>6809.0000000000064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881.2</v>
      </c>
      <c r="E56" s="19">
        <v>921.4</v>
      </c>
      <c r="F56" s="19">
        <v>1025.3</v>
      </c>
      <c r="G56" s="19">
        <v>1076.2</v>
      </c>
      <c r="H56" s="19">
        <v>1210</v>
      </c>
      <c r="I56" s="19">
        <v>1283.5</v>
      </c>
      <c r="J56" s="19">
        <v>1396.2</v>
      </c>
      <c r="K56" s="19">
        <v>1433.6</v>
      </c>
      <c r="L56" s="19">
        <v>1563.7</v>
      </c>
      <c r="M56" s="19">
        <v>1517.9</v>
      </c>
      <c r="N56" s="19">
        <v>1529.9</v>
      </c>
      <c r="O56" s="19">
        <v>1602.8</v>
      </c>
      <c r="P56" s="19">
        <v>1557.6</v>
      </c>
      <c r="Q56" s="19">
        <v>1516.7</v>
      </c>
      <c r="R56" s="19">
        <v>1459.9</v>
      </c>
      <c r="S56" s="19">
        <v>1438</v>
      </c>
      <c r="T56" s="19">
        <v>1451.1</v>
      </c>
      <c r="U56" s="19">
        <v>1485.4</v>
      </c>
      <c r="V56" s="19">
        <v>1550.9</v>
      </c>
      <c r="W56" s="19">
        <v>1600.3</v>
      </c>
      <c r="X56" s="19">
        <v>1355.1</v>
      </c>
      <c r="Y56" s="19">
        <v>1374.5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335.8</v>
      </c>
      <c r="E57" s="23">
        <v>356.2</v>
      </c>
      <c r="F57" s="23">
        <v>382.8</v>
      </c>
      <c r="G57" s="23">
        <v>374.2</v>
      </c>
      <c r="H57" s="23">
        <v>373.8</v>
      </c>
      <c r="I57" s="23">
        <v>375</v>
      </c>
      <c r="J57" s="23">
        <v>389.8</v>
      </c>
      <c r="K57" s="23">
        <v>399</v>
      </c>
      <c r="L57" s="23">
        <v>403.1</v>
      </c>
      <c r="M57" s="23">
        <v>352.6</v>
      </c>
      <c r="N57" s="23">
        <v>342.8</v>
      </c>
      <c r="O57" s="23">
        <v>351.9</v>
      </c>
      <c r="P57" s="23">
        <v>322.60000000000002</v>
      </c>
      <c r="Q57" s="23">
        <v>315.39999999999998</v>
      </c>
      <c r="R57" s="23">
        <v>325.5</v>
      </c>
      <c r="S57" s="23">
        <v>292.89999999999998</v>
      </c>
      <c r="T57" s="23">
        <v>312.2</v>
      </c>
      <c r="U57" s="23">
        <v>335.2</v>
      </c>
      <c r="V57" s="23">
        <v>346.3</v>
      </c>
      <c r="W57" s="23">
        <v>392.7</v>
      </c>
      <c r="X57" s="23">
        <v>316.8</v>
      </c>
      <c r="Y57" s="23">
        <v>338.7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127</v>
      </c>
      <c r="E58" s="23">
        <v>118.1</v>
      </c>
      <c r="F58" s="23">
        <v>141.4</v>
      </c>
      <c r="G58" s="23">
        <v>154.9</v>
      </c>
      <c r="H58" s="23">
        <v>161.1</v>
      </c>
      <c r="I58" s="23">
        <v>167.7</v>
      </c>
      <c r="J58" s="23">
        <v>175.3</v>
      </c>
      <c r="K58" s="23">
        <v>217.5</v>
      </c>
      <c r="L58" s="23">
        <v>222.4</v>
      </c>
      <c r="M58" s="23">
        <v>188.1</v>
      </c>
      <c r="N58" s="23">
        <v>155.19999999999996</v>
      </c>
      <c r="O58" s="23">
        <v>161.4</v>
      </c>
      <c r="P58" s="23">
        <v>157</v>
      </c>
      <c r="Q58" s="23">
        <v>166.8</v>
      </c>
      <c r="R58" s="23">
        <v>190.8</v>
      </c>
      <c r="S58" s="23">
        <v>224.2</v>
      </c>
      <c r="T58" s="23">
        <v>249</v>
      </c>
      <c r="U58" s="23">
        <v>271.89999999999998</v>
      </c>
      <c r="V58" s="23">
        <v>281.3</v>
      </c>
      <c r="W58" s="23">
        <v>316.10000000000002</v>
      </c>
      <c r="X58" s="23">
        <v>180.6</v>
      </c>
      <c r="Y58" s="23">
        <v>260.8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93.9</v>
      </c>
      <c r="E59" s="23">
        <v>102.8</v>
      </c>
      <c r="F59" s="23">
        <v>106.19999999999999</v>
      </c>
      <c r="G59" s="23">
        <v>99.8</v>
      </c>
      <c r="H59" s="23">
        <v>104.6</v>
      </c>
      <c r="I59" s="23">
        <v>107.90000000000002</v>
      </c>
      <c r="J59" s="23">
        <v>101.9</v>
      </c>
      <c r="K59" s="23">
        <v>119.59999999999998</v>
      </c>
      <c r="L59" s="23">
        <v>132.1</v>
      </c>
      <c r="M59" s="23">
        <v>98.5</v>
      </c>
      <c r="N59" s="23">
        <v>92.4</v>
      </c>
      <c r="O59" s="23">
        <v>91.8</v>
      </c>
      <c r="P59" s="23">
        <v>88.8</v>
      </c>
      <c r="Q59" s="23">
        <v>86</v>
      </c>
      <c r="R59" s="23">
        <v>92.9</v>
      </c>
      <c r="S59" s="23">
        <v>100.1</v>
      </c>
      <c r="T59" s="23">
        <v>106.8</v>
      </c>
      <c r="U59" s="23">
        <v>97.9</v>
      </c>
      <c r="V59" s="23">
        <v>115.2</v>
      </c>
      <c r="W59" s="23">
        <v>137.5</v>
      </c>
      <c r="X59" s="23">
        <v>157.9</v>
      </c>
      <c r="Y59" s="23">
        <v>247.7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95.300000000000011</v>
      </c>
      <c r="E60" s="23">
        <v>101.70000000000003</v>
      </c>
      <c r="F60" s="23">
        <v>111.20000000000002</v>
      </c>
      <c r="G60" s="23">
        <v>131.99999999999997</v>
      </c>
      <c r="H60" s="23">
        <v>128.80000000000001</v>
      </c>
      <c r="I60" s="23">
        <v>126.39999999999998</v>
      </c>
      <c r="J60" s="23">
        <v>134.89999999999998</v>
      </c>
      <c r="K60" s="23">
        <v>158.80000000000001</v>
      </c>
      <c r="L60" s="23">
        <v>185.20000000000007</v>
      </c>
      <c r="M60" s="23">
        <v>166.3</v>
      </c>
      <c r="N60" s="23">
        <v>163.30000000000007</v>
      </c>
      <c r="O60" s="23">
        <v>170.69999999999996</v>
      </c>
      <c r="P60" s="23">
        <v>156.30000000000001</v>
      </c>
      <c r="Q60" s="23">
        <v>155.39999999999998</v>
      </c>
      <c r="R60" s="23">
        <v>164.59999999999997</v>
      </c>
      <c r="S60" s="23">
        <v>180.9</v>
      </c>
      <c r="T60" s="23">
        <v>173.40000000000006</v>
      </c>
      <c r="U60" s="23">
        <v>188.99999999999989</v>
      </c>
      <c r="V60" s="23">
        <v>194.2</v>
      </c>
      <c r="W60" s="23">
        <v>225.39999999999992</v>
      </c>
      <c r="X60" s="23">
        <v>213.7000000000001</v>
      </c>
      <c r="Y60" s="23">
        <v>229.10000000000002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502</v>
      </c>
      <c r="E61" s="23">
        <v>473.9</v>
      </c>
      <c r="F61" s="23">
        <v>326.3</v>
      </c>
      <c r="G61" s="23">
        <v>393.2</v>
      </c>
      <c r="H61" s="23">
        <v>522.29999999999995</v>
      </c>
      <c r="I61" s="23">
        <v>530.5</v>
      </c>
      <c r="J61" s="23">
        <v>491.80000000000007</v>
      </c>
      <c r="K61" s="23">
        <v>548.90000000000009</v>
      </c>
      <c r="L61" s="23">
        <v>438.2</v>
      </c>
      <c r="M61" s="23">
        <v>535.79999999999995</v>
      </c>
      <c r="N61" s="23">
        <v>677</v>
      </c>
      <c r="O61" s="23">
        <v>863.9</v>
      </c>
      <c r="P61" s="23">
        <v>929.2</v>
      </c>
      <c r="Q61" s="23">
        <v>747.8</v>
      </c>
      <c r="R61" s="23">
        <v>590.29999999999984</v>
      </c>
      <c r="S61" s="23">
        <v>572</v>
      </c>
      <c r="T61" s="23">
        <v>519.70000000000005</v>
      </c>
      <c r="U61" s="23">
        <v>557.20000000000016</v>
      </c>
      <c r="V61" s="23">
        <v>532.20000000000005</v>
      </c>
      <c r="W61" s="23">
        <v>517.79999999999995</v>
      </c>
      <c r="X61" s="23">
        <v>183.6</v>
      </c>
      <c r="Y61" s="23">
        <v>379.7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212.5</v>
      </c>
      <c r="E62" s="23">
        <v>228.8</v>
      </c>
      <c r="F62" s="23">
        <v>183.4</v>
      </c>
      <c r="G62" s="23">
        <v>158.5</v>
      </c>
      <c r="H62" s="23">
        <v>167.8</v>
      </c>
      <c r="I62" s="23">
        <v>186.7</v>
      </c>
      <c r="J62" s="23">
        <v>155.1</v>
      </c>
      <c r="K62" s="23">
        <v>182.5</v>
      </c>
      <c r="L62" s="23">
        <v>205.3</v>
      </c>
      <c r="M62" s="23">
        <v>185.2</v>
      </c>
      <c r="N62" s="23">
        <v>210.4</v>
      </c>
      <c r="O62" s="23">
        <v>206.7</v>
      </c>
      <c r="P62" s="23">
        <v>206.6</v>
      </c>
      <c r="Q62" s="23">
        <v>171.3</v>
      </c>
      <c r="R62" s="23">
        <v>164.6</v>
      </c>
      <c r="S62" s="23">
        <v>179.8</v>
      </c>
      <c r="T62" s="23">
        <v>167.7</v>
      </c>
      <c r="U62" s="23">
        <v>162.4</v>
      </c>
      <c r="V62" s="23">
        <v>137.6</v>
      </c>
      <c r="W62" s="23">
        <v>216</v>
      </c>
      <c r="X62" s="23">
        <v>241.8</v>
      </c>
      <c r="Y62" s="23">
        <v>201.7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337.8</v>
      </c>
      <c r="E63" s="23">
        <v>366.8</v>
      </c>
      <c r="F63" s="23">
        <v>307.39999999999998</v>
      </c>
      <c r="G63" s="23">
        <v>283.2</v>
      </c>
      <c r="H63" s="23">
        <v>291.10000000000002</v>
      </c>
      <c r="I63" s="23">
        <v>275.10000000000002</v>
      </c>
      <c r="J63" s="23">
        <v>207.7</v>
      </c>
      <c r="K63" s="23">
        <v>243.7</v>
      </c>
      <c r="L63" s="23">
        <v>346.7</v>
      </c>
      <c r="M63" s="23">
        <v>279.8</v>
      </c>
      <c r="N63" s="23">
        <v>343.8</v>
      </c>
      <c r="O63" s="23">
        <v>327.49999999999994</v>
      </c>
      <c r="P63" s="23">
        <v>365.3</v>
      </c>
      <c r="Q63" s="23">
        <v>362.6</v>
      </c>
      <c r="R63" s="23">
        <v>386.3</v>
      </c>
      <c r="S63" s="23">
        <v>375.4</v>
      </c>
      <c r="T63" s="23">
        <v>376.6</v>
      </c>
      <c r="U63" s="23">
        <v>363.8</v>
      </c>
      <c r="V63" s="23">
        <v>374.4</v>
      </c>
      <c r="W63" s="23">
        <v>310.60000000000002</v>
      </c>
      <c r="X63" s="23">
        <v>378.2</v>
      </c>
      <c r="Y63" s="23">
        <v>375.8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107.5</v>
      </c>
      <c r="E64" s="23">
        <v>127.2</v>
      </c>
      <c r="F64" s="23">
        <v>117.59999999999998</v>
      </c>
      <c r="G64" s="23">
        <v>131.1</v>
      </c>
      <c r="H64" s="23">
        <v>126.1</v>
      </c>
      <c r="I64" s="23">
        <v>135.69999999999999</v>
      </c>
      <c r="J64" s="23">
        <v>164.1</v>
      </c>
      <c r="K64" s="23">
        <v>181.5</v>
      </c>
      <c r="L64" s="23">
        <v>197.7</v>
      </c>
      <c r="M64" s="23">
        <v>196.7</v>
      </c>
      <c r="N64" s="23">
        <v>149.19999999999999</v>
      </c>
      <c r="O64" s="23">
        <v>180.3</v>
      </c>
      <c r="P64" s="23">
        <v>184</v>
      </c>
      <c r="Q64" s="23">
        <v>183.6</v>
      </c>
      <c r="R64" s="23">
        <v>206.1</v>
      </c>
      <c r="S64" s="23">
        <v>237.8</v>
      </c>
      <c r="T64" s="23">
        <v>245.4</v>
      </c>
      <c r="U64" s="23">
        <v>256.8</v>
      </c>
      <c r="V64" s="23">
        <v>256.3</v>
      </c>
      <c r="W64" s="23">
        <v>250.8</v>
      </c>
      <c r="X64" s="23">
        <v>289.89999999999998</v>
      </c>
      <c r="Y64" s="23">
        <v>334.5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233.3</v>
      </c>
      <c r="E65" s="23">
        <v>259.7</v>
      </c>
      <c r="F65" s="23">
        <v>312.70000000000005</v>
      </c>
      <c r="G65" s="23">
        <v>344</v>
      </c>
      <c r="H65" s="23">
        <v>380.19999999999993</v>
      </c>
      <c r="I65" s="23">
        <v>390.2</v>
      </c>
      <c r="J65" s="23">
        <v>431.40000000000009</v>
      </c>
      <c r="K65" s="23">
        <v>488.6</v>
      </c>
      <c r="L65" s="23">
        <v>506.80000000000007</v>
      </c>
      <c r="M65" s="23">
        <v>416.00000000000006</v>
      </c>
      <c r="N65" s="23">
        <v>305.40000000000003</v>
      </c>
      <c r="O65" s="23">
        <v>302.89999999999998</v>
      </c>
      <c r="P65" s="23">
        <v>295.8</v>
      </c>
      <c r="Q65" s="23">
        <v>290.3</v>
      </c>
      <c r="R65" s="23">
        <v>299</v>
      </c>
      <c r="S65" s="23">
        <v>309.59999999999997</v>
      </c>
      <c r="T65" s="23">
        <v>342.89999999999986</v>
      </c>
      <c r="U65" s="23">
        <v>353.7</v>
      </c>
      <c r="V65" s="23">
        <v>374.1</v>
      </c>
      <c r="W65" s="23">
        <v>355.99999999999983</v>
      </c>
      <c r="X65" s="23">
        <v>426.9</v>
      </c>
      <c r="Y65" s="23">
        <v>445.9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49</v>
      </c>
      <c r="E66" s="23">
        <v>50.8</v>
      </c>
      <c r="F66" s="23">
        <v>74.2</v>
      </c>
      <c r="G66" s="23">
        <v>61.5</v>
      </c>
      <c r="H66" s="23">
        <v>59.3</v>
      </c>
      <c r="I66" s="23">
        <v>81.8</v>
      </c>
      <c r="J66" s="23">
        <v>102.5</v>
      </c>
      <c r="K66" s="23">
        <v>89.4</v>
      </c>
      <c r="L66" s="23">
        <v>70.599999999999994</v>
      </c>
      <c r="M66" s="23">
        <v>58.5</v>
      </c>
      <c r="N66" s="23">
        <v>78.699999999999989</v>
      </c>
      <c r="O66" s="23">
        <v>84.1</v>
      </c>
      <c r="P66" s="23">
        <v>69.999999999999986</v>
      </c>
      <c r="Q66" s="23">
        <v>68.800000000000011</v>
      </c>
      <c r="R66" s="23">
        <v>69.800000000000011</v>
      </c>
      <c r="S66" s="23">
        <v>59.5</v>
      </c>
      <c r="T66" s="23">
        <v>61.3</v>
      </c>
      <c r="U66" s="23">
        <v>59.8</v>
      </c>
      <c r="V66" s="23">
        <v>69.7</v>
      </c>
      <c r="W66" s="23">
        <v>120.5</v>
      </c>
      <c r="X66" s="23">
        <v>43.8</v>
      </c>
      <c r="Y66" s="23">
        <v>28.9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230.3</v>
      </c>
      <c r="E67" s="23">
        <v>269.89999999999998</v>
      </c>
      <c r="F67" s="23">
        <v>335.9</v>
      </c>
      <c r="G67" s="23">
        <v>379</v>
      </c>
      <c r="H67" s="23">
        <v>396.8</v>
      </c>
      <c r="I67" s="23">
        <v>413.3</v>
      </c>
      <c r="J67" s="23">
        <v>501.29999999999995</v>
      </c>
      <c r="K67" s="23">
        <v>583</v>
      </c>
      <c r="L67" s="23">
        <v>637.1</v>
      </c>
      <c r="M67" s="23">
        <v>569.70000000000005</v>
      </c>
      <c r="N67" s="23">
        <v>483.1</v>
      </c>
      <c r="O67" s="23">
        <v>508.5</v>
      </c>
      <c r="P67" s="23">
        <v>502.5</v>
      </c>
      <c r="Q67" s="23">
        <v>518.6</v>
      </c>
      <c r="R67" s="23">
        <v>532.79999999999995</v>
      </c>
      <c r="S67" s="23">
        <v>589.20000000000005</v>
      </c>
      <c r="T67" s="23">
        <v>721.00000000000011</v>
      </c>
      <c r="U67" s="23">
        <v>776</v>
      </c>
      <c r="V67" s="23">
        <v>763.4</v>
      </c>
      <c r="W67" s="23">
        <v>688.8</v>
      </c>
      <c r="X67" s="23">
        <v>776</v>
      </c>
      <c r="Y67" s="23">
        <v>907.8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144.1</v>
      </c>
      <c r="E68" s="23">
        <v>158</v>
      </c>
      <c r="F68" s="23">
        <v>166.5</v>
      </c>
      <c r="G68" s="23">
        <v>193.6</v>
      </c>
      <c r="H68" s="23">
        <v>217</v>
      </c>
      <c r="I68" s="23">
        <v>232.6</v>
      </c>
      <c r="J68" s="23">
        <v>259.29999999999995</v>
      </c>
      <c r="K68" s="23">
        <v>297.10000000000002</v>
      </c>
      <c r="L68" s="23">
        <v>315.7</v>
      </c>
      <c r="M68" s="23">
        <v>291.29999999999995</v>
      </c>
      <c r="N68" s="23">
        <v>275.7</v>
      </c>
      <c r="O68" s="23">
        <v>248.3</v>
      </c>
      <c r="P68" s="23">
        <v>218.3</v>
      </c>
      <c r="Q68" s="23">
        <v>174.2</v>
      </c>
      <c r="R68" s="23">
        <v>185.3</v>
      </c>
      <c r="S68" s="23">
        <v>204</v>
      </c>
      <c r="T68" s="23">
        <v>243.4</v>
      </c>
      <c r="U68" s="23">
        <v>237.7</v>
      </c>
      <c r="V68" s="23">
        <v>257.3</v>
      </c>
      <c r="W68" s="23">
        <v>206</v>
      </c>
      <c r="X68" s="23">
        <v>225.1</v>
      </c>
      <c r="Y68" s="23">
        <v>146.6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141</v>
      </c>
      <c r="E69" s="23">
        <v>158.4</v>
      </c>
      <c r="F69" s="23">
        <v>168.4</v>
      </c>
      <c r="G69" s="23">
        <v>189.8</v>
      </c>
      <c r="H69" s="23">
        <v>222</v>
      </c>
      <c r="I69" s="23">
        <v>227.7</v>
      </c>
      <c r="J69" s="23">
        <v>264</v>
      </c>
      <c r="K69" s="23">
        <v>281</v>
      </c>
      <c r="L69" s="23">
        <v>326.2</v>
      </c>
      <c r="M69" s="23">
        <v>302.3</v>
      </c>
      <c r="N69" s="23">
        <v>262.20000000000005</v>
      </c>
      <c r="O69" s="23">
        <v>236.8</v>
      </c>
      <c r="P69" s="23">
        <v>195.7</v>
      </c>
      <c r="Q69" s="23">
        <v>195</v>
      </c>
      <c r="R69" s="23">
        <v>228.1</v>
      </c>
      <c r="S69" s="23">
        <v>244.7</v>
      </c>
      <c r="T69" s="23">
        <v>280.89999999999998</v>
      </c>
      <c r="U69" s="23">
        <v>292.60000000000002</v>
      </c>
      <c r="V69" s="23">
        <v>292.10000000000002</v>
      </c>
      <c r="W69" s="23">
        <v>274.39999999999998</v>
      </c>
      <c r="X69" s="23">
        <v>294.50000000000006</v>
      </c>
      <c r="Y69" s="23">
        <v>357.7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116.19999999999999</v>
      </c>
      <c r="E70" s="23">
        <v>185.6</v>
      </c>
      <c r="F70" s="23">
        <v>202</v>
      </c>
      <c r="G70" s="23">
        <v>198.2</v>
      </c>
      <c r="H70" s="23">
        <v>217</v>
      </c>
      <c r="I70" s="23">
        <v>225.69999999999996</v>
      </c>
      <c r="J70" s="23">
        <v>250.3</v>
      </c>
      <c r="K70" s="23">
        <v>284.10000000000002</v>
      </c>
      <c r="L70" s="23">
        <v>266.2</v>
      </c>
      <c r="M70" s="23">
        <v>225.2</v>
      </c>
      <c r="N70" s="23">
        <v>213.1</v>
      </c>
      <c r="O70" s="23">
        <v>231.1</v>
      </c>
      <c r="P70" s="23">
        <v>216.9</v>
      </c>
      <c r="Q70" s="23">
        <v>218.3</v>
      </c>
      <c r="R70" s="23">
        <v>234.4</v>
      </c>
      <c r="S70" s="23">
        <v>258.2</v>
      </c>
      <c r="T70" s="23">
        <v>273</v>
      </c>
      <c r="U70" s="23">
        <v>285.39999999999998</v>
      </c>
      <c r="V70" s="23">
        <v>288.10000000000002</v>
      </c>
      <c r="W70" s="23">
        <v>293.8</v>
      </c>
      <c r="X70" s="23">
        <v>305.8</v>
      </c>
      <c r="Y70" s="23">
        <v>377.6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22.9</v>
      </c>
      <c r="E71" s="23">
        <v>20.8</v>
      </c>
      <c r="F71" s="23">
        <v>43.8</v>
      </c>
      <c r="G71" s="23">
        <v>53.2</v>
      </c>
      <c r="H71" s="23">
        <v>47.1</v>
      </c>
      <c r="I71" s="23">
        <v>57.3</v>
      </c>
      <c r="J71" s="23">
        <v>60.6</v>
      </c>
      <c r="K71" s="23">
        <v>66.2</v>
      </c>
      <c r="L71" s="23">
        <v>73.3</v>
      </c>
      <c r="M71" s="23">
        <v>63.8</v>
      </c>
      <c r="N71" s="23">
        <v>59.6</v>
      </c>
      <c r="O71" s="23">
        <v>54.7</v>
      </c>
      <c r="P71" s="23">
        <v>46.8</v>
      </c>
      <c r="Q71" s="23">
        <v>35.200000000000003</v>
      </c>
      <c r="R71" s="23">
        <v>37.1</v>
      </c>
      <c r="S71" s="23">
        <v>45</v>
      </c>
      <c r="T71" s="23">
        <v>55</v>
      </c>
      <c r="U71" s="23">
        <v>52.9</v>
      </c>
      <c r="V71" s="23">
        <v>86.2</v>
      </c>
      <c r="W71" s="23">
        <v>166.7</v>
      </c>
      <c r="X71" s="23">
        <v>123.2</v>
      </c>
      <c r="Y71" s="23">
        <v>145.80000000000004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142.80000000000001</v>
      </c>
      <c r="E72" s="23">
        <v>151.80000000000001</v>
      </c>
      <c r="F72" s="23">
        <v>165.4</v>
      </c>
      <c r="G72" s="23">
        <v>155.40000000000003</v>
      </c>
      <c r="H72" s="23">
        <v>198</v>
      </c>
      <c r="I72" s="23">
        <v>165.90000000000003</v>
      </c>
      <c r="J72" s="23">
        <v>216.39999999999998</v>
      </c>
      <c r="K72" s="23">
        <v>218.2</v>
      </c>
      <c r="L72" s="23">
        <v>228.2</v>
      </c>
      <c r="M72" s="23">
        <v>222.59999999999997</v>
      </c>
      <c r="N72" s="23">
        <v>216.90000000000003</v>
      </c>
      <c r="O72" s="23">
        <v>205.5</v>
      </c>
      <c r="P72" s="23">
        <v>182.3</v>
      </c>
      <c r="Q72" s="23">
        <v>62.699999999999989</v>
      </c>
      <c r="R72" s="23">
        <v>87.8</v>
      </c>
      <c r="S72" s="23">
        <v>77.2</v>
      </c>
      <c r="T72" s="23">
        <v>93.199999999999989</v>
      </c>
      <c r="U72" s="23">
        <v>89.2</v>
      </c>
      <c r="V72" s="23">
        <v>41.999999999999979</v>
      </c>
      <c r="W72" s="23">
        <v>70.899999999999977</v>
      </c>
      <c r="X72" s="23">
        <v>17.600000000000001</v>
      </c>
      <c r="Y72" s="23">
        <v>40.199999999999989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131.6</v>
      </c>
      <c r="E73" s="23">
        <v>147.5</v>
      </c>
      <c r="F73" s="23">
        <v>158.80000000000001</v>
      </c>
      <c r="G73" s="23">
        <v>169</v>
      </c>
      <c r="H73" s="23">
        <v>178.5</v>
      </c>
      <c r="I73" s="23">
        <v>185.2</v>
      </c>
      <c r="J73" s="23">
        <v>197.5</v>
      </c>
      <c r="K73" s="23">
        <v>229.2</v>
      </c>
      <c r="L73" s="23">
        <v>232.8</v>
      </c>
      <c r="M73" s="23">
        <v>199.2</v>
      </c>
      <c r="N73" s="23">
        <v>187.3</v>
      </c>
      <c r="O73" s="23">
        <v>189</v>
      </c>
      <c r="P73" s="23">
        <v>170.2</v>
      </c>
      <c r="Q73" s="23">
        <v>170</v>
      </c>
      <c r="R73" s="23">
        <v>175.6</v>
      </c>
      <c r="S73" s="23">
        <v>189.9</v>
      </c>
      <c r="T73" s="23">
        <v>208.2</v>
      </c>
      <c r="U73" s="23">
        <v>252.6</v>
      </c>
      <c r="V73" s="23">
        <v>264.8</v>
      </c>
      <c r="W73" s="23">
        <v>310.5</v>
      </c>
      <c r="X73" s="23">
        <v>266.39999999999998</v>
      </c>
      <c r="Y73" s="23">
        <v>301.60000000000002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36.600000000000684</v>
      </c>
      <c r="E74" s="23">
        <v>42.700000000000344</v>
      </c>
      <c r="F74" s="23">
        <v>48.19999999999775</v>
      </c>
      <c r="G74" s="23">
        <v>56.699999999997523</v>
      </c>
      <c r="H74" s="23">
        <v>73.500000000000639</v>
      </c>
      <c r="I74" s="23">
        <v>94.400000000000418</v>
      </c>
      <c r="J74" s="23">
        <v>93.599999999998474</v>
      </c>
      <c r="K74" s="23">
        <v>127.49999999999645</v>
      </c>
      <c r="L74" s="23">
        <v>182.40000000000433</v>
      </c>
      <c r="M74" s="23">
        <v>161.50000000000659</v>
      </c>
      <c r="N74" s="23">
        <v>172.3000000000047</v>
      </c>
      <c r="O74" s="23">
        <v>158.79999999999632</v>
      </c>
      <c r="P74" s="23">
        <v>162.19999999999629</v>
      </c>
      <c r="Q74" s="23">
        <v>163.79999999999686</v>
      </c>
      <c r="R74" s="23">
        <v>169.49999999999829</v>
      </c>
      <c r="S74" s="23">
        <v>193.89999999999381</v>
      </c>
      <c r="T74" s="23">
        <v>212.20000000000809</v>
      </c>
      <c r="U74" s="23">
        <v>247.7000000000005</v>
      </c>
      <c r="V74" s="23">
        <v>261.00000000000188</v>
      </c>
      <c r="W74" s="23">
        <v>166.5999999999982</v>
      </c>
      <c r="X74" s="23">
        <v>286.39999999999492</v>
      </c>
      <c r="Y74" s="23">
        <v>314.40000000000612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3940.8000000000011</v>
      </c>
      <c r="E75" s="30">
        <f t="shared" ref="E75:S75" si="6">SUM(E56:E74)</f>
        <v>4242.1000000000013</v>
      </c>
      <c r="F75" s="30">
        <f t="shared" si="6"/>
        <v>4377.4999999999982</v>
      </c>
      <c r="G75" s="30">
        <f t="shared" si="6"/>
        <v>4603.4999999999964</v>
      </c>
      <c r="H75" s="30">
        <f t="shared" si="6"/>
        <v>5075.0000000000009</v>
      </c>
      <c r="I75" s="30">
        <f t="shared" si="6"/>
        <v>5262.5999999999995</v>
      </c>
      <c r="J75" s="30">
        <f t="shared" si="6"/>
        <v>5593.6999999999989</v>
      </c>
      <c r="K75" s="30">
        <f t="shared" si="6"/>
        <v>6149.3999999999969</v>
      </c>
      <c r="L75" s="30">
        <f t="shared" si="6"/>
        <v>6533.7000000000044</v>
      </c>
      <c r="M75" s="30">
        <f t="shared" si="6"/>
        <v>6031.0000000000064</v>
      </c>
      <c r="N75" s="30">
        <f t="shared" si="6"/>
        <v>5918.3000000000056</v>
      </c>
      <c r="O75" s="30">
        <f t="shared" si="6"/>
        <v>6176.6999999999971</v>
      </c>
      <c r="P75" s="30">
        <f t="shared" si="6"/>
        <v>6028.0999999999958</v>
      </c>
      <c r="Q75" s="30">
        <f t="shared" si="6"/>
        <v>5602.4999999999964</v>
      </c>
      <c r="R75" s="30">
        <f t="shared" si="6"/>
        <v>5600.3999999999987</v>
      </c>
      <c r="S75" s="30">
        <f t="shared" si="6"/>
        <v>5772.2999999999938</v>
      </c>
      <c r="T75" s="30">
        <f t="shared" ref="T75:Y75" si="7">SUM(T56:T74)</f>
        <v>6093.0000000000064</v>
      </c>
      <c r="U75" s="30">
        <f t="shared" si="7"/>
        <v>6367.2000000000007</v>
      </c>
      <c r="V75" s="30">
        <f t="shared" si="7"/>
        <v>6487.1000000000022</v>
      </c>
      <c r="W75" s="30">
        <f t="shared" si="7"/>
        <v>6621.3999999999978</v>
      </c>
      <c r="X75" s="30">
        <f t="shared" si="7"/>
        <v>6083.2999999999956</v>
      </c>
      <c r="Y75" s="30">
        <f t="shared" si="7"/>
        <v>6809.0000000000064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35376.678995522678</v>
      </c>
      <c r="E2" s="19">
        <v>36480.874470689196</v>
      </c>
      <c r="F2" s="19">
        <v>38604.083057058102</v>
      </c>
      <c r="G2" s="19">
        <v>40765.895384130235</v>
      </c>
      <c r="H2" s="19">
        <v>42469.452084039731</v>
      </c>
      <c r="I2" s="19">
        <v>44298.939572462543</v>
      </c>
      <c r="J2" s="19">
        <v>46547.955875783227</v>
      </c>
      <c r="K2" s="19">
        <v>48910.641575877627</v>
      </c>
      <c r="L2" s="19">
        <v>49894.544446384018</v>
      </c>
      <c r="M2" s="19">
        <v>46292.817847481841</v>
      </c>
      <c r="N2" s="19">
        <v>45717.788964761006</v>
      </c>
      <c r="O2" s="19">
        <v>45679.805469664672</v>
      </c>
      <c r="P2" s="19">
        <v>44610.580712098083</v>
      </c>
      <c r="Q2" s="19">
        <v>44433.812597906668</v>
      </c>
      <c r="R2" s="19">
        <v>44244.808655419169</v>
      </c>
      <c r="S2" s="19">
        <v>45360.7</v>
      </c>
      <c r="T2" s="19">
        <v>46976.783327558041</v>
      </c>
      <c r="U2" s="19">
        <v>48573.630933912507</v>
      </c>
      <c r="V2" s="19">
        <v>49943.706138486676</v>
      </c>
      <c r="W2" s="19">
        <v>51641.496680524819</v>
      </c>
      <c r="X2" s="19">
        <v>47204.778093245666</v>
      </c>
      <c r="Y2" s="19">
        <v>53711.810054120608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21351.186499753116</v>
      </c>
      <c r="E3" s="23">
        <v>22484.818845009577</v>
      </c>
      <c r="F3" s="23">
        <v>24624.284304047385</v>
      </c>
      <c r="G3" s="23">
        <v>25749.300180047579</v>
      </c>
      <c r="H3" s="23">
        <v>26933.295935539802</v>
      </c>
      <c r="I3" s="23">
        <v>28167.613982875122</v>
      </c>
      <c r="J3" s="23">
        <v>28534.749889331564</v>
      </c>
      <c r="K3" s="23">
        <v>29970.167538198028</v>
      </c>
      <c r="L3" s="23">
        <v>30898.347659272291</v>
      </c>
      <c r="M3" s="23">
        <v>28145.144455577822</v>
      </c>
      <c r="N3" s="23">
        <v>27712.948581705223</v>
      </c>
      <c r="O3" s="23">
        <v>27988.07810474528</v>
      </c>
      <c r="P3" s="23">
        <v>27317.021936361543</v>
      </c>
      <c r="Q3" s="23">
        <v>26884.636305197055</v>
      </c>
      <c r="R3" s="23">
        <v>26218.339563800651</v>
      </c>
      <c r="S3" s="23">
        <v>26316.9</v>
      </c>
      <c r="T3" s="23">
        <v>27149.874937468732</v>
      </c>
      <c r="U3" s="23">
        <v>28012.009119855342</v>
      </c>
      <c r="V3" s="23">
        <v>28956.541835585045</v>
      </c>
      <c r="W3" s="23">
        <v>30137.989486515315</v>
      </c>
      <c r="X3" s="23">
        <v>28579.952267303102</v>
      </c>
      <c r="Y3" s="23">
        <v>31605.564479011093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29443.557376555302</v>
      </c>
      <c r="E4" s="27">
        <v>30500.056647595313</v>
      </c>
      <c r="F4" s="27">
        <v>32124.503132789865</v>
      </c>
      <c r="G4" s="27">
        <v>34037.287467997106</v>
      </c>
      <c r="H4" s="27">
        <v>35482.038054652163</v>
      </c>
      <c r="I4" s="27">
        <v>36973.817376498744</v>
      </c>
      <c r="J4" s="27">
        <v>38714.546547363883</v>
      </c>
      <c r="K4" s="27">
        <v>40634.200236132623</v>
      </c>
      <c r="L4" s="27">
        <v>41466.207203201426</v>
      </c>
      <c r="M4" s="27">
        <v>38919.671182585451</v>
      </c>
      <c r="N4" s="27">
        <v>38255.756789176645</v>
      </c>
      <c r="O4" s="27">
        <v>38366.965068297533</v>
      </c>
      <c r="P4" s="27">
        <v>37068.26439282795</v>
      </c>
      <c r="Q4" s="27">
        <v>36811.324121250567</v>
      </c>
      <c r="R4" s="27">
        <v>36672.359550561792</v>
      </c>
      <c r="S4" s="27">
        <v>37597.199999999997</v>
      </c>
      <c r="T4" s="27">
        <v>38971.577456137748</v>
      </c>
      <c r="U4" s="27">
        <v>40109.198629208695</v>
      </c>
      <c r="V4" s="27">
        <v>41138.575928711296</v>
      </c>
      <c r="W4" s="27">
        <v>42631.588739836639</v>
      </c>
      <c r="X4" s="27">
        <v>39427.575117327004</v>
      </c>
      <c r="Y4" s="27">
        <v>44243.453269017788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1768.2945199289011</v>
      </c>
      <c r="E6" s="19">
        <v>1822.9196170622558</v>
      </c>
      <c r="F6" s="19">
        <v>1876.5748164117765</v>
      </c>
      <c r="G6" s="19">
        <v>1602.8359482702026</v>
      </c>
      <c r="H6" s="19">
        <v>1860.7404084582508</v>
      </c>
      <c r="I6" s="19">
        <v>1695.7386262159621</v>
      </c>
      <c r="J6" s="19">
        <v>1832.6358883634425</v>
      </c>
      <c r="K6" s="19">
        <v>1775.7606611713479</v>
      </c>
      <c r="L6" s="19">
        <v>1904.1796353935081</v>
      </c>
      <c r="M6" s="19">
        <v>1817.5741734671483</v>
      </c>
      <c r="N6" s="19">
        <v>1643.6591744833147</v>
      </c>
      <c r="O6" s="19">
        <v>1629.4895657911584</v>
      </c>
      <c r="P6" s="19">
        <v>1446.5198255235769</v>
      </c>
      <c r="Q6" s="19">
        <v>1521.1831644892052</v>
      </c>
      <c r="R6" s="19">
        <v>1294.681647940075</v>
      </c>
      <c r="S6" s="19">
        <v>1342.8</v>
      </c>
      <c r="T6" s="19">
        <v>1435.6901556354701</v>
      </c>
      <c r="U6" s="19">
        <v>1397.3165017715735</v>
      </c>
      <c r="V6" s="19">
        <v>1472.6944215833735</v>
      </c>
      <c r="W6" s="19">
        <v>1483.0595196010941</v>
      </c>
      <c r="X6" s="19">
        <v>1453.6394742254549</v>
      </c>
      <c r="Y6" s="19">
        <v>1766.4503491894959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7184.4967312385161</v>
      </c>
      <c r="E7" s="23">
        <v>7090.1546479351964</v>
      </c>
      <c r="F7" s="23">
        <v>7135.888971232227</v>
      </c>
      <c r="G7" s="23">
        <v>7299.9409177443667</v>
      </c>
      <c r="H7" s="23">
        <v>7811.5459858198446</v>
      </c>
      <c r="I7" s="23">
        <v>7782.8711586316931</v>
      </c>
      <c r="J7" s="23">
        <v>7910.3868267954931</v>
      </c>
      <c r="K7" s="23">
        <v>8002.6212887641996</v>
      </c>
      <c r="L7" s="23">
        <v>7959.8003152916499</v>
      </c>
      <c r="M7" s="23">
        <v>7527.8836369440796</v>
      </c>
      <c r="N7" s="23">
        <v>7545.1792421292776</v>
      </c>
      <c r="O7" s="23">
        <v>7766.2225111038861</v>
      </c>
      <c r="P7" s="23">
        <v>7700.1014168824622</v>
      </c>
      <c r="Q7" s="23">
        <v>7493.1107630697225</v>
      </c>
      <c r="R7" s="23">
        <v>7572.4344569288369</v>
      </c>
      <c r="S7" s="23">
        <v>7674.1999999999935</v>
      </c>
      <c r="T7" s="23">
        <v>7905.4100910432899</v>
      </c>
      <c r="U7" s="23">
        <v>7962.0128172859113</v>
      </c>
      <c r="V7" s="23">
        <v>7887.9208407828919</v>
      </c>
      <c r="W7" s="23">
        <v>8023.6106201276343</v>
      </c>
      <c r="X7" s="23">
        <v>7392.6294336518113</v>
      </c>
      <c r="Y7" s="23">
        <v>8172.4071650206461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1430.7233452836442</v>
      </c>
      <c r="E8" s="23">
        <v>1653.4016880983404</v>
      </c>
      <c r="F8" s="23">
        <v>1743.5828336589636</v>
      </c>
      <c r="G8" s="23">
        <v>2205.0810739841131</v>
      </c>
      <c r="H8" s="23">
        <v>2360.0363849326504</v>
      </c>
      <c r="I8" s="23">
        <v>2643.7424839558503</v>
      </c>
      <c r="J8" s="23">
        <v>2871.7721906576398</v>
      </c>
      <c r="K8" s="23">
        <v>3036.2539400569754</v>
      </c>
      <c r="L8" s="23">
        <v>3211.0230809652776</v>
      </c>
      <c r="M8" s="23">
        <v>2773.8981224685249</v>
      </c>
      <c r="N8" s="23">
        <v>2065.9548109256089</v>
      </c>
      <c r="O8" s="23">
        <v>1897.0662097083937</v>
      </c>
      <c r="P8" s="23">
        <v>1586.9280530912456</v>
      </c>
      <c r="Q8" s="23">
        <v>1591.7606708828134</v>
      </c>
      <c r="R8" s="23">
        <v>1573.1335830212236</v>
      </c>
      <c r="S8" s="23">
        <v>1647.1</v>
      </c>
      <c r="T8" s="23">
        <v>1751.4191458376674</v>
      </c>
      <c r="U8" s="23">
        <v>1813.8782938682259</v>
      </c>
      <c r="V8" s="23">
        <v>2020.2249529377266</v>
      </c>
      <c r="W8" s="23">
        <v>2293.4303309952188</v>
      </c>
      <c r="X8" s="23">
        <v>2374.2123665463791</v>
      </c>
      <c r="Y8" s="23">
        <v>2631.8728089846504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5824.4208116169075</v>
      </c>
      <c r="E9" s="23">
        <v>6466.3230045884557</v>
      </c>
      <c r="F9" s="23">
        <v>7100.7208785285993</v>
      </c>
      <c r="G9" s="23">
        <v>7921.4862469638283</v>
      </c>
      <c r="H9" s="23">
        <v>7838.211655639042</v>
      </c>
      <c r="I9" s="23">
        <v>8223.0583304559041</v>
      </c>
      <c r="J9" s="23">
        <v>8588.893047097381</v>
      </c>
      <c r="K9" s="23">
        <v>8776.1181096391938</v>
      </c>
      <c r="L9" s="23">
        <v>9082.1173046606564</v>
      </c>
      <c r="M9" s="23">
        <v>7841.63690416808</v>
      </c>
      <c r="N9" s="23">
        <v>7956.856036025406</v>
      </c>
      <c r="O9" s="23">
        <v>8009.0800760284028</v>
      </c>
      <c r="P9" s="23">
        <v>7839.2296255452384</v>
      </c>
      <c r="Q9" s="23">
        <v>7989.3340734719768</v>
      </c>
      <c r="R9" s="23">
        <v>7916.1048689138579</v>
      </c>
      <c r="S9" s="23">
        <v>8429.5</v>
      </c>
      <c r="T9" s="23">
        <v>8688.0454919210224</v>
      </c>
      <c r="U9" s="23">
        <v>9205.0184901934208</v>
      </c>
      <c r="V9" s="23">
        <v>9638.8266121784854</v>
      </c>
      <c r="W9" s="23">
        <v>9952.2764061249927</v>
      </c>
      <c r="X9" s="23">
        <v>7840.9027167511176</v>
      </c>
      <c r="Y9" s="23">
        <v>9553.6964660009344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1401.1990479920466</v>
      </c>
      <c r="E10" s="23">
        <v>1577.777148360052</v>
      </c>
      <c r="F10" s="23">
        <v>1697.3657616384828</v>
      </c>
      <c r="G10" s="23">
        <v>1694.8729731503972</v>
      </c>
      <c r="H10" s="23">
        <v>1744.6076782176367</v>
      </c>
      <c r="I10" s="23">
        <v>1813.7330777382215</v>
      </c>
      <c r="J10" s="23">
        <v>1867.3380283287404</v>
      </c>
      <c r="K10" s="23">
        <v>1907.9082765567964</v>
      </c>
      <c r="L10" s="23">
        <v>2017.6644165083471</v>
      </c>
      <c r="M10" s="23">
        <v>1910.4531215706618</v>
      </c>
      <c r="N10" s="23">
        <v>1927.6148899769923</v>
      </c>
      <c r="O10" s="23">
        <v>1836.3025772840529</v>
      </c>
      <c r="P10" s="23">
        <v>1771.9400163448568</v>
      </c>
      <c r="Q10" s="23">
        <v>1720.624095477885</v>
      </c>
      <c r="R10" s="23">
        <v>1647.2409488139824</v>
      </c>
      <c r="S10" s="23">
        <v>1703.2</v>
      </c>
      <c r="T10" s="23">
        <v>1763.2082107369652</v>
      </c>
      <c r="U10" s="23">
        <v>1865.3797750198455</v>
      </c>
      <c r="V10" s="23">
        <v>1970.2774545695343</v>
      </c>
      <c r="W10" s="23">
        <v>2075.5577055463559</v>
      </c>
      <c r="X10" s="23">
        <v>2366.5463792233049</v>
      </c>
      <c r="Y10" s="23">
        <v>2684.0452893742049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1291.386738167686</v>
      </c>
      <c r="E11" s="23">
        <v>1452.0194867727866</v>
      </c>
      <c r="F11" s="23">
        <v>1586.7412248197802</v>
      </c>
      <c r="G11" s="23">
        <v>1842.8412000262585</v>
      </c>
      <c r="H11" s="23">
        <v>1847.0337557474486</v>
      </c>
      <c r="I11" s="23">
        <v>2189.9817828949722</v>
      </c>
      <c r="J11" s="23">
        <v>2234.3188287460735</v>
      </c>
      <c r="K11" s="23">
        <v>2465.2029332437905</v>
      </c>
      <c r="L11" s="23">
        <v>2554.6707627632481</v>
      </c>
      <c r="M11" s="23">
        <v>2500.0498812825476</v>
      </c>
      <c r="N11" s="23">
        <v>2591.1942264959785</v>
      </c>
      <c r="O11" s="23">
        <v>2720.0835130636888</v>
      </c>
      <c r="P11" s="23">
        <v>2458.7193903171492</v>
      </c>
      <c r="Q11" s="23">
        <v>2304.2762831823316</v>
      </c>
      <c r="R11" s="23">
        <v>2376.2297128589262</v>
      </c>
      <c r="S11" s="23">
        <v>2360.6</v>
      </c>
      <c r="T11" s="23">
        <v>2425.4762683151548</v>
      </c>
      <c r="U11" s="23">
        <v>2485.6241166334294</v>
      </c>
      <c r="V11" s="23">
        <v>2414.4128804003371</v>
      </c>
      <c r="W11" s="23">
        <v>2325.6181740376205</v>
      </c>
      <c r="X11" s="23">
        <v>2033.6368565712473</v>
      </c>
      <c r="Y11" s="23">
        <v>2350.965190887207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2744.2533064200284</v>
      </c>
      <c r="E12" s="23">
        <v>2770.3506486149663</v>
      </c>
      <c r="F12" s="23">
        <v>2852.388331199892</v>
      </c>
      <c r="G12" s="23">
        <v>2942.6902120396508</v>
      </c>
      <c r="H12" s="23">
        <v>3033.6560627017057</v>
      </c>
      <c r="I12" s="23">
        <v>3169.5381428078158</v>
      </c>
      <c r="J12" s="23">
        <v>3331.0652196101114</v>
      </c>
      <c r="K12" s="23">
        <v>3779.0968468712426</v>
      </c>
      <c r="L12" s="23">
        <v>3679.1099074336066</v>
      </c>
      <c r="M12" s="23">
        <v>3590.4547177717031</v>
      </c>
      <c r="N12" s="23">
        <v>3521.3261754468763</v>
      </c>
      <c r="O12" s="23">
        <v>3615.6823352143469</v>
      </c>
      <c r="P12" s="23">
        <v>3591.4376581561819</v>
      </c>
      <c r="Q12" s="23">
        <v>3574.0766439999206</v>
      </c>
      <c r="R12" s="23">
        <v>3613.1835205992511</v>
      </c>
      <c r="S12" s="23">
        <v>3675.8</v>
      </c>
      <c r="T12" s="23">
        <v>3720.6883228816832</v>
      </c>
      <c r="U12" s="23">
        <v>3730.4691281534974</v>
      </c>
      <c r="V12" s="23">
        <v>3703.0204992857884</v>
      </c>
      <c r="W12" s="23">
        <v>3882.8213667739597</v>
      </c>
      <c r="X12" s="23">
        <v>3884.0379185909551</v>
      </c>
      <c r="Y12" s="23">
        <v>4118.3308467502029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1372.5785557195795</v>
      </c>
      <c r="E13" s="23">
        <v>1503.0023225514078</v>
      </c>
      <c r="F13" s="23">
        <v>1742.5048844573198</v>
      </c>
      <c r="G13" s="23">
        <v>1976.6296855511059</v>
      </c>
      <c r="H13" s="23">
        <v>2115.9333607466388</v>
      </c>
      <c r="I13" s="23">
        <v>2432.9955826496957</v>
      </c>
      <c r="J13" s="23">
        <v>2813.595073656993</v>
      </c>
      <c r="K13" s="23">
        <v>3292.100388860606</v>
      </c>
      <c r="L13" s="23">
        <v>3416.1647600953956</v>
      </c>
      <c r="M13" s="23">
        <v>3102.4162493266026</v>
      </c>
      <c r="N13" s="23">
        <v>3045.5430358090966</v>
      </c>
      <c r="O13" s="23">
        <v>2982.8345200460899</v>
      </c>
      <c r="P13" s="23">
        <v>2917.5569362255196</v>
      </c>
      <c r="Q13" s="23">
        <v>2939.37471501358</v>
      </c>
      <c r="R13" s="23">
        <v>3000.9488139825216</v>
      </c>
      <c r="S13" s="23">
        <v>3004.4</v>
      </c>
      <c r="T13" s="23">
        <v>3130.8388068277509</v>
      </c>
      <c r="U13" s="23">
        <v>3257.3718755445411</v>
      </c>
      <c r="V13" s="23">
        <v>3318.5761179063675</v>
      </c>
      <c r="W13" s="23">
        <v>3479.8221296072338</v>
      </c>
      <c r="X13" s="23">
        <v>2975.9923714077372</v>
      </c>
      <c r="Y13" s="23">
        <v>3323.3870008146228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5683.5778628023982</v>
      </c>
      <c r="E14" s="23">
        <v>5354.4723276496916</v>
      </c>
      <c r="F14" s="23">
        <v>5472.2091221451183</v>
      </c>
      <c r="G14" s="23">
        <v>5624.499442000918</v>
      </c>
      <c r="H14" s="23">
        <v>5934.4822000423665</v>
      </c>
      <c r="I14" s="23">
        <v>5989.617440794409</v>
      </c>
      <c r="J14" s="23">
        <v>6143.4128307193323</v>
      </c>
      <c r="K14" s="23">
        <v>6473.1751172539298</v>
      </c>
      <c r="L14" s="23">
        <v>6481.0622903108451</v>
      </c>
      <c r="M14" s="23">
        <v>6706.7379636465212</v>
      </c>
      <c r="N14" s="23">
        <v>6759.8765067940922</v>
      </c>
      <c r="O14" s="23">
        <v>6687.6434149752322</v>
      </c>
      <c r="P14" s="23">
        <v>6535.0872874430142</v>
      </c>
      <c r="Q14" s="23">
        <v>6412.9378878293446</v>
      </c>
      <c r="R14" s="23">
        <v>6392.0099875156056</v>
      </c>
      <c r="S14" s="23">
        <v>6504.4</v>
      </c>
      <c r="T14" s="23">
        <v>6754.6388484362151</v>
      </c>
      <c r="U14" s="23">
        <v>6906.8132974500959</v>
      </c>
      <c r="V14" s="23">
        <v>7160.3712007265094</v>
      </c>
      <c r="W14" s="23">
        <v>7380.5049584162834</v>
      </c>
      <c r="X14" s="23">
        <v>7694.1271058093234</v>
      </c>
      <c r="Y14" s="23">
        <v>8128.1063220231945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742.62645738559343</v>
      </c>
      <c r="E15" s="23">
        <v>809.63575596215958</v>
      </c>
      <c r="F15" s="23">
        <v>916.52630869770258</v>
      </c>
      <c r="G15" s="23">
        <v>926.409768266264</v>
      </c>
      <c r="H15" s="23">
        <v>935.79056234657889</v>
      </c>
      <c r="I15" s="23">
        <v>1032.5407503542215</v>
      </c>
      <c r="J15" s="23">
        <v>1121.1286133886754</v>
      </c>
      <c r="K15" s="23">
        <v>1125.9626737145395</v>
      </c>
      <c r="L15" s="23">
        <v>1160.4147297788916</v>
      </c>
      <c r="M15" s="23">
        <v>1148.5664119395838</v>
      </c>
      <c r="N15" s="23">
        <v>1198.5526910900044</v>
      </c>
      <c r="O15" s="23">
        <v>1222.5603450822823</v>
      </c>
      <c r="P15" s="23">
        <v>1220.7441832987072</v>
      </c>
      <c r="Q15" s="23">
        <v>1264.6458238337859</v>
      </c>
      <c r="R15" s="23">
        <v>1286.3920099875156</v>
      </c>
      <c r="S15" s="23">
        <v>1255.2</v>
      </c>
      <c r="T15" s="23">
        <v>1396.162114502531</v>
      </c>
      <c r="U15" s="23">
        <v>1485.3143332881566</v>
      </c>
      <c r="V15" s="23">
        <v>1552.2509483402862</v>
      </c>
      <c r="W15" s="23">
        <v>1734.8875286062478</v>
      </c>
      <c r="X15" s="23">
        <v>1411.85049454967</v>
      </c>
      <c r="Y15" s="23">
        <v>1514.1918299726324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29443.557376555305</v>
      </c>
      <c r="E16" s="30">
        <f t="shared" ref="E16:S16" si="0">SUM(E6:E15)</f>
        <v>30500.056647595316</v>
      </c>
      <c r="F16" s="30">
        <f t="shared" si="0"/>
        <v>32124.503132789865</v>
      </c>
      <c r="G16" s="30">
        <f t="shared" si="0"/>
        <v>34037.287467997106</v>
      </c>
      <c r="H16" s="30">
        <f t="shared" si="0"/>
        <v>35482.038054652163</v>
      </c>
      <c r="I16" s="30">
        <f t="shared" si="0"/>
        <v>36973.817376498744</v>
      </c>
      <c r="J16" s="30">
        <f t="shared" si="0"/>
        <v>38714.546547363883</v>
      </c>
      <c r="K16" s="30">
        <f t="shared" si="0"/>
        <v>40634.200236132609</v>
      </c>
      <c r="L16" s="30">
        <f t="shared" si="0"/>
        <v>41466.207203201433</v>
      </c>
      <c r="M16" s="30">
        <f t="shared" si="0"/>
        <v>38919.671182585451</v>
      </c>
      <c r="N16" s="30">
        <f t="shared" si="0"/>
        <v>38255.756789176652</v>
      </c>
      <c r="O16" s="30">
        <f t="shared" si="0"/>
        <v>38366.965068297533</v>
      </c>
      <c r="P16" s="30">
        <f t="shared" si="0"/>
        <v>37068.264392827958</v>
      </c>
      <c r="Q16" s="30">
        <f t="shared" si="0"/>
        <v>36811.32412125056</v>
      </c>
      <c r="R16" s="30">
        <f t="shared" si="0"/>
        <v>36672.3595505618</v>
      </c>
      <c r="S16" s="30">
        <f t="shared" si="0"/>
        <v>37597.19999999999</v>
      </c>
      <c r="T16" s="30">
        <f t="shared" ref="T16:Y16" si="1">SUM(T6:T15)</f>
        <v>38971.577456137762</v>
      </c>
      <c r="U16" s="30">
        <f t="shared" si="1"/>
        <v>40109.198629208702</v>
      </c>
      <c r="V16" s="30">
        <f t="shared" si="1"/>
        <v>41138.575928711296</v>
      </c>
      <c r="W16" s="30">
        <f t="shared" si="1"/>
        <v>42631.588739836639</v>
      </c>
      <c r="X16" s="30">
        <f t="shared" si="1"/>
        <v>39427.575117327004</v>
      </c>
      <c r="Y16" s="30">
        <f t="shared" si="1"/>
        <v>44243.453269017795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1768.2945199289011</v>
      </c>
      <c r="E18" s="19">
        <v>1822.9196170622558</v>
      </c>
      <c r="F18" s="19">
        <v>1876.5748164117765</v>
      </c>
      <c r="G18" s="19">
        <v>1602.8359482702026</v>
      </c>
      <c r="H18" s="19">
        <v>1860.7404084582508</v>
      </c>
      <c r="I18" s="19">
        <v>1695.7386262159621</v>
      </c>
      <c r="J18" s="19">
        <v>1832.6358883634425</v>
      </c>
      <c r="K18" s="19">
        <v>1775.7606611713479</v>
      </c>
      <c r="L18" s="19">
        <v>1904.1796353935081</v>
      </c>
      <c r="M18" s="19">
        <v>1817.5741734671483</v>
      </c>
      <c r="N18" s="19">
        <v>1643.6591744833147</v>
      </c>
      <c r="O18" s="19">
        <v>1629.4895657911584</v>
      </c>
      <c r="P18" s="19">
        <v>1446.5198255235769</v>
      </c>
      <c r="Q18" s="19">
        <v>1521.1831644892052</v>
      </c>
      <c r="R18" s="19">
        <v>1294.681647940075</v>
      </c>
      <c r="S18" s="19">
        <v>1342.8</v>
      </c>
      <c r="T18" s="19">
        <v>1435.6901556354701</v>
      </c>
      <c r="U18" s="19">
        <v>1397.3165017715735</v>
      </c>
      <c r="V18" s="19">
        <v>1472.6944215833735</v>
      </c>
      <c r="W18" s="19">
        <v>1483.0595196010941</v>
      </c>
      <c r="X18" s="19">
        <v>1453.6394742254549</v>
      </c>
      <c r="Y18" s="19">
        <v>1766.4503491894959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197.4813966800229</v>
      </c>
      <c r="E19" s="23">
        <v>155.92250608961652</v>
      </c>
      <c r="F19" s="23">
        <v>223.27022839048709</v>
      </c>
      <c r="G19" s="23">
        <v>187.22510339394734</v>
      </c>
      <c r="H19" s="23">
        <v>280.48795683650457</v>
      </c>
      <c r="I19" s="23">
        <v>318.62073892388116</v>
      </c>
      <c r="J19" s="23">
        <v>462.01476542033816</v>
      </c>
      <c r="K19" s="23">
        <v>353.33239457978141</v>
      </c>
      <c r="L19" s="23">
        <v>357.73475079833463</v>
      </c>
      <c r="M19" s="23">
        <v>389.77234182645304</v>
      </c>
      <c r="N19" s="23">
        <v>396.73175623856997</v>
      </c>
      <c r="O19" s="23">
        <v>379.35415250982362</v>
      </c>
      <c r="P19" s="23">
        <v>371.40240840480101</v>
      </c>
      <c r="Q19" s="23">
        <v>403.14426756011972</v>
      </c>
      <c r="R19" s="23">
        <v>315.80524344569289</v>
      </c>
      <c r="S19" s="23">
        <v>218.2</v>
      </c>
      <c r="T19" s="23">
        <v>162.27301096680242</v>
      </c>
      <c r="U19" s="23">
        <v>164.86282406242134</v>
      </c>
      <c r="V19" s="23">
        <v>158.3562732355195</v>
      </c>
      <c r="W19" s="23">
        <v>157.03202039183583</v>
      </c>
      <c r="X19" s="23">
        <v>88.71978011704654</v>
      </c>
      <c r="Y19" s="23">
        <v>101.78210209330636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5936.1913656493862</v>
      </c>
      <c r="E20" s="23">
        <v>6007.6191015691393</v>
      </c>
      <c r="F20" s="23">
        <v>5898.4032877450609</v>
      </c>
      <c r="G20" s="23">
        <v>6044.1147508698177</v>
      </c>
      <c r="H20" s="23">
        <v>6323.751137029144</v>
      </c>
      <c r="I20" s="23">
        <v>6265.9697334111233</v>
      </c>
      <c r="J20" s="23">
        <v>6343.5738667936785</v>
      </c>
      <c r="K20" s="23">
        <v>6660.8897217317808</v>
      </c>
      <c r="L20" s="23">
        <v>6602.6314725736738</v>
      </c>
      <c r="M20" s="23">
        <v>6016.6803008839024</v>
      </c>
      <c r="N20" s="23">
        <v>5819.0273926808677</v>
      </c>
      <c r="O20" s="23">
        <v>6082.9615623245754</v>
      </c>
      <c r="P20" s="23">
        <v>5935.4476619962361</v>
      </c>
      <c r="Q20" s="23">
        <v>5553.5179714914429</v>
      </c>
      <c r="R20" s="23">
        <v>5593.4082397003722</v>
      </c>
      <c r="S20" s="23">
        <v>5772.2999999999938</v>
      </c>
      <c r="T20" s="23">
        <v>6036.1993639849097</v>
      </c>
      <c r="U20" s="23">
        <v>6163.9141125675233</v>
      </c>
      <c r="V20" s="23">
        <v>6136.6366792481413</v>
      </c>
      <c r="W20" s="23">
        <v>6159.7856624555779</v>
      </c>
      <c r="X20" s="23">
        <v>5687.1342295682698</v>
      </c>
      <c r="Y20" s="23">
        <v>6232.3231398680191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553.88184255716567</v>
      </c>
      <c r="E21" s="23">
        <v>539.56834532374103</v>
      </c>
      <c r="F21" s="23">
        <v>640.03233847604929</v>
      </c>
      <c r="G21" s="23">
        <v>655.41915578021394</v>
      </c>
      <c r="H21" s="23">
        <v>765.32964499769491</v>
      </c>
      <c r="I21" s="23">
        <v>741.42426804148272</v>
      </c>
      <c r="J21" s="23">
        <v>692.22830832737952</v>
      </c>
      <c r="K21" s="23">
        <v>546.35456721655964</v>
      </c>
      <c r="L21" s="23">
        <v>560.04688952665833</v>
      </c>
      <c r="M21" s="23">
        <v>708.01492447973817</v>
      </c>
      <c r="N21" s="23">
        <v>846.16443474327957</v>
      </c>
      <c r="O21" s="23">
        <v>813.46451187205173</v>
      </c>
      <c r="P21" s="23">
        <v>871.59441124053524</v>
      </c>
      <c r="Q21" s="23">
        <v>1019.5079399694692</v>
      </c>
      <c r="R21" s="23">
        <v>1107.0162297128591</v>
      </c>
      <c r="S21" s="23">
        <v>1122.5999999999999</v>
      </c>
      <c r="T21" s="23">
        <v>1175.1419145837667</v>
      </c>
      <c r="U21" s="23">
        <v>1106.9914228736277</v>
      </c>
      <c r="V21" s="23">
        <v>1067.5331800853271</v>
      </c>
      <c r="W21" s="23">
        <v>1194.7643589409643</v>
      </c>
      <c r="X21" s="23">
        <v>978.16128489426558</v>
      </c>
      <c r="Y21" s="23">
        <v>1122.4405737142229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496.94212635194168</v>
      </c>
      <c r="E22" s="23">
        <v>387.04469495269927</v>
      </c>
      <c r="F22" s="23">
        <v>374.18311662062922</v>
      </c>
      <c r="G22" s="23">
        <v>413.18190770038728</v>
      </c>
      <c r="H22" s="23">
        <v>441.9772469565001</v>
      </c>
      <c r="I22" s="23">
        <v>456.85641825520617</v>
      </c>
      <c r="J22" s="23">
        <v>412.56988625409679</v>
      </c>
      <c r="K22" s="23">
        <v>442.0446052360785</v>
      </c>
      <c r="L22" s="23">
        <v>439.38720239298272</v>
      </c>
      <c r="M22" s="23">
        <v>413.41606975398554</v>
      </c>
      <c r="N22" s="23">
        <v>483.25565846656048</v>
      </c>
      <c r="O22" s="23">
        <v>490.44228439743551</v>
      </c>
      <c r="P22" s="23">
        <v>521.65693524088965</v>
      </c>
      <c r="Q22" s="23">
        <v>516.94058404869054</v>
      </c>
      <c r="R22" s="23">
        <v>556.20474406991264</v>
      </c>
      <c r="S22" s="23">
        <v>561.1</v>
      </c>
      <c r="T22" s="23">
        <v>531.79580150781146</v>
      </c>
      <c r="U22" s="23">
        <v>526.24445778233849</v>
      </c>
      <c r="V22" s="23">
        <v>525.39470821390398</v>
      </c>
      <c r="W22" s="23">
        <v>512.02857833925611</v>
      </c>
      <c r="X22" s="23">
        <v>638.61413907222857</v>
      </c>
      <c r="Y22" s="23">
        <v>715.86134934509812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1430.7233452836442</v>
      </c>
      <c r="E23" s="23">
        <v>1653.4016880983404</v>
      </c>
      <c r="F23" s="23">
        <v>1743.5828336589636</v>
      </c>
      <c r="G23" s="23">
        <v>2205.0810739841131</v>
      </c>
      <c r="H23" s="23">
        <v>2360.0363849326504</v>
      </c>
      <c r="I23" s="23">
        <v>2643.7424839558503</v>
      </c>
      <c r="J23" s="23">
        <v>2871.7721906576398</v>
      </c>
      <c r="K23" s="23">
        <v>3036.2539400569754</v>
      </c>
      <c r="L23" s="23">
        <v>3211.0230809652776</v>
      </c>
      <c r="M23" s="23">
        <v>2773.8981224685249</v>
      </c>
      <c r="N23" s="23">
        <v>2065.9548109256089</v>
      </c>
      <c r="O23" s="23">
        <v>1897.0662097083937</v>
      </c>
      <c r="P23" s="23">
        <v>1586.9280530912456</v>
      </c>
      <c r="Q23" s="23">
        <v>1591.7606708828134</v>
      </c>
      <c r="R23" s="23">
        <v>1573.1335830212236</v>
      </c>
      <c r="S23" s="23">
        <v>1647.1</v>
      </c>
      <c r="T23" s="23">
        <v>1751.4191458376674</v>
      </c>
      <c r="U23" s="23">
        <v>1813.8782938682259</v>
      </c>
      <c r="V23" s="23">
        <v>2020.2249529377266</v>
      </c>
      <c r="W23" s="23">
        <v>2293.4303309952188</v>
      </c>
      <c r="X23" s="23">
        <v>2374.2123665463791</v>
      </c>
      <c r="Y23" s="23">
        <v>2631.8728089846504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3258.9702648148705</v>
      </c>
      <c r="E24" s="23">
        <v>3751.3453803886027</v>
      </c>
      <c r="F24" s="23">
        <v>4178.6700801724719</v>
      </c>
      <c r="G24" s="23">
        <v>4680.8901726514805</v>
      </c>
      <c r="H24" s="23">
        <v>4418.9002280288587</v>
      </c>
      <c r="I24" s="23">
        <v>4721.6831176253463</v>
      </c>
      <c r="J24" s="23">
        <v>5067.3062747366148</v>
      </c>
      <c r="K24" s="23">
        <v>5163.9388654802269</v>
      </c>
      <c r="L24" s="23">
        <v>5295.181696915799</v>
      </c>
      <c r="M24" s="23">
        <v>4389.5528641832443</v>
      </c>
      <c r="N24" s="23">
        <v>4503.6674335830721</v>
      </c>
      <c r="O24" s="23">
        <v>4522.2127022582017</v>
      </c>
      <c r="P24" s="23">
        <v>4389.3817508689363</v>
      </c>
      <c r="Q24" s="23">
        <v>4300.6681072936699</v>
      </c>
      <c r="R24" s="23">
        <v>4302.2222222222226</v>
      </c>
      <c r="S24" s="23">
        <v>4563.0999999999995</v>
      </c>
      <c r="T24" s="23">
        <v>4520.6605839054482</v>
      </c>
      <c r="U24" s="23">
        <v>4708.4164262618824</v>
      </c>
      <c r="V24" s="23">
        <v>4974.9789520485083</v>
      </c>
      <c r="W24" s="23">
        <v>5235.6410590358528</v>
      </c>
      <c r="X24" s="23">
        <v>4746.4614924368489</v>
      </c>
      <c r="Y24" s="23">
        <v>5233.2659057417186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1532.1001415961198</v>
      </c>
      <c r="E25" s="23">
        <v>1562.62391661474</v>
      </c>
      <c r="F25" s="23">
        <v>1636.7311190460148</v>
      </c>
      <c r="G25" s="23">
        <v>1829.9743976892271</v>
      </c>
      <c r="H25" s="23">
        <v>1988.9599142711177</v>
      </c>
      <c r="I25" s="23">
        <v>1968.6380035005418</v>
      </c>
      <c r="J25" s="23">
        <v>1946.2683858968687</v>
      </c>
      <c r="K25" s="23">
        <v>1930.3300440853111</v>
      </c>
      <c r="L25" s="23">
        <v>2141.9620841586161</v>
      </c>
      <c r="M25" s="23">
        <v>1843.6122029569624</v>
      </c>
      <c r="N25" s="23">
        <v>1796.6491652409886</v>
      </c>
      <c r="O25" s="23">
        <v>1757.8121153031782</v>
      </c>
      <c r="P25" s="23">
        <v>1693.4650111755495</v>
      </c>
      <c r="Q25" s="23">
        <v>1652.524731864951</v>
      </c>
      <c r="R25" s="23">
        <v>1550.5617977528091</v>
      </c>
      <c r="S25" s="23">
        <v>1668.1</v>
      </c>
      <c r="T25" s="23">
        <v>1783.2199007340921</v>
      </c>
      <c r="U25" s="23">
        <v>1944.5681426552305</v>
      </c>
      <c r="V25" s="23">
        <v>2029.6847064165509</v>
      </c>
      <c r="W25" s="23">
        <v>2017.0428116918151</v>
      </c>
      <c r="X25" s="23">
        <v>1922.7605033375089</v>
      </c>
      <c r="Y25" s="23">
        <v>2118.2942344832641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1033.350405205917</v>
      </c>
      <c r="E26" s="23">
        <v>1152.3537075851132</v>
      </c>
      <c r="F26" s="23">
        <v>1285.3196793101124</v>
      </c>
      <c r="G26" s="23">
        <v>1410.6216766231209</v>
      </c>
      <c r="H26" s="23">
        <v>1430.3515133390654</v>
      </c>
      <c r="I26" s="23">
        <v>1532.7372093300155</v>
      </c>
      <c r="J26" s="23">
        <v>1575.3183864638972</v>
      </c>
      <c r="K26" s="23">
        <v>1681.849200073656</v>
      </c>
      <c r="L26" s="23">
        <v>1644.9735235862404</v>
      </c>
      <c r="M26" s="23">
        <v>1608.4718370278736</v>
      </c>
      <c r="N26" s="23">
        <v>1656.539437201345</v>
      </c>
      <c r="O26" s="23">
        <v>1729.0552584670231</v>
      </c>
      <c r="P26" s="23">
        <v>1756.382863500753</v>
      </c>
      <c r="Q26" s="23">
        <v>2036.1412343133561</v>
      </c>
      <c r="R26" s="23">
        <v>2063.3208489388267</v>
      </c>
      <c r="S26" s="23">
        <v>2198.3000000000002</v>
      </c>
      <c r="T26" s="23">
        <v>2384.1650072814814</v>
      </c>
      <c r="U26" s="23">
        <v>2552.0339212763074</v>
      </c>
      <c r="V26" s="23">
        <v>2634.1629537134263</v>
      </c>
      <c r="W26" s="23">
        <v>2699.5925353973244</v>
      </c>
      <c r="X26" s="23">
        <v>1171.6807209767589</v>
      </c>
      <c r="Y26" s="23">
        <v>2202.1363257759513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1401.1990479920466</v>
      </c>
      <c r="E27" s="23">
        <v>1577.777148360052</v>
      </c>
      <c r="F27" s="23">
        <v>1697.3657616384828</v>
      </c>
      <c r="G27" s="23">
        <v>1694.8729731503972</v>
      </c>
      <c r="H27" s="23">
        <v>1744.6076782176367</v>
      </c>
      <c r="I27" s="23">
        <v>1813.7330777382215</v>
      </c>
      <c r="J27" s="23">
        <v>1867.3380283287404</v>
      </c>
      <c r="K27" s="23">
        <v>1907.9082765567964</v>
      </c>
      <c r="L27" s="23">
        <v>2017.6644165083471</v>
      </c>
      <c r="M27" s="23">
        <v>1910.4531215706618</v>
      </c>
      <c r="N27" s="23">
        <v>1927.6148899769923</v>
      </c>
      <c r="O27" s="23">
        <v>1836.3025772840529</v>
      </c>
      <c r="P27" s="23">
        <v>1771.9400163448568</v>
      </c>
      <c r="Q27" s="23">
        <v>1720.624095477885</v>
      </c>
      <c r="R27" s="23">
        <v>1647.2409488139824</v>
      </c>
      <c r="S27" s="23">
        <v>1703.2</v>
      </c>
      <c r="T27" s="23">
        <v>1763.2082107369652</v>
      </c>
      <c r="U27" s="23">
        <v>1865.3797750198455</v>
      </c>
      <c r="V27" s="23">
        <v>1970.2774545695343</v>
      </c>
      <c r="W27" s="23">
        <v>2075.5577055463559</v>
      </c>
      <c r="X27" s="23">
        <v>2366.5463792233049</v>
      </c>
      <c r="Y27" s="23">
        <v>2684.0452893742049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1291.386738167686</v>
      </c>
      <c r="E28" s="23">
        <v>1452.0194867727866</v>
      </c>
      <c r="F28" s="23">
        <v>1586.7412248197802</v>
      </c>
      <c r="G28" s="23">
        <v>1842.8412000262585</v>
      </c>
      <c r="H28" s="23">
        <v>1847.0337557474486</v>
      </c>
      <c r="I28" s="23">
        <v>2189.9817828949722</v>
      </c>
      <c r="J28" s="23">
        <v>2234.3188287460735</v>
      </c>
      <c r="K28" s="23">
        <v>2465.2029332437905</v>
      </c>
      <c r="L28" s="23">
        <v>2554.6707627632481</v>
      </c>
      <c r="M28" s="23">
        <v>2500.0498812825476</v>
      </c>
      <c r="N28" s="23">
        <v>2591.1942264959785</v>
      </c>
      <c r="O28" s="23">
        <v>2720.0835130636888</v>
      </c>
      <c r="P28" s="23">
        <v>2458.7193903171492</v>
      </c>
      <c r="Q28" s="23">
        <v>2304.2762831823316</v>
      </c>
      <c r="R28" s="23">
        <v>2376.2297128589262</v>
      </c>
      <c r="S28" s="23">
        <v>2360.6</v>
      </c>
      <c r="T28" s="23">
        <v>2425.4762683151548</v>
      </c>
      <c r="U28" s="23">
        <v>2485.6241166334294</v>
      </c>
      <c r="V28" s="23">
        <v>2414.4128804003371</v>
      </c>
      <c r="W28" s="23">
        <v>2325.6181740376205</v>
      </c>
      <c r="X28" s="23">
        <v>2033.6368565712473</v>
      </c>
      <c r="Y28" s="23">
        <v>2350.965190887207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2744.2533064200284</v>
      </c>
      <c r="E29" s="23">
        <v>2770.3506486149663</v>
      </c>
      <c r="F29" s="23">
        <v>2852.388331199892</v>
      </c>
      <c r="G29" s="23">
        <v>2942.6902120396508</v>
      </c>
      <c r="H29" s="23">
        <v>3033.6560627017057</v>
      </c>
      <c r="I29" s="23">
        <v>3169.5381428078158</v>
      </c>
      <c r="J29" s="23">
        <v>3331.0652196101114</v>
      </c>
      <c r="K29" s="23">
        <v>3779.0968468712426</v>
      </c>
      <c r="L29" s="23">
        <v>3679.1099074336066</v>
      </c>
      <c r="M29" s="23">
        <v>3590.4547177717031</v>
      </c>
      <c r="N29" s="23">
        <v>3521.3261754468763</v>
      </c>
      <c r="O29" s="23">
        <v>3615.6823352143469</v>
      </c>
      <c r="P29" s="23">
        <v>3591.4376581561819</v>
      </c>
      <c r="Q29" s="23">
        <v>3574.0766439999206</v>
      </c>
      <c r="R29" s="23">
        <v>3613.1835205992511</v>
      </c>
      <c r="S29" s="23">
        <v>3675.8</v>
      </c>
      <c r="T29" s="23">
        <v>3720.6883228816832</v>
      </c>
      <c r="U29" s="23">
        <v>3730.4691281534974</v>
      </c>
      <c r="V29" s="23">
        <v>3703.0204992857884</v>
      </c>
      <c r="W29" s="23">
        <v>3882.8213667739597</v>
      </c>
      <c r="X29" s="23">
        <v>3884.0379185909551</v>
      </c>
      <c r="Y29" s="23">
        <v>4118.3308467502029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1052.9328472870786</v>
      </c>
      <c r="E30" s="23">
        <v>1161.9837987877415</v>
      </c>
      <c r="F30" s="23">
        <v>1336.2527790877853</v>
      </c>
      <c r="G30" s="23">
        <v>1536.4012341626731</v>
      </c>
      <c r="H30" s="23">
        <v>1626.7304649047387</v>
      </c>
      <c r="I30" s="23">
        <v>1885.1727052996296</v>
      </c>
      <c r="J30" s="23">
        <v>2187.4822803615371</v>
      </c>
      <c r="K30" s="23">
        <v>2584.3524225257524</v>
      </c>
      <c r="L30" s="23">
        <v>2713.6303003355024</v>
      </c>
      <c r="M30" s="23">
        <v>2427.2232087631437</v>
      </c>
      <c r="N30" s="23">
        <v>2350.5987847324641</v>
      </c>
      <c r="O30" s="23">
        <v>2316.5026934932689</v>
      </c>
      <c r="P30" s="23">
        <v>2238.1622867045421</v>
      </c>
      <c r="Q30" s="23">
        <v>2239.4480680398883</v>
      </c>
      <c r="R30" s="23">
        <v>2286.7415730337079</v>
      </c>
      <c r="S30" s="23">
        <v>2251.6999999999998</v>
      </c>
      <c r="T30" s="23">
        <v>2291.0413013542566</v>
      </c>
      <c r="U30" s="23">
        <v>2332.7653972003332</v>
      </c>
      <c r="V30" s="23">
        <v>2301.5580213979629</v>
      </c>
      <c r="W30" s="23">
        <v>2446.927270359276</v>
      </c>
      <c r="X30" s="23">
        <v>2198.7360469681958</v>
      </c>
      <c r="Y30" s="23">
        <v>2360.3013189569165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319.64570843250084</v>
      </c>
      <c r="E31" s="23">
        <v>341.01852376366628</v>
      </c>
      <c r="F31" s="23">
        <v>406.25210536953443</v>
      </c>
      <c r="G31" s="23">
        <v>440.22845138843297</v>
      </c>
      <c r="H31" s="23">
        <v>489.20289584189999</v>
      </c>
      <c r="I31" s="23">
        <v>547.82287735006616</v>
      </c>
      <c r="J31" s="23">
        <v>626.11279329545584</v>
      </c>
      <c r="K31" s="23">
        <v>707.74796633485346</v>
      </c>
      <c r="L31" s="23">
        <v>702.53445975989325</v>
      </c>
      <c r="M31" s="23">
        <v>675.19304056345902</v>
      </c>
      <c r="N31" s="23">
        <v>694.94425107663267</v>
      </c>
      <c r="O31" s="23">
        <v>666.3318265528211</v>
      </c>
      <c r="P31" s="23">
        <v>679.39464952097751</v>
      </c>
      <c r="Q31" s="23">
        <v>699.92664697369196</v>
      </c>
      <c r="R31" s="23">
        <v>714.20724094881393</v>
      </c>
      <c r="S31" s="23">
        <v>752.7</v>
      </c>
      <c r="T31" s="23">
        <v>839.79750547349443</v>
      </c>
      <c r="U31" s="23">
        <v>924.60647834420797</v>
      </c>
      <c r="V31" s="23">
        <v>1017.0180965084048</v>
      </c>
      <c r="W31" s="23">
        <v>1032.894859247958</v>
      </c>
      <c r="X31" s="23">
        <v>777.25632443954157</v>
      </c>
      <c r="Y31" s="23">
        <v>963.08568185770639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2852.107372036272</v>
      </c>
      <c r="E32" s="23">
        <v>2587.2372967767515</v>
      </c>
      <c r="F32" s="23">
        <v>2619.0123290439933</v>
      </c>
      <c r="G32" s="23">
        <v>2640.9768266264027</v>
      </c>
      <c r="H32" s="23">
        <v>2833.4143271902612</v>
      </c>
      <c r="I32" s="23">
        <v>2738.9953207043955</v>
      </c>
      <c r="J32" s="23">
        <v>2880.8446455505282</v>
      </c>
      <c r="K32" s="23">
        <v>3037.4454349497955</v>
      </c>
      <c r="L32" s="23">
        <v>2951.2106390719109</v>
      </c>
      <c r="M32" s="23">
        <v>3120.9720864342858</v>
      </c>
      <c r="N32" s="23">
        <v>3077.9894991445926</v>
      </c>
      <c r="O32" s="23">
        <v>2986.2814035709716</v>
      </c>
      <c r="P32" s="23">
        <v>2876.3009422908394</v>
      </c>
      <c r="Q32" s="23">
        <v>2780.3770742055071</v>
      </c>
      <c r="R32" s="23">
        <v>2775.2309612983772</v>
      </c>
      <c r="S32" s="23">
        <v>2870</v>
      </c>
      <c r="T32" s="23">
        <v>2891.0947979512785</v>
      </c>
      <c r="U32" s="23">
        <v>2952.4288950415303</v>
      </c>
      <c r="V32" s="23">
        <v>3071.1089669003227</v>
      </c>
      <c r="W32" s="23">
        <v>3176.5493888030951</v>
      </c>
      <c r="X32" s="23">
        <v>3287.8671727464807</v>
      </c>
      <c r="Y32" s="23">
        <v>3343.9814009683951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1349.983430241316</v>
      </c>
      <c r="E33" s="23">
        <v>1331.2184897751092</v>
      </c>
      <c r="F33" s="23">
        <v>1394.3272923263492</v>
      </c>
      <c r="G33" s="23">
        <v>1498.4572966585702</v>
      </c>
      <c r="H33" s="23">
        <v>1555.8296886097714</v>
      </c>
      <c r="I33" s="23">
        <v>1666.5674449617204</v>
      </c>
      <c r="J33" s="23">
        <v>1663.4346046110752</v>
      </c>
      <c r="K33" s="23">
        <v>1762.437581915274</v>
      </c>
      <c r="L33" s="23">
        <v>1826.8725494159019</v>
      </c>
      <c r="M33" s="23">
        <v>1849.697719427762</v>
      </c>
      <c r="N33" s="23">
        <v>1932.7276660177374</v>
      </c>
      <c r="O33" s="23">
        <v>1934.5879989363902</v>
      </c>
      <c r="P33" s="23">
        <v>1901.7142407026317</v>
      </c>
      <c r="Q33" s="23">
        <v>1882.4963819115401</v>
      </c>
      <c r="R33" s="23">
        <v>1856.5792759051185</v>
      </c>
      <c r="S33" s="23">
        <v>1818.9</v>
      </c>
      <c r="T33" s="23">
        <v>1950.0500292249928</v>
      </c>
      <c r="U33" s="23">
        <v>1992.2941392863365</v>
      </c>
      <c r="V33" s="23">
        <v>2056.1720161572589</v>
      </c>
      <c r="W33" s="23">
        <v>2075.1855917539583</v>
      </c>
      <c r="X33" s="23">
        <v>2135.9123459790958</v>
      </c>
      <c r="Y33" s="23">
        <v>2323.1398680127777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1481.4870605248095</v>
      </c>
      <c r="E34" s="23">
        <v>1436.0165410978304</v>
      </c>
      <c r="F34" s="23">
        <v>1458.8695007747758</v>
      </c>
      <c r="G34" s="23">
        <v>1485.0653187159453</v>
      </c>
      <c r="H34" s="23">
        <v>1545.2381842423335</v>
      </c>
      <c r="I34" s="23">
        <v>1584.0546751282939</v>
      </c>
      <c r="J34" s="23">
        <v>1599.1335805577291</v>
      </c>
      <c r="K34" s="23">
        <v>1673.2921003888607</v>
      </c>
      <c r="L34" s="23">
        <v>1702.9791018230324</v>
      </c>
      <c r="M34" s="23">
        <v>1736.068157784473</v>
      </c>
      <c r="N34" s="23">
        <v>1749.1593416317621</v>
      </c>
      <c r="O34" s="23">
        <v>1766.7740124678701</v>
      </c>
      <c r="P34" s="23">
        <v>1757.0721044495426</v>
      </c>
      <c r="Q34" s="23">
        <v>1750.0644317122974</v>
      </c>
      <c r="R34" s="23">
        <v>1760.1997503121099</v>
      </c>
      <c r="S34" s="23">
        <v>1815.5</v>
      </c>
      <c r="T34" s="23">
        <v>1913.4940212599438</v>
      </c>
      <c r="U34" s="23">
        <v>1962.0902631222289</v>
      </c>
      <c r="V34" s="23">
        <v>2033.0902176689274</v>
      </c>
      <c r="W34" s="23">
        <v>2128.7699778592296</v>
      </c>
      <c r="X34" s="23">
        <v>2270.3475870837465</v>
      </c>
      <c r="Y34" s="23">
        <v>2460.9850530420217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288.31380110264217</v>
      </c>
      <c r="E35" s="23">
        <v>340.59366679884454</v>
      </c>
      <c r="F35" s="23">
        <v>411.50710772754832</v>
      </c>
      <c r="G35" s="23">
        <v>377.20737871725862</v>
      </c>
      <c r="H35" s="23">
        <v>374.31622493863154</v>
      </c>
      <c r="I35" s="23">
        <v>440.30623787014656</v>
      </c>
      <c r="J35" s="23">
        <v>509.19153086335751</v>
      </c>
      <c r="K35" s="23">
        <v>511.58457988973254</v>
      </c>
      <c r="L35" s="23">
        <v>548.12239783338055</v>
      </c>
      <c r="M35" s="23">
        <v>543.00764181248621</v>
      </c>
      <c r="N35" s="23">
        <v>595.8350539791162</v>
      </c>
      <c r="O35" s="23">
        <v>622.70412936646312</v>
      </c>
      <c r="P35" s="23">
        <v>612.83366646645857</v>
      </c>
      <c r="Q35" s="23">
        <v>646.49788862235073</v>
      </c>
      <c r="R35" s="23">
        <v>651.48564294631717</v>
      </c>
      <c r="S35" s="23">
        <v>628.70000000000005</v>
      </c>
      <c r="T35" s="23">
        <v>713.88236692721478</v>
      </c>
      <c r="U35" s="23">
        <v>769.61799841236041</v>
      </c>
      <c r="V35" s="23">
        <v>822.90395512292946</v>
      </c>
      <c r="W35" s="23">
        <v>892.79401641021821</v>
      </c>
      <c r="X35" s="23">
        <v>715.64796290410038</v>
      </c>
      <c r="Y35" s="23">
        <v>721.62778138815418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390.14249992468297</v>
      </c>
      <c r="E36" s="23">
        <v>405.73840140486038</v>
      </c>
      <c r="F36" s="23">
        <v>437.64737586741222</v>
      </c>
      <c r="G36" s="23">
        <v>478.30368279393417</v>
      </c>
      <c r="H36" s="23">
        <v>489.32750177563457</v>
      </c>
      <c r="I36" s="23">
        <v>517.69916772833892</v>
      </c>
      <c r="J36" s="23">
        <v>534.93462162192816</v>
      </c>
      <c r="K36" s="23">
        <v>533.68139426566006</v>
      </c>
      <c r="L36" s="23">
        <v>530.8419903795625</v>
      </c>
      <c r="M36" s="23">
        <v>533.33067299826416</v>
      </c>
      <c r="N36" s="23">
        <v>535.75993550036378</v>
      </c>
      <c r="O36" s="23">
        <v>547.66055091046962</v>
      </c>
      <c r="P36" s="23">
        <v>562.91292917556939</v>
      </c>
      <c r="Q36" s="23">
        <v>578.10114787573605</v>
      </c>
      <c r="R36" s="23">
        <v>610.23720349563041</v>
      </c>
      <c r="S36" s="23">
        <v>606.6</v>
      </c>
      <c r="T36" s="23">
        <v>665.04195520155338</v>
      </c>
      <c r="U36" s="23">
        <v>696.81891227322888</v>
      </c>
      <c r="V36" s="23">
        <v>711.56265667716696</v>
      </c>
      <c r="W36" s="23">
        <v>824.79022084953579</v>
      </c>
      <c r="X36" s="23">
        <v>681.80543350223434</v>
      </c>
      <c r="Y36" s="23">
        <v>778.19373381051321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64.170156358268315</v>
      </c>
      <c r="E37" s="23">
        <v>63.303687758454657</v>
      </c>
      <c r="F37" s="23">
        <v>67.371825102742037</v>
      </c>
      <c r="G37" s="23">
        <v>70.898706755071217</v>
      </c>
      <c r="H37" s="23">
        <v>72.146835632312815</v>
      </c>
      <c r="I37" s="23">
        <v>74.535344755736006</v>
      </c>
      <c r="J37" s="23">
        <v>77.002460903389704</v>
      </c>
      <c r="K37" s="23">
        <v>80.696699559146893</v>
      </c>
      <c r="L37" s="23">
        <v>81.450341565948492</v>
      </c>
      <c r="M37" s="23">
        <v>72.228097128833383</v>
      </c>
      <c r="N37" s="23">
        <v>66.957701610524438</v>
      </c>
      <c r="O37" s="23">
        <v>52.195664805349566</v>
      </c>
      <c r="P37" s="23">
        <v>44.997587656679237</v>
      </c>
      <c r="Q37" s="23">
        <v>40.046787335699129</v>
      </c>
      <c r="R37" s="23">
        <v>24.66916354556804</v>
      </c>
      <c r="S37" s="23">
        <v>19.899999999999999</v>
      </c>
      <c r="T37" s="23">
        <v>17.23779237376289</v>
      </c>
      <c r="U37" s="23">
        <v>18.877422602567329</v>
      </c>
      <c r="V37" s="23">
        <v>17.784336540189763</v>
      </c>
      <c r="W37" s="23">
        <v>17.303291346493761</v>
      </c>
      <c r="X37" s="23">
        <v>14.397098143335267</v>
      </c>
      <c r="Y37" s="23">
        <v>14.370314773965017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29443.557376555305</v>
      </c>
      <c r="E39" s="30">
        <f t="shared" ref="E39:S39" si="2">SUM(E18:E38)</f>
        <v>30500.056647595316</v>
      </c>
      <c r="F39" s="30">
        <f t="shared" si="2"/>
        <v>32124.503132789861</v>
      </c>
      <c r="G39" s="30">
        <f t="shared" si="2"/>
        <v>34037.287467997106</v>
      </c>
      <c r="H39" s="30">
        <f t="shared" si="2"/>
        <v>35482.038054652156</v>
      </c>
      <c r="I39" s="30">
        <f t="shared" si="2"/>
        <v>36973.817376498737</v>
      </c>
      <c r="J39" s="30">
        <f t="shared" si="2"/>
        <v>38714.546547363869</v>
      </c>
      <c r="K39" s="30">
        <f t="shared" si="2"/>
        <v>40634.200236132638</v>
      </c>
      <c r="L39" s="30">
        <f t="shared" si="2"/>
        <v>41466.207203201426</v>
      </c>
      <c r="M39" s="30">
        <f t="shared" si="2"/>
        <v>38919.671182585458</v>
      </c>
      <c r="N39" s="30">
        <f t="shared" si="2"/>
        <v>38255.756789176645</v>
      </c>
      <c r="O39" s="30">
        <f t="shared" si="2"/>
        <v>38366.965068297533</v>
      </c>
      <c r="P39" s="30">
        <f t="shared" si="2"/>
        <v>37068.264392827958</v>
      </c>
      <c r="Q39" s="30">
        <f t="shared" si="2"/>
        <v>36811.32412125056</v>
      </c>
      <c r="R39" s="30">
        <f t="shared" si="2"/>
        <v>36672.359550561792</v>
      </c>
      <c r="S39" s="30">
        <f t="shared" si="2"/>
        <v>37597.19999999999</v>
      </c>
      <c r="T39" s="30">
        <f t="shared" ref="T39:Y39" si="3">SUM(T18:T38)</f>
        <v>38971.577456137755</v>
      </c>
      <c r="U39" s="30">
        <f t="shared" si="3"/>
        <v>40109.198629208695</v>
      </c>
      <c r="V39" s="30">
        <f t="shared" si="3"/>
        <v>41138.575928711303</v>
      </c>
      <c r="W39" s="30">
        <f t="shared" si="3"/>
        <v>42631.588739836639</v>
      </c>
      <c r="X39" s="30">
        <f t="shared" si="3"/>
        <v>39427.575117326996</v>
      </c>
      <c r="Y39" s="30">
        <f t="shared" si="3"/>
        <v>44243.453269017788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1327.3883047630525</v>
      </c>
      <c r="E41" s="19">
        <v>1304.8773579561548</v>
      </c>
      <c r="F41" s="19">
        <v>1381.526645556828</v>
      </c>
      <c r="G41" s="19">
        <v>1412.9849668482898</v>
      </c>
      <c r="H41" s="19">
        <v>1507.7317981882297</v>
      </c>
      <c r="I41" s="19">
        <v>1528.2126995844596</v>
      </c>
      <c r="J41" s="19">
        <v>1583.3701901813356</v>
      </c>
      <c r="K41" s="19">
        <v>1552.8427984965501</v>
      </c>
      <c r="L41" s="19">
        <v>1580.1972593880107</v>
      </c>
      <c r="M41" s="19">
        <v>1514.2959755781242</v>
      </c>
      <c r="N41" s="19">
        <v>1504.2377047568482</v>
      </c>
      <c r="O41" s="19">
        <v>1578.475689622911</v>
      </c>
      <c r="P41" s="19">
        <v>1533.6595740490936</v>
      </c>
      <c r="Q41" s="19">
        <v>1503.4396621795761</v>
      </c>
      <c r="R41" s="19">
        <v>1458.0774032459426</v>
      </c>
      <c r="S41" s="19">
        <v>1438</v>
      </c>
      <c r="T41" s="19">
        <v>1437.5724433084672</v>
      </c>
      <c r="U41" s="19">
        <v>1437.9755658386416</v>
      </c>
      <c r="V41" s="19">
        <v>1467.1131670308671</v>
      </c>
      <c r="W41" s="19">
        <v>1488.7342549351592</v>
      </c>
      <c r="X41" s="19">
        <v>1266.8511489632219</v>
      </c>
      <c r="Y41" s="19">
        <v>1258.0890227270647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505.82954237339203</v>
      </c>
      <c r="E42" s="23">
        <v>504.44683623180202</v>
      </c>
      <c r="F42" s="23">
        <v>515.79869298659298</v>
      </c>
      <c r="G42" s="23">
        <v>491.30177903236392</v>
      </c>
      <c r="H42" s="23">
        <v>465.77698029980189</v>
      </c>
      <c r="I42" s="23">
        <v>446.49767225880197</v>
      </c>
      <c r="J42" s="23">
        <v>442.05536465598385</v>
      </c>
      <c r="K42" s="23">
        <v>432.18769294093437</v>
      </c>
      <c r="L42" s="23">
        <v>407.3527628440923</v>
      </c>
      <c r="M42" s="23">
        <v>351.76280452522997</v>
      </c>
      <c r="N42" s="23">
        <v>337.0499282244902</v>
      </c>
      <c r="O42" s="23">
        <v>346.55951783023608</v>
      </c>
      <c r="P42" s="23">
        <v>317.64161439922805</v>
      </c>
      <c r="Q42" s="23">
        <v>312.64249320988876</v>
      </c>
      <c r="R42" s="23">
        <v>325.09363295880149</v>
      </c>
      <c r="S42" s="23">
        <v>292.89999999999998</v>
      </c>
      <c r="T42" s="23">
        <v>309.28958500510197</v>
      </c>
      <c r="U42" s="23">
        <v>324.4980541733625</v>
      </c>
      <c r="V42" s="23">
        <v>327.59126297168694</v>
      </c>
      <c r="W42" s="23">
        <v>365.32271568645695</v>
      </c>
      <c r="X42" s="23">
        <v>296.16887609146835</v>
      </c>
      <c r="Y42" s="23">
        <v>310.01437031477394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476.3052450817944</v>
      </c>
      <c r="E43" s="23">
        <v>456.8628561717556</v>
      </c>
      <c r="F43" s="23">
        <v>483.46021693727681</v>
      </c>
      <c r="G43" s="23">
        <v>507.71351670714893</v>
      </c>
      <c r="H43" s="23">
        <v>491.57040858285671</v>
      </c>
      <c r="I43" s="23">
        <v>478.64550466143572</v>
      </c>
      <c r="J43" s="23">
        <v>467.34483266991003</v>
      </c>
      <c r="K43" s="23">
        <v>537.1475612265898</v>
      </c>
      <c r="L43" s="23">
        <v>545.3939124459356</v>
      </c>
      <c r="M43" s="23">
        <v>451.82465731558892</v>
      </c>
      <c r="N43" s="23">
        <v>404.00762983501465</v>
      </c>
      <c r="O43" s="23">
        <v>417.46683605637133</v>
      </c>
      <c r="P43" s="23">
        <v>395.91969358316675</v>
      </c>
      <c r="Q43" s="23">
        <v>404.6311532285244</v>
      </c>
      <c r="R43" s="23">
        <v>447.74032459425717</v>
      </c>
      <c r="S43" s="23">
        <v>505.2</v>
      </c>
      <c r="T43" s="23">
        <v>524.26665081582314</v>
      </c>
      <c r="U43" s="23">
        <v>540.95916668280108</v>
      </c>
      <c r="V43" s="23">
        <v>558.7876379941539</v>
      </c>
      <c r="W43" s="23">
        <v>631.66316259512155</v>
      </c>
      <c r="X43" s="23">
        <v>516.23880485387895</v>
      </c>
      <c r="Y43" s="23">
        <v>675.13020237430555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756.18353267255145</v>
      </c>
      <c r="E44" s="23">
        <v>671.13238543023851</v>
      </c>
      <c r="F44" s="23">
        <v>439.66853062049449</v>
      </c>
      <c r="G44" s="23">
        <v>516.24762029803708</v>
      </c>
      <c r="H44" s="23">
        <v>650.81679189562999</v>
      </c>
      <c r="I44" s="23">
        <v>631.64537368878518</v>
      </c>
      <c r="J44" s="23">
        <v>557.72916454031008</v>
      </c>
      <c r="K44" s="23">
        <v>594.55595151698969</v>
      </c>
      <c r="L44" s="23">
        <v>442.82307288087634</v>
      </c>
      <c r="M44" s="23">
        <v>534.52782377940491</v>
      </c>
      <c r="N44" s="23">
        <v>665.64411145851761</v>
      </c>
      <c r="O44" s="23">
        <v>850.78933632719793</v>
      </c>
      <c r="P44" s="23">
        <v>914.91812802158302</v>
      </c>
      <c r="Q44" s="23">
        <v>741.2620685553419</v>
      </c>
      <c r="R44" s="23">
        <v>589.56304619225955</v>
      </c>
      <c r="S44" s="23">
        <v>572</v>
      </c>
      <c r="T44" s="23">
        <v>514.85521245083771</v>
      </c>
      <c r="U44" s="23">
        <v>539.41024995643681</v>
      </c>
      <c r="V44" s="23">
        <v>503.44808014303158</v>
      </c>
      <c r="W44" s="23">
        <v>481.7013042588423</v>
      </c>
      <c r="X44" s="23">
        <v>171.64332591664643</v>
      </c>
      <c r="Y44" s="23">
        <v>347.54194392831317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320.09761094206613</v>
      </c>
      <c r="E45" s="23">
        <v>324.02424517079254</v>
      </c>
      <c r="F45" s="23">
        <v>247.11985447685777</v>
      </c>
      <c r="G45" s="23">
        <v>208.10083371627385</v>
      </c>
      <c r="H45" s="23">
        <v>209.08875680659912</v>
      </c>
      <c r="I45" s="23">
        <v>222.29630776191556</v>
      </c>
      <c r="J45" s="23">
        <v>175.89221923587249</v>
      </c>
      <c r="K45" s="23">
        <v>197.67983449052761</v>
      </c>
      <c r="L45" s="23">
        <v>207.46594446016411</v>
      </c>
      <c r="M45" s="23">
        <v>184.76027055607653</v>
      </c>
      <c r="N45" s="23">
        <v>206.87078441783177</v>
      </c>
      <c r="O45" s="23">
        <v>203.56309274086331</v>
      </c>
      <c r="P45" s="23">
        <v>203.42454288555646</v>
      </c>
      <c r="Q45" s="23">
        <v>169.8023433318134</v>
      </c>
      <c r="R45" s="23">
        <v>164.39450686641698</v>
      </c>
      <c r="S45" s="23">
        <v>179.8</v>
      </c>
      <c r="T45" s="23">
        <v>166.13665408505958</v>
      </c>
      <c r="U45" s="23">
        <v>157.21504772599664</v>
      </c>
      <c r="V45" s="23">
        <v>130.16620786862293</v>
      </c>
      <c r="W45" s="23">
        <v>200.94144789476621</v>
      </c>
      <c r="X45" s="23">
        <v>226.05313838041997</v>
      </c>
      <c r="Y45" s="23">
        <v>184.61735604514291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508.84222577049383</v>
      </c>
      <c r="E46" s="23">
        <v>519.45844898884047</v>
      </c>
      <c r="F46" s="23">
        <v>414.20198073165795</v>
      </c>
      <c r="G46" s="23">
        <v>371.82432875992907</v>
      </c>
      <c r="H46" s="23">
        <v>362.72787310131713</v>
      </c>
      <c r="I46" s="23">
        <v>327.55069236905717</v>
      </c>
      <c r="J46" s="23">
        <v>235.54361015661325</v>
      </c>
      <c r="K46" s="23">
        <v>263.97027761831004</v>
      </c>
      <c r="L46" s="23">
        <v>350.35773475079833</v>
      </c>
      <c r="M46" s="23">
        <v>279.13565713601628</v>
      </c>
      <c r="N46" s="23">
        <v>338.03315438617187</v>
      </c>
      <c r="O46" s="23">
        <v>322.52981554249021</v>
      </c>
      <c r="P46" s="23">
        <v>359.68531227538125</v>
      </c>
      <c r="Q46" s="23">
        <v>359.42982890902238</v>
      </c>
      <c r="R46" s="23">
        <v>385.81772784019972</v>
      </c>
      <c r="S46" s="23">
        <v>375.4</v>
      </c>
      <c r="T46" s="23">
        <v>373.08923034247726</v>
      </c>
      <c r="U46" s="23">
        <v>352.18494065712792</v>
      </c>
      <c r="V46" s="23">
        <v>354.17317024718335</v>
      </c>
      <c r="W46" s="23">
        <v>288.9463597968259</v>
      </c>
      <c r="X46" s="23">
        <v>353.5702933642466</v>
      </c>
      <c r="Y46" s="23">
        <v>343.97224790165944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513.36125086614652</v>
      </c>
      <c r="E47" s="23">
        <v>547.92386563190394</v>
      </c>
      <c r="F47" s="23">
        <v>579.80192683419796</v>
      </c>
      <c r="G47" s="23">
        <v>623.77732554322847</v>
      </c>
      <c r="H47" s="23">
        <v>630.87984249809972</v>
      </c>
      <c r="I47" s="23">
        <v>626.16833557574387</v>
      </c>
      <c r="J47" s="23">
        <v>675.33086108937505</v>
      </c>
      <c r="K47" s="23">
        <v>725.8370251622058</v>
      </c>
      <c r="L47" s="23">
        <v>711.93257609442583</v>
      </c>
      <c r="M47" s="23">
        <v>611.24523633751676</v>
      </c>
      <c r="N47" s="23">
        <v>446.97461310050534</v>
      </c>
      <c r="O47" s="23">
        <v>475.86689120650772</v>
      </c>
      <c r="P47" s="23">
        <v>472.42543889878988</v>
      </c>
      <c r="Q47" s="23">
        <v>469.75674550464896</v>
      </c>
      <c r="R47" s="23">
        <v>504.46941323345817</v>
      </c>
      <c r="S47" s="23">
        <v>547.4</v>
      </c>
      <c r="T47" s="23">
        <v>582.81570422325899</v>
      </c>
      <c r="U47" s="23">
        <v>591.00853840345405</v>
      </c>
      <c r="V47" s="23">
        <v>596.34285930508656</v>
      </c>
      <c r="W47" s="23">
        <v>564.49662306733387</v>
      </c>
      <c r="X47" s="23">
        <v>670.11947721705963</v>
      </c>
      <c r="Y47" s="23">
        <v>714.30532800014646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420.72123640526621</v>
      </c>
      <c r="E48" s="23">
        <v>454.17209539455052</v>
      </c>
      <c r="F48" s="23">
        <v>552.5837094926901</v>
      </c>
      <c r="G48" s="23">
        <v>578.3496356594236</v>
      </c>
      <c r="H48" s="23">
        <v>568.32766376334837</v>
      </c>
      <c r="I48" s="23">
        <v>589.49599342755425</v>
      </c>
      <c r="J48" s="23">
        <v>684.74353304074657</v>
      </c>
      <c r="K48" s="23">
        <v>728.32833266537409</v>
      </c>
      <c r="L48" s="23">
        <v>715.16633655361977</v>
      </c>
      <c r="M48" s="23">
        <v>626.70843392725317</v>
      </c>
      <c r="N48" s="23">
        <v>552.37645763278465</v>
      </c>
      <c r="O48" s="23">
        <v>583.60662195566329</v>
      </c>
      <c r="P48" s="23">
        <v>563.70063311704291</v>
      </c>
      <c r="Q48" s="23">
        <v>582.26442774726911</v>
      </c>
      <c r="R48" s="23">
        <v>601.8476903870162</v>
      </c>
      <c r="S48" s="23">
        <v>648.70000000000005</v>
      </c>
      <c r="T48" s="23">
        <v>775.00718241348909</v>
      </c>
      <c r="U48" s="23">
        <v>809.11537493465505</v>
      </c>
      <c r="V48" s="23">
        <v>788.09206232085592</v>
      </c>
      <c r="W48" s="23">
        <v>752.87923046867729</v>
      </c>
      <c r="X48" s="23">
        <v>766.41175700689939</v>
      </c>
      <c r="Y48" s="23">
        <v>857.367761068346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217.0638387611846</v>
      </c>
      <c r="E49" s="23">
        <v>223.75800147283749</v>
      </c>
      <c r="F49" s="23">
        <v>224.34817759213095</v>
      </c>
      <c r="G49" s="23">
        <v>254.18499310707014</v>
      </c>
      <c r="H49" s="23">
        <v>270.39487620400485</v>
      </c>
      <c r="I49" s="23">
        <v>276.9476228463929</v>
      </c>
      <c r="J49" s="23">
        <v>294.06094421574295</v>
      </c>
      <c r="K49" s="23">
        <v>321.81193877882612</v>
      </c>
      <c r="L49" s="23">
        <v>319.03068030235659</v>
      </c>
      <c r="M49" s="23">
        <v>290.60835212194974</v>
      </c>
      <c r="N49" s="23">
        <v>271.07545277564742</v>
      </c>
      <c r="O49" s="23">
        <v>244.53176549374146</v>
      </c>
      <c r="P49" s="23">
        <v>214.94471302960781</v>
      </c>
      <c r="Q49" s="23">
        <v>172.67698895739576</v>
      </c>
      <c r="R49" s="23">
        <v>185.06866416978775</v>
      </c>
      <c r="S49" s="23">
        <v>204</v>
      </c>
      <c r="T49" s="23">
        <v>241.13095768815447</v>
      </c>
      <c r="U49" s="23">
        <v>230.11094116052584</v>
      </c>
      <c r="V49" s="23">
        <v>243.39945701015031</v>
      </c>
      <c r="W49" s="23">
        <v>191.63860308482333</v>
      </c>
      <c r="X49" s="23">
        <v>210.44070078342651</v>
      </c>
      <c r="Y49" s="23">
        <v>134.18395833524022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212.39417949567681</v>
      </c>
      <c r="E50" s="23">
        <v>224.32447742593328</v>
      </c>
      <c r="F50" s="23">
        <v>226.90830694603517</v>
      </c>
      <c r="G50" s="23">
        <v>249.19582485393551</v>
      </c>
      <c r="H50" s="23">
        <v>276.62517289073304</v>
      </c>
      <c r="I50" s="23">
        <v>271.11338659554457</v>
      </c>
      <c r="J50" s="23">
        <v>299.39101146531488</v>
      </c>
      <c r="K50" s="23">
        <v>304.372786256648</v>
      </c>
      <c r="L50" s="23">
        <v>329.64145680908683</v>
      </c>
      <c r="M50" s="23">
        <v>301.58223428240785</v>
      </c>
      <c r="N50" s="23">
        <v>257.80189959294438</v>
      </c>
      <c r="O50" s="23">
        <v>233.20629105484485</v>
      </c>
      <c r="P50" s="23">
        <v>192.69207668297869</v>
      </c>
      <c r="Q50" s="23">
        <v>193.29513689260719</v>
      </c>
      <c r="R50" s="23">
        <v>227.81523096129837</v>
      </c>
      <c r="S50" s="23">
        <v>244.7</v>
      </c>
      <c r="T50" s="23">
        <v>278.28137228678133</v>
      </c>
      <c r="U50" s="23">
        <v>283.25814633390775</v>
      </c>
      <c r="V50" s="23">
        <v>276.31939911645907</v>
      </c>
      <c r="W50" s="23">
        <v>255.2700615848326</v>
      </c>
      <c r="X50" s="23">
        <v>275.32113007871664</v>
      </c>
      <c r="Y50" s="23">
        <v>327.40519711129213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175.03690537161449</v>
      </c>
      <c r="E51" s="23">
        <v>262.84484223644711</v>
      </c>
      <c r="F51" s="23">
        <v>272.18217341507778</v>
      </c>
      <c r="G51" s="23">
        <v>260.22451257139102</v>
      </c>
      <c r="H51" s="23">
        <v>270.39487620400485</v>
      </c>
      <c r="I51" s="23">
        <v>268.73206567683093</v>
      </c>
      <c r="J51" s="23">
        <v>283.85443246124362</v>
      </c>
      <c r="K51" s="23">
        <v>307.73063550004878</v>
      </c>
      <c r="L51" s="23">
        <v>269.00844819919962</v>
      </c>
      <c r="M51" s="23">
        <v>224.66529659410602</v>
      </c>
      <c r="N51" s="23">
        <v>209.52549505437241</v>
      </c>
      <c r="O51" s="23">
        <v>227.59279502860915</v>
      </c>
      <c r="P51" s="23">
        <v>213.566231132029</v>
      </c>
      <c r="Q51" s="23">
        <v>216.39142760849307</v>
      </c>
      <c r="R51" s="23">
        <v>234.10736579275905</v>
      </c>
      <c r="S51" s="23">
        <v>258.2</v>
      </c>
      <c r="T51" s="23">
        <v>270.45501827800399</v>
      </c>
      <c r="U51" s="23">
        <v>276.28802106526746</v>
      </c>
      <c r="V51" s="23">
        <v>272.53549772492931</v>
      </c>
      <c r="W51" s="23">
        <v>273.31758051612184</v>
      </c>
      <c r="X51" s="23">
        <v>285.88523456051456</v>
      </c>
      <c r="Y51" s="23">
        <v>345.61979991396117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249.60081944988403</v>
      </c>
      <c r="E52" s="23">
        <v>244.43437376083386</v>
      </c>
      <c r="F52" s="23">
        <v>281.88371622987268</v>
      </c>
      <c r="G52" s="23">
        <v>273.87907831681218</v>
      </c>
      <c r="H52" s="23">
        <v>305.40914358341746</v>
      </c>
      <c r="I52" s="23">
        <v>265.75541452843896</v>
      </c>
      <c r="J52" s="23">
        <v>314.13375066625838</v>
      </c>
      <c r="K52" s="23">
        <v>308.05558865263589</v>
      </c>
      <c r="L52" s="23">
        <v>304.68086826468328</v>
      </c>
      <c r="M52" s="23">
        <v>285.71998643229114</v>
      </c>
      <c r="N52" s="23">
        <v>271.86203370499283</v>
      </c>
      <c r="O52" s="23">
        <v>256.2511694783388</v>
      </c>
      <c r="P52" s="23">
        <v>225.57871623950138</v>
      </c>
      <c r="Q52" s="23">
        <v>97.044071291211509</v>
      </c>
      <c r="R52" s="23">
        <v>124.74406991260923</v>
      </c>
      <c r="S52" s="23">
        <v>122.2</v>
      </c>
      <c r="T52" s="23">
        <v>146.81843849377356</v>
      </c>
      <c r="U52" s="23">
        <v>137.56316676024704</v>
      </c>
      <c r="V52" s="23">
        <v>121.27403959852805</v>
      </c>
      <c r="W52" s="23">
        <v>221.03559268424283</v>
      </c>
      <c r="X52" s="23">
        <v>131.63061159620815</v>
      </c>
      <c r="Y52" s="23">
        <v>170.24704127117792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253.3666736962623</v>
      </c>
      <c r="E53" s="23">
        <v>269.35931569704917</v>
      </c>
      <c r="F53" s="23">
        <v>278.91935592534901</v>
      </c>
      <c r="G53" s="23">
        <v>296.33033545591479</v>
      </c>
      <c r="H53" s="23">
        <v>314.00695301110318</v>
      </c>
      <c r="I53" s="23">
        <v>332.90866443616324</v>
      </c>
      <c r="J53" s="23">
        <v>330.12395241497234</v>
      </c>
      <c r="K53" s="23">
        <v>386.36929842613972</v>
      </c>
      <c r="L53" s="23">
        <v>419.58041958042395</v>
      </c>
      <c r="M53" s="23">
        <v>359.8435722979375</v>
      </c>
      <c r="N53" s="23">
        <v>353.56812774074751</v>
      </c>
      <c r="O53" s="23">
        <v>342.52173998679973</v>
      </c>
      <c r="P53" s="23">
        <v>327.29098768227595</v>
      </c>
      <c r="Q53" s="23">
        <v>330.8816240756496</v>
      </c>
      <c r="R53" s="23">
        <v>344.66916354556633</v>
      </c>
      <c r="S53" s="23">
        <v>383.79999999999382</v>
      </c>
      <c r="T53" s="23">
        <v>416.48091459368152</v>
      </c>
      <c r="U53" s="23">
        <v>484.32689887509969</v>
      </c>
      <c r="V53" s="23">
        <v>497.39383791658565</v>
      </c>
      <c r="W53" s="23">
        <v>443.83872588237318</v>
      </c>
      <c r="X53" s="23">
        <v>516.79973075556245</v>
      </c>
      <c r="Y53" s="23">
        <v>563.82891087659482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5936.1913656493862</v>
      </c>
      <c r="E54" s="30">
        <f t="shared" ref="E54:S54" si="4">SUM(E41:E53)</f>
        <v>6007.6191015691393</v>
      </c>
      <c r="F54" s="30">
        <f t="shared" si="4"/>
        <v>5898.4032877450609</v>
      </c>
      <c r="G54" s="30">
        <f t="shared" si="4"/>
        <v>6044.1147508698177</v>
      </c>
      <c r="H54" s="30">
        <f t="shared" si="4"/>
        <v>6323.751137029144</v>
      </c>
      <c r="I54" s="30">
        <f t="shared" si="4"/>
        <v>6265.9697334111233</v>
      </c>
      <c r="J54" s="30">
        <f t="shared" si="4"/>
        <v>6343.5738667936785</v>
      </c>
      <c r="K54" s="30">
        <f t="shared" si="4"/>
        <v>6660.8897217317808</v>
      </c>
      <c r="L54" s="30">
        <f t="shared" si="4"/>
        <v>6602.6314725736738</v>
      </c>
      <c r="M54" s="30">
        <f t="shared" si="4"/>
        <v>6016.6803008839024</v>
      </c>
      <c r="N54" s="30">
        <f t="shared" si="4"/>
        <v>5819.0273926808677</v>
      </c>
      <c r="O54" s="30">
        <f t="shared" si="4"/>
        <v>6082.9615623245754</v>
      </c>
      <c r="P54" s="30">
        <f t="shared" si="4"/>
        <v>5935.4476619962361</v>
      </c>
      <c r="Q54" s="30">
        <f t="shared" si="4"/>
        <v>5553.5179714914429</v>
      </c>
      <c r="R54" s="30">
        <f t="shared" si="4"/>
        <v>5593.4082397003722</v>
      </c>
      <c r="S54" s="30">
        <f t="shared" si="4"/>
        <v>5772.2999999999938</v>
      </c>
      <c r="T54" s="30">
        <f t="shared" ref="T54:Y54" si="5">SUM(T41:T53)</f>
        <v>6036.1993639849097</v>
      </c>
      <c r="U54" s="30">
        <f t="shared" si="5"/>
        <v>6163.9141125675233</v>
      </c>
      <c r="V54" s="30">
        <f t="shared" si="5"/>
        <v>6136.6366792481413</v>
      </c>
      <c r="W54" s="30">
        <f t="shared" si="5"/>
        <v>6159.7856624555779</v>
      </c>
      <c r="X54" s="30">
        <f t="shared" si="5"/>
        <v>5687.1342295682698</v>
      </c>
      <c r="Y54" s="30">
        <f t="shared" si="5"/>
        <v>6232.3231398680191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1327.3883047630525</v>
      </c>
      <c r="E56" s="19">
        <v>1304.8773579561548</v>
      </c>
      <c r="F56" s="19">
        <v>1381.526645556828</v>
      </c>
      <c r="G56" s="19">
        <v>1412.9849668482898</v>
      </c>
      <c r="H56" s="19">
        <v>1507.7317981882297</v>
      </c>
      <c r="I56" s="19">
        <v>1528.2126995844596</v>
      </c>
      <c r="J56" s="19">
        <v>1583.3701901813356</v>
      </c>
      <c r="K56" s="19">
        <v>1552.8427984965501</v>
      </c>
      <c r="L56" s="19">
        <v>1580.1972593880107</v>
      </c>
      <c r="M56" s="19">
        <v>1514.2959755781242</v>
      </c>
      <c r="N56" s="19">
        <v>1504.2377047568482</v>
      </c>
      <c r="O56" s="19">
        <v>1578.475689622911</v>
      </c>
      <c r="P56" s="19">
        <v>1533.6595740490936</v>
      </c>
      <c r="Q56" s="19">
        <v>1503.4396621795761</v>
      </c>
      <c r="R56" s="19">
        <v>1458.0774032459426</v>
      </c>
      <c r="S56" s="19">
        <v>1438</v>
      </c>
      <c r="T56" s="19">
        <v>1437.5724433084672</v>
      </c>
      <c r="U56" s="19">
        <v>1437.9755658386416</v>
      </c>
      <c r="V56" s="19">
        <v>1467.1131670308671</v>
      </c>
      <c r="W56" s="19">
        <v>1488.7342549351592</v>
      </c>
      <c r="X56" s="19">
        <v>1266.8511489632219</v>
      </c>
      <c r="Y56" s="19">
        <v>1258.0890227270647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505.82954237339203</v>
      </c>
      <c r="E57" s="23">
        <v>504.44683623180202</v>
      </c>
      <c r="F57" s="23">
        <v>515.79869298659298</v>
      </c>
      <c r="G57" s="23">
        <v>491.30177903236392</v>
      </c>
      <c r="H57" s="23">
        <v>465.77698029980189</v>
      </c>
      <c r="I57" s="23">
        <v>446.49767225880197</v>
      </c>
      <c r="J57" s="23">
        <v>442.05536465598385</v>
      </c>
      <c r="K57" s="23">
        <v>432.18769294093437</v>
      </c>
      <c r="L57" s="23">
        <v>407.3527628440923</v>
      </c>
      <c r="M57" s="23">
        <v>351.76280452522997</v>
      </c>
      <c r="N57" s="23">
        <v>337.0499282244902</v>
      </c>
      <c r="O57" s="23">
        <v>346.55951783023608</v>
      </c>
      <c r="P57" s="23">
        <v>317.64161439922805</v>
      </c>
      <c r="Q57" s="23">
        <v>312.64249320988876</v>
      </c>
      <c r="R57" s="23">
        <v>325.09363295880149</v>
      </c>
      <c r="S57" s="23">
        <v>292.89999999999998</v>
      </c>
      <c r="T57" s="23">
        <v>309.28958500510197</v>
      </c>
      <c r="U57" s="23">
        <v>324.4980541733625</v>
      </c>
      <c r="V57" s="23">
        <v>327.59126297168694</v>
      </c>
      <c r="W57" s="23">
        <v>365.32271568645695</v>
      </c>
      <c r="X57" s="23">
        <v>296.16887609146835</v>
      </c>
      <c r="Y57" s="23">
        <v>310.01437031477394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191.30539571596421</v>
      </c>
      <c r="E58" s="23">
        <v>167.25202515153234</v>
      </c>
      <c r="F58" s="23">
        <v>190.52752139055445</v>
      </c>
      <c r="G58" s="23">
        <v>203.37425326593578</v>
      </c>
      <c r="H58" s="23">
        <v>200.74015924638331</v>
      </c>
      <c r="I58" s="23">
        <v>199.67375903413625</v>
      </c>
      <c r="J58" s="23">
        <v>198.80016784041553</v>
      </c>
      <c r="K58" s="23">
        <v>235.59103562569729</v>
      </c>
      <c r="L58" s="23">
        <v>224.74635191398195</v>
      </c>
      <c r="M58" s="23">
        <v>187.65338494383369</v>
      </c>
      <c r="N58" s="23">
        <v>152.59670029300136</v>
      </c>
      <c r="O58" s="23">
        <v>158.95057169025321</v>
      </c>
      <c r="P58" s="23">
        <v>154.58689851419342</v>
      </c>
      <c r="Q58" s="23">
        <v>165.34168632659939</v>
      </c>
      <c r="R58" s="23">
        <v>190.56179775280899</v>
      </c>
      <c r="S58" s="23">
        <v>224.2</v>
      </c>
      <c r="T58" s="23">
        <v>246.67875293488274</v>
      </c>
      <c r="U58" s="23">
        <v>263.219036186567</v>
      </c>
      <c r="V58" s="23">
        <v>266.10286535932875</v>
      </c>
      <c r="W58" s="23">
        <v>294.0629244422945</v>
      </c>
      <c r="X58" s="23">
        <v>168.8386964082045</v>
      </c>
      <c r="Y58" s="23">
        <v>238.71198044904946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141.44548549392945</v>
      </c>
      <c r="E59" s="23">
        <v>145.58431994561832</v>
      </c>
      <c r="F59" s="23">
        <v>143.09775651822406</v>
      </c>
      <c r="G59" s="23">
        <v>131.03131359548348</v>
      </c>
      <c r="H59" s="23">
        <v>130.33780668635441</v>
      </c>
      <c r="I59" s="23">
        <v>128.4722635645993</v>
      </c>
      <c r="J59" s="23">
        <v>115.5603941981651</v>
      </c>
      <c r="K59" s="23">
        <v>129.54799016475124</v>
      </c>
      <c r="L59" s="23">
        <v>133.4936739561017</v>
      </c>
      <c r="M59" s="23">
        <v>98.266126618647618</v>
      </c>
      <c r="N59" s="23">
        <v>90.850097339390004</v>
      </c>
      <c r="O59" s="23">
        <v>90.406830738322455</v>
      </c>
      <c r="P59" s="23">
        <v>87.43513750356928</v>
      </c>
      <c r="Q59" s="23">
        <v>85.248111655201129</v>
      </c>
      <c r="R59" s="23">
        <v>92.784019975031214</v>
      </c>
      <c r="S59" s="23">
        <v>100.1</v>
      </c>
      <c r="T59" s="23">
        <v>105.80438077688947</v>
      </c>
      <c r="U59" s="23">
        <v>94.774342194427774</v>
      </c>
      <c r="V59" s="23">
        <v>108.97636007605642</v>
      </c>
      <c r="W59" s="23">
        <v>127.91411613671461</v>
      </c>
      <c r="X59" s="23">
        <v>147.61699979432717</v>
      </c>
      <c r="Y59" s="23">
        <v>226.72146302618691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143.55436387190073</v>
      </c>
      <c r="E60" s="23">
        <v>144.02651107460494</v>
      </c>
      <c r="F60" s="23">
        <v>149.8349390284983</v>
      </c>
      <c r="G60" s="23">
        <v>173.30794984572964</v>
      </c>
      <c r="H60" s="23">
        <v>160.49244265011899</v>
      </c>
      <c r="I60" s="23">
        <v>150.49948206270017</v>
      </c>
      <c r="J60" s="23">
        <v>152.98427063132942</v>
      </c>
      <c r="K60" s="23">
        <v>172.0085354361413</v>
      </c>
      <c r="L60" s="23">
        <v>187.15388657585197</v>
      </c>
      <c r="M60" s="23">
        <v>165.9051457531076</v>
      </c>
      <c r="N60" s="23">
        <v>160.56083220262329</v>
      </c>
      <c r="O60" s="23">
        <v>168.10943362779562</v>
      </c>
      <c r="P60" s="23">
        <v>153.89765756540405</v>
      </c>
      <c r="Q60" s="23">
        <v>154.04135524672387</v>
      </c>
      <c r="R60" s="23">
        <v>164.39450686641695</v>
      </c>
      <c r="S60" s="23">
        <v>180.9</v>
      </c>
      <c r="T60" s="23">
        <v>171.78351710405096</v>
      </c>
      <c r="U60" s="23">
        <v>182.9657883018063</v>
      </c>
      <c r="V60" s="23">
        <v>183.70841255876871</v>
      </c>
      <c r="W60" s="23">
        <v>209.68612201611245</v>
      </c>
      <c r="X60" s="23">
        <v>199.78310865134728</v>
      </c>
      <c r="Y60" s="23">
        <v>209.69675889906918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756.18353267255145</v>
      </c>
      <c r="E61" s="23">
        <v>671.13238543023851</v>
      </c>
      <c r="F61" s="23">
        <v>439.66853062049449</v>
      </c>
      <c r="G61" s="23">
        <v>516.24762029803708</v>
      </c>
      <c r="H61" s="23">
        <v>650.81679189562999</v>
      </c>
      <c r="I61" s="23">
        <v>631.64537368878518</v>
      </c>
      <c r="J61" s="23">
        <v>557.72916454031008</v>
      </c>
      <c r="K61" s="23">
        <v>594.55595151698969</v>
      </c>
      <c r="L61" s="23">
        <v>442.82307288087634</v>
      </c>
      <c r="M61" s="23">
        <v>534.52782377940491</v>
      </c>
      <c r="N61" s="23">
        <v>665.64411145851761</v>
      </c>
      <c r="O61" s="23">
        <v>850.78933632719793</v>
      </c>
      <c r="P61" s="23">
        <v>914.91812802158302</v>
      </c>
      <c r="Q61" s="23">
        <v>741.2620685553419</v>
      </c>
      <c r="R61" s="23">
        <v>589.56304619225955</v>
      </c>
      <c r="S61" s="23">
        <v>572</v>
      </c>
      <c r="T61" s="23">
        <v>514.85521245083771</v>
      </c>
      <c r="U61" s="23">
        <v>539.41024995643681</v>
      </c>
      <c r="V61" s="23">
        <v>503.44808014303158</v>
      </c>
      <c r="W61" s="23">
        <v>481.7013042588423</v>
      </c>
      <c r="X61" s="23">
        <v>171.64332591664643</v>
      </c>
      <c r="Y61" s="23">
        <v>347.54194392831317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320.09761094206613</v>
      </c>
      <c r="E62" s="23">
        <v>324.02424517079254</v>
      </c>
      <c r="F62" s="23">
        <v>247.11985447685777</v>
      </c>
      <c r="G62" s="23">
        <v>208.10083371627385</v>
      </c>
      <c r="H62" s="23">
        <v>209.08875680659912</v>
      </c>
      <c r="I62" s="23">
        <v>222.29630776191556</v>
      </c>
      <c r="J62" s="23">
        <v>175.89221923587249</v>
      </c>
      <c r="K62" s="23">
        <v>197.67983449052761</v>
      </c>
      <c r="L62" s="23">
        <v>207.46594446016411</v>
      </c>
      <c r="M62" s="23">
        <v>184.76027055607653</v>
      </c>
      <c r="N62" s="23">
        <v>206.87078441783177</v>
      </c>
      <c r="O62" s="23">
        <v>203.56309274086331</v>
      </c>
      <c r="P62" s="23">
        <v>203.42454288555646</v>
      </c>
      <c r="Q62" s="23">
        <v>169.8023433318134</v>
      </c>
      <c r="R62" s="23">
        <v>164.39450686641698</v>
      </c>
      <c r="S62" s="23">
        <v>179.8</v>
      </c>
      <c r="T62" s="23">
        <v>166.13665408505958</v>
      </c>
      <c r="U62" s="23">
        <v>157.21504772599664</v>
      </c>
      <c r="V62" s="23">
        <v>130.16620786862293</v>
      </c>
      <c r="W62" s="23">
        <v>200.94144789476621</v>
      </c>
      <c r="X62" s="23">
        <v>226.05313838041997</v>
      </c>
      <c r="Y62" s="23">
        <v>184.61735604514291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508.84222577049383</v>
      </c>
      <c r="E63" s="23">
        <v>519.45844898884047</v>
      </c>
      <c r="F63" s="23">
        <v>414.20198073165795</v>
      </c>
      <c r="G63" s="23">
        <v>371.82432875992907</v>
      </c>
      <c r="H63" s="23">
        <v>362.72787310131713</v>
      </c>
      <c r="I63" s="23">
        <v>327.55069236905717</v>
      </c>
      <c r="J63" s="23">
        <v>235.54361015661325</v>
      </c>
      <c r="K63" s="23">
        <v>263.97027761831004</v>
      </c>
      <c r="L63" s="23">
        <v>350.35773475079833</v>
      </c>
      <c r="M63" s="23">
        <v>279.13565713601628</v>
      </c>
      <c r="N63" s="23">
        <v>338.03315438617187</v>
      </c>
      <c r="O63" s="23">
        <v>322.52981554249021</v>
      </c>
      <c r="P63" s="23">
        <v>359.68531227538125</v>
      </c>
      <c r="Q63" s="23">
        <v>359.42982890902238</v>
      </c>
      <c r="R63" s="23">
        <v>385.81772784019972</v>
      </c>
      <c r="S63" s="23">
        <v>375.4</v>
      </c>
      <c r="T63" s="23">
        <v>373.08923034247726</v>
      </c>
      <c r="U63" s="23">
        <v>352.18494065712792</v>
      </c>
      <c r="V63" s="23">
        <v>354.17317024718335</v>
      </c>
      <c r="W63" s="23">
        <v>288.9463597968259</v>
      </c>
      <c r="X63" s="23">
        <v>353.5702933642466</v>
      </c>
      <c r="Y63" s="23">
        <v>343.97224790165944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161.93173259422167</v>
      </c>
      <c r="E64" s="23">
        <v>180.13935308446159</v>
      </c>
      <c r="F64" s="23">
        <v>158.45853264164924</v>
      </c>
      <c r="G64" s="23">
        <v>172.12630473314513</v>
      </c>
      <c r="H64" s="23">
        <v>157.12808243928575</v>
      </c>
      <c r="I64" s="23">
        <v>161.57262433471845</v>
      </c>
      <c r="J64" s="23">
        <v>186.09873099037185</v>
      </c>
      <c r="K64" s="23">
        <v>196.59665731523705</v>
      </c>
      <c r="L64" s="23">
        <v>199.7857633695784</v>
      </c>
      <c r="M64" s="23">
        <v>196.23296554201002</v>
      </c>
      <c r="N64" s="23">
        <v>146.69734332291111</v>
      </c>
      <c r="O64" s="23">
        <v>177.56374272461372</v>
      </c>
      <c r="P64" s="23">
        <v>181.17190653892735</v>
      </c>
      <c r="Q64" s="23">
        <v>181.9948058127317</v>
      </c>
      <c r="R64" s="23">
        <v>205.84269662921349</v>
      </c>
      <c r="S64" s="23">
        <v>237.8</v>
      </c>
      <c r="T64" s="23">
        <v>243.11231313341457</v>
      </c>
      <c r="U64" s="23">
        <v>248.60113458150207</v>
      </c>
      <c r="V64" s="23">
        <v>242.45348166226788</v>
      </c>
      <c r="W64" s="23">
        <v>233.31534783336744</v>
      </c>
      <c r="X64" s="23">
        <v>271.02069816577227</v>
      </c>
      <c r="Y64" s="23">
        <v>306.17008228606994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351.42951827192485</v>
      </c>
      <c r="E65" s="23">
        <v>367.78451254744232</v>
      </c>
      <c r="F65" s="23">
        <v>421.34339419254871</v>
      </c>
      <c r="G65" s="23">
        <v>451.65102081008331</v>
      </c>
      <c r="H65" s="23">
        <v>473.75176005881394</v>
      </c>
      <c r="I65" s="23">
        <v>464.59571124102541</v>
      </c>
      <c r="J65" s="23">
        <v>489.2321300990032</v>
      </c>
      <c r="K65" s="23">
        <v>529.24036784696875</v>
      </c>
      <c r="L65" s="23">
        <v>512.14681272484745</v>
      </c>
      <c r="M65" s="23">
        <v>415.01227079550677</v>
      </c>
      <c r="N65" s="23">
        <v>300.27726977759426</v>
      </c>
      <c r="O65" s="23">
        <v>298.30314848189403</v>
      </c>
      <c r="P65" s="23">
        <v>291.25353235986256</v>
      </c>
      <c r="Q65" s="23">
        <v>287.76193969191729</v>
      </c>
      <c r="R65" s="23">
        <v>298.62671660424468</v>
      </c>
      <c r="S65" s="23">
        <v>309.59999999999997</v>
      </c>
      <c r="T65" s="23">
        <v>339.70339108984444</v>
      </c>
      <c r="U65" s="23">
        <v>342.40740382195202</v>
      </c>
      <c r="V65" s="23">
        <v>353.88937764281866</v>
      </c>
      <c r="W65" s="23">
        <v>331.1812752339664</v>
      </c>
      <c r="X65" s="23">
        <v>399.09877905128735</v>
      </c>
      <c r="Y65" s="23">
        <v>408.13524571407652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73.81074322899407</v>
      </c>
      <c r="E66" s="23">
        <v>71.942446043165475</v>
      </c>
      <c r="F66" s="23">
        <v>99.97978845246918</v>
      </c>
      <c r="G66" s="23">
        <v>80.745749359942224</v>
      </c>
      <c r="H66" s="23">
        <v>73.891318704596713</v>
      </c>
      <c r="I66" s="23">
        <v>97.396025575386673</v>
      </c>
      <c r="J66" s="23">
        <v>116.24082831513172</v>
      </c>
      <c r="K66" s="23">
        <v>96.836039470976274</v>
      </c>
      <c r="L66" s="23">
        <v>71.344840130967285</v>
      </c>
      <c r="M66" s="23">
        <v>58.361100580618128</v>
      </c>
      <c r="N66" s="23">
        <v>77.37989892435057</v>
      </c>
      <c r="O66" s="23">
        <v>82.823686983582988</v>
      </c>
      <c r="P66" s="23">
        <v>68.924094878939741</v>
      </c>
      <c r="Q66" s="23">
        <v>68.198489324160903</v>
      </c>
      <c r="R66" s="23">
        <v>69.712858926342079</v>
      </c>
      <c r="S66" s="23">
        <v>59.5</v>
      </c>
      <c r="T66" s="23">
        <v>60.728544397222137</v>
      </c>
      <c r="U66" s="23">
        <v>57.890762647873146</v>
      </c>
      <c r="V66" s="23">
        <v>65.93448174740567</v>
      </c>
      <c r="W66" s="23">
        <v>112.09927995981171</v>
      </c>
      <c r="X66" s="23">
        <v>40.947590823252249</v>
      </c>
      <c r="Y66" s="23">
        <v>26.452362864177644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346.91049317627215</v>
      </c>
      <c r="E67" s="23">
        <v>382.22964935138504</v>
      </c>
      <c r="F67" s="23">
        <v>452.60392104022094</v>
      </c>
      <c r="G67" s="23">
        <v>497.60388629948136</v>
      </c>
      <c r="H67" s="23">
        <v>494.43634505875167</v>
      </c>
      <c r="I67" s="23">
        <v>492.09996785216759</v>
      </c>
      <c r="J67" s="23">
        <v>568.50270472561488</v>
      </c>
      <c r="K67" s="23">
        <v>631.4922931943978</v>
      </c>
      <c r="L67" s="23">
        <v>643.82149642265244</v>
      </c>
      <c r="M67" s="23">
        <v>568.34733334663508</v>
      </c>
      <c r="N67" s="23">
        <v>474.99655870843407</v>
      </c>
      <c r="O67" s="23">
        <v>500.78293497208028</v>
      </c>
      <c r="P67" s="23">
        <v>494.77653823810317</v>
      </c>
      <c r="Q67" s="23">
        <v>514.06593842310826</v>
      </c>
      <c r="R67" s="23">
        <v>532.13483146067415</v>
      </c>
      <c r="S67" s="23">
        <v>589.20000000000005</v>
      </c>
      <c r="T67" s="23">
        <v>714.278638016267</v>
      </c>
      <c r="U67" s="23">
        <v>751.22461228678185</v>
      </c>
      <c r="V67" s="23">
        <v>722.15758057345022</v>
      </c>
      <c r="W67" s="23">
        <v>640.77995050886557</v>
      </c>
      <c r="X67" s="23">
        <v>725.46416618364719</v>
      </c>
      <c r="Y67" s="23">
        <v>830.91539820416835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217.0638387611846</v>
      </c>
      <c r="E68" s="23">
        <v>223.75800147283749</v>
      </c>
      <c r="F68" s="23">
        <v>224.34817759213095</v>
      </c>
      <c r="G68" s="23">
        <v>254.18499310707014</v>
      </c>
      <c r="H68" s="23">
        <v>270.39487620400485</v>
      </c>
      <c r="I68" s="23">
        <v>276.9476228463929</v>
      </c>
      <c r="J68" s="23">
        <v>294.06094421574295</v>
      </c>
      <c r="K68" s="23">
        <v>321.81193877882612</v>
      </c>
      <c r="L68" s="23">
        <v>319.03068030235659</v>
      </c>
      <c r="M68" s="23">
        <v>290.60835212194974</v>
      </c>
      <c r="N68" s="23">
        <v>271.07545277564742</v>
      </c>
      <c r="O68" s="23">
        <v>244.53176549374146</v>
      </c>
      <c r="P68" s="23">
        <v>214.94471302960781</v>
      </c>
      <c r="Q68" s="23">
        <v>172.67698895739576</v>
      </c>
      <c r="R68" s="23">
        <v>185.06866416978775</v>
      </c>
      <c r="S68" s="23">
        <v>204</v>
      </c>
      <c r="T68" s="23">
        <v>241.13095768815447</v>
      </c>
      <c r="U68" s="23">
        <v>230.11094116052584</v>
      </c>
      <c r="V68" s="23">
        <v>243.39945701015031</v>
      </c>
      <c r="W68" s="23">
        <v>191.63860308482333</v>
      </c>
      <c r="X68" s="23">
        <v>210.44070078342651</v>
      </c>
      <c r="Y68" s="23">
        <v>134.18395833524022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212.39417949567681</v>
      </c>
      <c r="E69" s="23">
        <v>224.32447742593328</v>
      </c>
      <c r="F69" s="23">
        <v>226.90830694603517</v>
      </c>
      <c r="G69" s="23">
        <v>249.19582485393551</v>
      </c>
      <c r="H69" s="23">
        <v>276.62517289073304</v>
      </c>
      <c r="I69" s="23">
        <v>271.11338659554457</v>
      </c>
      <c r="J69" s="23">
        <v>299.39101146531488</v>
      </c>
      <c r="K69" s="23">
        <v>304.372786256648</v>
      </c>
      <c r="L69" s="23">
        <v>329.64145680908683</v>
      </c>
      <c r="M69" s="23">
        <v>301.58223428240785</v>
      </c>
      <c r="N69" s="23">
        <v>257.80189959294438</v>
      </c>
      <c r="O69" s="23">
        <v>233.20629105484485</v>
      </c>
      <c r="P69" s="23">
        <v>192.69207668297869</v>
      </c>
      <c r="Q69" s="23">
        <v>193.29513689260719</v>
      </c>
      <c r="R69" s="23">
        <v>227.81523096129837</v>
      </c>
      <c r="S69" s="23">
        <v>244.7</v>
      </c>
      <c r="T69" s="23">
        <v>278.28137228678133</v>
      </c>
      <c r="U69" s="23">
        <v>283.25814633390775</v>
      </c>
      <c r="V69" s="23">
        <v>276.31939911645907</v>
      </c>
      <c r="W69" s="23">
        <v>255.2700615848326</v>
      </c>
      <c r="X69" s="23">
        <v>275.32113007871664</v>
      </c>
      <c r="Y69" s="23">
        <v>327.40519711129213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175.03690537161449</v>
      </c>
      <c r="E70" s="23">
        <v>262.84484223644711</v>
      </c>
      <c r="F70" s="23">
        <v>272.18217341507778</v>
      </c>
      <c r="G70" s="23">
        <v>260.22451257139102</v>
      </c>
      <c r="H70" s="23">
        <v>270.39487620400485</v>
      </c>
      <c r="I70" s="23">
        <v>268.73206567683093</v>
      </c>
      <c r="J70" s="23">
        <v>283.85443246124362</v>
      </c>
      <c r="K70" s="23">
        <v>307.73063550004878</v>
      </c>
      <c r="L70" s="23">
        <v>269.00844819919962</v>
      </c>
      <c r="M70" s="23">
        <v>224.66529659410602</v>
      </c>
      <c r="N70" s="23">
        <v>209.52549505437241</v>
      </c>
      <c r="O70" s="23">
        <v>227.59279502860915</v>
      </c>
      <c r="P70" s="23">
        <v>213.566231132029</v>
      </c>
      <c r="Q70" s="23">
        <v>216.39142760849307</v>
      </c>
      <c r="R70" s="23">
        <v>234.10736579275905</v>
      </c>
      <c r="S70" s="23">
        <v>258.2</v>
      </c>
      <c r="T70" s="23">
        <v>270.45501827800399</v>
      </c>
      <c r="U70" s="23">
        <v>276.28802106526746</v>
      </c>
      <c r="V70" s="23">
        <v>272.53549772492931</v>
      </c>
      <c r="W70" s="23">
        <v>273.31758051612184</v>
      </c>
      <c r="X70" s="23">
        <v>285.88523456051456</v>
      </c>
      <c r="Y70" s="23">
        <v>345.61979991396117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34.495224896815593</v>
      </c>
      <c r="E71" s="23">
        <v>29.456749560981137</v>
      </c>
      <c r="F71" s="23">
        <v>59.017718790002021</v>
      </c>
      <c r="G71" s="23">
        <v>69.848355543884978</v>
      </c>
      <c r="H71" s="23">
        <v>58.689394788979854</v>
      </c>
      <c r="I71" s="23">
        <v>68.224844321144943</v>
      </c>
      <c r="J71" s="23">
        <v>68.723845813629097</v>
      </c>
      <c r="K71" s="23">
        <v>71.706329004235229</v>
      </c>
      <c r="L71" s="23">
        <v>74.073325518412219</v>
      </c>
      <c r="M71" s="23">
        <v>63.648516530657034</v>
      </c>
      <c r="N71" s="23">
        <v>58.600279236229916</v>
      </c>
      <c r="O71" s="23">
        <v>53.869865374577756</v>
      </c>
      <c r="P71" s="23">
        <v>46.080680576205431</v>
      </c>
      <c r="Q71" s="23">
        <v>34.89225035189628</v>
      </c>
      <c r="R71" s="23">
        <v>37.053682896379527</v>
      </c>
      <c r="S71" s="23">
        <v>45</v>
      </c>
      <c r="T71" s="23">
        <v>54.487274744652815</v>
      </c>
      <c r="U71" s="23">
        <v>51.211059265426243</v>
      </c>
      <c r="V71" s="23">
        <v>81.543074987465829</v>
      </c>
      <c r="W71" s="23">
        <v>155.07842298174782</v>
      </c>
      <c r="X71" s="23">
        <v>115.17678514668214</v>
      </c>
      <c r="Y71" s="23">
        <v>133.45171299643948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215.10559455306844</v>
      </c>
      <c r="E72" s="23">
        <v>214.97762419985273</v>
      </c>
      <c r="F72" s="23">
        <v>222.86599743987065</v>
      </c>
      <c r="G72" s="23">
        <v>204.03072277292722</v>
      </c>
      <c r="H72" s="23">
        <v>246.71974879443761</v>
      </c>
      <c r="I72" s="23">
        <v>197.53057020729403</v>
      </c>
      <c r="J72" s="23">
        <v>245.40990485262927</v>
      </c>
      <c r="K72" s="23">
        <v>236.34925964840068</v>
      </c>
      <c r="L72" s="23">
        <v>230.60754274627106</v>
      </c>
      <c r="M72" s="23">
        <v>222.07146990163409</v>
      </c>
      <c r="N72" s="23">
        <v>213.26175446876292</v>
      </c>
      <c r="O72" s="23">
        <v>202.38130410376104</v>
      </c>
      <c r="P72" s="23">
        <v>179.49803566329595</v>
      </c>
      <c r="Q72" s="23">
        <v>62.151820939315229</v>
      </c>
      <c r="R72" s="23">
        <v>87.690387016229707</v>
      </c>
      <c r="S72" s="23">
        <v>77.2</v>
      </c>
      <c r="T72" s="23">
        <v>92.331163749120748</v>
      </c>
      <c r="U72" s="23">
        <v>86.3521074948208</v>
      </c>
      <c r="V72" s="23">
        <v>39.73096461106222</v>
      </c>
      <c r="W72" s="23">
        <v>65.957169702495008</v>
      </c>
      <c r="X72" s="23">
        <v>16.453826449526019</v>
      </c>
      <c r="Y72" s="23">
        <v>36.795328274738438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198.23456752929835</v>
      </c>
      <c r="E73" s="23">
        <v>208.88800770407298</v>
      </c>
      <c r="F73" s="23">
        <v>213.97291652630872</v>
      </c>
      <c r="G73" s="23">
        <v>221.88669336309326</v>
      </c>
      <c r="H73" s="23">
        <v>222.42159171619753</v>
      </c>
      <c r="I73" s="23">
        <v>220.51031707288033</v>
      </c>
      <c r="J73" s="23">
        <v>223.97623016818062</v>
      </c>
      <c r="K73" s="23">
        <v>248.26420857659687</v>
      </c>
      <c r="L73" s="23">
        <v>235.25607340636242</v>
      </c>
      <c r="M73" s="23">
        <v>198.72702966938687</v>
      </c>
      <c r="N73" s="23">
        <v>184.15826008298427</v>
      </c>
      <c r="O73" s="23">
        <v>186.13171034360505</v>
      </c>
      <c r="P73" s="23">
        <v>167.58401354850778</v>
      </c>
      <c r="Q73" s="23">
        <v>168.51370908586267</v>
      </c>
      <c r="R73" s="23">
        <v>175.38077403245941</v>
      </c>
      <c r="S73" s="23">
        <v>189.9</v>
      </c>
      <c r="T73" s="23">
        <v>206.25910185157665</v>
      </c>
      <c r="U73" s="23">
        <v>244.53522817479524</v>
      </c>
      <c r="V73" s="23">
        <v>250.49427211926857</v>
      </c>
      <c r="W73" s="23">
        <v>288.85333134872644</v>
      </c>
      <c r="X73" s="23">
        <v>249.0511003496438</v>
      </c>
      <c r="Y73" s="23">
        <v>276.0564927278885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55.13210616696395</v>
      </c>
      <c r="E74" s="23">
        <v>60.471307992976193</v>
      </c>
      <c r="F74" s="23">
        <v>64.946439399040287</v>
      </c>
      <c r="G74" s="23">
        <v>74.443642092821534</v>
      </c>
      <c r="H74" s="23">
        <v>91.585361294905653</v>
      </c>
      <c r="I74" s="23">
        <v>112.39834736328291</v>
      </c>
      <c r="J74" s="23">
        <v>106.14772224679172</v>
      </c>
      <c r="K74" s="23">
        <v>138.10508984954285</v>
      </c>
      <c r="L74" s="23">
        <v>184.32434617406153</v>
      </c>
      <c r="M74" s="23">
        <v>161.11654262855063</v>
      </c>
      <c r="N74" s="23">
        <v>169.40986765776324</v>
      </c>
      <c r="O74" s="23">
        <v>156.39002964319468</v>
      </c>
      <c r="P74" s="23">
        <v>159.70697413376817</v>
      </c>
      <c r="Q74" s="23">
        <v>162.36791498978693</v>
      </c>
      <c r="R74" s="23">
        <v>169.28838951310692</v>
      </c>
      <c r="S74" s="23">
        <v>193.89999999999381</v>
      </c>
      <c r="T74" s="23">
        <v>210.22181274210487</v>
      </c>
      <c r="U74" s="23">
        <v>239.79167070030445</v>
      </c>
      <c r="V74" s="23">
        <v>246.89956579731708</v>
      </c>
      <c r="W74" s="23">
        <v>154.98539453364674</v>
      </c>
      <c r="X74" s="23">
        <v>267.74863040591868</v>
      </c>
      <c r="Y74" s="23">
        <v>287.77241814870632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5936.1913656493871</v>
      </c>
      <c r="E75" s="30">
        <f t="shared" ref="E75:S75" si="6">SUM(E56:E74)</f>
        <v>6007.6191015691384</v>
      </c>
      <c r="F75" s="30">
        <f t="shared" si="6"/>
        <v>5898.40328774506</v>
      </c>
      <c r="G75" s="30">
        <f t="shared" si="6"/>
        <v>6044.1147508698177</v>
      </c>
      <c r="H75" s="30">
        <f t="shared" si="6"/>
        <v>6323.751137029145</v>
      </c>
      <c r="I75" s="30">
        <f t="shared" si="6"/>
        <v>6265.9697334111224</v>
      </c>
      <c r="J75" s="30">
        <f t="shared" si="6"/>
        <v>6343.5738667936785</v>
      </c>
      <c r="K75" s="30">
        <f t="shared" si="6"/>
        <v>6660.8897217317808</v>
      </c>
      <c r="L75" s="30">
        <f t="shared" si="6"/>
        <v>6602.6314725736738</v>
      </c>
      <c r="M75" s="30">
        <f t="shared" si="6"/>
        <v>6016.6803008839024</v>
      </c>
      <c r="N75" s="30">
        <f t="shared" si="6"/>
        <v>5819.0273926808677</v>
      </c>
      <c r="O75" s="30">
        <f t="shared" si="6"/>
        <v>6082.9615623245754</v>
      </c>
      <c r="P75" s="30">
        <f t="shared" si="6"/>
        <v>5935.4476619962352</v>
      </c>
      <c r="Q75" s="30">
        <f t="shared" si="6"/>
        <v>5553.5179714914429</v>
      </c>
      <c r="R75" s="30">
        <f t="shared" si="6"/>
        <v>5593.4082397003731</v>
      </c>
      <c r="S75" s="30">
        <f t="shared" si="6"/>
        <v>5772.2999999999938</v>
      </c>
      <c r="T75" s="30">
        <f t="shared" ref="T75:Y75" si="7">SUM(T56:T74)</f>
        <v>6036.1993639849088</v>
      </c>
      <c r="U75" s="30">
        <f t="shared" si="7"/>
        <v>6163.9141125675233</v>
      </c>
      <c r="V75" s="30">
        <f t="shared" si="7"/>
        <v>6136.6366792481413</v>
      </c>
      <c r="W75" s="30">
        <f t="shared" si="7"/>
        <v>6159.785662455577</v>
      </c>
      <c r="X75" s="30">
        <f t="shared" si="7"/>
        <v>5687.1342295682689</v>
      </c>
      <c r="Y75" s="30">
        <f t="shared" si="7"/>
        <v>6232.3231398680191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4497735</v>
      </c>
      <c r="E3" s="42">
        <v>4295406</v>
      </c>
      <c r="F3" s="42">
        <v>4305494</v>
      </c>
      <c r="G3" s="42">
        <v>4305384</v>
      </c>
      <c r="H3" s="42">
        <v>4305725</v>
      </c>
      <c r="I3" s="42">
        <v>4310861</v>
      </c>
      <c r="J3" s="42">
        <v>4312487</v>
      </c>
      <c r="K3" s="42">
        <v>4313530</v>
      </c>
      <c r="L3" s="42">
        <v>4311967</v>
      </c>
      <c r="M3" s="42">
        <v>4309796</v>
      </c>
      <c r="N3" s="42">
        <v>4302847</v>
      </c>
      <c r="O3" s="42">
        <v>4289857</v>
      </c>
      <c r="P3" s="42">
        <v>4275984</v>
      </c>
      <c r="Q3" s="42">
        <v>4262140</v>
      </c>
      <c r="R3" s="42">
        <v>4246809</v>
      </c>
      <c r="S3" s="42">
        <v>4225316</v>
      </c>
      <c r="T3" s="42">
        <v>4190669</v>
      </c>
      <c r="U3" s="42">
        <v>4154213</v>
      </c>
      <c r="V3" s="42">
        <v>4105493</v>
      </c>
      <c r="W3" s="42">
        <v>4076246</v>
      </c>
      <c r="X3" s="42">
        <v>4058165</v>
      </c>
      <c r="Y3" s="42">
        <v>4036355</v>
      </c>
    </row>
    <row r="4" spans="1:25" x14ac:dyDescent="0.25">
      <c r="A4" s="43" t="s">
        <v>239</v>
      </c>
      <c r="B4" s="44"/>
      <c r="C4" s="44"/>
      <c r="D4" s="45">
        <v>1615721</v>
      </c>
      <c r="E4" s="45">
        <v>1589317</v>
      </c>
      <c r="F4" s="45">
        <v>1581887</v>
      </c>
      <c r="G4" s="45">
        <v>1575673</v>
      </c>
      <c r="H4" s="45">
        <v>1569711</v>
      </c>
      <c r="I4" s="45">
        <v>1565574</v>
      </c>
      <c r="J4" s="45">
        <v>1562392</v>
      </c>
      <c r="K4" s="45">
        <v>1560584</v>
      </c>
      <c r="L4" s="45">
        <v>1560964</v>
      </c>
      <c r="M4" s="45">
        <v>1561129</v>
      </c>
      <c r="N4" s="45">
        <v>1559568</v>
      </c>
      <c r="O4" s="45">
        <v>1554859</v>
      </c>
      <c r="P4" s="45">
        <v>1551518</v>
      </c>
      <c r="Q4" s="45">
        <v>1547056</v>
      </c>
      <c r="R4" s="45">
        <v>1540932</v>
      </c>
      <c r="S4" s="45">
        <v>1533690</v>
      </c>
      <c r="T4" s="45">
        <v>1520562</v>
      </c>
      <c r="U4" s="45">
        <v>1515583</v>
      </c>
      <c r="V4" s="45">
        <v>1501643</v>
      </c>
      <c r="W4" s="45">
        <v>1490860</v>
      </c>
      <c r="X4" s="45">
        <v>1492521</v>
      </c>
      <c r="Y4" s="45">
        <v>1487523</v>
      </c>
    </row>
    <row r="5" spans="1:25" x14ac:dyDescent="0.25">
      <c r="A5" s="46" t="s">
        <v>240</v>
      </c>
      <c r="B5" s="47"/>
      <c r="C5" s="47"/>
      <c r="D5" s="48">
        <f>D3/D4</f>
        <v>2.7837324637112473</v>
      </c>
      <c r="E5" s="48">
        <f t="shared" ref="E5:S5" si="0">E3/E4</f>
        <v>2.7026741675826784</v>
      </c>
      <c r="F5" s="48">
        <f t="shared" si="0"/>
        <v>2.7217456114121932</v>
      </c>
      <c r="G5" s="48">
        <f t="shared" si="0"/>
        <v>2.7324095799064909</v>
      </c>
      <c r="H5" s="48">
        <f t="shared" si="0"/>
        <v>2.7430049225621786</v>
      </c>
      <c r="I5" s="48">
        <f t="shared" si="0"/>
        <v>2.7535338476494884</v>
      </c>
      <c r="J5" s="48">
        <f t="shared" si="0"/>
        <v>2.7601824638118986</v>
      </c>
      <c r="K5" s="48">
        <f t="shared" si="0"/>
        <v>2.7640485869392486</v>
      </c>
      <c r="L5" s="48">
        <f t="shared" si="0"/>
        <v>2.7623744045346337</v>
      </c>
      <c r="M5" s="48">
        <f t="shared" si="0"/>
        <v>2.7606917813966687</v>
      </c>
      <c r="N5" s="48">
        <f t="shared" si="0"/>
        <v>2.7589992869820361</v>
      </c>
      <c r="O5" s="48">
        <f t="shared" si="0"/>
        <v>2.7590006553648916</v>
      </c>
      <c r="P5" s="48">
        <f t="shared" si="0"/>
        <v>2.7560002526557863</v>
      </c>
      <c r="Q5" s="48">
        <f t="shared" si="0"/>
        <v>2.755000465400089</v>
      </c>
      <c r="R5" s="48">
        <f t="shared" si="0"/>
        <v>2.7560002647748245</v>
      </c>
      <c r="S5" s="48">
        <f t="shared" si="0"/>
        <v>2.7550000326011124</v>
      </c>
      <c r="T5" s="48">
        <f t="shared" ref="T5:Y5" si="1">T3/T4</f>
        <v>2.7560000841794019</v>
      </c>
      <c r="U5" s="48">
        <f t="shared" si="1"/>
        <v>2.7409999980205635</v>
      </c>
      <c r="V5" s="48">
        <f t="shared" si="1"/>
        <v>2.7340006912428585</v>
      </c>
      <c r="W5" s="48">
        <f t="shared" si="1"/>
        <v>2.7341574661604713</v>
      </c>
      <c r="X5" s="48">
        <f t="shared" si="1"/>
        <v>2.7190002686729366</v>
      </c>
      <c r="Y5" s="48">
        <f t="shared" si="1"/>
        <v>2.713474010149759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2119.27</v>
      </c>
      <c r="E8" s="42">
        <v>2358.02</v>
      </c>
      <c r="F8" s="42">
        <v>2179.12</v>
      </c>
      <c r="G8" s="42">
        <v>2569.42</v>
      </c>
      <c r="H8" s="42">
        <v>2464.5700000000002</v>
      </c>
      <c r="I8" s="42">
        <v>2684.01</v>
      </c>
      <c r="J8" s="42">
        <v>2408.4899999999998</v>
      </c>
      <c r="K8" s="42">
        <v>2208.64</v>
      </c>
      <c r="L8" s="42">
        <v>2214.64</v>
      </c>
      <c r="M8" s="42">
        <v>2273.67</v>
      </c>
      <c r="N8" s="42">
        <v>2521.2199999999998</v>
      </c>
      <c r="O8" s="42">
        <v>2359.44</v>
      </c>
      <c r="P8" s="42">
        <v>2355.0700000000002</v>
      </c>
      <c r="Q8" s="42">
        <v>2290</v>
      </c>
      <c r="R8" s="42">
        <v>1885.28</v>
      </c>
      <c r="S8" s="42">
        <v>2246.21</v>
      </c>
      <c r="T8" s="42">
        <v>2264.65</v>
      </c>
      <c r="U8" s="42">
        <v>2323.2199999999998</v>
      </c>
      <c r="V8" s="42">
        <v>2139.52</v>
      </c>
      <c r="W8" s="42">
        <v>2076.4699999999998</v>
      </c>
      <c r="X8" s="42">
        <v>2137.64</v>
      </c>
      <c r="Y8" s="42">
        <v>2366.1799999999998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2289.4557142857143</v>
      </c>
      <c r="E9" s="45">
        <f t="shared" si="2"/>
        <v>2289.4557142857143</v>
      </c>
      <c r="F9" s="45">
        <f t="shared" si="2"/>
        <v>2289.4557142857143</v>
      </c>
      <c r="G9" s="45">
        <f t="shared" si="2"/>
        <v>2289.4557142857143</v>
      </c>
      <c r="H9" s="45">
        <f t="shared" si="2"/>
        <v>2289.4557142857143</v>
      </c>
      <c r="I9" s="45">
        <f t="shared" si="2"/>
        <v>2289.4557142857143</v>
      </c>
      <c r="J9" s="45">
        <f t="shared" si="2"/>
        <v>2289.4557142857143</v>
      </c>
      <c r="K9" s="45">
        <f t="shared" si="2"/>
        <v>2289.4557142857143</v>
      </c>
      <c r="L9" s="45">
        <f t="shared" si="2"/>
        <v>2289.4557142857143</v>
      </c>
      <c r="M9" s="45">
        <f t="shared" si="2"/>
        <v>2289.4557142857143</v>
      </c>
      <c r="N9" s="45">
        <f t="shared" si="2"/>
        <v>2289.4557142857143</v>
      </c>
      <c r="O9" s="45">
        <f t="shared" si="2"/>
        <v>2289.4557142857143</v>
      </c>
      <c r="P9" s="45">
        <f t="shared" si="2"/>
        <v>2289.4557142857143</v>
      </c>
      <c r="Q9" s="45">
        <f t="shared" si="2"/>
        <v>2289.4557142857143</v>
      </c>
      <c r="R9" s="45">
        <f t="shared" si="2"/>
        <v>2289.4557142857143</v>
      </c>
      <c r="S9" s="45">
        <f t="shared" si="2"/>
        <v>2289.4557142857143</v>
      </c>
      <c r="T9" s="45">
        <f t="shared" si="2"/>
        <v>2289.4557142857143</v>
      </c>
      <c r="U9" s="45">
        <f t="shared" si="2"/>
        <v>2289.4557142857143</v>
      </c>
      <c r="V9" s="45">
        <f t="shared" si="2"/>
        <v>2289.4557142857143</v>
      </c>
      <c r="W9" s="45">
        <f t="shared" si="2"/>
        <v>2289.4557142857143</v>
      </c>
      <c r="X9" s="45">
        <f>AVERAGE($D8:$X8)</f>
        <v>2289.4557142857143</v>
      </c>
      <c r="Y9" s="45">
        <f t="shared" ref="Y9" si="3">AVERAGE($D8:$X8)</f>
        <v>2289.4557142857143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0.92566542640515304</v>
      </c>
      <c r="E10" s="53">
        <f t="shared" si="4"/>
        <v>1.0299478541063096</v>
      </c>
      <c r="F10" s="53">
        <f t="shared" si="4"/>
        <v>0.95180701089903463</v>
      </c>
      <c r="G10" s="53">
        <f t="shared" si="4"/>
        <v>1.122284211032067</v>
      </c>
      <c r="H10" s="53">
        <f t="shared" si="4"/>
        <v>1.0764872998510564</v>
      </c>
      <c r="I10" s="53">
        <f t="shared" si="4"/>
        <v>1.1723354084782474</v>
      </c>
      <c r="J10" s="53">
        <f t="shared" si="4"/>
        <v>1.0519923949485186</v>
      </c>
      <c r="K10" s="53">
        <f t="shared" si="4"/>
        <v>0.96470090520579121</v>
      </c>
      <c r="L10" s="53">
        <f t="shared" si="4"/>
        <v>0.9673216154307418</v>
      </c>
      <c r="M10" s="53">
        <f t="shared" si="4"/>
        <v>0.99310503619388013</v>
      </c>
      <c r="N10" s="53">
        <f t="shared" si="4"/>
        <v>1.1012311722249641</v>
      </c>
      <c r="O10" s="53">
        <f t="shared" si="4"/>
        <v>1.0305680888595481</v>
      </c>
      <c r="P10" s="53">
        <f t="shared" si="4"/>
        <v>1.0286593382457092</v>
      </c>
      <c r="Q10" s="53">
        <f t="shared" si="4"/>
        <v>1.0002377358561205</v>
      </c>
      <c r="R10" s="53">
        <f t="shared" si="4"/>
        <v>0.82346209548245719</v>
      </c>
      <c r="S10" s="53">
        <f t="shared" si="4"/>
        <v>0.98111091906435655</v>
      </c>
      <c r="T10" s="53">
        <f t="shared" ref="T10:Y10" si="5">IF(T8=0,0,T8/T9)</f>
        <v>0.98916523515570454</v>
      </c>
      <c r="U10" s="53">
        <f t="shared" si="5"/>
        <v>1.0147477348015965</v>
      </c>
      <c r="V10" s="53">
        <f t="shared" si="5"/>
        <v>0.93451032341436113</v>
      </c>
      <c r="W10" s="53">
        <f t="shared" si="5"/>
        <v>0.90697102680050579</v>
      </c>
      <c r="X10" s="53">
        <f t="shared" si="5"/>
        <v>0.93368916754387654</v>
      </c>
      <c r="Y10" s="53">
        <f t="shared" si="5"/>
        <v>1.0335120200122423</v>
      </c>
    </row>
    <row r="11" spans="1:25" x14ac:dyDescent="0.25">
      <c r="A11" s="43" t="s">
        <v>251</v>
      </c>
      <c r="B11" s="44"/>
      <c r="C11" s="44"/>
      <c r="D11" s="45">
        <v>137.16999999999999</v>
      </c>
      <c r="E11" s="45">
        <v>113.23</v>
      </c>
      <c r="F11" s="45">
        <v>94.97</v>
      </c>
      <c r="G11" s="45">
        <v>253.12</v>
      </c>
      <c r="H11" s="45">
        <v>82.49</v>
      </c>
      <c r="I11" s="45">
        <v>85.46</v>
      </c>
      <c r="J11" s="45">
        <v>139.69</v>
      </c>
      <c r="K11" s="45">
        <v>152.33000000000001</v>
      </c>
      <c r="L11" s="45">
        <v>140.49</v>
      </c>
      <c r="M11" s="45">
        <v>121.64</v>
      </c>
      <c r="N11" s="45">
        <v>127.32</v>
      </c>
      <c r="O11" s="45">
        <v>156.78</v>
      </c>
      <c r="P11" s="45">
        <v>233.58</v>
      </c>
      <c r="Q11" s="45">
        <v>154.84</v>
      </c>
      <c r="R11" s="45">
        <v>60.56</v>
      </c>
      <c r="S11" s="45">
        <v>225.25</v>
      </c>
      <c r="T11" s="45">
        <v>116.42</v>
      </c>
      <c r="U11" s="45">
        <v>208.6</v>
      </c>
      <c r="V11" s="45">
        <v>151.30000000000001</v>
      </c>
      <c r="W11" s="45">
        <v>191.6</v>
      </c>
      <c r="X11" s="45">
        <v>130.12</v>
      </c>
      <c r="Y11" s="45">
        <v>197.2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146.52190476190475</v>
      </c>
      <c r="E12" s="45">
        <f t="shared" ref="E12" si="7">AVERAGE($D11:$X11)</f>
        <v>146.52190476190475</v>
      </c>
      <c r="F12" s="45">
        <f t="shared" ref="F12" si="8">AVERAGE($D11:$X11)</f>
        <v>146.52190476190475</v>
      </c>
      <c r="G12" s="45">
        <f t="shared" ref="G12" si="9">AVERAGE($D11:$X11)</f>
        <v>146.52190476190475</v>
      </c>
      <c r="H12" s="45">
        <f t="shared" ref="H12" si="10">AVERAGE($D11:$X11)</f>
        <v>146.52190476190475</v>
      </c>
      <c r="I12" s="45">
        <f t="shared" ref="I12" si="11">AVERAGE($D11:$X11)</f>
        <v>146.52190476190475</v>
      </c>
      <c r="J12" s="45">
        <f t="shared" ref="J12" si="12">AVERAGE($D11:$X11)</f>
        <v>146.52190476190475</v>
      </c>
      <c r="K12" s="45">
        <f t="shared" ref="K12" si="13">AVERAGE($D11:$X11)</f>
        <v>146.52190476190475</v>
      </c>
      <c r="L12" s="45">
        <f t="shared" ref="L12" si="14">AVERAGE($D11:$X11)</f>
        <v>146.52190476190475</v>
      </c>
      <c r="M12" s="45">
        <f t="shared" ref="M12" si="15">AVERAGE($D11:$X11)</f>
        <v>146.52190476190475</v>
      </c>
      <c r="N12" s="45">
        <f t="shared" ref="N12" si="16">AVERAGE($D11:$X11)</f>
        <v>146.52190476190475</v>
      </c>
      <c r="O12" s="45">
        <f t="shared" ref="O12" si="17">AVERAGE($D11:$X11)</f>
        <v>146.52190476190475</v>
      </c>
      <c r="P12" s="45">
        <f t="shared" ref="P12" si="18">AVERAGE($D11:$X11)</f>
        <v>146.52190476190475</v>
      </c>
      <c r="Q12" s="45">
        <f t="shared" ref="Q12" si="19">AVERAGE($D11:$X11)</f>
        <v>146.52190476190475</v>
      </c>
      <c r="R12" s="45">
        <f t="shared" ref="R12" si="20">AVERAGE($D11:$X11)</f>
        <v>146.52190476190475</v>
      </c>
      <c r="S12" s="45">
        <f t="shared" ref="S12" si="21">AVERAGE($D11:$X11)</f>
        <v>146.52190476190475</v>
      </c>
      <c r="T12" s="45">
        <f t="shared" ref="T12" si="22">AVERAGE($D11:$X11)</f>
        <v>146.52190476190475</v>
      </c>
      <c r="U12" s="45">
        <f t="shared" ref="U12" si="23">AVERAGE($D11:$X11)</f>
        <v>146.52190476190475</v>
      </c>
      <c r="V12" s="45">
        <f t="shared" ref="V12" si="24">AVERAGE($D11:$X11)</f>
        <v>146.52190476190475</v>
      </c>
      <c r="W12" s="45">
        <f t="shared" ref="W12" si="25">AVERAGE($D11:$X11)</f>
        <v>146.52190476190475</v>
      </c>
      <c r="X12" s="45">
        <f>AVERAGE($D11:$X11)</f>
        <v>146.52190476190475</v>
      </c>
      <c r="Y12" s="45">
        <f t="shared" ref="Y12" si="26">AVERAGE($D11:$X11)</f>
        <v>146.52190476190475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0.93617401591180904</v>
      </c>
      <c r="E13" s="55">
        <f t="shared" si="27"/>
        <v>0.7727854765742812</v>
      </c>
      <c r="F13" s="55">
        <f t="shared" ref="F13" si="28">IF(F11=0,0,F11/F12)</f>
        <v>0.64816247205033539</v>
      </c>
      <c r="G13" s="55">
        <f t="shared" ref="G13" si="29">IF(G11=0,0,G11/G12)</f>
        <v>1.7275232697207634</v>
      </c>
      <c r="H13" s="55">
        <f t="shared" ref="H13" si="30">IF(H11=0,0,H11/H12)</f>
        <v>0.56298749415007021</v>
      </c>
      <c r="I13" s="55">
        <f t="shared" ref="I13" si="31">IF(I11=0,0,I11/I12)</f>
        <v>0.58325750090998907</v>
      </c>
      <c r="J13" s="55">
        <f t="shared" ref="J13" si="32">IF(J11=0,0,J11/J12)</f>
        <v>0.95337280952628578</v>
      </c>
      <c r="K13" s="55">
        <f t="shared" ref="K13" si="33">IF(K11=0,0,K11/K12)</f>
        <v>1.0396397743227084</v>
      </c>
      <c r="L13" s="55">
        <f t="shared" ref="L13" si="34">IF(L11=0,0,L11/L12)</f>
        <v>0.95883274400707208</v>
      </c>
      <c r="M13" s="55">
        <f t="shared" ref="M13" si="35">IF(M11=0,0,M11/M12)</f>
        <v>0.83018303780354641</v>
      </c>
      <c r="N13" s="55">
        <f t="shared" ref="N13" si="36">IF(N11=0,0,N11/N12)</f>
        <v>0.86894857261712866</v>
      </c>
      <c r="O13" s="55">
        <f t="shared" ref="O13" si="37">IF(O11=0,0,O11/O12)</f>
        <v>1.0700106598720815</v>
      </c>
      <c r="P13" s="55">
        <f t="shared" ref="P13" si="38">IF(P11=0,0,P11/P12)</f>
        <v>1.5941643700275598</v>
      </c>
      <c r="Q13" s="55">
        <f t="shared" ref="Q13" si="39">IF(Q11=0,0,Q11/Q12)</f>
        <v>1.056770318756175</v>
      </c>
      <c r="R13" s="55">
        <f t="shared" ref="R13" si="40">IF(R11=0,0,R11/R12)</f>
        <v>0.41331704019551768</v>
      </c>
      <c r="S13" s="55">
        <f t="shared" ref="S13:Y13" si="41">IF(S11=0,0,S11/S12)</f>
        <v>1.5373128022463731</v>
      </c>
      <c r="T13" s="55">
        <f t="shared" si="41"/>
        <v>0.79455696531641629</v>
      </c>
      <c r="U13" s="55">
        <f t="shared" si="41"/>
        <v>1.4236779158650097</v>
      </c>
      <c r="V13" s="55">
        <f t="shared" si="41"/>
        <v>1.0326101086786961</v>
      </c>
      <c r="W13" s="55">
        <f t="shared" si="41"/>
        <v>1.3076543081483023</v>
      </c>
      <c r="X13" s="55">
        <f t="shared" si="41"/>
        <v>0.88805834329988054</v>
      </c>
      <c r="Y13" s="55">
        <f t="shared" si="41"/>
        <v>1.3458738495138058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35376.678995522678</v>
      </c>
      <c r="E16" s="42">
        <v>36480.874470689196</v>
      </c>
      <c r="F16" s="42">
        <v>38604.083057058102</v>
      </c>
      <c r="G16" s="42">
        <v>40765.895384130235</v>
      </c>
      <c r="H16" s="42">
        <v>42469.452084039731</v>
      </c>
      <c r="I16" s="42">
        <v>44298.939572462543</v>
      </c>
      <c r="J16" s="42">
        <v>46547.955875783227</v>
      </c>
      <c r="K16" s="42">
        <v>48910.641575877627</v>
      </c>
      <c r="L16" s="42">
        <v>49894.544446384018</v>
      </c>
      <c r="M16" s="42">
        <v>46292.817847481841</v>
      </c>
      <c r="N16" s="42">
        <v>45717.788964761006</v>
      </c>
      <c r="O16" s="42">
        <v>45679.805469664672</v>
      </c>
      <c r="P16" s="42">
        <v>44610.580712098083</v>
      </c>
      <c r="Q16" s="42">
        <v>44433.812597906668</v>
      </c>
      <c r="R16" s="42">
        <v>44244.808655419169</v>
      </c>
      <c r="S16" s="42">
        <v>45360.7</v>
      </c>
      <c r="T16" s="42">
        <v>46976.783327558041</v>
      </c>
      <c r="U16" s="42">
        <v>48573.630933912507</v>
      </c>
      <c r="V16" s="42">
        <v>49943.706138486676</v>
      </c>
      <c r="W16" s="42">
        <v>51641.496680524819</v>
      </c>
      <c r="X16" s="42">
        <v>47204.778093245666</v>
      </c>
      <c r="Y16" s="42">
        <v>53711.810054120608</v>
      </c>
    </row>
    <row r="17" spans="1:25" x14ac:dyDescent="0.25">
      <c r="A17" s="46" t="s">
        <v>141</v>
      </c>
      <c r="B17" s="47"/>
      <c r="C17" s="47"/>
      <c r="D17" s="57">
        <v>21351.186499753116</v>
      </c>
      <c r="E17" s="57">
        <v>22484.818845009577</v>
      </c>
      <c r="F17" s="57">
        <v>24624.284304047385</v>
      </c>
      <c r="G17" s="57">
        <v>25749.300180047579</v>
      </c>
      <c r="H17" s="57">
        <v>26933.295935539802</v>
      </c>
      <c r="I17" s="57">
        <v>28167.613982875122</v>
      </c>
      <c r="J17" s="57">
        <v>28534.749889331564</v>
      </c>
      <c r="K17" s="57">
        <v>29970.167538198028</v>
      </c>
      <c r="L17" s="57">
        <v>30898.347659272291</v>
      </c>
      <c r="M17" s="57">
        <v>28145.144455577822</v>
      </c>
      <c r="N17" s="57">
        <v>27712.948581705223</v>
      </c>
      <c r="O17" s="57">
        <v>27988.07810474528</v>
      </c>
      <c r="P17" s="57">
        <v>27317.021936361543</v>
      </c>
      <c r="Q17" s="57">
        <v>26884.636305197055</v>
      </c>
      <c r="R17" s="57">
        <v>26218.339563800651</v>
      </c>
      <c r="S17" s="57">
        <v>26316.9</v>
      </c>
      <c r="T17" s="57">
        <v>27149.874937468732</v>
      </c>
      <c r="U17" s="57">
        <v>28012.009119855342</v>
      </c>
      <c r="V17" s="57">
        <v>28956.541835585045</v>
      </c>
      <c r="W17" s="57">
        <v>30137.989486515315</v>
      </c>
      <c r="X17" s="57">
        <v>28579.952267303102</v>
      </c>
      <c r="Y17" s="57">
        <v>31605.564479011093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7865.4431609516068</v>
      </c>
      <c r="E20" s="42">
        <f t="shared" ref="E20:S20" si="42">1000000*E16/E$3</f>
        <v>8492.9979775344163</v>
      </c>
      <c r="F20" s="42">
        <f t="shared" si="42"/>
        <v>8966.2378015294198</v>
      </c>
      <c r="G20" s="42">
        <f t="shared" si="42"/>
        <v>9468.5852374910664</v>
      </c>
      <c r="H20" s="42">
        <f t="shared" si="42"/>
        <v>9863.4845662553307</v>
      </c>
      <c r="I20" s="42">
        <f t="shared" si="42"/>
        <v>10276.123394482573</v>
      </c>
      <c r="J20" s="42">
        <f t="shared" si="42"/>
        <v>10793.761436447976</v>
      </c>
      <c r="K20" s="42">
        <f t="shared" si="42"/>
        <v>11338.889859552994</v>
      </c>
      <c r="L20" s="42">
        <f t="shared" si="42"/>
        <v>11571.17956755792</v>
      </c>
      <c r="M20" s="42">
        <f t="shared" si="42"/>
        <v>10741.301409041598</v>
      </c>
      <c r="N20" s="42">
        <f t="shared" si="42"/>
        <v>10625.00920082936</v>
      </c>
      <c r="O20" s="42">
        <f t="shared" si="42"/>
        <v>10648.328247227046</v>
      </c>
      <c r="P20" s="42">
        <f t="shared" si="42"/>
        <v>10432.822178964674</v>
      </c>
      <c r="Q20" s="42">
        <f t="shared" si="42"/>
        <v>10425.235350764327</v>
      </c>
      <c r="R20" s="42">
        <f t="shared" si="42"/>
        <v>10418.365567045556</v>
      </c>
      <c r="S20" s="42">
        <f t="shared" si="42"/>
        <v>10735.457419042741</v>
      </c>
      <c r="T20" s="42">
        <f t="shared" ref="T20:Y20" si="43">1000000*T16/T$3</f>
        <v>11209.852968000585</v>
      </c>
      <c r="U20" s="42">
        <f t="shared" si="43"/>
        <v>11692.619259992809</v>
      </c>
      <c r="V20" s="42">
        <f t="shared" si="43"/>
        <v>12165.093482923166</v>
      </c>
      <c r="W20" s="42">
        <f t="shared" si="43"/>
        <v>12668.886195907906</v>
      </c>
      <c r="X20" s="42">
        <f t="shared" si="43"/>
        <v>11632.049976589336</v>
      </c>
      <c r="Y20" s="42">
        <f t="shared" si="43"/>
        <v>13307.008440565958</v>
      </c>
    </row>
    <row r="21" spans="1:25" x14ac:dyDescent="0.25">
      <c r="A21" s="46" t="s">
        <v>141</v>
      </c>
      <c r="B21" s="47"/>
      <c r="C21" s="47"/>
      <c r="D21" s="57">
        <f>1000000*D17/D$3</f>
        <v>4747.0974834562548</v>
      </c>
      <c r="E21" s="57">
        <f t="shared" ref="E21:S21" si="44">1000000*E17/E$3</f>
        <v>5234.6201604713442</v>
      </c>
      <c r="F21" s="57">
        <f t="shared" si="44"/>
        <v>5719.2703796701117</v>
      </c>
      <c r="G21" s="57">
        <f t="shared" si="44"/>
        <v>5980.7209252525627</v>
      </c>
      <c r="H21" s="57">
        <f t="shared" si="44"/>
        <v>6255.2290114997595</v>
      </c>
      <c r="I21" s="57">
        <f t="shared" si="44"/>
        <v>6534.1039720081726</v>
      </c>
      <c r="J21" s="57">
        <f t="shared" si="44"/>
        <v>6616.7735437420606</v>
      </c>
      <c r="K21" s="57">
        <f t="shared" si="44"/>
        <v>6947.9446157087186</v>
      </c>
      <c r="L21" s="57">
        <f t="shared" si="44"/>
        <v>7165.7198812681754</v>
      </c>
      <c r="M21" s="57">
        <f t="shared" si="44"/>
        <v>6530.5050298384931</v>
      </c>
      <c r="N21" s="57">
        <f t="shared" si="44"/>
        <v>6440.6074819079604</v>
      </c>
      <c r="O21" s="57">
        <f t="shared" si="44"/>
        <v>6524.2450050771577</v>
      </c>
      <c r="P21" s="57">
        <f t="shared" si="44"/>
        <v>6388.4761814734438</v>
      </c>
      <c r="Q21" s="57">
        <f t="shared" si="44"/>
        <v>6307.7787930938575</v>
      </c>
      <c r="R21" s="57">
        <f t="shared" si="44"/>
        <v>6173.6564003233134</v>
      </c>
      <c r="S21" s="57">
        <f t="shared" si="44"/>
        <v>6228.3862319409955</v>
      </c>
      <c r="T21" s="57">
        <f t="shared" ref="T21:Y21" si="45">1000000*T17/T$3</f>
        <v>6478.6493367690773</v>
      </c>
      <c r="U21" s="57">
        <f t="shared" si="45"/>
        <v>6743.0363151468982</v>
      </c>
      <c r="V21" s="57">
        <f t="shared" si="45"/>
        <v>7053.1217165843527</v>
      </c>
      <c r="W21" s="57">
        <f t="shared" si="45"/>
        <v>7393.5649336461329</v>
      </c>
      <c r="X21" s="57">
        <f t="shared" si="45"/>
        <v>7042.5801482451061</v>
      </c>
      <c r="Y21" s="57">
        <f t="shared" si="45"/>
        <v>7830.2241698292382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29443.557376555302</v>
      </c>
      <c r="E23" s="60">
        <v>30500.056647595313</v>
      </c>
      <c r="F23" s="60">
        <v>32124.503132789865</v>
      </c>
      <c r="G23" s="60">
        <v>34037.287467997106</v>
      </c>
      <c r="H23" s="60">
        <v>35482.038054652163</v>
      </c>
      <c r="I23" s="60">
        <v>36973.817376498744</v>
      </c>
      <c r="J23" s="60">
        <v>38714.546547363883</v>
      </c>
      <c r="K23" s="60">
        <v>40634.200236132623</v>
      </c>
      <c r="L23" s="60">
        <v>41466.207203201426</v>
      </c>
      <c r="M23" s="60">
        <v>38919.671182585451</v>
      </c>
      <c r="N23" s="60">
        <v>38255.756789176645</v>
      </c>
      <c r="O23" s="60">
        <v>38366.965068297533</v>
      </c>
      <c r="P23" s="60">
        <v>37068.26439282795</v>
      </c>
      <c r="Q23" s="60">
        <v>36811.324121250567</v>
      </c>
      <c r="R23" s="60">
        <v>36672.359550561792</v>
      </c>
      <c r="S23" s="60">
        <v>37597.199999999997</v>
      </c>
      <c r="T23" s="60">
        <v>38971.577456137748</v>
      </c>
      <c r="U23" s="60">
        <v>40109.198629208695</v>
      </c>
      <c r="V23" s="60">
        <v>41138.575928711296</v>
      </c>
      <c r="W23" s="60">
        <v>42631.588739836639</v>
      </c>
      <c r="X23" s="60">
        <v>39427.575117327004</v>
      </c>
      <c r="Y23" s="60">
        <v>44243.453269017788</v>
      </c>
    </row>
    <row r="24" spans="1:25" x14ac:dyDescent="0.25">
      <c r="A24" s="61" t="s">
        <v>33</v>
      </c>
      <c r="B24" s="62"/>
      <c r="C24" s="62"/>
      <c r="D24" s="63">
        <v>1768.2945199289011</v>
      </c>
      <c r="E24" s="63">
        <v>1822.9196170622558</v>
      </c>
      <c r="F24" s="63">
        <v>1876.5748164117765</v>
      </c>
      <c r="G24" s="63">
        <v>1602.8359482702026</v>
      </c>
      <c r="H24" s="63">
        <v>1860.7404084582508</v>
      </c>
      <c r="I24" s="63">
        <v>1695.7386262159621</v>
      </c>
      <c r="J24" s="63">
        <v>1832.6358883634425</v>
      </c>
      <c r="K24" s="63">
        <v>1775.7606611713479</v>
      </c>
      <c r="L24" s="63">
        <v>1904.1796353935081</v>
      </c>
      <c r="M24" s="63">
        <v>1817.5741734671483</v>
      </c>
      <c r="N24" s="63">
        <v>1643.6591744833147</v>
      </c>
      <c r="O24" s="63">
        <v>1629.4895657911584</v>
      </c>
      <c r="P24" s="63">
        <v>1446.5198255235769</v>
      </c>
      <c r="Q24" s="63">
        <v>1521.1831644892052</v>
      </c>
      <c r="R24" s="63">
        <v>1294.681647940075</v>
      </c>
      <c r="S24" s="63">
        <v>1342.8</v>
      </c>
      <c r="T24" s="63">
        <v>1435.6901556354701</v>
      </c>
      <c r="U24" s="63">
        <v>1397.3165017715735</v>
      </c>
      <c r="V24" s="63">
        <v>1472.6944215833735</v>
      </c>
      <c r="W24" s="63">
        <v>1483.0595196010941</v>
      </c>
      <c r="X24" s="63">
        <v>1453.6394742254549</v>
      </c>
      <c r="Y24" s="63">
        <v>1766.4503491894959</v>
      </c>
    </row>
    <row r="25" spans="1:25" x14ac:dyDescent="0.25">
      <c r="A25" s="64" t="s">
        <v>56</v>
      </c>
      <c r="B25" s="65"/>
      <c r="C25" s="65"/>
      <c r="D25" s="66">
        <v>197.4813966800229</v>
      </c>
      <c r="E25" s="66">
        <v>155.92250608961652</v>
      </c>
      <c r="F25" s="66">
        <v>223.27022839048709</v>
      </c>
      <c r="G25" s="66">
        <v>187.22510339394734</v>
      </c>
      <c r="H25" s="66">
        <v>280.48795683650457</v>
      </c>
      <c r="I25" s="66">
        <v>318.62073892388116</v>
      </c>
      <c r="J25" s="66">
        <v>462.01476542033816</v>
      </c>
      <c r="K25" s="66">
        <v>353.33239457978141</v>
      </c>
      <c r="L25" s="66">
        <v>357.73475079833463</v>
      </c>
      <c r="M25" s="66">
        <v>389.77234182645304</v>
      </c>
      <c r="N25" s="66">
        <v>396.73175623856997</v>
      </c>
      <c r="O25" s="66">
        <v>379.35415250982362</v>
      </c>
      <c r="P25" s="66">
        <v>371.40240840480101</v>
      </c>
      <c r="Q25" s="66">
        <v>403.14426756011972</v>
      </c>
      <c r="R25" s="66">
        <v>315.80524344569289</v>
      </c>
      <c r="S25" s="66">
        <v>218.2</v>
      </c>
      <c r="T25" s="66">
        <v>162.27301096680242</v>
      </c>
      <c r="U25" s="66">
        <v>164.86282406242134</v>
      </c>
      <c r="V25" s="66">
        <v>158.3562732355195</v>
      </c>
      <c r="W25" s="66">
        <v>157.03202039183583</v>
      </c>
      <c r="X25" s="66">
        <v>88.71978011704654</v>
      </c>
      <c r="Y25" s="66">
        <v>101.78210209330636</v>
      </c>
    </row>
    <row r="26" spans="1:25" x14ac:dyDescent="0.25">
      <c r="A26" s="67" t="s">
        <v>146</v>
      </c>
      <c r="B26" s="44"/>
      <c r="C26" s="44"/>
      <c r="D26" s="45">
        <v>19612.117012623148</v>
      </c>
      <c r="E26" s="45">
        <v>20381.096697445195</v>
      </c>
      <c r="F26" s="45">
        <v>21807.586067506567</v>
      </c>
      <c r="G26" s="45">
        <v>23417.055077791629</v>
      </c>
      <c r="H26" s="45">
        <v>23983.277883692823</v>
      </c>
      <c r="I26" s="45">
        <v>25420.719873313734</v>
      </c>
      <c r="J26" s="45">
        <v>26618.469250048194</v>
      </c>
      <c r="K26" s="45">
        <v>28399.714041225721</v>
      </c>
      <c r="L26" s="45">
        <v>29014.915720118031</v>
      </c>
      <c r="M26" s="45">
        <v>27374.847862088234</v>
      </c>
      <c r="N26" s="45">
        <v>27653.629087762773</v>
      </c>
      <c r="O26" s="45">
        <v>27721.019095734722</v>
      </c>
      <c r="P26" s="45">
        <v>27016.079006705324</v>
      </c>
      <c r="Q26" s="45">
        <v>26884.578021847305</v>
      </c>
      <c r="R26" s="45">
        <v>26957.602996254678</v>
      </c>
      <c r="S26" s="45">
        <v>27688.099999999995</v>
      </c>
      <c r="T26" s="45">
        <v>28621.075677871235</v>
      </c>
      <c r="U26" s="45">
        <v>29702.027144765627</v>
      </c>
      <c r="V26" s="45">
        <v>30530.029987418529</v>
      </c>
      <c r="W26" s="45">
        <v>31498.502241985596</v>
      </c>
      <c r="X26" s="45">
        <v>29113.456612381506</v>
      </c>
      <c r="Y26" s="45">
        <v>32676.356713316804</v>
      </c>
    </row>
    <row r="27" spans="1:25" x14ac:dyDescent="0.25">
      <c r="A27" s="68" t="s">
        <v>148</v>
      </c>
      <c r="B27" s="69"/>
      <c r="C27" s="69"/>
      <c r="D27" s="70">
        <v>8537.3422107070764</v>
      </c>
      <c r="E27" s="70">
        <v>8410.0436186483894</v>
      </c>
      <c r="F27" s="70">
        <v>8805.7670282287945</v>
      </c>
      <c r="G27" s="70">
        <v>9242.3028950305252</v>
      </c>
      <c r="H27" s="70">
        <v>9728.1098525911802</v>
      </c>
      <c r="I27" s="70">
        <v>9931.2988914951147</v>
      </c>
      <c r="J27" s="70">
        <v>10174.191133943455</v>
      </c>
      <c r="K27" s="70">
        <v>10596.938941302629</v>
      </c>
      <c r="L27" s="70">
        <v>10816.120295889081</v>
      </c>
      <c r="M27" s="70">
        <v>10701.829645443844</v>
      </c>
      <c r="N27" s="70">
        <v>10808.900163215541</v>
      </c>
      <c r="O27" s="70">
        <v>10797.214918111895</v>
      </c>
      <c r="P27" s="70">
        <v>10597.768828585775</v>
      </c>
      <c r="Q27" s="70">
        <v>10748.101742630002</v>
      </c>
      <c r="R27" s="70">
        <v>10657.378277153559</v>
      </c>
      <c r="S27" s="70">
        <v>10999.5</v>
      </c>
      <c r="T27" s="70">
        <v>11635.906123379003</v>
      </c>
      <c r="U27" s="70">
        <v>12173.033359793993</v>
      </c>
      <c r="V27" s="70">
        <v>12647.122815979415</v>
      </c>
      <c r="W27" s="70">
        <v>12989.93432191564</v>
      </c>
      <c r="X27" s="70">
        <v>11504.216293027692</v>
      </c>
      <c r="Y27" s="70">
        <v>13170.164663670563</v>
      </c>
    </row>
    <row r="28" spans="1:25" x14ac:dyDescent="0.25">
      <c r="A28" s="68" t="s">
        <v>150</v>
      </c>
      <c r="B28" s="71"/>
      <c r="C28" s="71"/>
      <c r="D28" s="70">
        <v>7263.7303045822919</v>
      </c>
      <c r="E28" s="70">
        <v>7772.1916954625276</v>
      </c>
      <c r="F28" s="70">
        <v>8384.0194030856292</v>
      </c>
      <c r="G28" s="70">
        <v>9006.2364603164187</v>
      </c>
      <c r="H28" s="70">
        <v>9302.7051948213775</v>
      </c>
      <c r="I28" s="70">
        <v>10198.483098574781</v>
      </c>
      <c r="J28" s="70">
        <v>10858.254232867235</v>
      </c>
      <c r="K28" s="70">
        <v>12058.686539357243</v>
      </c>
      <c r="L28" s="70">
        <v>12279.90217874611</v>
      </c>
      <c r="M28" s="70">
        <v>11708.932740078611</v>
      </c>
      <c r="N28" s="70">
        <v>11688.395964839834</v>
      </c>
      <c r="O28" s="70">
        <v>11754.759161323998</v>
      </c>
      <c r="P28" s="70">
        <v>11347.564517875953</v>
      </c>
      <c r="Q28" s="70">
        <v>11156.499672885153</v>
      </c>
      <c r="R28" s="70">
        <v>11272.50936329588</v>
      </c>
      <c r="S28" s="70">
        <v>11370.5</v>
      </c>
      <c r="T28" s="70">
        <v>11722.49135633687</v>
      </c>
      <c r="U28" s="70">
        <v>12054.541230227111</v>
      </c>
      <c r="V28" s="70">
        <v>12135.633945379384</v>
      </c>
      <c r="W28" s="70">
        <v>12605.9128881612</v>
      </c>
      <c r="X28" s="70">
        <v>11956.416057438817</v>
      </c>
      <c r="Y28" s="70">
        <v>13269.292376410716</v>
      </c>
    </row>
    <row r="29" spans="1:25" x14ac:dyDescent="0.25">
      <c r="A29" s="68" t="s">
        <v>152</v>
      </c>
      <c r="B29" s="71"/>
      <c r="C29" s="71"/>
      <c r="D29" s="70">
        <v>3811.0444973337762</v>
      </c>
      <c r="E29" s="70">
        <v>4198.8613833342779</v>
      </c>
      <c r="F29" s="70">
        <v>4617.7996361921414</v>
      </c>
      <c r="G29" s="70">
        <v>5168.5157224446893</v>
      </c>
      <c r="H29" s="70">
        <v>4952.462836280265</v>
      </c>
      <c r="I29" s="70">
        <v>5290.9378832438351</v>
      </c>
      <c r="J29" s="70">
        <v>5586.0238832375035</v>
      </c>
      <c r="K29" s="70">
        <v>5744.0885605658486</v>
      </c>
      <c r="L29" s="70">
        <v>5918.8932454828428</v>
      </c>
      <c r="M29" s="70">
        <v>4964.0854765657805</v>
      </c>
      <c r="N29" s="70">
        <v>5156.3329597073962</v>
      </c>
      <c r="O29" s="70">
        <v>5169.0450162988318</v>
      </c>
      <c r="P29" s="70">
        <v>5070.7456602435941</v>
      </c>
      <c r="Q29" s="70">
        <v>4979.9766063321476</v>
      </c>
      <c r="R29" s="70">
        <v>5027.7153558052423</v>
      </c>
      <c r="S29" s="70">
        <v>5318.099999999994</v>
      </c>
      <c r="T29" s="70">
        <v>5262.678198155364</v>
      </c>
      <c r="U29" s="70">
        <v>5474.4525547445246</v>
      </c>
      <c r="V29" s="70">
        <v>5747.2732260597295</v>
      </c>
      <c r="W29" s="70">
        <v>5902.6550319087564</v>
      </c>
      <c r="X29" s="70">
        <v>5652.824261914996</v>
      </c>
      <c r="Y29" s="70">
        <v>6236.8996732355236</v>
      </c>
    </row>
    <row r="30" spans="1:25" x14ac:dyDescent="0.25">
      <c r="A30" s="64" t="s">
        <v>154</v>
      </c>
      <c r="B30" s="65"/>
      <c r="C30" s="65"/>
      <c r="D30" s="66">
        <v>1310.0653752297171</v>
      </c>
      <c r="E30" s="66">
        <v>1210.7007307539795</v>
      </c>
      <c r="F30" s="66">
        <v>1079.7008690965438</v>
      </c>
      <c r="G30" s="66">
        <v>1171.6667760782511</v>
      </c>
      <c r="H30" s="66">
        <v>1416.1464368933248</v>
      </c>
      <c r="I30" s="66">
        <v>1373.0696417302679</v>
      </c>
      <c r="J30" s="66">
        <v>1249.9574728676896</v>
      </c>
      <c r="K30" s="66">
        <v>1140.9105187335495</v>
      </c>
      <c r="L30" s="66">
        <v>1002.8699624075347</v>
      </c>
      <c r="M30" s="66">
        <v>1242.5427482591431</v>
      </c>
      <c r="N30" s="66">
        <v>1511.8085462017971</v>
      </c>
      <c r="O30" s="66">
        <v>1664.2538481992497</v>
      </c>
      <c r="P30" s="66">
        <v>1786.5125392621183</v>
      </c>
      <c r="Q30" s="66">
        <v>1760.7700085248111</v>
      </c>
      <c r="R30" s="66">
        <v>1696.5792759051187</v>
      </c>
      <c r="S30" s="66">
        <v>1694.6</v>
      </c>
      <c r="T30" s="66">
        <v>1689.9971270346045</v>
      </c>
      <c r="U30" s="66">
        <v>1646.4016728300644</v>
      </c>
      <c r="V30" s="66">
        <v>1570.9812602283587</v>
      </c>
      <c r="W30" s="66">
        <v>1676.4656631998066</v>
      </c>
      <c r="X30" s="66">
        <v>1149.804610810912</v>
      </c>
      <c r="Y30" s="66">
        <v>1469.9825176425361</v>
      </c>
    </row>
    <row r="31" spans="1:25" x14ac:dyDescent="0.25">
      <c r="A31" s="64" t="s">
        <v>37</v>
      </c>
      <c r="B31" s="65"/>
      <c r="C31" s="65"/>
      <c r="D31" s="66">
        <v>1430.7233452836442</v>
      </c>
      <c r="E31" s="66">
        <v>1653.4016880983404</v>
      </c>
      <c r="F31" s="66">
        <v>1743.5828336589636</v>
      </c>
      <c r="G31" s="66">
        <v>2205.0810739841131</v>
      </c>
      <c r="H31" s="66">
        <v>2360.0363849326504</v>
      </c>
      <c r="I31" s="66">
        <v>2643.7424839558503</v>
      </c>
      <c r="J31" s="66">
        <v>2871.7721906576398</v>
      </c>
      <c r="K31" s="66">
        <v>3036.2539400569754</v>
      </c>
      <c r="L31" s="66">
        <v>3211.0230809652776</v>
      </c>
      <c r="M31" s="66">
        <v>2773.8981224685249</v>
      </c>
      <c r="N31" s="66">
        <v>2065.9548109256089</v>
      </c>
      <c r="O31" s="66">
        <v>1897.0662097083937</v>
      </c>
      <c r="P31" s="66">
        <v>1586.9280530912456</v>
      </c>
      <c r="Q31" s="66">
        <v>1591.7606708828134</v>
      </c>
      <c r="R31" s="66">
        <v>1573.1335830212236</v>
      </c>
      <c r="S31" s="66">
        <v>1647.1</v>
      </c>
      <c r="T31" s="66">
        <v>1751.4191458376674</v>
      </c>
      <c r="U31" s="66">
        <v>1813.8782938682259</v>
      </c>
      <c r="V31" s="66">
        <v>2020.2249529377266</v>
      </c>
      <c r="W31" s="66">
        <v>2293.4303309952188</v>
      </c>
      <c r="X31" s="66">
        <v>2374.2123665463791</v>
      </c>
      <c r="Y31" s="66">
        <v>2631.8728089846504</v>
      </c>
    </row>
    <row r="32" spans="1:25" x14ac:dyDescent="0.25">
      <c r="A32" s="64" t="s">
        <v>58</v>
      </c>
      <c r="B32" s="65"/>
      <c r="C32" s="65"/>
      <c r="D32" s="66">
        <v>5124.8757268098707</v>
      </c>
      <c r="E32" s="66">
        <v>5276.015408145925</v>
      </c>
      <c r="F32" s="66">
        <v>5393.7883177255262</v>
      </c>
      <c r="G32" s="66">
        <v>5453.4234884789594</v>
      </c>
      <c r="H32" s="66">
        <v>5581.3489838386085</v>
      </c>
      <c r="I32" s="66">
        <v>5521.9260123590557</v>
      </c>
      <c r="J32" s="66">
        <v>5679.6969800065763</v>
      </c>
      <c r="K32" s="66">
        <v>5928.2286803652478</v>
      </c>
      <c r="L32" s="66">
        <v>5975.4840535187359</v>
      </c>
      <c r="M32" s="66">
        <v>5321.0359344759472</v>
      </c>
      <c r="N32" s="66">
        <v>4983.9734135645867</v>
      </c>
      <c r="O32" s="66">
        <v>5075.7821963541828</v>
      </c>
      <c r="P32" s="66">
        <v>4860.8225598408844</v>
      </c>
      <c r="Q32" s="66">
        <v>4649.8879879463138</v>
      </c>
      <c r="R32" s="66">
        <v>4834.5568039950058</v>
      </c>
      <c r="S32" s="66">
        <v>5006.3999999999996</v>
      </c>
      <c r="T32" s="66">
        <v>5311.1223387919672</v>
      </c>
      <c r="U32" s="66">
        <v>5384.7121919107822</v>
      </c>
      <c r="V32" s="66">
        <v>5386.2890333077921</v>
      </c>
      <c r="W32" s="66">
        <v>5523.0989636630893</v>
      </c>
      <c r="X32" s="66">
        <v>5247.7422732457053</v>
      </c>
      <c r="Y32" s="66">
        <v>5597.0087777909994</v>
      </c>
    </row>
    <row r="33" spans="1:25" x14ac:dyDescent="0.25">
      <c r="A33" s="72" t="s">
        <v>158</v>
      </c>
      <c r="B33" s="65"/>
      <c r="C33" s="65"/>
      <c r="D33" s="66">
        <v>73.81074322899407</v>
      </c>
      <c r="E33" s="66">
        <v>71.942446043165475</v>
      </c>
      <c r="F33" s="66">
        <v>99.97978845246918</v>
      </c>
      <c r="G33" s="66">
        <v>80.745749359942224</v>
      </c>
      <c r="H33" s="66">
        <v>73.891318704596713</v>
      </c>
      <c r="I33" s="66">
        <v>97.396025575386673</v>
      </c>
      <c r="J33" s="66">
        <v>116.24082831513172</v>
      </c>
      <c r="K33" s="66">
        <v>96.836039470976274</v>
      </c>
      <c r="L33" s="66">
        <v>71.344840130967285</v>
      </c>
      <c r="M33" s="66">
        <v>58.361100580618128</v>
      </c>
      <c r="N33" s="66">
        <v>77.37989892435057</v>
      </c>
      <c r="O33" s="66">
        <v>82.823686983582988</v>
      </c>
      <c r="P33" s="66">
        <v>68.924094878939741</v>
      </c>
      <c r="Q33" s="66">
        <v>68.198489324160903</v>
      </c>
      <c r="R33" s="66">
        <v>69.712858926342079</v>
      </c>
      <c r="S33" s="66">
        <v>59.5</v>
      </c>
      <c r="T33" s="66">
        <v>60.728544397222137</v>
      </c>
      <c r="U33" s="66">
        <v>57.890762647873146</v>
      </c>
      <c r="V33" s="66">
        <v>65.93448174740567</v>
      </c>
      <c r="W33" s="66">
        <v>112.09927995981171</v>
      </c>
      <c r="X33" s="66">
        <v>40.947590823252249</v>
      </c>
      <c r="Y33" s="66">
        <v>26.452362864177644</v>
      </c>
    </row>
    <row r="34" spans="1:25" x14ac:dyDescent="0.25">
      <c r="A34" s="73" t="s">
        <v>5</v>
      </c>
      <c r="B34" s="65"/>
      <c r="C34" s="65"/>
      <c r="D34" s="66">
        <v>7.5433306842065191</v>
      </c>
      <c r="E34" s="66">
        <v>7.3523939333685799</v>
      </c>
      <c r="F34" s="66">
        <v>10.217761982075976</v>
      </c>
      <c r="G34" s="66">
        <v>12.290179983808695</v>
      </c>
      <c r="H34" s="66">
        <v>11.246878174010588</v>
      </c>
      <c r="I34" s="66">
        <v>14.824491611232396</v>
      </c>
      <c r="J34" s="66">
        <v>17.692828573446992</v>
      </c>
      <c r="K34" s="66">
        <v>14.739257031502925</v>
      </c>
      <c r="L34" s="66">
        <v>10.859282786725167</v>
      </c>
      <c r="M34" s="66">
        <v>1.7282230173602571</v>
      </c>
      <c r="N34" s="66">
        <v>41.763745760902466</v>
      </c>
      <c r="O34" s="66">
        <v>43.643114097466295</v>
      </c>
      <c r="P34" s="66">
        <v>10.727733137631091</v>
      </c>
      <c r="Q34" s="66">
        <v>36.957404790885548</v>
      </c>
      <c r="R34" s="66">
        <v>52.844524705055562</v>
      </c>
      <c r="S34" s="66">
        <v>37.732082981616962</v>
      </c>
      <c r="T34" s="66">
        <v>36.173244322035025</v>
      </c>
      <c r="U34" s="66">
        <v>36.566069226825093</v>
      </c>
      <c r="V34" s="66">
        <v>50.335394233557253</v>
      </c>
      <c r="W34" s="66">
        <v>58.231966723550748</v>
      </c>
      <c r="X34" s="66">
        <v>19.747507276510234</v>
      </c>
      <c r="Y34" s="66">
        <v>14.82815734242422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7.5433306842065191</v>
      </c>
      <c r="E36" s="45">
        <v>7.3523939333685799</v>
      </c>
      <c r="F36" s="45">
        <v>10.217761982075976</v>
      </c>
      <c r="G36" s="45">
        <v>12.290179983808695</v>
      </c>
      <c r="H36" s="45">
        <v>11.246878174010588</v>
      </c>
      <c r="I36" s="45">
        <v>14.824491611232396</v>
      </c>
      <c r="J36" s="45">
        <v>17.692828573446992</v>
      </c>
      <c r="K36" s="45">
        <v>14.739257031502925</v>
      </c>
      <c r="L36" s="45">
        <v>10.859282786725167</v>
      </c>
      <c r="M36" s="45">
        <v>1.7282230173602571</v>
      </c>
      <c r="N36" s="45">
        <v>41.763745760902466</v>
      </c>
      <c r="O36" s="45">
        <v>43.643114097466295</v>
      </c>
      <c r="P36" s="45">
        <v>10.727733137631091</v>
      </c>
      <c r="Q36" s="45">
        <v>36.957404790885548</v>
      </c>
      <c r="R36" s="45">
        <v>52.844524705055562</v>
      </c>
      <c r="S36" s="45">
        <v>37.732082981616962</v>
      </c>
      <c r="T36" s="45">
        <v>36.173244322035025</v>
      </c>
      <c r="U36" s="45">
        <v>36.566069226825093</v>
      </c>
      <c r="V36" s="45">
        <v>50.335394233557253</v>
      </c>
      <c r="W36" s="45">
        <v>58.231966723550748</v>
      </c>
      <c r="X36" s="45">
        <v>19.747507276510234</v>
      </c>
      <c r="Y36" s="45">
        <v>14.82815734242422</v>
      </c>
    </row>
    <row r="37" spans="1:25" x14ac:dyDescent="0.25">
      <c r="A37" s="73" t="s">
        <v>269</v>
      </c>
      <c r="B37" s="65"/>
      <c r="C37" s="65"/>
      <c r="D37" s="66">
        <v>66.267412544787561</v>
      </c>
      <c r="E37" s="66">
        <v>64.590052109796915</v>
      </c>
      <c r="F37" s="66">
        <v>89.762026470393224</v>
      </c>
      <c r="G37" s="66">
        <v>68.455569376133539</v>
      </c>
      <c r="H37" s="66">
        <v>62.644440530586131</v>
      </c>
      <c r="I37" s="66">
        <v>82.57153396415427</v>
      </c>
      <c r="J37" s="66">
        <v>98.547999741684734</v>
      </c>
      <c r="K37" s="66">
        <v>82.096782439473344</v>
      </c>
      <c r="L37" s="66">
        <v>60.485557344242117</v>
      </c>
      <c r="M37" s="66">
        <v>56.632877563257878</v>
      </c>
      <c r="N37" s="66">
        <v>35.616153163448104</v>
      </c>
      <c r="O37" s="66">
        <v>39.180572886116693</v>
      </c>
      <c r="P37" s="66">
        <v>58.19636174130865</v>
      </c>
      <c r="Q37" s="66">
        <v>31.241084533275355</v>
      </c>
      <c r="R37" s="66">
        <v>16.868334221286517</v>
      </c>
      <c r="S37" s="66">
        <v>21.767917018383038</v>
      </c>
      <c r="T37" s="66">
        <v>24.555300075187116</v>
      </c>
      <c r="U37" s="66">
        <v>21.324693421048053</v>
      </c>
      <c r="V37" s="66">
        <v>15.599087513848417</v>
      </c>
      <c r="W37" s="66">
        <v>53.867313236260962</v>
      </c>
      <c r="X37" s="66">
        <v>21.200083546742015</v>
      </c>
      <c r="Y37" s="66">
        <v>11.624205521753424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66.267412544787561</v>
      </c>
      <c r="E39" s="45">
        <v>64.590052109796915</v>
      </c>
      <c r="F39" s="45">
        <v>89.762026470393224</v>
      </c>
      <c r="G39" s="45">
        <v>68.455569376133539</v>
      </c>
      <c r="H39" s="45">
        <v>62.644440530586131</v>
      </c>
      <c r="I39" s="45">
        <v>82.57153396415427</v>
      </c>
      <c r="J39" s="45">
        <v>98.547999741684734</v>
      </c>
      <c r="K39" s="45">
        <v>82.096782439473344</v>
      </c>
      <c r="L39" s="45">
        <v>60.485557344242117</v>
      </c>
      <c r="M39" s="45">
        <v>56.632877563257878</v>
      </c>
      <c r="N39" s="45">
        <v>35.616153163448104</v>
      </c>
      <c r="O39" s="45">
        <v>39.180572886116693</v>
      </c>
      <c r="P39" s="45">
        <v>58.19636174130865</v>
      </c>
      <c r="Q39" s="45">
        <v>31.241084533275355</v>
      </c>
      <c r="R39" s="45">
        <v>16.352636139249704</v>
      </c>
      <c r="S39" s="45">
        <v>21.57243793872426</v>
      </c>
      <c r="T39" s="45">
        <v>19.376119957665267</v>
      </c>
      <c r="U39" s="45">
        <v>16.324693421048053</v>
      </c>
      <c r="V39" s="45">
        <v>8.1474169964314243</v>
      </c>
      <c r="W39" s="45">
        <v>46.636039779219438</v>
      </c>
      <c r="X39" s="45">
        <v>15.608215388757012</v>
      </c>
      <c r="Y39" s="45">
        <v>7.8482574850839448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66.267412544787561</v>
      </c>
      <c r="E41" s="45">
        <v>64.590052109796915</v>
      </c>
      <c r="F41" s="45">
        <v>89.762026470393224</v>
      </c>
      <c r="G41" s="45">
        <v>68.455569376133539</v>
      </c>
      <c r="H41" s="45">
        <v>62.644440530586131</v>
      </c>
      <c r="I41" s="45">
        <v>82.57153396415427</v>
      </c>
      <c r="J41" s="45">
        <v>98.547999741684734</v>
      </c>
      <c r="K41" s="45">
        <v>82.096782439473344</v>
      </c>
      <c r="L41" s="45">
        <v>60.485557344242117</v>
      </c>
      <c r="M41" s="45">
        <v>56.632877563257878</v>
      </c>
      <c r="N41" s="45">
        <v>35.616153163448104</v>
      </c>
      <c r="O41" s="45">
        <v>39.180572886116693</v>
      </c>
      <c r="P41" s="45">
        <v>58.19636174130865</v>
      </c>
      <c r="Q41" s="45">
        <v>31.241084533275355</v>
      </c>
      <c r="R41" s="45">
        <v>16.352636139249704</v>
      </c>
      <c r="S41" s="45">
        <v>21.57243793872426</v>
      </c>
      <c r="T41" s="45">
        <v>19.376119957665267</v>
      </c>
      <c r="U41" s="45">
        <v>16.324693421048053</v>
      </c>
      <c r="V41" s="45">
        <v>8.1474169964314243</v>
      </c>
      <c r="W41" s="45">
        <v>46.636039779219438</v>
      </c>
      <c r="X41" s="45">
        <v>15.608215388757012</v>
      </c>
      <c r="Y41" s="45">
        <v>7.8482574850839448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0.51569808203681333</v>
      </c>
      <c r="S42" s="45">
        <v>0.19547907965877798</v>
      </c>
      <c r="T42" s="45">
        <v>5.1791801175218488</v>
      </c>
      <c r="U42" s="45">
        <v>5</v>
      </c>
      <c r="V42" s="45">
        <v>7.4516705174169928</v>
      </c>
      <c r="W42" s="45">
        <v>7.2312734570415245</v>
      </c>
      <c r="X42" s="45">
        <v>5.5918681579850045</v>
      </c>
      <c r="Y42" s="45">
        <v>3.7759480366694795</v>
      </c>
    </row>
    <row r="43" spans="1:25" x14ac:dyDescent="0.25">
      <c r="A43" s="72" t="s">
        <v>271</v>
      </c>
      <c r="B43" s="65"/>
      <c r="C43" s="65"/>
      <c r="D43" s="66">
        <v>828.93983671256001</v>
      </c>
      <c r="E43" s="66">
        <v>843.48269415963296</v>
      </c>
      <c r="F43" s="66">
        <v>661.32183520851572</v>
      </c>
      <c r="G43" s="66">
        <v>579.9251624762029</v>
      </c>
      <c r="H43" s="66">
        <v>571.81662990791619</v>
      </c>
      <c r="I43" s="66">
        <v>549.84700013097267</v>
      </c>
      <c r="J43" s="66">
        <v>411.43582939248574</v>
      </c>
      <c r="K43" s="66">
        <v>461.65011210883767</v>
      </c>
      <c r="L43" s="66">
        <v>557.82367921096238</v>
      </c>
      <c r="M43" s="66">
        <v>463.89592769209281</v>
      </c>
      <c r="N43" s="66">
        <v>544.9039388040037</v>
      </c>
      <c r="O43" s="66">
        <v>526.09290828335349</v>
      </c>
      <c r="P43" s="66">
        <v>563.10985516093774</v>
      </c>
      <c r="Q43" s="66">
        <v>529.23217224083578</v>
      </c>
      <c r="R43" s="66">
        <v>550.21223470661675</v>
      </c>
      <c r="S43" s="66">
        <v>555.20000000000005</v>
      </c>
      <c r="T43" s="66">
        <v>539.22588442753681</v>
      </c>
      <c r="U43" s="66">
        <v>509.39998838312454</v>
      </c>
      <c r="V43" s="66">
        <v>484.33937811580631</v>
      </c>
      <c r="W43" s="66">
        <v>489.88780769159212</v>
      </c>
      <c r="X43" s="66">
        <v>579.6234317446665</v>
      </c>
      <c r="Y43" s="66">
        <v>528.5896039468023</v>
      </c>
    </row>
    <row r="44" spans="1:25" x14ac:dyDescent="0.25">
      <c r="A44" s="73" t="s">
        <v>272</v>
      </c>
      <c r="B44" s="65"/>
      <c r="C44" s="65"/>
      <c r="D44" s="66">
        <v>320.09761094206613</v>
      </c>
      <c r="E44" s="66">
        <v>324.02424517079254</v>
      </c>
      <c r="F44" s="66">
        <v>247.11985447685777</v>
      </c>
      <c r="G44" s="66">
        <v>208.10083371627385</v>
      </c>
      <c r="H44" s="66">
        <v>209.08875680659912</v>
      </c>
      <c r="I44" s="66">
        <v>222.29630776191556</v>
      </c>
      <c r="J44" s="66">
        <v>175.89221923587249</v>
      </c>
      <c r="K44" s="66">
        <v>197.67983449052761</v>
      </c>
      <c r="L44" s="66">
        <v>207.46594446016411</v>
      </c>
      <c r="M44" s="66">
        <v>184.76027055607653</v>
      </c>
      <c r="N44" s="66">
        <v>206.87078441783177</v>
      </c>
      <c r="O44" s="66">
        <v>203.56309274086331</v>
      </c>
      <c r="P44" s="66">
        <v>203.42454288555646</v>
      </c>
      <c r="Q44" s="66">
        <v>169.8023433318134</v>
      </c>
      <c r="R44" s="66">
        <v>164.39450686641698</v>
      </c>
      <c r="S44" s="66">
        <v>179.8</v>
      </c>
      <c r="T44" s="66">
        <v>166.13665408505958</v>
      </c>
      <c r="U44" s="66">
        <v>157.21504772599664</v>
      </c>
      <c r="V44" s="66">
        <v>130.16620786862293</v>
      </c>
      <c r="W44" s="66">
        <v>200.94144789476621</v>
      </c>
      <c r="X44" s="66">
        <v>226.05313838041997</v>
      </c>
      <c r="Y44" s="66">
        <v>184.61735604514291</v>
      </c>
    </row>
    <row r="45" spans="1:25" x14ac:dyDescent="0.25">
      <c r="A45" s="74" t="s">
        <v>20</v>
      </c>
      <c r="B45" s="44"/>
      <c r="C45" s="44"/>
      <c r="D45" s="45">
        <v>54.0187232124415</v>
      </c>
      <c r="E45" s="45">
        <v>54.349036883269775</v>
      </c>
      <c r="F45" s="45">
        <v>47.463189407159504</v>
      </c>
      <c r="G45" s="45">
        <v>43.555199633727355</v>
      </c>
      <c r="H45" s="45">
        <v>54.573078313401851</v>
      </c>
      <c r="I45" s="45">
        <v>56.270300738289301</v>
      </c>
      <c r="J45" s="45">
        <v>58.886738356722589</v>
      </c>
      <c r="K45" s="45">
        <v>62.427417626246616</v>
      </c>
      <c r="L45" s="45">
        <v>63.95398262520645</v>
      </c>
      <c r="M45" s="45">
        <v>59.752626102382656</v>
      </c>
      <c r="N45" s="45">
        <v>56.018086970983738</v>
      </c>
      <c r="O45" s="45">
        <v>50.92553360998523</v>
      </c>
      <c r="P45" s="45">
        <v>24.129332956698995</v>
      </c>
      <c r="Q45" s="45">
        <v>22.404838852937946</v>
      </c>
      <c r="R45" s="45">
        <v>10.808935004126548</v>
      </c>
      <c r="S45" s="45">
        <v>20.134313197950839</v>
      </c>
      <c r="T45" s="45">
        <v>23.817614319793591</v>
      </c>
      <c r="U45" s="45">
        <v>16.745211905139207</v>
      </c>
      <c r="V45" s="45">
        <v>1.9440931266090071</v>
      </c>
      <c r="W45" s="45">
        <v>31.497198261932009</v>
      </c>
      <c r="X45" s="45">
        <v>40.486709623798028</v>
      </c>
      <c r="Y45" s="45">
        <v>30.759584101314527</v>
      </c>
    </row>
    <row r="46" spans="1:25" x14ac:dyDescent="0.25">
      <c r="A46" s="74" t="s">
        <v>12</v>
      </c>
      <c r="B46" s="44"/>
      <c r="C46" s="44"/>
      <c r="D46" s="45">
        <v>266.07888772962463</v>
      </c>
      <c r="E46" s="45">
        <v>269.67520828752276</v>
      </c>
      <c r="F46" s="45">
        <v>199.65666506969825</v>
      </c>
      <c r="G46" s="45">
        <v>164.54563408254648</v>
      </c>
      <c r="H46" s="45">
        <v>154.51567849319727</v>
      </c>
      <c r="I46" s="45">
        <v>166.02600702362625</v>
      </c>
      <c r="J46" s="45">
        <v>117.0054808791499</v>
      </c>
      <c r="K46" s="45">
        <v>135.252416864281</v>
      </c>
      <c r="L46" s="45">
        <v>143.51196183495767</v>
      </c>
      <c r="M46" s="45">
        <v>125.00764445369387</v>
      </c>
      <c r="N46" s="45">
        <v>150.85269744684803</v>
      </c>
      <c r="O46" s="45">
        <v>152.63755913087809</v>
      </c>
      <c r="P46" s="45">
        <v>179.29520992885747</v>
      </c>
      <c r="Q46" s="45">
        <v>147.39750447887545</v>
      </c>
      <c r="R46" s="45">
        <v>153.58557186229044</v>
      </c>
      <c r="S46" s="45">
        <v>159.66568680204918</v>
      </c>
      <c r="T46" s="45">
        <v>142.31903976526598</v>
      </c>
      <c r="U46" s="45">
        <v>140.46983582085744</v>
      </c>
      <c r="V46" s="45">
        <v>128.22211474201393</v>
      </c>
      <c r="W46" s="45">
        <v>169.44424963283421</v>
      </c>
      <c r="X46" s="45">
        <v>185.56642875662195</v>
      </c>
      <c r="Y46" s="45">
        <v>153.8577719438284</v>
      </c>
    </row>
    <row r="47" spans="1:25" x14ac:dyDescent="0.25">
      <c r="A47" s="73" t="s">
        <v>11</v>
      </c>
      <c r="B47" s="65"/>
      <c r="C47" s="65"/>
      <c r="D47" s="66">
        <v>508.84222577049383</v>
      </c>
      <c r="E47" s="66">
        <v>519.45844898884047</v>
      </c>
      <c r="F47" s="66">
        <v>414.20198073165795</v>
      </c>
      <c r="G47" s="66">
        <v>371.82432875992907</v>
      </c>
      <c r="H47" s="66">
        <v>362.72787310131713</v>
      </c>
      <c r="I47" s="66">
        <v>327.55069236905717</v>
      </c>
      <c r="J47" s="66">
        <v>235.54361015661325</v>
      </c>
      <c r="K47" s="66">
        <v>263.97027761831004</v>
      </c>
      <c r="L47" s="66">
        <v>350.35773475079833</v>
      </c>
      <c r="M47" s="66">
        <v>279.13565713601628</v>
      </c>
      <c r="N47" s="66">
        <v>338.03315438617187</v>
      </c>
      <c r="O47" s="66">
        <v>322.52981554249021</v>
      </c>
      <c r="P47" s="66">
        <v>359.68531227538125</v>
      </c>
      <c r="Q47" s="66">
        <v>359.42982890902238</v>
      </c>
      <c r="R47" s="66">
        <v>385.81772784019972</v>
      </c>
      <c r="S47" s="66">
        <v>375.4</v>
      </c>
      <c r="T47" s="66">
        <v>373.08923034247726</v>
      </c>
      <c r="U47" s="66">
        <v>352.18494065712792</v>
      </c>
      <c r="V47" s="66">
        <v>354.17317024718335</v>
      </c>
      <c r="W47" s="66">
        <v>288.9463597968259</v>
      </c>
      <c r="X47" s="66">
        <v>353.5702933642466</v>
      </c>
      <c r="Y47" s="66">
        <v>343.97224790165944</v>
      </c>
    </row>
    <row r="48" spans="1:25" x14ac:dyDescent="0.25">
      <c r="A48" s="72" t="s">
        <v>4</v>
      </c>
      <c r="B48" s="65"/>
      <c r="C48" s="65"/>
      <c r="D48" s="66">
        <v>351.42951827192485</v>
      </c>
      <c r="E48" s="66">
        <v>367.78451254744232</v>
      </c>
      <c r="F48" s="66">
        <v>421.34339419254871</v>
      </c>
      <c r="G48" s="66">
        <v>451.65102081008331</v>
      </c>
      <c r="H48" s="66">
        <v>473.75176005881394</v>
      </c>
      <c r="I48" s="66">
        <v>464.59571124102541</v>
      </c>
      <c r="J48" s="66">
        <v>489.2321300990032</v>
      </c>
      <c r="K48" s="66">
        <v>529.24036784696875</v>
      </c>
      <c r="L48" s="66">
        <v>512.14681272484745</v>
      </c>
      <c r="M48" s="66">
        <v>415.01227079550677</v>
      </c>
      <c r="N48" s="66">
        <v>300.27726977759426</v>
      </c>
      <c r="O48" s="66">
        <v>298.30314848189403</v>
      </c>
      <c r="P48" s="66">
        <v>291.25353235986256</v>
      </c>
      <c r="Q48" s="66">
        <v>287.76193969191729</v>
      </c>
      <c r="R48" s="66">
        <v>298.62671660424468</v>
      </c>
      <c r="S48" s="66">
        <v>309.59999999999997</v>
      </c>
      <c r="T48" s="66">
        <v>339.70339108984444</v>
      </c>
      <c r="U48" s="66">
        <v>342.40740382195202</v>
      </c>
      <c r="V48" s="66">
        <v>353.88937764281866</v>
      </c>
      <c r="W48" s="66">
        <v>331.1812752339664</v>
      </c>
      <c r="X48" s="66">
        <v>399.09877905128735</v>
      </c>
      <c r="Y48" s="66">
        <v>408.13524571407652</v>
      </c>
    </row>
    <row r="49" spans="1:25" x14ac:dyDescent="0.25">
      <c r="A49" s="77" t="s">
        <v>10</v>
      </c>
      <c r="B49" s="44"/>
      <c r="C49" s="44"/>
      <c r="D49" s="45">
        <v>237.71744230647116</v>
      </c>
      <c r="E49" s="45">
        <v>238.50353420429732</v>
      </c>
      <c r="F49" s="45">
        <v>279.8661666276808</v>
      </c>
      <c r="G49" s="45">
        <v>321.25091606631071</v>
      </c>
      <c r="H49" s="45">
        <v>282.39229165046908</v>
      </c>
      <c r="I49" s="45">
        <v>261.28846358079022</v>
      </c>
      <c r="J49" s="45">
        <v>284.8570688467662</v>
      </c>
      <c r="K49" s="45">
        <v>299.29669078936013</v>
      </c>
      <c r="L49" s="45">
        <v>285.44352156666571</v>
      </c>
      <c r="M49" s="45">
        <v>231.35284960681801</v>
      </c>
      <c r="N49" s="45">
        <v>150.14478151986447</v>
      </c>
      <c r="O49" s="45">
        <v>147.74375948494011</v>
      </c>
      <c r="P49" s="45">
        <v>139.17399012178572</v>
      </c>
      <c r="Q49" s="45">
        <v>134.02514493562151</v>
      </c>
      <c r="R49" s="45">
        <v>144.12618271959019</v>
      </c>
      <c r="S49" s="45">
        <v>164.35888682223612</v>
      </c>
      <c r="T49" s="45">
        <v>167.47583074762144</v>
      </c>
      <c r="U49" s="45">
        <v>165.798984588606</v>
      </c>
      <c r="V49" s="45">
        <v>169.47781492328679</v>
      </c>
      <c r="W49" s="45">
        <v>161.25203962325293</v>
      </c>
      <c r="X49" s="45">
        <v>205.46389040264228</v>
      </c>
      <c r="Y49" s="45">
        <v>201.4226694650518</v>
      </c>
    </row>
    <row r="50" spans="1:25" x14ac:dyDescent="0.25">
      <c r="A50" s="77" t="s">
        <v>18</v>
      </c>
      <c r="B50" s="44"/>
      <c r="C50" s="44"/>
      <c r="D50" s="45">
        <v>51.336547127613215</v>
      </c>
      <c r="E50" s="45">
        <v>51.945991846159544</v>
      </c>
      <c r="F50" s="45">
        <v>60.113898548657907</v>
      </c>
      <c r="G50" s="45">
        <v>69.239905001987921</v>
      </c>
      <c r="H50" s="45">
        <v>77.145470423458917</v>
      </c>
      <c r="I50" s="45">
        <v>76.173068191486351</v>
      </c>
      <c r="J50" s="45">
        <v>69.871102242488959</v>
      </c>
      <c r="K50" s="45">
        <v>66.579675754317179</v>
      </c>
      <c r="L50" s="45">
        <v>81.844806244388778</v>
      </c>
      <c r="M50" s="45">
        <v>74.608189073940011</v>
      </c>
      <c r="N50" s="45">
        <v>56.937919930485158</v>
      </c>
      <c r="O50" s="45">
        <v>66.164673404645725</v>
      </c>
      <c r="P50" s="45">
        <v>69.063822714988248</v>
      </c>
      <c r="Q50" s="45">
        <v>67.254025610273075</v>
      </c>
      <c r="R50" s="45">
        <v>70.29721009379297</v>
      </c>
      <c r="S50" s="45">
        <v>64.748746640364047</v>
      </c>
      <c r="T50" s="45">
        <v>78.915358698272229</v>
      </c>
      <c r="U50" s="45">
        <v>82.974438793609309</v>
      </c>
      <c r="V50" s="45">
        <v>87.820776783544787</v>
      </c>
      <c r="W50" s="45">
        <v>85.460757152455116</v>
      </c>
      <c r="X50" s="45">
        <v>83.870599040676112</v>
      </c>
      <c r="Y50" s="45">
        <v>82.278077152898319</v>
      </c>
    </row>
    <row r="51" spans="1:25" x14ac:dyDescent="0.25">
      <c r="A51" s="77" t="s">
        <v>9</v>
      </c>
      <c r="B51" s="44"/>
      <c r="C51" s="44"/>
      <c r="D51" s="45">
        <v>62.375528837840477</v>
      </c>
      <c r="E51" s="45">
        <v>77.334986496985451</v>
      </c>
      <c r="F51" s="45">
        <v>81.363329016210002</v>
      </c>
      <c r="G51" s="45">
        <v>61.16019974178468</v>
      </c>
      <c r="H51" s="45">
        <v>114.21399798488595</v>
      </c>
      <c r="I51" s="45">
        <v>127.13417946874884</v>
      </c>
      <c r="J51" s="45">
        <v>134.50395900974803</v>
      </c>
      <c r="K51" s="45">
        <v>163.36400130329145</v>
      </c>
      <c r="L51" s="45">
        <v>144.85848491379295</v>
      </c>
      <c r="M51" s="45">
        <v>109.05123211474874</v>
      </c>
      <c r="N51" s="45">
        <v>93.194568327244639</v>
      </c>
      <c r="O51" s="45">
        <v>84.394715592308188</v>
      </c>
      <c r="P51" s="45">
        <v>83.015719523088592</v>
      </c>
      <c r="Q51" s="45">
        <v>86.482769146022704</v>
      </c>
      <c r="R51" s="45">
        <v>84.203323790861518</v>
      </c>
      <c r="S51" s="45">
        <v>80.492366537399803</v>
      </c>
      <c r="T51" s="45">
        <v>93.312201643950772</v>
      </c>
      <c r="U51" s="45">
        <v>93.633980439736703</v>
      </c>
      <c r="V51" s="45">
        <v>96.590785935987086</v>
      </c>
      <c r="W51" s="45">
        <v>84.46847845825836</v>
      </c>
      <c r="X51" s="45">
        <v>109.76428960796896</v>
      </c>
      <c r="Y51" s="45">
        <v>124.4344990961264</v>
      </c>
    </row>
    <row r="52" spans="1:25" x14ac:dyDescent="0.25">
      <c r="A52" s="72" t="s">
        <v>3</v>
      </c>
      <c r="B52" s="65"/>
      <c r="C52" s="65"/>
      <c r="D52" s="66">
        <v>284.99984936583019</v>
      </c>
      <c r="E52" s="66">
        <v>289.61083102022326</v>
      </c>
      <c r="F52" s="66">
        <v>292.93269554672236</v>
      </c>
      <c r="G52" s="66">
        <v>304.33926344121312</v>
      </c>
      <c r="H52" s="66">
        <v>290.8302493364734</v>
      </c>
      <c r="I52" s="66">
        <v>278.97174562729947</v>
      </c>
      <c r="J52" s="66">
        <v>268.54466482949454</v>
      </c>
      <c r="K52" s="66">
        <v>301.55652560089254</v>
      </c>
      <c r="L52" s="66">
        <v>320.64756053195367</v>
      </c>
      <c r="M52" s="66">
        <v>264.17127237175521</v>
      </c>
      <c r="N52" s="66">
        <v>251.41092954201329</v>
      </c>
      <c r="O52" s="66">
        <v>258.51626436611809</v>
      </c>
      <c r="P52" s="66">
        <v>241.33279506897333</v>
      </c>
      <c r="Q52" s="66">
        <v>239.28946690192498</v>
      </c>
      <c r="R52" s="66">
        <v>257.17852684144816</v>
      </c>
      <c r="S52" s="66">
        <v>281</v>
      </c>
      <c r="T52" s="66">
        <v>277.58789788094043</v>
      </c>
      <c r="U52" s="66">
        <v>277.74013049623409</v>
      </c>
      <c r="V52" s="66">
        <v>292.68477263482515</v>
      </c>
      <c r="W52" s="66">
        <v>337.60023815282705</v>
      </c>
      <c r="X52" s="66">
        <v>347.40010844567445</v>
      </c>
      <c r="Y52" s="66">
        <v>436.41822192525609</v>
      </c>
    </row>
    <row r="53" spans="1:25" x14ac:dyDescent="0.25">
      <c r="A53" s="73" t="s">
        <v>21</v>
      </c>
      <c r="B53" s="65"/>
      <c r="C53" s="65"/>
      <c r="D53" s="66">
        <v>141.44548549392945</v>
      </c>
      <c r="E53" s="66">
        <v>145.58431994561832</v>
      </c>
      <c r="F53" s="66">
        <v>143.09775651822406</v>
      </c>
      <c r="G53" s="66">
        <v>131.03131359548348</v>
      </c>
      <c r="H53" s="66">
        <v>130.33780668635441</v>
      </c>
      <c r="I53" s="66">
        <v>128.4722635645993</v>
      </c>
      <c r="J53" s="66">
        <v>115.5603941981651</v>
      </c>
      <c r="K53" s="66">
        <v>129.54799016475124</v>
      </c>
      <c r="L53" s="66">
        <v>133.4936739561017</v>
      </c>
      <c r="M53" s="66">
        <v>98.266126618647618</v>
      </c>
      <c r="N53" s="66">
        <v>90.850097339390004</v>
      </c>
      <c r="O53" s="66">
        <v>90.406830738322455</v>
      </c>
      <c r="P53" s="66">
        <v>87.43513750356928</v>
      </c>
      <c r="Q53" s="66">
        <v>85.248111655201129</v>
      </c>
      <c r="R53" s="66">
        <v>92.784019975031214</v>
      </c>
      <c r="S53" s="66">
        <v>100.1</v>
      </c>
      <c r="T53" s="66">
        <v>105.80438077688947</v>
      </c>
      <c r="U53" s="66">
        <v>94.774342194427774</v>
      </c>
      <c r="V53" s="66">
        <v>108.97636007605642</v>
      </c>
      <c r="W53" s="66">
        <v>127.91411613671461</v>
      </c>
      <c r="X53" s="66">
        <v>147.61699979432717</v>
      </c>
      <c r="Y53" s="66">
        <v>226.72146302618691</v>
      </c>
    </row>
    <row r="54" spans="1:25" x14ac:dyDescent="0.25">
      <c r="A54" s="74" t="s">
        <v>8</v>
      </c>
      <c r="B54" s="44"/>
      <c r="C54" s="44"/>
      <c r="D54" s="45">
        <v>11.205309134444914</v>
      </c>
      <c r="E54" s="45">
        <v>9.4014093962441621</v>
      </c>
      <c r="F54" s="45">
        <v>9.467446060534435</v>
      </c>
      <c r="G54" s="45">
        <v>8.5290002991107254</v>
      </c>
      <c r="H54" s="45">
        <v>7.7541820005251596</v>
      </c>
      <c r="I54" s="45">
        <v>5.3860553164016824</v>
      </c>
      <c r="J54" s="45">
        <v>5.5522722446380142</v>
      </c>
      <c r="K54" s="45">
        <v>5.839329417164989</v>
      </c>
      <c r="L54" s="45">
        <v>6.0664580827388228</v>
      </c>
      <c r="M54" s="45">
        <v>4.0245512608319851</v>
      </c>
      <c r="N54" s="45">
        <v>4.0011166592149054</v>
      </c>
      <c r="O54" s="45">
        <v>4.1872637394591452</v>
      </c>
      <c r="P54" s="45">
        <v>3.304649376251291</v>
      </c>
      <c r="Q54" s="45">
        <v>2.9966443763021746</v>
      </c>
      <c r="R54" s="45">
        <v>3.0116146675727529</v>
      </c>
      <c r="S54" s="45">
        <v>2.9337233720621003</v>
      </c>
      <c r="T54" s="45">
        <v>2.8370259829765314</v>
      </c>
      <c r="U54" s="45">
        <v>2.7965810514548641</v>
      </c>
      <c r="V54" s="45">
        <v>3.2738591742529879</v>
      </c>
      <c r="W54" s="45">
        <v>4.502833698506322</v>
      </c>
      <c r="X54" s="45">
        <v>5.0878883711521654</v>
      </c>
      <c r="Y54" s="45">
        <v>7.549869792621533</v>
      </c>
    </row>
    <row r="55" spans="1:25" x14ac:dyDescent="0.25">
      <c r="A55" s="74" t="s">
        <v>17</v>
      </c>
      <c r="B55" s="44"/>
      <c r="C55" s="44"/>
      <c r="D55" s="45">
        <v>130.24017635948454</v>
      </c>
      <c r="E55" s="45">
        <v>136.18291054937416</v>
      </c>
      <c r="F55" s="45">
        <v>133.63031045768963</v>
      </c>
      <c r="G55" s="45">
        <v>122.50231329637276</v>
      </c>
      <c r="H55" s="45">
        <v>122.58362468582925</v>
      </c>
      <c r="I55" s="45">
        <v>123.08620824819762</v>
      </c>
      <c r="J55" s="45">
        <v>110.00812195352708</v>
      </c>
      <c r="K55" s="45">
        <v>123.70866074758625</v>
      </c>
      <c r="L55" s="45">
        <v>127.42721587336288</v>
      </c>
      <c r="M55" s="45">
        <v>94.241575357815634</v>
      </c>
      <c r="N55" s="45">
        <v>86.848980680175103</v>
      </c>
      <c r="O55" s="45">
        <v>86.219566998863314</v>
      </c>
      <c r="P55" s="45">
        <v>84.130488127317989</v>
      </c>
      <c r="Q55" s="45">
        <v>82.251467278898957</v>
      </c>
      <c r="R55" s="45">
        <v>89.772405307458456</v>
      </c>
      <c r="S55" s="45">
        <v>97.16627662793789</v>
      </c>
      <c r="T55" s="45">
        <v>102.96735479391295</v>
      </c>
      <c r="U55" s="45">
        <v>91.977761142972909</v>
      </c>
      <c r="V55" s="45">
        <v>105.70250090180343</v>
      </c>
      <c r="W55" s="45">
        <v>123.41128243820829</v>
      </c>
      <c r="X55" s="45">
        <v>142.52911142317501</v>
      </c>
      <c r="Y55" s="45">
        <v>219.17159323356537</v>
      </c>
    </row>
    <row r="56" spans="1:25" x14ac:dyDescent="0.25">
      <c r="A56" s="73" t="s">
        <v>16</v>
      </c>
      <c r="B56" s="65"/>
      <c r="C56" s="65"/>
      <c r="D56" s="66">
        <v>143.55436387190073</v>
      </c>
      <c r="E56" s="66">
        <v>144.02651107460494</v>
      </c>
      <c r="F56" s="66">
        <v>149.8349390284983</v>
      </c>
      <c r="G56" s="66">
        <v>173.30794984572964</v>
      </c>
      <c r="H56" s="66">
        <v>160.49244265011899</v>
      </c>
      <c r="I56" s="66">
        <v>150.49948206270017</v>
      </c>
      <c r="J56" s="66">
        <v>152.98427063132942</v>
      </c>
      <c r="K56" s="66">
        <v>172.0085354361413</v>
      </c>
      <c r="L56" s="66">
        <v>187.15388657585197</v>
      </c>
      <c r="M56" s="66">
        <v>165.9051457531076</v>
      </c>
      <c r="N56" s="66">
        <v>160.56083220262329</v>
      </c>
      <c r="O56" s="66">
        <v>168.10943362779562</v>
      </c>
      <c r="P56" s="66">
        <v>153.89765756540405</v>
      </c>
      <c r="Q56" s="66">
        <v>154.04135524672387</v>
      </c>
      <c r="R56" s="66">
        <v>164.39450686641695</v>
      </c>
      <c r="S56" s="66">
        <v>180.9</v>
      </c>
      <c r="T56" s="66">
        <v>171.78351710405096</v>
      </c>
      <c r="U56" s="66">
        <v>182.9657883018063</v>
      </c>
      <c r="V56" s="66">
        <v>183.70841255876871</v>
      </c>
      <c r="W56" s="66">
        <v>209.68612201611245</v>
      </c>
      <c r="X56" s="66">
        <v>199.78310865134728</v>
      </c>
      <c r="Y56" s="66">
        <v>209.69675889906918</v>
      </c>
    </row>
    <row r="57" spans="1:25" x14ac:dyDescent="0.25">
      <c r="A57" s="72" t="s">
        <v>2</v>
      </c>
      <c r="B57" s="65"/>
      <c r="C57" s="65"/>
      <c r="D57" s="66">
        <v>1327.3883047630525</v>
      </c>
      <c r="E57" s="66">
        <v>1304.8773579561548</v>
      </c>
      <c r="F57" s="66">
        <v>1381.526645556828</v>
      </c>
      <c r="G57" s="66">
        <v>1412.9849668482898</v>
      </c>
      <c r="H57" s="66">
        <v>1507.7317981882297</v>
      </c>
      <c r="I57" s="66">
        <v>1528.2126995844596</v>
      </c>
      <c r="J57" s="66">
        <v>1583.3701901813356</v>
      </c>
      <c r="K57" s="66">
        <v>1552.8427984965501</v>
      </c>
      <c r="L57" s="66">
        <v>1580.1972593880107</v>
      </c>
      <c r="M57" s="66">
        <v>1514.2959755781242</v>
      </c>
      <c r="N57" s="66">
        <v>1504.2377047568482</v>
      </c>
      <c r="O57" s="66">
        <v>1578.475689622911</v>
      </c>
      <c r="P57" s="66">
        <v>1533.6595740490936</v>
      </c>
      <c r="Q57" s="66">
        <v>1503.4396621795761</v>
      </c>
      <c r="R57" s="66">
        <v>1458.0774032459426</v>
      </c>
      <c r="S57" s="66">
        <v>1438</v>
      </c>
      <c r="T57" s="66">
        <v>1437.5724433084672</v>
      </c>
      <c r="U57" s="66">
        <v>1437.9755658386416</v>
      </c>
      <c r="V57" s="66">
        <v>1467.1131670308671</v>
      </c>
      <c r="W57" s="66">
        <v>1488.7342549351592</v>
      </c>
      <c r="X57" s="66">
        <v>1266.8511489632219</v>
      </c>
      <c r="Y57" s="66">
        <v>1258.0890227270647</v>
      </c>
    </row>
    <row r="58" spans="1:25" x14ac:dyDescent="0.25">
      <c r="A58" s="72" t="s">
        <v>275</v>
      </c>
      <c r="B58" s="65"/>
      <c r="C58" s="65"/>
      <c r="D58" s="66">
        <v>249.60081944988403</v>
      </c>
      <c r="E58" s="66">
        <v>244.43437376083386</v>
      </c>
      <c r="F58" s="66">
        <v>281.88371622987268</v>
      </c>
      <c r="G58" s="66">
        <v>273.87907831681218</v>
      </c>
      <c r="H58" s="66">
        <v>305.40914358341746</v>
      </c>
      <c r="I58" s="66">
        <v>265.75541452843896</v>
      </c>
      <c r="J58" s="66">
        <v>314.13375066625838</v>
      </c>
      <c r="K58" s="66">
        <v>308.05558865263589</v>
      </c>
      <c r="L58" s="66">
        <v>304.68086826468328</v>
      </c>
      <c r="M58" s="66">
        <v>285.71998643229114</v>
      </c>
      <c r="N58" s="66">
        <v>271.86203370499283</v>
      </c>
      <c r="O58" s="66">
        <v>256.2511694783388</v>
      </c>
      <c r="P58" s="66">
        <v>225.57871623950138</v>
      </c>
      <c r="Q58" s="66">
        <v>97.044071291211509</v>
      </c>
      <c r="R58" s="66">
        <v>124.74406991260923</v>
      </c>
      <c r="S58" s="66">
        <v>122.2</v>
      </c>
      <c r="T58" s="66">
        <v>146.81843849377356</v>
      </c>
      <c r="U58" s="66">
        <v>137.56316676024704</v>
      </c>
      <c r="V58" s="66">
        <v>121.27403959852805</v>
      </c>
      <c r="W58" s="66">
        <v>221.03559268424283</v>
      </c>
      <c r="X58" s="66">
        <v>131.63061159620815</v>
      </c>
      <c r="Y58" s="66">
        <v>170.24704127117792</v>
      </c>
    </row>
    <row r="59" spans="1:25" x14ac:dyDescent="0.25">
      <c r="A59" s="72" t="s">
        <v>276</v>
      </c>
      <c r="B59" s="65"/>
      <c r="C59" s="65"/>
      <c r="D59" s="66">
        <v>951.40541680474803</v>
      </c>
      <c r="E59" s="66">
        <v>1093.1569704866029</v>
      </c>
      <c r="F59" s="66">
        <v>1176.0425789934648</v>
      </c>
      <c r="G59" s="66">
        <v>1261.2092168318782</v>
      </c>
      <c r="H59" s="66">
        <v>1311.8512703574945</v>
      </c>
      <c r="I59" s="66">
        <v>1308.893042970936</v>
      </c>
      <c r="J59" s="66">
        <v>1445.8090928679162</v>
      </c>
      <c r="K59" s="66">
        <v>1565.4076537299206</v>
      </c>
      <c r="L59" s="66">
        <v>1561.5020817332954</v>
      </c>
      <c r="M59" s="66">
        <v>1385.2032163450988</v>
      </c>
      <c r="N59" s="66">
        <v>1213.3994061313983</v>
      </c>
      <c r="O59" s="66">
        <v>1206.1137865492758</v>
      </c>
      <c r="P59" s="66">
        <v>1115.9795590827187</v>
      </c>
      <c r="Q59" s="66">
        <v>1096.4294918816042</v>
      </c>
      <c r="R59" s="66">
        <v>1179.1260923845193</v>
      </c>
      <c r="S59" s="66">
        <v>1296.0999999999999</v>
      </c>
      <c r="T59" s="66">
        <v>1504.1459862692068</v>
      </c>
      <c r="U59" s="66">
        <v>1540.8817208464829</v>
      </c>
      <c r="V59" s="66">
        <v>1514.4119344249889</v>
      </c>
      <c r="W59" s="66">
        <v>1361.0061956946433</v>
      </c>
      <c r="X59" s="66">
        <v>1497.111231606305</v>
      </c>
      <c r="Y59" s="66">
        <v>1638.1243535646618</v>
      </c>
    </row>
    <row r="60" spans="1:25" x14ac:dyDescent="0.25">
      <c r="A60" s="72" t="s">
        <v>1</v>
      </c>
      <c r="B60" s="65"/>
      <c r="C60" s="65"/>
      <c r="D60" s="66">
        <v>505.82954237339203</v>
      </c>
      <c r="E60" s="66">
        <v>504.44683623180202</v>
      </c>
      <c r="F60" s="66">
        <v>515.79869298659298</v>
      </c>
      <c r="G60" s="66">
        <v>491.30177903236392</v>
      </c>
      <c r="H60" s="66">
        <v>465.77698029980189</v>
      </c>
      <c r="I60" s="66">
        <v>446.49767225880197</v>
      </c>
      <c r="J60" s="66">
        <v>442.05536465598385</v>
      </c>
      <c r="K60" s="66">
        <v>432.18769294093437</v>
      </c>
      <c r="L60" s="66">
        <v>407.3527628440923</v>
      </c>
      <c r="M60" s="66">
        <v>351.76280452522997</v>
      </c>
      <c r="N60" s="66">
        <v>337.0499282244902</v>
      </c>
      <c r="O60" s="66">
        <v>346.55951783023608</v>
      </c>
      <c r="P60" s="66">
        <v>317.64161439922805</v>
      </c>
      <c r="Q60" s="66">
        <v>312.64249320988876</v>
      </c>
      <c r="R60" s="66">
        <v>325.09363295880149</v>
      </c>
      <c r="S60" s="66">
        <v>292.89999999999998</v>
      </c>
      <c r="T60" s="66">
        <v>309.28958500510197</v>
      </c>
      <c r="U60" s="66">
        <v>324.4980541733625</v>
      </c>
      <c r="V60" s="66">
        <v>327.59126297168694</v>
      </c>
      <c r="W60" s="66">
        <v>365.32271568645695</v>
      </c>
      <c r="X60" s="66">
        <v>296.16887609146835</v>
      </c>
      <c r="Y60" s="66">
        <v>310.01437031477394</v>
      </c>
    </row>
    <row r="61" spans="1:25" x14ac:dyDescent="0.25">
      <c r="A61" s="72" t="s">
        <v>0</v>
      </c>
      <c r="B61" s="65"/>
      <c r="C61" s="65"/>
      <c r="D61" s="66">
        <v>191.30539571596421</v>
      </c>
      <c r="E61" s="66">
        <v>167.25202515153234</v>
      </c>
      <c r="F61" s="66">
        <v>190.52752139055445</v>
      </c>
      <c r="G61" s="66">
        <v>203.37425326593578</v>
      </c>
      <c r="H61" s="66">
        <v>200.74015924638331</v>
      </c>
      <c r="I61" s="66">
        <v>199.67375903413625</v>
      </c>
      <c r="J61" s="66">
        <v>198.80016784041553</v>
      </c>
      <c r="K61" s="66">
        <v>235.59103562569729</v>
      </c>
      <c r="L61" s="66">
        <v>224.74635191398195</v>
      </c>
      <c r="M61" s="66">
        <v>187.65338494383369</v>
      </c>
      <c r="N61" s="66">
        <v>152.59670029300136</v>
      </c>
      <c r="O61" s="66">
        <v>158.95057169025321</v>
      </c>
      <c r="P61" s="66">
        <v>154.58689851419342</v>
      </c>
      <c r="Q61" s="66">
        <v>165.34168632659939</v>
      </c>
      <c r="R61" s="66">
        <v>190.56179775280899</v>
      </c>
      <c r="S61" s="66">
        <v>224.2</v>
      </c>
      <c r="T61" s="66">
        <v>246.67875293488274</v>
      </c>
      <c r="U61" s="66">
        <v>263.219036186567</v>
      </c>
      <c r="V61" s="66">
        <v>266.10286535932875</v>
      </c>
      <c r="W61" s="66">
        <v>294.0629244422945</v>
      </c>
      <c r="X61" s="66">
        <v>168.8386964082045</v>
      </c>
      <c r="Y61" s="66">
        <v>238.71198044904946</v>
      </c>
    </row>
    <row r="62" spans="1:25" x14ac:dyDescent="0.25">
      <c r="A62" s="78" t="s">
        <v>277</v>
      </c>
      <c r="B62" s="79"/>
      <c r="C62" s="79"/>
      <c r="D62" s="80">
        <v>360.16630012352005</v>
      </c>
      <c r="E62" s="80">
        <v>389.02736078853457</v>
      </c>
      <c r="F62" s="80">
        <v>372.43144916795796</v>
      </c>
      <c r="G62" s="80">
        <v>394.01299809623839</v>
      </c>
      <c r="H62" s="80">
        <v>379.54967415548327</v>
      </c>
      <c r="I62" s="80">
        <v>382.08294140759881</v>
      </c>
      <c r="J62" s="80">
        <v>410.07496115855247</v>
      </c>
      <c r="K62" s="80">
        <v>444.8608658918339</v>
      </c>
      <c r="L62" s="80">
        <v>435.04183677594085</v>
      </c>
      <c r="M62" s="80">
        <v>394.95999521139686</v>
      </c>
      <c r="N62" s="80">
        <v>330.85560340589541</v>
      </c>
      <c r="O62" s="80">
        <v>363.69545306821874</v>
      </c>
      <c r="P62" s="80">
        <v>348.75592008743513</v>
      </c>
      <c r="Q62" s="80">
        <v>350.5085148985944</v>
      </c>
      <c r="R62" s="80">
        <v>381.22347066167288</v>
      </c>
      <c r="S62" s="80">
        <v>427.70000000000005</v>
      </c>
      <c r="T62" s="80">
        <v>449.37141498499125</v>
      </c>
      <c r="U62" s="80">
        <v>493.13636275629733</v>
      </c>
      <c r="V62" s="80">
        <v>492.94775378153645</v>
      </c>
      <c r="W62" s="80">
        <v>522.16867918209391</v>
      </c>
      <c r="X62" s="80">
        <v>520.07179851541605</v>
      </c>
      <c r="Y62" s="80">
        <v>582.22657501395838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6.0057094912618188E-2</v>
      </c>
      <c r="E66" s="83">
        <f t="shared" ref="E66:S66" si="49">E24/E$23</f>
        <v>5.9767745290596981E-2</v>
      </c>
      <c r="F66" s="83">
        <f t="shared" si="49"/>
        <v>5.8415683774306663E-2</v>
      </c>
      <c r="G66" s="83">
        <f t="shared" si="49"/>
        <v>4.7090589982449034E-2</v>
      </c>
      <c r="H66" s="83">
        <f t="shared" si="49"/>
        <v>5.2441756744417992E-2</v>
      </c>
      <c r="I66" s="83">
        <f t="shared" si="49"/>
        <v>4.586322826633004E-2</v>
      </c>
      <c r="J66" s="83">
        <f t="shared" si="49"/>
        <v>4.7337139442441147E-2</v>
      </c>
      <c r="K66" s="83">
        <f t="shared" si="49"/>
        <v>4.3701134779375116E-2</v>
      </c>
      <c r="L66" s="83">
        <f t="shared" si="49"/>
        <v>4.5921239578586168E-2</v>
      </c>
      <c r="M66" s="83">
        <f t="shared" si="49"/>
        <v>4.6700655946970565E-2</v>
      </c>
      <c r="N66" s="83">
        <f t="shared" si="49"/>
        <v>4.296501526662623E-2</v>
      </c>
      <c r="O66" s="83">
        <f t="shared" si="49"/>
        <v>4.247116139862725E-2</v>
      </c>
      <c r="P66" s="83">
        <f t="shared" si="49"/>
        <v>3.9023133378843944E-2</v>
      </c>
      <c r="Q66" s="83">
        <f t="shared" si="49"/>
        <v>4.1323782852218875E-2</v>
      </c>
      <c r="R66" s="83">
        <f t="shared" si="49"/>
        <v>3.5304018170825374E-2</v>
      </c>
      <c r="S66" s="83">
        <f t="shared" si="49"/>
        <v>3.5715425616801251E-2</v>
      </c>
      <c r="T66" s="83">
        <f t="shared" ref="T66:Y66" si="50">T24/T$23</f>
        <v>3.6839416039839028E-2</v>
      </c>
      <c r="U66" s="83">
        <f t="shared" si="50"/>
        <v>3.4837806526356443E-2</v>
      </c>
      <c r="V66" s="83">
        <f t="shared" si="50"/>
        <v>3.5798381162619575E-2</v>
      </c>
      <c r="W66" s="83">
        <f t="shared" si="50"/>
        <v>3.47878079011225E-2</v>
      </c>
      <c r="X66" s="83">
        <f t="shared" si="50"/>
        <v>3.6868599448476674E-2</v>
      </c>
      <c r="Y66" s="83">
        <f t="shared" si="50"/>
        <v>3.9925688857259299E-2</v>
      </c>
    </row>
    <row r="67" spans="1:25" x14ac:dyDescent="0.25">
      <c r="A67" s="64" t="s">
        <v>56</v>
      </c>
      <c r="B67" s="65"/>
      <c r="C67" s="65"/>
      <c r="D67" s="83">
        <f t="shared" si="46"/>
        <v>6.7071174231572049E-3</v>
      </c>
      <c r="E67" s="83">
        <f t="shared" ref="E67:S67" si="51">E25/E$23</f>
        <v>5.1122038195266688E-3</v>
      </c>
      <c r="F67" s="83">
        <f t="shared" si="51"/>
        <v>6.9501535157626294E-3</v>
      </c>
      <c r="G67" s="83">
        <f t="shared" si="51"/>
        <v>5.50058824663928E-3</v>
      </c>
      <c r="H67" s="83">
        <f t="shared" si="51"/>
        <v>7.9050689366962357E-3</v>
      </c>
      <c r="I67" s="83">
        <f t="shared" si="51"/>
        <v>8.6174693751368634E-3</v>
      </c>
      <c r="J67" s="83">
        <f t="shared" si="51"/>
        <v>1.1933880327258986E-2</v>
      </c>
      <c r="K67" s="83">
        <f t="shared" si="51"/>
        <v>8.6954435555887284E-3</v>
      </c>
      <c r="L67" s="83">
        <f t="shared" si="51"/>
        <v>8.6271394209093584E-3</v>
      </c>
      <c r="M67" s="83">
        <f t="shared" si="51"/>
        <v>1.0014790207191064E-2</v>
      </c>
      <c r="N67" s="83">
        <f t="shared" si="51"/>
        <v>1.0370511252068962E-2</v>
      </c>
      <c r="O67" s="83">
        <f t="shared" si="51"/>
        <v>9.8875204706582957E-3</v>
      </c>
      <c r="P67" s="83">
        <f t="shared" si="51"/>
        <v>1.0019417269416606E-2</v>
      </c>
      <c r="Q67" s="83">
        <f t="shared" si="51"/>
        <v>1.0951637225333908E-2</v>
      </c>
      <c r="R67" s="83">
        <f t="shared" si="51"/>
        <v>8.6115332450937155E-3</v>
      </c>
      <c r="S67" s="83">
        <f t="shared" si="51"/>
        <v>5.8036236741033911E-3</v>
      </c>
      <c r="T67" s="83">
        <f t="shared" ref="T67:Y67" si="52">T25/T$23</f>
        <v>4.1638810014667646E-3</v>
      </c>
      <c r="U67" s="83">
        <f t="shared" si="52"/>
        <v>4.110349488318208E-3</v>
      </c>
      <c r="V67" s="83">
        <f t="shared" si="52"/>
        <v>3.8493377483443713E-3</v>
      </c>
      <c r="W67" s="83">
        <f t="shared" si="52"/>
        <v>3.6834662989019434E-3</v>
      </c>
      <c r="X67" s="83">
        <f t="shared" si="52"/>
        <v>2.250196210470407E-3</v>
      </c>
      <c r="Y67" s="83">
        <f t="shared" si="52"/>
        <v>2.3005008554470357E-3</v>
      </c>
    </row>
    <row r="68" spans="1:25" x14ac:dyDescent="0.25">
      <c r="A68" s="64" t="s">
        <v>146</v>
      </c>
      <c r="B68" s="65"/>
      <c r="C68" s="65"/>
      <c r="D68" s="83">
        <f t="shared" si="46"/>
        <v>0.66609196578398078</v>
      </c>
      <c r="E68" s="83">
        <f t="shared" ref="E68:S68" si="53">E26/E$23</f>
        <v>0.66823143749970981</v>
      </c>
      <c r="F68" s="83">
        <f t="shared" si="53"/>
        <v>0.67884586346324849</v>
      </c>
      <c r="G68" s="83">
        <f t="shared" si="53"/>
        <v>0.68798241046114661</v>
      </c>
      <c r="H68" s="83">
        <f t="shared" si="53"/>
        <v>0.67592729162715892</v>
      </c>
      <c r="I68" s="83">
        <f t="shared" si="53"/>
        <v>0.68753300787036453</v>
      </c>
      <c r="J68" s="83">
        <f t="shared" si="53"/>
        <v>0.68755730400930337</v>
      </c>
      <c r="K68" s="83">
        <f t="shared" si="53"/>
        <v>0.69891160343232772</v>
      </c>
      <c r="L68" s="83">
        <f t="shared" si="53"/>
        <v>0.69972437020663703</v>
      </c>
      <c r="M68" s="83">
        <f t="shared" si="53"/>
        <v>0.70336791217128958</v>
      </c>
      <c r="N68" s="83">
        <f t="shared" si="53"/>
        <v>0.72286190128609773</v>
      </c>
      <c r="O68" s="83">
        <f t="shared" si="53"/>
        <v>0.72252311451761109</v>
      </c>
      <c r="P68" s="83">
        <f t="shared" si="53"/>
        <v>0.72881963720784437</v>
      </c>
      <c r="Q68" s="83">
        <f t="shared" si="53"/>
        <v>0.73033444635932787</v>
      </c>
      <c r="R68" s="83">
        <f t="shared" si="53"/>
        <v>0.73509322352402895</v>
      </c>
      <c r="S68" s="83">
        <f t="shared" si="53"/>
        <v>0.73644047961018366</v>
      </c>
      <c r="T68" s="83">
        <f t="shared" ref="T68:Y68" si="54">T26/T$23</f>
        <v>0.73440896022451407</v>
      </c>
      <c r="U68" s="83">
        <f t="shared" si="54"/>
        <v>0.74052905966402782</v>
      </c>
      <c r="V68" s="83">
        <f t="shared" si="54"/>
        <v>0.7421265636497425</v>
      </c>
      <c r="W68" s="83">
        <f t="shared" si="54"/>
        <v>0.7388535865789152</v>
      </c>
      <c r="X68" s="83">
        <f t="shared" si="54"/>
        <v>0.7384034276961452</v>
      </c>
      <c r="Y68" s="83">
        <f t="shared" si="54"/>
        <v>0.73855800799796445</v>
      </c>
    </row>
    <row r="69" spans="1:25" x14ac:dyDescent="0.25">
      <c r="A69" s="68" t="s">
        <v>148</v>
      </c>
      <c r="B69" s="69"/>
      <c r="C69" s="69"/>
      <c r="D69" s="84">
        <f t="shared" si="46"/>
        <v>0.28995620676953293</v>
      </c>
      <c r="E69" s="84">
        <f t="shared" ref="E69:S69" si="55">E27/E$23</f>
        <v>0.27573862290880219</v>
      </c>
      <c r="F69" s="84">
        <f t="shared" si="55"/>
        <v>0.27411371910809862</v>
      </c>
      <c r="G69" s="84">
        <f t="shared" si="55"/>
        <v>0.27153464869139232</v>
      </c>
      <c r="H69" s="84">
        <f t="shared" si="55"/>
        <v>0.27416998532066272</v>
      </c>
      <c r="I69" s="84">
        <f t="shared" si="55"/>
        <v>0.26860355776538336</v>
      </c>
      <c r="J69" s="84">
        <f t="shared" si="55"/>
        <v>0.26280021442318113</v>
      </c>
      <c r="K69" s="84">
        <f t="shared" si="55"/>
        <v>0.26078866766718473</v>
      </c>
      <c r="L69" s="84">
        <f t="shared" si="55"/>
        <v>0.26084180409569785</v>
      </c>
      <c r="M69" s="84">
        <f t="shared" si="55"/>
        <v>0.27497225234092837</v>
      </c>
      <c r="N69" s="84">
        <f t="shared" si="55"/>
        <v>0.2825431012326387</v>
      </c>
      <c r="O69" s="84">
        <f t="shared" si="55"/>
        <v>0.28141957277286939</v>
      </c>
      <c r="P69" s="84">
        <f t="shared" si="55"/>
        <v>0.28589870613516649</v>
      </c>
      <c r="Q69" s="84">
        <f t="shared" si="55"/>
        <v>0.2919781344248169</v>
      </c>
      <c r="R69" s="84">
        <f t="shared" si="55"/>
        <v>0.29061065084889787</v>
      </c>
      <c r="S69" s="84">
        <f t="shared" si="55"/>
        <v>0.29256168012511574</v>
      </c>
      <c r="T69" s="84">
        <f t="shared" ref="T69:Y69" si="56">T27/T$23</f>
        <v>0.29857416309296536</v>
      </c>
      <c r="U69" s="84">
        <f t="shared" si="56"/>
        <v>0.3034972967754393</v>
      </c>
      <c r="V69" s="84">
        <f t="shared" si="56"/>
        <v>0.30742733627667401</v>
      </c>
      <c r="W69" s="84">
        <f t="shared" si="56"/>
        <v>0.30470209311663143</v>
      </c>
      <c r="X69" s="84">
        <f t="shared" si="56"/>
        <v>0.29178097457918484</v>
      </c>
      <c r="Y69" s="84">
        <f t="shared" si="56"/>
        <v>0.29767488047532648</v>
      </c>
    </row>
    <row r="70" spans="1:25" x14ac:dyDescent="0.25">
      <c r="A70" s="68" t="s">
        <v>150</v>
      </c>
      <c r="B70" s="71"/>
      <c r="C70" s="71"/>
      <c r="D70" s="84">
        <f t="shared" si="46"/>
        <v>0.24670015962018579</v>
      </c>
      <c r="E70" s="84">
        <f t="shared" ref="E70:S70" si="57">E28/E$23</f>
        <v>0.25482548394136517</v>
      </c>
      <c r="F70" s="84">
        <f t="shared" si="57"/>
        <v>0.2609851853094643</v>
      </c>
      <c r="G70" s="84">
        <f t="shared" si="57"/>
        <v>0.26459912438041239</v>
      </c>
      <c r="H70" s="84">
        <f t="shared" si="57"/>
        <v>0.26218068929672628</v>
      </c>
      <c r="I70" s="84">
        <f t="shared" si="57"/>
        <v>0.27582986616516175</v>
      </c>
      <c r="J70" s="84">
        <f t="shared" si="57"/>
        <v>0.28046962191803293</v>
      </c>
      <c r="K70" s="84">
        <f t="shared" si="57"/>
        <v>0.29676200021858568</v>
      </c>
      <c r="L70" s="84">
        <f t="shared" si="57"/>
        <v>0.29614240141543574</v>
      </c>
      <c r="M70" s="84">
        <f t="shared" si="57"/>
        <v>0.30084870668994129</v>
      </c>
      <c r="N70" s="84">
        <f t="shared" si="57"/>
        <v>0.30553299544571355</v>
      </c>
      <c r="O70" s="84">
        <f t="shared" si="57"/>
        <v>0.306377091344056</v>
      </c>
      <c r="P70" s="84">
        <f t="shared" si="57"/>
        <v>0.30612613521963294</v>
      </c>
      <c r="Q70" s="84">
        <f t="shared" si="57"/>
        <v>0.30307249030590266</v>
      </c>
      <c r="R70" s="84">
        <f t="shared" si="57"/>
        <v>0.30738434890599214</v>
      </c>
      <c r="S70" s="84">
        <f t="shared" si="57"/>
        <v>0.30242943623461321</v>
      </c>
      <c r="T70" s="84">
        <f t="shared" ref="T70:Y70" si="58">T28/T$23</f>
        <v>0.30079591644783832</v>
      </c>
      <c r="U70" s="84">
        <f t="shared" si="58"/>
        <v>0.300543058505503</v>
      </c>
      <c r="V70" s="84">
        <f t="shared" si="58"/>
        <v>0.29499402133922004</v>
      </c>
      <c r="W70" s="84">
        <f t="shared" si="58"/>
        <v>0.29569418501125988</v>
      </c>
      <c r="X70" s="84">
        <f t="shared" si="58"/>
        <v>0.30325009899440664</v>
      </c>
      <c r="Y70" s="84">
        <f t="shared" si="58"/>
        <v>0.29991538625450737</v>
      </c>
    </row>
    <row r="71" spans="1:25" x14ac:dyDescent="0.25">
      <c r="A71" s="68" t="s">
        <v>152</v>
      </c>
      <c r="B71" s="71"/>
      <c r="C71" s="71"/>
      <c r="D71" s="84">
        <f t="shared" si="46"/>
        <v>0.12943559939426189</v>
      </c>
      <c r="E71" s="84">
        <f t="shared" ref="E71:S71" si="59">E29/E$23</f>
        <v>0.1376673306495424</v>
      </c>
      <c r="F71" s="84">
        <f t="shared" si="59"/>
        <v>0.14374695904568555</v>
      </c>
      <c r="G71" s="84">
        <f t="shared" si="59"/>
        <v>0.15184863738934207</v>
      </c>
      <c r="H71" s="84">
        <f t="shared" si="59"/>
        <v>0.13957661700976987</v>
      </c>
      <c r="I71" s="84">
        <f t="shared" si="59"/>
        <v>0.14309958393981939</v>
      </c>
      <c r="J71" s="84">
        <f t="shared" si="59"/>
        <v>0.14428746766808928</v>
      </c>
      <c r="K71" s="84">
        <f t="shared" si="59"/>
        <v>0.14136093554655735</v>
      </c>
      <c r="L71" s="84">
        <f t="shared" si="59"/>
        <v>0.14274016469550344</v>
      </c>
      <c r="M71" s="84">
        <f t="shared" si="59"/>
        <v>0.12754695314041997</v>
      </c>
      <c r="N71" s="84">
        <f t="shared" si="59"/>
        <v>0.1347858046077455</v>
      </c>
      <c r="O71" s="84">
        <f t="shared" si="59"/>
        <v>0.13472645040068579</v>
      </c>
      <c r="P71" s="84">
        <f t="shared" si="59"/>
        <v>0.13679479585304494</v>
      </c>
      <c r="Q71" s="84">
        <f t="shared" si="59"/>
        <v>0.1352838216286083</v>
      </c>
      <c r="R71" s="84">
        <f t="shared" si="59"/>
        <v>0.13709822376913899</v>
      </c>
      <c r="S71" s="84">
        <f t="shared" si="59"/>
        <v>0.14144936325045468</v>
      </c>
      <c r="T71" s="84">
        <f t="shared" ref="T71:Y71" si="60">T29/T$23</f>
        <v>0.13503888068371042</v>
      </c>
      <c r="U71" s="84">
        <f t="shared" si="60"/>
        <v>0.13648870438308552</v>
      </c>
      <c r="V71" s="84">
        <f t="shared" si="60"/>
        <v>0.13970520603384845</v>
      </c>
      <c r="W71" s="84">
        <f t="shared" si="60"/>
        <v>0.13845730845102383</v>
      </c>
      <c r="X71" s="84">
        <f t="shared" si="60"/>
        <v>0.14337235412255375</v>
      </c>
      <c r="Y71" s="84">
        <f t="shared" si="60"/>
        <v>0.14096774126813053</v>
      </c>
    </row>
    <row r="72" spans="1:25" x14ac:dyDescent="0.25">
      <c r="A72" s="64" t="s">
        <v>154</v>
      </c>
      <c r="B72" s="65"/>
      <c r="C72" s="65"/>
      <c r="D72" s="83">
        <f t="shared" si="46"/>
        <v>4.4494126795727083E-2</v>
      </c>
      <c r="E72" s="83">
        <f t="shared" ref="E72:S72" si="61">E30/E$23</f>
        <v>3.969503220084785E-2</v>
      </c>
      <c r="F72" s="83">
        <f t="shared" si="61"/>
        <v>3.3609885408452597E-2</v>
      </c>
      <c r="G72" s="83">
        <f t="shared" si="61"/>
        <v>3.442303612412969E-2</v>
      </c>
      <c r="H72" s="83">
        <f t="shared" si="61"/>
        <v>3.9911643032231325E-2</v>
      </c>
      <c r="I72" s="83">
        <f t="shared" si="61"/>
        <v>3.7136269369984418E-2</v>
      </c>
      <c r="J72" s="83">
        <f t="shared" si="61"/>
        <v>3.2286506864764003E-2</v>
      </c>
      <c r="K72" s="83">
        <f t="shared" si="61"/>
        <v>2.8077592572353188E-2</v>
      </c>
      <c r="L72" s="83">
        <f t="shared" si="61"/>
        <v>2.4185234918956067E-2</v>
      </c>
      <c r="M72" s="83">
        <f t="shared" si="61"/>
        <v>3.192582852074858E-2</v>
      </c>
      <c r="N72" s="83">
        <f t="shared" si="61"/>
        <v>3.9518458738986947E-2</v>
      </c>
      <c r="O72" s="83">
        <f t="shared" si="61"/>
        <v>4.3377260756400457E-2</v>
      </c>
      <c r="P72" s="83">
        <f t="shared" si="61"/>
        <v>4.8195203323514027E-2</v>
      </c>
      <c r="Q72" s="83">
        <f t="shared" si="61"/>
        <v>4.7832292115467474E-2</v>
      </c>
      <c r="R72" s="83">
        <f t="shared" si="61"/>
        <v>4.6263161048199539E-2</v>
      </c>
      <c r="S72" s="83">
        <f t="shared" si="61"/>
        <v>4.5072505399338249E-2</v>
      </c>
      <c r="T72" s="83">
        <f t="shared" ref="T72:Y72" si="62">T30/T$23</f>
        <v>4.3364863250318395E-2</v>
      </c>
      <c r="U72" s="83">
        <f t="shared" si="62"/>
        <v>4.1047982235952886E-2</v>
      </c>
      <c r="V72" s="83">
        <f t="shared" si="62"/>
        <v>3.8187545989698313E-2</v>
      </c>
      <c r="W72" s="83">
        <f t="shared" si="62"/>
        <v>3.9324494178028392E-2</v>
      </c>
      <c r="X72" s="83">
        <f t="shared" si="62"/>
        <v>2.9162448042756101E-2</v>
      </c>
      <c r="Y72" s="83">
        <f t="shared" si="62"/>
        <v>3.3224859477049812E-2</v>
      </c>
    </row>
    <row r="73" spans="1:25" x14ac:dyDescent="0.25">
      <c r="A73" s="64" t="s">
        <v>37</v>
      </c>
      <c r="B73" s="65"/>
      <c r="C73" s="65"/>
      <c r="D73" s="83">
        <f t="shared" si="46"/>
        <v>4.8592068104612612E-2</v>
      </c>
      <c r="E73" s="83">
        <f t="shared" ref="E73:S73" si="63">E31/E$23</f>
        <v>5.4209790729313222E-2</v>
      </c>
      <c r="F73" s="83">
        <f t="shared" si="63"/>
        <v>5.4275791487005683E-2</v>
      </c>
      <c r="G73" s="83">
        <f t="shared" si="63"/>
        <v>6.4784277420972439E-2</v>
      </c>
      <c r="H73" s="83">
        <f t="shared" si="63"/>
        <v>6.6513552048434788E-2</v>
      </c>
      <c r="I73" s="83">
        <f t="shared" si="63"/>
        <v>7.15030979093942E-2</v>
      </c>
      <c r="J73" s="83">
        <f t="shared" si="63"/>
        <v>7.4178117704265911E-2</v>
      </c>
      <c r="K73" s="83">
        <f t="shared" si="63"/>
        <v>7.472163651339904E-2</v>
      </c>
      <c r="L73" s="83">
        <f t="shared" si="63"/>
        <v>7.7437105960281041E-2</v>
      </c>
      <c r="M73" s="83">
        <f t="shared" si="63"/>
        <v>7.1272393578435511E-2</v>
      </c>
      <c r="N73" s="83">
        <f t="shared" si="63"/>
        <v>5.4003762683636436E-2</v>
      </c>
      <c r="O73" s="83">
        <f t="shared" si="63"/>
        <v>4.94453029144057E-2</v>
      </c>
      <c r="P73" s="83">
        <f t="shared" si="63"/>
        <v>4.2810961858745347E-2</v>
      </c>
      <c r="Q73" s="83">
        <f t="shared" si="63"/>
        <v>4.324105988797932E-2</v>
      </c>
      <c r="R73" s="83">
        <f t="shared" si="63"/>
        <v>4.2896982967574673E-2</v>
      </c>
      <c r="S73" s="83">
        <f t="shared" si="63"/>
        <v>4.3809113444618214E-2</v>
      </c>
      <c r="T73" s="83">
        <f t="shared" ref="T73:Y73" si="64">T31/T$23</f>
        <v>4.4940935424255743E-2</v>
      </c>
      <c r="U73" s="83">
        <f t="shared" si="64"/>
        <v>4.5223498744931458E-2</v>
      </c>
      <c r="V73" s="83">
        <f t="shared" si="64"/>
        <v>4.9107799852832971E-2</v>
      </c>
      <c r="W73" s="83">
        <f t="shared" si="64"/>
        <v>5.3796501579875373E-2</v>
      </c>
      <c r="X73" s="83">
        <f t="shared" si="64"/>
        <v>6.0217052646055272E-2</v>
      </c>
      <c r="Y73" s="83">
        <f t="shared" si="64"/>
        <v>5.9486152515759047E-2</v>
      </c>
    </row>
    <row r="74" spans="1:25" x14ac:dyDescent="0.25">
      <c r="A74" s="64" t="s">
        <v>58</v>
      </c>
      <c r="B74" s="65"/>
      <c r="C74" s="65"/>
      <c r="D74" s="83">
        <f t="shared" si="46"/>
        <v>0.17405762697990423</v>
      </c>
      <c r="E74" s="83">
        <f t="shared" ref="E74:S74" si="65">E32/E$23</f>
        <v>0.17298379046000548</v>
      </c>
      <c r="F74" s="83">
        <f t="shared" si="65"/>
        <v>0.16790262235122391</v>
      </c>
      <c r="G74" s="83">
        <f t="shared" si="65"/>
        <v>0.16021909776466278</v>
      </c>
      <c r="H74" s="83">
        <f t="shared" si="65"/>
        <v>0.15730068761106072</v>
      </c>
      <c r="I74" s="83">
        <f t="shared" si="65"/>
        <v>0.14934692720879009</v>
      </c>
      <c r="J74" s="83">
        <f t="shared" si="65"/>
        <v>0.14670705165196654</v>
      </c>
      <c r="K74" s="83">
        <f t="shared" si="65"/>
        <v>0.14589258914695621</v>
      </c>
      <c r="L74" s="83">
        <f t="shared" si="65"/>
        <v>0.14410490991463032</v>
      </c>
      <c r="M74" s="83">
        <f t="shared" si="65"/>
        <v>0.13671841957536468</v>
      </c>
      <c r="N74" s="83">
        <f t="shared" si="65"/>
        <v>0.13028035077258379</v>
      </c>
      <c r="O74" s="83">
        <f t="shared" si="65"/>
        <v>0.13229563994229715</v>
      </c>
      <c r="P74" s="83">
        <f t="shared" si="65"/>
        <v>0.13113164696163565</v>
      </c>
      <c r="Q74" s="83">
        <f t="shared" si="65"/>
        <v>0.12631678155967258</v>
      </c>
      <c r="R74" s="83">
        <f t="shared" si="65"/>
        <v>0.13183108104427776</v>
      </c>
      <c r="S74" s="83">
        <f t="shared" si="65"/>
        <v>0.13315885225495516</v>
      </c>
      <c r="T74" s="83">
        <f t="shared" ref="T74:Y74" si="66">T32/T$23</f>
        <v>0.136281944059606</v>
      </c>
      <c r="U74" s="83">
        <f t="shared" si="66"/>
        <v>0.13425130334041321</v>
      </c>
      <c r="V74" s="83">
        <f t="shared" si="66"/>
        <v>0.13093037159676232</v>
      </c>
      <c r="W74" s="83">
        <f t="shared" si="66"/>
        <v>0.12955414346315663</v>
      </c>
      <c r="X74" s="83">
        <f t="shared" si="66"/>
        <v>0.1330982759560963</v>
      </c>
      <c r="Y74" s="83">
        <f t="shared" si="66"/>
        <v>0.12650479029652051</v>
      </c>
    </row>
    <row r="75" spans="1:25" x14ac:dyDescent="0.25">
      <c r="A75" s="85" t="s">
        <v>158</v>
      </c>
      <c r="B75" s="86"/>
      <c r="C75" s="86"/>
      <c r="D75" s="87">
        <f t="shared" si="46"/>
        <v>2.5068554823394588E-3</v>
      </c>
      <c r="E75" s="87">
        <f t="shared" ref="E75:S75" si="67">E33/E$23</f>
        <v>2.3587643417979543E-3</v>
      </c>
      <c r="F75" s="87">
        <f t="shared" si="67"/>
        <v>3.1122594500276836E-3</v>
      </c>
      <c r="G75" s="87">
        <f t="shared" si="67"/>
        <v>2.3722733321761271E-3</v>
      </c>
      <c r="H75" s="87">
        <f t="shared" si="67"/>
        <v>2.0824992800803502E-3</v>
      </c>
      <c r="I75" s="87">
        <f t="shared" si="67"/>
        <v>2.6341890690814475E-3</v>
      </c>
      <c r="J75" s="87">
        <f t="shared" si="67"/>
        <v>3.0025103916152336E-3</v>
      </c>
      <c r="K75" s="87">
        <f t="shared" si="67"/>
        <v>2.3831166580920676E-3</v>
      </c>
      <c r="L75" s="87">
        <f t="shared" si="67"/>
        <v>1.720553794113561E-3</v>
      </c>
      <c r="M75" s="87">
        <f t="shared" si="67"/>
        <v>1.4995270722310654E-3</v>
      </c>
      <c r="N75" s="87">
        <f t="shared" si="67"/>
        <v>2.022699468495235E-3</v>
      </c>
      <c r="O75" s="87">
        <f t="shared" si="67"/>
        <v>2.1587239656863E-3</v>
      </c>
      <c r="P75" s="87">
        <f t="shared" si="67"/>
        <v>1.8593828442713743E-3</v>
      </c>
      <c r="Q75" s="87">
        <f t="shared" si="67"/>
        <v>1.8526497199482983E-3</v>
      </c>
      <c r="R75" s="87">
        <f t="shared" si="67"/>
        <v>1.9009646442363737E-3</v>
      </c>
      <c r="S75" s="87">
        <f t="shared" si="67"/>
        <v>1.5825646590703565E-3</v>
      </c>
      <c r="T75" s="87">
        <f t="shared" ref="T75:Y75" si="68">T33/T$23</f>
        <v>1.558277810683227E-3</v>
      </c>
      <c r="U75" s="87">
        <f t="shared" si="68"/>
        <v>1.4433288279590657E-3</v>
      </c>
      <c r="V75" s="87">
        <f t="shared" si="68"/>
        <v>1.6027409860191319E-3</v>
      </c>
      <c r="W75" s="87">
        <f t="shared" si="68"/>
        <v>2.6294886790147166E-3</v>
      </c>
      <c r="X75" s="87">
        <f t="shared" si="68"/>
        <v>1.0385520971401879E-3</v>
      </c>
      <c r="Y75" s="87">
        <f t="shared" si="68"/>
        <v>5.9788196692823136E-4</v>
      </c>
    </row>
    <row r="76" spans="1:25" x14ac:dyDescent="0.25">
      <c r="A76" s="88" t="s">
        <v>5</v>
      </c>
      <c r="B76" s="44"/>
      <c r="C76" s="44"/>
      <c r="D76" s="89">
        <f t="shared" si="46"/>
        <v>2.5619630765856316E-4</v>
      </c>
      <c r="E76" s="89">
        <f t="shared" ref="E76:S76" si="69">E34/E$23</f>
        <v>2.4106164845265156E-4</v>
      </c>
      <c r="F76" s="89">
        <f t="shared" si="69"/>
        <v>3.1806754924239072E-4</v>
      </c>
      <c r="G76" s="89">
        <f t="shared" si="69"/>
        <v>3.6107988908823293E-4</v>
      </c>
      <c r="H76" s="89">
        <f t="shared" si="69"/>
        <v>3.1697384904123268E-4</v>
      </c>
      <c r="I76" s="89">
        <f t="shared" si="69"/>
        <v>4.0094566001332399E-4</v>
      </c>
      <c r="J76" s="89">
        <f t="shared" si="69"/>
        <v>4.5700725312128744E-4</v>
      </c>
      <c r="K76" s="89">
        <f t="shared" si="69"/>
        <v>3.6273033419755918E-4</v>
      </c>
      <c r="L76" s="89">
        <f t="shared" si="69"/>
        <v>2.6188271171053156E-4</v>
      </c>
      <c r="M76" s="89">
        <f t="shared" si="69"/>
        <v>4.4404872005536054E-5</v>
      </c>
      <c r="N76" s="89">
        <f t="shared" si="69"/>
        <v>1.0916983289876599E-3</v>
      </c>
      <c r="O76" s="89">
        <f t="shared" si="69"/>
        <v>1.137518018946159E-3</v>
      </c>
      <c r="P76" s="89">
        <f t="shared" si="69"/>
        <v>2.8940478636778897E-4</v>
      </c>
      <c r="Q76" s="89">
        <f t="shared" si="69"/>
        <v>1.0039683622668344E-3</v>
      </c>
      <c r="R76" s="89">
        <f t="shared" si="69"/>
        <v>1.4409905812631581E-3</v>
      </c>
      <c r="S76" s="89">
        <f t="shared" si="69"/>
        <v>1.0035875805011268E-3</v>
      </c>
      <c r="T76" s="89">
        <f t="shared" ref="T76:Y76" si="70">T34/T$23</f>
        <v>9.2819553847282095E-4</v>
      </c>
      <c r="U76" s="89">
        <f t="shared" si="70"/>
        <v>9.1166292213568708E-4</v>
      </c>
      <c r="V76" s="89">
        <f t="shared" si="70"/>
        <v>1.2235570409822414E-3</v>
      </c>
      <c r="W76" s="89">
        <f t="shared" si="70"/>
        <v>1.3659347081554224E-3</v>
      </c>
      <c r="X76" s="89">
        <f t="shared" si="70"/>
        <v>5.008552318458944E-4</v>
      </c>
      <c r="Y76" s="89">
        <f t="shared" si="70"/>
        <v>3.3514918585272104E-4</v>
      </c>
    </row>
    <row r="77" spans="1:25" x14ac:dyDescent="0.25">
      <c r="A77" s="88" t="s">
        <v>269</v>
      </c>
      <c r="B77" s="44"/>
      <c r="C77" s="44"/>
      <c r="D77" s="89">
        <f>D37/D$23</f>
        <v>2.250659174680896E-3</v>
      </c>
      <c r="E77" s="89">
        <f t="shared" ref="E77:S77" si="71">E37/E$23</f>
        <v>2.1177026933453034E-3</v>
      </c>
      <c r="F77" s="89">
        <f t="shared" si="71"/>
        <v>2.7941919007852933E-3</v>
      </c>
      <c r="G77" s="89">
        <f t="shared" si="71"/>
        <v>2.0111934430878946E-3</v>
      </c>
      <c r="H77" s="89">
        <f t="shared" si="71"/>
        <v>1.7655254310391176E-3</v>
      </c>
      <c r="I77" s="89">
        <f t="shared" si="71"/>
        <v>2.2332434090681233E-3</v>
      </c>
      <c r="J77" s="89">
        <f t="shared" si="71"/>
        <v>2.5455031384939461E-3</v>
      </c>
      <c r="K77" s="89">
        <f t="shared" si="71"/>
        <v>2.0203863238945083E-3</v>
      </c>
      <c r="L77" s="89">
        <f t="shared" si="71"/>
        <v>1.4586710824030294E-3</v>
      </c>
      <c r="M77" s="89">
        <f t="shared" si="71"/>
        <v>1.4551222002255296E-3</v>
      </c>
      <c r="N77" s="89">
        <f t="shared" si="71"/>
        <v>9.3100113950757497E-4</v>
      </c>
      <c r="O77" s="89">
        <f t="shared" si="71"/>
        <v>1.0212059467401408E-3</v>
      </c>
      <c r="P77" s="89">
        <f t="shared" si="71"/>
        <v>1.5699780579035852E-3</v>
      </c>
      <c r="Q77" s="89">
        <f t="shared" si="71"/>
        <v>8.4868135768146398E-4</v>
      </c>
      <c r="R77" s="89">
        <f t="shared" si="71"/>
        <v>4.5997406297321566E-4</v>
      </c>
      <c r="S77" s="89">
        <f t="shared" si="71"/>
        <v>5.7897707856922962E-4</v>
      </c>
      <c r="T77" s="89">
        <f t="shared" ref="T77:Y77" si="72">T37/T$23</f>
        <v>6.3008227221040625E-4</v>
      </c>
      <c r="U77" s="89">
        <f t="shared" si="72"/>
        <v>5.316659058233785E-4</v>
      </c>
      <c r="V77" s="89">
        <f t="shared" si="72"/>
        <v>3.7918394503689065E-4</v>
      </c>
      <c r="W77" s="89">
        <f t="shared" si="72"/>
        <v>1.2635539708592942E-3</v>
      </c>
      <c r="X77" s="89">
        <f t="shared" si="72"/>
        <v>5.3769686529429341E-4</v>
      </c>
      <c r="Y77" s="89">
        <f t="shared" si="72"/>
        <v>2.6273278107551037E-4</v>
      </c>
    </row>
    <row r="78" spans="1:25" x14ac:dyDescent="0.25">
      <c r="A78" s="68" t="s">
        <v>271</v>
      </c>
      <c r="B78" s="44"/>
      <c r="C78" s="44"/>
      <c r="D78" s="89">
        <f>D43/D$23</f>
        <v>2.8153521876151107E-2</v>
      </c>
      <c r="E78" s="89">
        <f t="shared" ref="E78:S78" si="73">E43/E$23</f>
        <v>2.7655118936513019E-2</v>
      </c>
      <c r="F78" s="89">
        <f t="shared" si="73"/>
        <v>2.0586212103417611E-2</v>
      </c>
      <c r="G78" s="89">
        <f t="shared" si="73"/>
        <v>1.7037937086539761E-2</v>
      </c>
      <c r="H78" s="89">
        <f t="shared" si="73"/>
        <v>1.6115664749222134E-2</v>
      </c>
      <c r="I78" s="89">
        <f t="shared" si="73"/>
        <v>1.4871253204178637E-2</v>
      </c>
      <c r="J78" s="89">
        <f t="shared" si="73"/>
        <v>1.0627422147102505E-2</v>
      </c>
      <c r="K78" s="89">
        <f t="shared" si="73"/>
        <v>1.1361122144058603E-2</v>
      </c>
      <c r="L78" s="89">
        <f t="shared" si="73"/>
        <v>1.3452488588536624E-2</v>
      </c>
      <c r="M78" s="89">
        <f t="shared" si="73"/>
        <v>1.1919317753631545E-2</v>
      </c>
      <c r="N78" s="89">
        <f t="shared" si="73"/>
        <v>1.4243710869632265E-2</v>
      </c>
      <c r="O78" s="89">
        <f t="shared" si="73"/>
        <v>1.3712132490720823E-2</v>
      </c>
      <c r="P78" s="89">
        <f t="shared" si="73"/>
        <v>1.5191157837697129E-2</v>
      </c>
      <c r="Q78" s="89">
        <f t="shared" si="73"/>
        <v>1.4376884963377854E-2</v>
      </c>
      <c r="R78" s="89">
        <f t="shared" si="73"/>
        <v>1.5003458775212296E-2</v>
      </c>
      <c r="S78" s="89">
        <f t="shared" si="73"/>
        <v>1.476705712127499E-2</v>
      </c>
      <c r="T78" s="89">
        <f t="shared" ref="T78:Y78" si="74">T43/T$23</f>
        <v>1.3836388456033938E-2</v>
      </c>
      <c r="U78" s="89">
        <f t="shared" si="74"/>
        <v>1.2700328248696659E-2</v>
      </c>
      <c r="V78" s="89">
        <f t="shared" si="74"/>
        <v>1.177336276674025E-2</v>
      </c>
      <c r="W78" s="89">
        <f t="shared" si="74"/>
        <v>1.1491192849536513E-2</v>
      </c>
      <c r="X78" s="89">
        <f t="shared" si="74"/>
        <v>1.4700965758605399E-2</v>
      </c>
      <c r="Y78" s="89">
        <f t="shared" si="74"/>
        <v>1.1947295359898047E-2</v>
      </c>
    </row>
    <row r="79" spans="1:25" x14ac:dyDescent="0.25">
      <c r="A79" s="88" t="s">
        <v>272</v>
      </c>
      <c r="B79" s="44"/>
      <c r="C79" s="44"/>
      <c r="D79" s="89">
        <f>D44/D$23</f>
        <v>1.0871567142798673E-2</v>
      </c>
      <c r="E79" s="89">
        <f t="shared" ref="E79:S79" si="75">E44/E$23</f>
        <v>1.06237260118774E-2</v>
      </c>
      <c r="F79" s="89">
        <f t="shared" si="75"/>
        <v>7.6925658104457836E-3</v>
      </c>
      <c r="G79" s="89">
        <f t="shared" si="75"/>
        <v>6.1139076934945708E-3</v>
      </c>
      <c r="H79" s="89">
        <f t="shared" si="75"/>
        <v>5.8928057200250041E-3</v>
      </c>
      <c r="I79" s="89">
        <f t="shared" si="75"/>
        <v>6.0122628263753822E-3</v>
      </c>
      <c r="J79" s="89">
        <f t="shared" si="75"/>
        <v>4.5433108462392463E-3</v>
      </c>
      <c r="K79" s="89">
        <f t="shared" si="75"/>
        <v>4.8648634239575198E-3</v>
      </c>
      <c r="L79" s="89">
        <f t="shared" si="75"/>
        <v>5.0032534551205966E-3</v>
      </c>
      <c r="M79" s="89">
        <f t="shared" si="75"/>
        <v>4.7472207483280904E-3</v>
      </c>
      <c r="N79" s="89">
        <f t="shared" si="75"/>
        <v>5.4075726578322421E-3</v>
      </c>
      <c r="O79" s="89">
        <f t="shared" si="75"/>
        <v>5.3056866076974813E-3</v>
      </c>
      <c r="P79" s="89">
        <f t="shared" si="75"/>
        <v>5.4878356518066572E-3</v>
      </c>
      <c r="Q79" s="89">
        <f t="shared" si="75"/>
        <v>4.6127746660922023E-3</v>
      </c>
      <c r="R79" s="89">
        <f t="shared" si="75"/>
        <v>4.4827905507350586E-3</v>
      </c>
      <c r="S79" s="89">
        <f t="shared" si="75"/>
        <v>4.7822710201823543E-3</v>
      </c>
      <c r="T79" s="89">
        <f t="shared" ref="T79:Y79" si="76">T44/T$23</f>
        <v>4.2630210253112102E-3</v>
      </c>
      <c r="U79" s="89">
        <f t="shared" si="76"/>
        <v>3.9196756130527137E-3</v>
      </c>
      <c r="V79" s="89">
        <f t="shared" si="76"/>
        <v>3.1640912435614422E-3</v>
      </c>
      <c r="W79" s="89">
        <f t="shared" si="76"/>
        <v>4.7134402876944292E-3</v>
      </c>
      <c r="X79" s="89">
        <f t="shared" si="76"/>
        <v>5.7333766458561065E-3</v>
      </c>
      <c r="Y79" s="89">
        <f t="shared" si="76"/>
        <v>4.1727609940977253E-3</v>
      </c>
    </row>
    <row r="80" spans="1:25" x14ac:dyDescent="0.25">
      <c r="A80" s="88" t="s">
        <v>11</v>
      </c>
      <c r="B80" s="44"/>
      <c r="C80" s="44"/>
      <c r="D80" s="89">
        <f>D47/D$23</f>
        <v>1.7281954733352433E-2</v>
      </c>
      <c r="E80" s="89">
        <f t="shared" ref="E80:S80" si="77">E47/E$23</f>
        <v>1.7031392924635621E-2</v>
      </c>
      <c r="F80" s="89">
        <f t="shared" si="77"/>
        <v>1.2893646292971829E-2</v>
      </c>
      <c r="G80" s="89">
        <f t="shared" si="77"/>
        <v>1.092402939304519E-2</v>
      </c>
      <c r="H80" s="89">
        <f t="shared" si="77"/>
        <v>1.0222859029197133E-2</v>
      </c>
      <c r="I80" s="89">
        <f t="shared" si="77"/>
        <v>8.8589903778032546E-3</v>
      </c>
      <c r="J80" s="89">
        <f t="shared" si="77"/>
        <v>6.0841113008632585E-3</v>
      </c>
      <c r="K80" s="89">
        <f t="shared" si="77"/>
        <v>6.4962587201010833E-3</v>
      </c>
      <c r="L80" s="89">
        <f t="shared" si="77"/>
        <v>8.4492351334160293E-3</v>
      </c>
      <c r="M80" s="89">
        <f t="shared" si="77"/>
        <v>7.1720970053034544E-3</v>
      </c>
      <c r="N80" s="89">
        <f t="shared" si="77"/>
        <v>8.8361382118000223E-3</v>
      </c>
      <c r="O80" s="89">
        <f t="shared" si="77"/>
        <v>8.4064458830233422E-3</v>
      </c>
      <c r="P80" s="89">
        <f t="shared" si="77"/>
        <v>9.7033221858904718E-3</v>
      </c>
      <c r="Q80" s="89">
        <f t="shared" si="77"/>
        <v>9.7641102972856521E-3</v>
      </c>
      <c r="R80" s="89">
        <f t="shared" si="77"/>
        <v>1.0520668224477236E-2</v>
      </c>
      <c r="S80" s="89">
        <f t="shared" si="77"/>
        <v>9.984786101092635E-3</v>
      </c>
      <c r="T80" s="89">
        <f t="shared" ref="T80:Y80" si="78">T47/T$23</f>
        <v>9.5733674307227293E-3</v>
      </c>
      <c r="U80" s="89">
        <f t="shared" si="78"/>
        <v>8.7806526356439471E-3</v>
      </c>
      <c r="V80" s="89">
        <f t="shared" si="78"/>
        <v>8.6092715231788075E-3</v>
      </c>
      <c r="W80" s="89">
        <f t="shared" si="78"/>
        <v>6.7777525618420839E-3</v>
      </c>
      <c r="X80" s="89">
        <f t="shared" si="78"/>
        <v>8.967589112749294E-3</v>
      </c>
      <c r="Y80" s="89">
        <f t="shared" si="78"/>
        <v>7.7745343658003237E-3</v>
      </c>
    </row>
    <row r="81" spans="1:25" x14ac:dyDescent="0.25">
      <c r="A81" s="68" t="s">
        <v>4</v>
      </c>
      <c r="B81" s="44"/>
      <c r="C81" s="44"/>
      <c r="D81" s="89">
        <f>D48/D$23</f>
        <v>1.1935701714893792E-2</v>
      </c>
      <c r="E81" s="89">
        <f t="shared" ref="E81:S81" si="79">E48/E$23</f>
        <v>1.2058486211908043E-2</v>
      </c>
      <c r="F81" s="89">
        <f t="shared" si="79"/>
        <v>1.3115950539402382E-2</v>
      </c>
      <c r="G81" s="89">
        <f t="shared" si="79"/>
        <v>1.3269301240139636E-2</v>
      </c>
      <c r="H81" s="89">
        <f t="shared" si="79"/>
        <v>1.3351875654073338E-2</v>
      </c>
      <c r="I81" s="89">
        <f t="shared" si="79"/>
        <v>1.2565532698723481E-2</v>
      </c>
      <c r="J81" s="89">
        <f t="shared" si="79"/>
        <v>1.263690715066158E-2</v>
      </c>
      <c r="K81" s="89">
        <f t="shared" si="79"/>
        <v>1.3024505583263804E-2</v>
      </c>
      <c r="L81" s="89">
        <f t="shared" si="79"/>
        <v>1.2350944233098484E-2</v>
      </c>
      <c r="M81" s="89">
        <f t="shared" si="79"/>
        <v>1.0663303624754246E-2</v>
      </c>
      <c r="N81" s="89">
        <f t="shared" si="79"/>
        <v>7.8492047989637201E-3</v>
      </c>
      <c r="O81" s="89">
        <f t="shared" si="79"/>
        <v>7.7749998716573152E-3</v>
      </c>
      <c r="P81" s="89">
        <f t="shared" si="79"/>
        <v>7.8572206476496091E-3</v>
      </c>
      <c r="Q81" s="89">
        <f t="shared" si="79"/>
        <v>7.8172124084446362E-3</v>
      </c>
      <c r="R81" s="89">
        <f t="shared" si="79"/>
        <v>8.1431006966572444E-3</v>
      </c>
      <c r="S81" s="89">
        <f t="shared" si="79"/>
        <v>8.234655772238357E-3</v>
      </c>
      <c r="T81" s="89">
        <f t="shared" ref="T81:Y81" si="80">T48/T$23</f>
        <v>8.7166959426309698E-3</v>
      </c>
      <c r="U81" s="89">
        <f t="shared" si="80"/>
        <v>8.536879706507048E-3</v>
      </c>
      <c r="V81" s="89">
        <f t="shared" si="80"/>
        <v>8.6023730684326727E-3</v>
      </c>
      <c r="W81" s="89">
        <f t="shared" si="80"/>
        <v>7.7684478815704455E-3</v>
      </c>
      <c r="X81" s="89">
        <f t="shared" si="80"/>
        <v>1.0122326261852653E-2</v>
      </c>
      <c r="Y81" s="89">
        <f t="shared" si="80"/>
        <v>9.2247601748546154E-3</v>
      </c>
    </row>
    <row r="82" spans="1:25" x14ac:dyDescent="0.25">
      <c r="A82" s="68" t="s">
        <v>3</v>
      </c>
      <c r="B82" s="44"/>
      <c r="C82" s="44"/>
      <c r="D82" s="89">
        <f>D52/D$23</f>
        <v>9.6795317807882777E-3</v>
      </c>
      <c r="E82" s="89">
        <f t="shared" ref="E82:S82" si="81">E52/E$23</f>
        <v>9.4954194468047579E-3</v>
      </c>
      <c r="F82" s="89">
        <f t="shared" si="81"/>
        <v>9.1186685233964736E-3</v>
      </c>
      <c r="G82" s="89">
        <f t="shared" si="81"/>
        <v>8.9413489170475802E-3</v>
      </c>
      <c r="H82" s="89">
        <f t="shared" si="81"/>
        <v>8.1965485998440751E-3</v>
      </c>
      <c r="I82" s="89">
        <f t="shared" si="81"/>
        <v>7.545116123298082E-3</v>
      </c>
      <c r="J82" s="89">
        <f t="shared" si="81"/>
        <v>6.9365313242388997E-3</v>
      </c>
      <c r="K82" s="89">
        <f t="shared" si="81"/>
        <v>7.4212491903001294E-3</v>
      </c>
      <c r="L82" s="89">
        <f t="shared" si="81"/>
        <v>7.7327438933744068E-3</v>
      </c>
      <c r="M82" s="89">
        <f t="shared" si="81"/>
        <v>6.7876028842185658E-3</v>
      </c>
      <c r="N82" s="89">
        <f t="shared" si="81"/>
        <v>6.5718456682875692E-3</v>
      </c>
      <c r="O82" s="89">
        <f t="shared" si="81"/>
        <v>6.7379909749423735E-3</v>
      </c>
      <c r="P82" s="89">
        <f t="shared" si="81"/>
        <v>6.5104962161559128E-3</v>
      </c>
      <c r="Q82" s="89">
        <f t="shared" si="81"/>
        <v>6.5004308487720801E-3</v>
      </c>
      <c r="R82" s="89">
        <f t="shared" si="81"/>
        <v>7.0128710013018071E-3</v>
      </c>
      <c r="S82" s="89">
        <f t="shared" si="81"/>
        <v>7.4739608268700863E-3</v>
      </c>
      <c r="T82" s="89">
        <f t="shared" ref="T82:Y82" si="82">T52/T$23</f>
        <v>7.1228294054394839E-3</v>
      </c>
      <c r="U82" s="89">
        <f t="shared" si="82"/>
        <v>6.924599343502604E-3</v>
      </c>
      <c r="V82" s="89">
        <f t="shared" si="82"/>
        <v>7.114606328182488E-3</v>
      </c>
      <c r="W82" s="89">
        <f t="shared" si="82"/>
        <v>7.919016112982907E-3</v>
      </c>
      <c r="X82" s="89">
        <f t="shared" si="82"/>
        <v>8.8110949611254329E-3</v>
      </c>
      <c r="Y82" s="89">
        <f t="shared" si="82"/>
        <v>9.86401805644916E-3</v>
      </c>
    </row>
    <row r="83" spans="1:25" x14ac:dyDescent="0.25">
      <c r="A83" s="88" t="s">
        <v>21</v>
      </c>
      <c r="B83" s="44"/>
      <c r="C83" s="44"/>
      <c r="D83" s="89">
        <f>D53/D$23</f>
        <v>4.8039536692178605E-3</v>
      </c>
      <c r="E83" s="89">
        <f t="shared" ref="E83:S83" si="83">E53/E$23</f>
        <v>4.7732475263155445E-3</v>
      </c>
      <c r="F83" s="89">
        <f t="shared" si="83"/>
        <v>4.4544737680989209E-3</v>
      </c>
      <c r="G83" s="89">
        <f t="shared" si="83"/>
        <v>3.8496403016451621E-3</v>
      </c>
      <c r="H83" s="89">
        <f t="shared" si="83"/>
        <v>3.6733461162968741E-3</v>
      </c>
      <c r="I83" s="89">
        <f t="shared" si="83"/>
        <v>3.4746821583604916E-3</v>
      </c>
      <c r="J83" s="89">
        <f t="shared" si="83"/>
        <v>2.984934721030169E-3</v>
      </c>
      <c r="K83" s="89">
        <f t="shared" si="83"/>
        <v>3.1881515918099688E-3</v>
      </c>
      <c r="L83" s="89">
        <f t="shared" si="83"/>
        <v>3.2193364901190007E-3</v>
      </c>
      <c r="M83" s="89">
        <f t="shared" si="83"/>
        <v>2.524844728457435E-3</v>
      </c>
      <c r="N83" s="89">
        <f t="shared" si="83"/>
        <v>2.3748085246373535E-3</v>
      </c>
      <c r="O83" s="89">
        <f t="shared" si="83"/>
        <v>2.3563717009512761E-3</v>
      </c>
      <c r="P83" s="89">
        <f t="shared" si="83"/>
        <v>2.3587599510185436E-3</v>
      </c>
      <c r="Q83" s="89">
        <f t="shared" si="83"/>
        <v>2.3158121499353731E-3</v>
      </c>
      <c r="R83" s="89">
        <f t="shared" si="83"/>
        <v>2.5300804505667494E-3</v>
      </c>
      <c r="S83" s="89">
        <f t="shared" si="83"/>
        <v>2.6624323087889525E-3</v>
      </c>
      <c r="T83" s="89">
        <f t="shared" ref="T83:Y83" si="84">T53/T$23</f>
        <v>2.7149114222017726E-3</v>
      </c>
      <c r="U83" s="89">
        <f t="shared" si="84"/>
        <v>2.3629078972774668E-3</v>
      </c>
      <c r="V83" s="89">
        <f t="shared" si="84"/>
        <v>2.6490066225165567E-3</v>
      </c>
      <c r="W83" s="89">
        <f t="shared" si="84"/>
        <v>3.0004538868425188E-3</v>
      </c>
      <c r="X83" s="89">
        <f t="shared" si="84"/>
        <v>3.7440040214254716E-3</v>
      </c>
      <c r="Y83" s="89">
        <f t="shared" si="84"/>
        <v>5.1244070314229381E-3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4.8755781115704172E-3</v>
      </c>
      <c r="E84" s="89">
        <f t="shared" ref="E84:S84" si="86">E56/E$23</f>
        <v>4.7221719204892125E-3</v>
      </c>
      <c r="F84" s="89">
        <f t="shared" si="86"/>
        <v>4.6641947552975528E-3</v>
      </c>
      <c r="G84" s="89">
        <f t="shared" si="86"/>
        <v>5.0917086154024186E-3</v>
      </c>
      <c r="H84" s="89">
        <f t="shared" si="86"/>
        <v>4.5232024835472019E-3</v>
      </c>
      <c r="I84" s="89">
        <f t="shared" si="86"/>
        <v>4.0704339649375908E-3</v>
      </c>
      <c r="J84" s="89">
        <f t="shared" si="86"/>
        <v>3.9515966032087312E-3</v>
      </c>
      <c r="K84" s="89">
        <f t="shared" si="86"/>
        <v>4.2330975984901601E-3</v>
      </c>
      <c r="L84" s="89">
        <f t="shared" si="86"/>
        <v>4.5134074032554062E-3</v>
      </c>
      <c r="M84" s="89">
        <f t="shared" si="86"/>
        <v>4.2627581557611316E-3</v>
      </c>
      <c r="N84" s="89">
        <f t="shared" si="86"/>
        <v>4.1970371436502157E-3</v>
      </c>
      <c r="O84" s="89">
        <f t="shared" si="86"/>
        <v>4.381619273991097E-3</v>
      </c>
      <c r="P84" s="89">
        <f t="shared" si="86"/>
        <v>4.1517362651373691E-3</v>
      </c>
      <c r="Q84" s="89">
        <f t="shared" si="86"/>
        <v>4.1846186988367074E-3</v>
      </c>
      <c r="R84" s="89">
        <f t="shared" si="86"/>
        <v>4.4827905507350578E-3</v>
      </c>
      <c r="S84" s="89">
        <f t="shared" si="86"/>
        <v>4.8115285180811342E-3</v>
      </c>
      <c r="T84" s="89">
        <f t="shared" ref="T84:Y84" si="87">T56/T$23</f>
        <v>4.4079179832377116E-3</v>
      </c>
      <c r="U84" s="89">
        <f t="shared" si="87"/>
        <v>4.5616914462251372E-3</v>
      </c>
      <c r="V84" s="89">
        <f t="shared" si="87"/>
        <v>4.4655997056659309E-3</v>
      </c>
      <c r="W84" s="89">
        <f t="shared" si="87"/>
        <v>4.918562226140389E-3</v>
      </c>
      <c r="X84" s="89">
        <f t="shared" si="87"/>
        <v>5.0670909396999609E-3</v>
      </c>
      <c r="Y84" s="89">
        <f t="shared" si="87"/>
        <v>4.7396110250262228E-3</v>
      </c>
    </row>
    <row r="85" spans="1:25" x14ac:dyDescent="0.25">
      <c r="A85" s="68" t="s">
        <v>2</v>
      </c>
      <c r="B85" s="44"/>
      <c r="C85" s="44"/>
      <c r="D85" s="89">
        <f t="shared" si="85"/>
        <v>4.5082470429337364E-2</v>
      </c>
      <c r="E85" s="89">
        <f t="shared" ref="E85:S85" si="88">E57/E$23</f>
        <v>4.2782784734894386E-2</v>
      </c>
      <c r="F85" s="89">
        <f t="shared" si="88"/>
        <v>4.3005385634951258E-2</v>
      </c>
      <c r="G85" s="89">
        <f t="shared" si="88"/>
        <v>4.1512854635576385E-2</v>
      </c>
      <c r="H85" s="89">
        <f t="shared" si="88"/>
        <v>4.2492818362516414E-2</v>
      </c>
      <c r="I85" s="89">
        <f t="shared" si="88"/>
        <v>4.1332294256308535E-2</v>
      </c>
      <c r="J85" s="89">
        <f t="shared" si="88"/>
        <v>4.0898585451445743E-2</v>
      </c>
      <c r="K85" s="89">
        <f t="shared" si="88"/>
        <v>3.8215168244304112E-2</v>
      </c>
      <c r="L85" s="89">
        <f t="shared" si="88"/>
        <v>3.8108073199084637E-2</v>
      </c>
      <c r="M85" s="89">
        <f t="shared" si="88"/>
        <v>3.8908241759650158E-2</v>
      </c>
      <c r="N85" s="89">
        <f t="shared" si="88"/>
        <v>3.9320558028600509E-2</v>
      </c>
      <c r="O85" s="89">
        <f t="shared" si="88"/>
        <v>4.1141531179571957E-2</v>
      </c>
      <c r="P85" s="89">
        <f t="shared" si="88"/>
        <v>4.1373924546244188E-2</v>
      </c>
      <c r="Q85" s="89">
        <f t="shared" si="88"/>
        <v>4.0841770788453254E-2</v>
      </c>
      <c r="R85" s="89">
        <f t="shared" si="88"/>
        <v>3.9759574271069936E-2</v>
      </c>
      <c r="S85" s="89">
        <f t="shared" si="88"/>
        <v>3.8247529071313825E-2</v>
      </c>
      <c r="T85" s="89">
        <f t="shared" ref="T85:Y85" si="89">T57/T$23</f>
        <v>3.6887715025814533E-2</v>
      </c>
      <c r="U85" s="89">
        <f t="shared" si="89"/>
        <v>3.5851515736628696E-2</v>
      </c>
      <c r="V85" s="89">
        <f t="shared" si="89"/>
        <v>3.5662711552612213E-2</v>
      </c>
      <c r="W85" s="89">
        <f t="shared" si="89"/>
        <v>3.4920918946284241E-2</v>
      </c>
      <c r="X85" s="89">
        <f t="shared" si="89"/>
        <v>3.2131094676590609E-2</v>
      </c>
      <c r="Y85" s="89">
        <f t="shared" si="89"/>
        <v>2.8435597354424014E-2</v>
      </c>
    </row>
    <row r="86" spans="1:25" x14ac:dyDescent="0.25">
      <c r="A86" s="68" t="s">
        <v>275</v>
      </c>
      <c r="B86" s="44"/>
      <c r="C86" s="44"/>
      <c r="D86" s="89">
        <f t="shared" si="85"/>
        <v>8.4772643555846589E-3</v>
      </c>
      <c r="E86" s="89">
        <f t="shared" ref="E86:S86" si="90">E58/E$23</f>
        <v>8.0142268778410804E-3</v>
      </c>
      <c r="F86" s="89">
        <f t="shared" si="90"/>
        <v>8.7747261043907201E-3</v>
      </c>
      <c r="G86" s="89">
        <f t="shared" si="90"/>
        <v>8.0464425543404893E-3</v>
      </c>
      <c r="H86" s="89">
        <f t="shared" si="90"/>
        <v>8.6074295707874171E-3</v>
      </c>
      <c r="I86" s="89">
        <f t="shared" si="90"/>
        <v>7.1876650393518232E-3</v>
      </c>
      <c r="J86" s="89">
        <f t="shared" si="90"/>
        <v>8.1141012534382394E-3</v>
      </c>
      <c r="K86" s="89">
        <f t="shared" si="90"/>
        <v>7.5811899056083204E-3</v>
      </c>
      <c r="L86" s="89">
        <f t="shared" si="90"/>
        <v>7.3476907779778857E-3</v>
      </c>
      <c r="M86" s="89">
        <f t="shared" si="90"/>
        <v>7.3412744185808055E-3</v>
      </c>
      <c r="N86" s="89">
        <f t="shared" si="90"/>
        <v>7.1064346002405656E-3</v>
      </c>
      <c r="O86" s="89">
        <f t="shared" si="90"/>
        <v>6.6789533397333557E-3</v>
      </c>
      <c r="P86" s="89">
        <f t="shared" si="90"/>
        <v>6.0854944231795985E-3</v>
      </c>
      <c r="Q86" s="89">
        <f t="shared" si="90"/>
        <v>2.636255924170616E-3</v>
      </c>
      <c r="R86" s="89">
        <f t="shared" si="90"/>
        <v>3.4015828662625077E-3</v>
      </c>
      <c r="S86" s="89">
        <f t="shared" si="90"/>
        <v>3.2502420393007991E-3</v>
      </c>
      <c r="T86" s="89">
        <f t="shared" ref="T86:Y86" si="91">T58/T$23</f>
        <v>3.7673209060889758E-3</v>
      </c>
      <c r="U86" s="89">
        <f t="shared" si="91"/>
        <v>3.4297161614211236E-3</v>
      </c>
      <c r="V86" s="89">
        <f t="shared" si="91"/>
        <v>2.9479396615158201E-3</v>
      </c>
      <c r="W86" s="89">
        <f t="shared" si="91"/>
        <v>5.184784316463872E-3</v>
      </c>
      <c r="X86" s="89">
        <f t="shared" si="91"/>
        <v>3.3385419013090972E-3</v>
      </c>
      <c r="Y86" s="89">
        <f t="shared" si="91"/>
        <v>3.8479600639671641E-3</v>
      </c>
    </row>
    <row r="87" spans="1:25" x14ac:dyDescent="0.25">
      <c r="A87" s="68" t="s">
        <v>276</v>
      </c>
      <c r="B87" s="44"/>
      <c r="C87" s="44"/>
      <c r="D87" s="89">
        <f t="shared" si="85"/>
        <v>3.2312855564195962E-2</v>
      </c>
      <c r="E87" s="89">
        <f t="shared" ref="E87:S87" si="92">E59/E$23</f>
        <v>3.5841145579406312E-2</v>
      </c>
      <c r="F87" s="89">
        <f t="shared" si="92"/>
        <v>3.6608895525393016E-2</v>
      </c>
      <c r="G87" s="89">
        <f t="shared" si="92"/>
        <v>3.7053752242087609E-2</v>
      </c>
      <c r="H87" s="89">
        <f t="shared" si="92"/>
        <v>3.6972263778559743E-2</v>
      </c>
      <c r="I87" s="89">
        <f t="shared" si="92"/>
        <v>3.5400538430821943E-2</v>
      </c>
      <c r="J87" s="89">
        <f t="shared" si="92"/>
        <v>3.7345370714831815E-2</v>
      </c>
      <c r="K87" s="89">
        <f t="shared" si="92"/>
        <v>3.852438696056662E-2</v>
      </c>
      <c r="L87" s="89">
        <f t="shared" si="92"/>
        <v>3.7657219867765927E-2</v>
      </c>
      <c r="M87" s="89">
        <f t="shared" si="92"/>
        <v>3.5591339141757855E-2</v>
      </c>
      <c r="N87" s="89">
        <f t="shared" si="92"/>
        <v>3.1718086582845861E-2</v>
      </c>
      <c r="O87" s="89">
        <f t="shared" si="92"/>
        <v>3.1436257321950198E-2</v>
      </c>
      <c r="P87" s="89">
        <f t="shared" si="92"/>
        <v>3.0106064509959653E-2</v>
      </c>
      <c r="Q87" s="89">
        <f t="shared" si="92"/>
        <v>2.9785114174924604E-2</v>
      </c>
      <c r="R87" s="89">
        <f t="shared" si="92"/>
        <v>3.2152992249075397E-2</v>
      </c>
      <c r="S87" s="89">
        <f t="shared" si="92"/>
        <v>3.4473311842371242E-2</v>
      </c>
      <c r="T87" s="89">
        <f t="shared" ref="T87:Y87" si="93">T59/T$23</f>
        <v>3.8595973898211157E-2</v>
      </c>
      <c r="U87" s="89">
        <f t="shared" si="93"/>
        <v>3.8417165475960614E-2</v>
      </c>
      <c r="V87" s="89">
        <f t="shared" si="93"/>
        <v>3.6812454010301691E-2</v>
      </c>
      <c r="W87" s="89">
        <f t="shared" si="93"/>
        <v>3.1924829356004401E-2</v>
      </c>
      <c r="X87" s="89">
        <f t="shared" si="93"/>
        <v>3.7971171880372079E-2</v>
      </c>
      <c r="Y87" s="89">
        <f t="shared" si="93"/>
        <v>3.7025237239150716E-2</v>
      </c>
    </row>
    <row r="88" spans="1:25" x14ac:dyDescent="0.25">
      <c r="A88" s="68" t="s">
        <v>1</v>
      </c>
      <c r="B88" s="44"/>
      <c r="C88" s="44"/>
      <c r="D88" s="89">
        <f t="shared" si="85"/>
        <v>1.7179634101420208E-2</v>
      </c>
      <c r="E88" s="89">
        <f t="shared" ref="E88:S88" si="94">E60/E$23</f>
        <v>1.6539209813945497E-2</v>
      </c>
      <c r="F88" s="89">
        <f t="shared" si="94"/>
        <v>1.6056238779927186E-2</v>
      </c>
      <c r="G88" s="89">
        <f t="shared" si="94"/>
        <v>1.4434222453663525E-2</v>
      </c>
      <c r="H88" s="89">
        <f t="shared" si="94"/>
        <v>1.3127120251164163E-2</v>
      </c>
      <c r="I88" s="89">
        <f t="shared" si="94"/>
        <v>1.2076050133319595E-2</v>
      </c>
      <c r="J88" s="89">
        <f t="shared" si="94"/>
        <v>1.141832732343042E-2</v>
      </c>
      <c r="K88" s="89">
        <f t="shared" si="94"/>
        <v>1.0636057567994798E-2</v>
      </c>
      <c r="L88" s="89">
        <f t="shared" si="94"/>
        <v>9.8237285326795536E-3</v>
      </c>
      <c r="M88" s="89">
        <f t="shared" si="94"/>
        <v>9.038175139635448E-3</v>
      </c>
      <c r="N88" s="89">
        <f t="shared" si="94"/>
        <v>8.8104368208407439E-3</v>
      </c>
      <c r="O88" s="89">
        <f t="shared" si="94"/>
        <v>9.0327581869798917E-3</v>
      </c>
      <c r="P88" s="89">
        <f t="shared" si="94"/>
        <v>8.5690986508849352E-3</v>
      </c>
      <c r="Q88" s="89">
        <f t="shared" si="94"/>
        <v>8.4931064196467031E-3</v>
      </c>
      <c r="R88" s="89">
        <f t="shared" si="94"/>
        <v>8.8648136346552945E-3</v>
      </c>
      <c r="S88" s="89">
        <f t="shared" si="94"/>
        <v>7.7904737586841572E-3</v>
      </c>
      <c r="T88" s="89">
        <f t="shared" ref="T88:Y88" si="95">T60/T$23</f>
        <v>7.9362860113426342E-3</v>
      </c>
      <c r="U88" s="89">
        <f t="shared" si="95"/>
        <v>8.0903649353156991E-3</v>
      </c>
      <c r="V88" s="89">
        <f t="shared" si="95"/>
        <v>7.9631162619573214E-3</v>
      </c>
      <c r="W88" s="89">
        <f t="shared" si="95"/>
        <v>8.569296300822234E-3</v>
      </c>
      <c r="X88" s="89">
        <f t="shared" si="95"/>
        <v>7.5117192779454696E-3</v>
      </c>
      <c r="Y88" s="89">
        <f t="shared" si="95"/>
        <v>7.0070111487402055E-3</v>
      </c>
    </row>
    <row r="89" spans="1:25" x14ac:dyDescent="0.25">
      <c r="A89" s="68" t="s">
        <v>0</v>
      </c>
      <c r="B89" s="44"/>
      <c r="C89" s="44"/>
      <c r="D89" s="89">
        <f t="shared" si="85"/>
        <v>6.4973601276961477E-3</v>
      </c>
      <c r="E89" s="89">
        <f t="shared" ref="E89:S89" si="96">E61/E$23</f>
        <v>5.4836627709909129E-3</v>
      </c>
      <c r="F89" s="89">
        <f t="shared" si="96"/>
        <v>5.9309095179772833E-3</v>
      </c>
      <c r="G89" s="89">
        <f t="shared" si="96"/>
        <v>5.9750429130745047E-3</v>
      </c>
      <c r="H89" s="89">
        <f t="shared" si="96"/>
        <v>5.6575149076044584E-3</v>
      </c>
      <c r="I89" s="89">
        <f t="shared" si="96"/>
        <v>5.4004096196205225E-3</v>
      </c>
      <c r="J89" s="89">
        <f t="shared" si="96"/>
        <v>5.1350250892697605E-3</v>
      </c>
      <c r="K89" s="89">
        <f t="shared" si="96"/>
        <v>5.7978509299219756E-3</v>
      </c>
      <c r="L89" s="89">
        <f t="shared" si="96"/>
        <v>5.4199881559611335E-3</v>
      </c>
      <c r="M89" s="89">
        <f t="shared" si="96"/>
        <v>4.8215562784045029E-3</v>
      </c>
      <c r="N89" s="89">
        <f t="shared" si="96"/>
        <v>3.9888558768800559E-3</v>
      </c>
      <c r="O89" s="89">
        <f t="shared" si="96"/>
        <v>4.1429018794502835E-3</v>
      </c>
      <c r="P89" s="89">
        <f t="shared" si="96"/>
        <v>4.1703300935800828E-3</v>
      </c>
      <c r="Q89" s="89">
        <f t="shared" si="96"/>
        <v>4.491598448944421E-3</v>
      </c>
      <c r="R89" s="89">
        <f t="shared" si="96"/>
        <v>5.1963331535859608E-3</v>
      </c>
      <c r="S89" s="89">
        <f t="shared" si="96"/>
        <v>5.9632100262785532E-3</v>
      </c>
      <c r="T89" s="89">
        <f t="shared" ref="T89:Y89" si="97">T61/T$23</f>
        <v>6.3297092146839071E-3</v>
      </c>
      <c r="U89" s="89">
        <f t="shared" si="97"/>
        <v>6.5625603398339442E-3</v>
      </c>
      <c r="V89" s="89">
        <f t="shared" si="97"/>
        <v>6.468451066961001E-3</v>
      </c>
      <c r="W89" s="89">
        <f t="shared" si="97"/>
        <v>6.897770717315785E-3</v>
      </c>
      <c r="X89" s="89">
        <f t="shared" si="97"/>
        <v>4.282249058071186E-3</v>
      </c>
      <c r="Y89" s="89">
        <f t="shared" si="97"/>
        <v>5.3954192724872925E-3</v>
      </c>
    </row>
    <row r="90" spans="1:25" x14ac:dyDescent="0.25">
      <c r="A90" s="90" t="s">
        <v>278</v>
      </c>
      <c r="B90" s="47"/>
      <c r="C90" s="47"/>
      <c r="D90" s="91">
        <f t="shared" si="85"/>
        <v>1.2232431547497237E-2</v>
      </c>
      <c r="E90" s="91">
        <f t="shared" ref="E90:S90" si="98">E62/E$23</f>
        <v>1.2754971745903504E-2</v>
      </c>
      <c r="F90" s="91">
        <f t="shared" si="98"/>
        <v>1.159337617234032E-2</v>
      </c>
      <c r="G90" s="91">
        <f t="shared" si="98"/>
        <v>1.1575922390017165E-2</v>
      </c>
      <c r="H90" s="91">
        <f t="shared" si="98"/>
        <v>1.0696952457208678E-2</v>
      </c>
      <c r="I90" s="91">
        <f t="shared" si="98"/>
        <v>1.0333878634086021E-2</v>
      </c>
      <c r="J90" s="91">
        <f t="shared" si="98"/>
        <v>1.0592270805932374E-2</v>
      </c>
      <c r="K90" s="91">
        <f t="shared" si="98"/>
        <v>1.0947941962845771E-2</v>
      </c>
      <c r="L90" s="91">
        <f t="shared" si="98"/>
        <v>1.0491478872038076E-2</v>
      </c>
      <c r="M90" s="91">
        <f t="shared" si="98"/>
        <v>1.0148081502500492E-2</v>
      </c>
      <c r="N90" s="91">
        <f t="shared" si="98"/>
        <v>8.6485180577972887E-3</v>
      </c>
      <c r="O90" s="91">
        <f t="shared" si="98"/>
        <v>9.4793907316046439E-3</v>
      </c>
      <c r="P90" s="91">
        <f t="shared" si="98"/>
        <v>9.4084771920131555E-3</v>
      </c>
      <c r="Q90" s="91">
        <f t="shared" si="98"/>
        <v>9.5217578629900913E-3</v>
      </c>
      <c r="R90" s="91">
        <f t="shared" si="98"/>
        <v>1.0395389752220971E-2</v>
      </c>
      <c r="S90" s="91">
        <f t="shared" si="98"/>
        <v>1.1375847137552799E-2</v>
      </c>
      <c r="T90" s="91">
        <f t="shared" ref="T90:Y90" si="99">T62/T$23</f>
        <v>1.1530747388677192E-2</v>
      </c>
      <c r="U90" s="91">
        <f t="shared" si="99"/>
        <v>1.2294844564587759E-2</v>
      </c>
      <c r="V90" s="91">
        <f t="shared" si="99"/>
        <v>1.1982615894039735E-2</v>
      </c>
      <c r="W90" s="91">
        <f t="shared" si="99"/>
        <v>1.2248398303161498E-2</v>
      </c>
      <c r="X90" s="91">
        <f t="shared" si="99"/>
        <v>1.3190560083084165E-2</v>
      </c>
      <c r="Y90" s="91">
        <f t="shared" si="99"/>
        <v>1.3159609659621036E-2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3.1212524932209273E-2</v>
      </c>
      <c r="F93" s="92">
        <f t="shared" ref="F93:F94" si="101">IF(E16=0,"",F16/E16-1)</f>
        <v>5.8200594617730861E-2</v>
      </c>
      <c r="G93" s="92">
        <f t="shared" ref="G93:G94" si="102">IF(F16=0,"",G16/F16-1)</f>
        <v>5.599957713998549E-2</v>
      </c>
      <c r="H93" s="92">
        <f t="shared" ref="H93:H94" si="103">IF(G16=0,"",H16/G16-1)</f>
        <v>4.1788771811759995E-2</v>
      </c>
      <c r="I93" s="92">
        <f t="shared" ref="I93:I94" si="104">IF(H16=0,"",I16/H16-1)</f>
        <v>4.3077727605304927E-2</v>
      </c>
      <c r="J93" s="92">
        <f t="shared" ref="J93:J94" si="105">IF(I16=0,"",J16/I16-1)</f>
        <v>5.0769077657983885E-2</v>
      </c>
      <c r="K93" s="92">
        <f t="shared" ref="K93:K94" si="106">IF(J16=0,"",K16/J16-1)</f>
        <v>5.0758097872211749E-2</v>
      </c>
      <c r="L93" s="92">
        <f t="shared" ref="L93:L94" si="107">IF(K16=0,"",L16/K16-1)</f>
        <v>2.0116335398708829E-2</v>
      </c>
      <c r="M93" s="92">
        <f t="shared" ref="M93:M94" si="108">IF(L16=0,"",M16/L16-1)</f>
        <v>-7.2186781919064136E-2</v>
      </c>
      <c r="N93" s="92">
        <f t="shared" ref="N93:N94" si="109">IF(M16=0,"",N16/M16-1)</f>
        <v>-1.2421557154186358E-2</v>
      </c>
      <c r="O93" s="92">
        <f t="shared" ref="O93:O94" si="110">IF(N16=0,"",O16/N16-1)</f>
        <v>-8.3082528609623729E-4</v>
      </c>
      <c r="P93" s="92">
        <f t="shared" ref="P93:P94" si="111">IF(O16=0,"",P16/O16-1)</f>
        <v>-2.340694638633356E-2</v>
      </c>
      <c r="Q93" s="92">
        <f t="shared" ref="Q93:Q94" si="112">IF(P16=0,"",Q16/P16-1)</f>
        <v>-3.9624705926205595E-3</v>
      </c>
      <c r="R93" s="92">
        <f t="shared" ref="R93:R94" si="113">IF(Q16=0,"",R16/Q16-1)</f>
        <v>-4.253606238965979E-3</v>
      </c>
      <c r="S93" s="92">
        <f t="shared" ref="S93:S94" si="114">IF(R16=0,"",S16/R16-1)</f>
        <v>2.5220842365291984E-2</v>
      </c>
      <c r="T93" s="92">
        <f t="shared" ref="T93:T94" si="115">IF(S16=0,"",T16/S16-1)</f>
        <v>3.5627389514669039E-2</v>
      </c>
      <c r="U93" s="92">
        <f t="shared" ref="U93:U94" si="116">IF(T16=0,"",U16/T16-1)</f>
        <v>3.3992272208593466E-2</v>
      </c>
      <c r="V93" s="92">
        <f t="shared" ref="V93:V94" si="117">IF(U16=0,"",V16/U16-1)</f>
        <v>2.8206151737724561E-2</v>
      </c>
      <c r="W93" s="92">
        <f t="shared" ref="W93:W94" si="118">IF(V16=0,"",W16/V16-1)</f>
        <v>3.3994084005908975E-2</v>
      </c>
      <c r="X93" s="92">
        <f t="shared" ref="X93:X94" si="119">IF(W16=0,"",X16/W16-1)</f>
        <v>-8.5913826524558146E-2</v>
      </c>
      <c r="Y93" s="92">
        <f t="shared" ref="Y93:Y94" si="120">IF(X16=0,"",Y16/X16-1)</f>
        <v>0.13784689227902547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5.3094583070105728E-2</v>
      </c>
      <c r="F94" s="93">
        <f t="shared" si="101"/>
        <v>9.515155420132082E-2</v>
      </c>
      <c r="G94" s="93">
        <f t="shared" si="102"/>
        <v>4.5687251743405266E-2</v>
      </c>
      <c r="H94" s="93">
        <f t="shared" si="103"/>
        <v>4.5981667354581868E-2</v>
      </c>
      <c r="I94" s="93">
        <f t="shared" si="104"/>
        <v>4.5828704005980159E-2</v>
      </c>
      <c r="J94" s="93">
        <f t="shared" si="105"/>
        <v>1.3033972514663317E-2</v>
      </c>
      <c r="K94" s="93">
        <f t="shared" si="106"/>
        <v>5.0304195916682337E-2</v>
      </c>
      <c r="L94" s="93">
        <f t="shared" si="107"/>
        <v>3.0970134547672057E-2</v>
      </c>
      <c r="M94" s="93">
        <f t="shared" si="108"/>
        <v>-8.9105192098136721E-2</v>
      </c>
      <c r="N94" s="93">
        <f t="shared" si="109"/>
        <v>-1.5355965735217469E-2</v>
      </c>
      <c r="O94" s="93">
        <f t="shared" si="110"/>
        <v>9.9278329127954201E-3</v>
      </c>
      <c r="P94" s="93">
        <f t="shared" si="111"/>
        <v>-2.3976500489683916E-2</v>
      </c>
      <c r="Q94" s="93">
        <f t="shared" si="112"/>
        <v>-1.5828432256334013E-2</v>
      </c>
      <c r="R94" s="93">
        <f t="shared" si="113"/>
        <v>-2.4783550494510531E-2</v>
      </c>
      <c r="S94" s="93">
        <f t="shared" si="114"/>
        <v>3.7592173203611079E-3</v>
      </c>
      <c r="T94" s="93">
        <f t="shared" si="115"/>
        <v>3.1651711921568682E-2</v>
      </c>
      <c r="U94" s="93">
        <f t="shared" si="116"/>
        <v>3.1754628128942253E-2</v>
      </c>
      <c r="V94" s="93">
        <f t="shared" si="117"/>
        <v>3.371884935808489E-2</v>
      </c>
      <c r="W94" s="93">
        <f t="shared" si="118"/>
        <v>4.080071638521332E-2</v>
      </c>
      <c r="X94" s="93">
        <f t="shared" si="119"/>
        <v>-5.1696786871245237E-2</v>
      </c>
      <c r="Y94" s="93">
        <f t="shared" si="120"/>
        <v>0.10586484481884328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7.9786326560509213E-2</v>
      </c>
      <c r="F95" s="92">
        <f t="shared" ref="F95:F96" si="122">IF(E20=0,"",F20/E20-1)</f>
        <v>5.572117469553306E-2</v>
      </c>
      <c r="G95" s="92">
        <f t="shared" ref="G95:G96" si="123">IF(F20=0,"",G20/F20-1)</f>
        <v>5.6026557300985047E-2</v>
      </c>
      <c r="H95" s="92">
        <f t="shared" ref="H95:H96" si="124">IF(G20=0,"",H20/G20-1)</f>
        <v>4.1706265388059549E-2</v>
      </c>
      <c r="I95" s="92">
        <f t="shared" ref="I95:I96" si="125">IF(H20=0,"",I20/H20-1)</f>
        <v>4.1834995072527414E-2</v>
      </c>
      <c r="J95" s="92">
        <f t="shared" ref="J95:J96" si="126">IF(I20=0,"",J20/I20-1)</f>
        <v>5.0372890835792328E-2</v>
      </c>
      <c r="K95" s="92">
        <f t="shared" ref="K95:K96" si="127">IF(J20=0,"",K20/J20-1)</f>
        <v>5.0504027378653005E-2</v>
      </c>
      <c r="L95" s="92">
        <f t="shared" ref="L95:L96" si="128">IF(K20=0,"",L20/K20-1)</f>
        <v>2.048610674255924E-2</v>
      </c>
      <c r="M95" s="92">
        <f t="shared" ref="M95:M96" si="129">IF(L20=0,"",M20/L20-1)</f>
        <v>-7.1719408870211332E-2</v>
      </c>
      <c r="N95" s="92">
        <f t="shared" ref="N95:N96" si="130">IF(M20=0,"",N20/M20-1)</f>
        <v>-1.0826640439895674E-2</v>
      </c>
      <c r="O95" s="92">
        <f t="shared" ref="O95:O96" si="131">IF(N20=0,"",O20/N20-1)</f>
        <v>2.1947318780548564E-3</v>
      </c>
      <c r="P95" s="92">
        <f t="shared" ref="P95:P96" si="132">IF(O20=0,"",P20/O20-1)</f>
        <v>-2.0238488451789771E-2</v>
      </c>
      <c r="Q95" s="92">
        <f t="shared" ref="Q95:Q96" si="133">IF(P20=0,"",Q20/P20-1)</f>
        <v>-7.2720765965350598E-4</v>
      </c>
      <c r="R95" s="92">
        <f t="shared" ref="R95:R96" si="134">IF(Q20=0,"",R20/Q20-1)</f>
        <v>-6.5895718299235906E-4</v>
      </c>
      <c r="S95" s="92">
        <f t="shared" ref="S95:S96" si="135">IF(R20=0,"",S20/R20-1)</f>
        <v>3.0435853873296725E-2</v>
      </c>
      <c r="T95" s="92">
        <f t="shared" ref="T95:T96" si="136">IF(S20=0,"",T20/S20-1)</f>
        <v>4.4189598117761797E-2</v>
      </c>
      <c r="U95" s="92">
        <f t="shared" ref="U95:U96" si="137">IF(T20=0,"",U20/T20-1)</f>
        <v>4.3066246575251155E-2</v>
      </c>
      <c r="V95" s="92">
        <f t="shared" ref="V95:V96" si="138">IF(U20=0,"",V20/U20-1)</f>
        <v>4.0407902833795584E-2</v>
      </c>
      <c r="W95" s="92">
        <f t="shared" ref="W95:W96" si="139">IF(V20=0,"",W20/V20-1)</f>
        <v>4.1412975057852464E-2</v>
      </c>
      <c r="X95" s="92">
        <f t="shared" ref="X95:X96" si="140">IF(W20=0,"",X20/W20-1)</f>
        <v>-8.1841150302026655E-2</v>
      </c>
      <c r="Y95" s="92">
        <f t="shared" ref="Y95:Y96" si="141">IF(X20=0,"",Y20/X20-1)</f>
        <v>0.14399512272966875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0.10269910797368653</v>
      </c>
      <c r="F96" s="93">
        <f t="shared" si="122"/>
        <v>9.2585556227851917E-2</v>
      </c>
      <c r="G96" s="93">
        <f t="shared" si="123"/>
        <v>4.5713968430625584E-2</v>
      </c>
      <c r="H96" s="93">
        <f t="shared" si="124"/>
        <v>4.5898828866622665E-2</v>
      </c>
      <c r="I96" s="93">
        <f t="shared" si="125"/>
        <v>4.4582693934262396E-2</v>
      </c>
      <c r="J96" s="93">
        <f t="shared" si="126"/>
        <v>1.2652013510657367E-2</v>
      </c>
      <c r="K96" s="93">
        <f t="shared" si="127"/>
        <v>5.0050235175400415E-2</v>
      </c>
      <c r="L96" s="93">
        <f t="shared" si="128"/>
        <v>3.1343840172111559E-2</v>
      </c>
      <c r="M96" s="93">
        <f t="shared" si="129"/>
        <v>-8.8646341463917699E-2</v>
      </c>
      <c r="N96" s="93">
        <f t="shared" si="130"/>
        <v>-1.3765788024016845E-2</v>
      </c>
      <c r="O96" s="93">
        <f t="shared" si="131"/>
        <v>1.2985968078964572E-2</v>
      </c>
      <c r="P96" s="93">
        <f t="shared" si="132"/>
        <v>-2.0809890416141452E-2</v>
      </c>
      <c r="Q96" s="93">
        <f t="shared" si="133"/>
        <v>-1.2631711551748248E-2</v>
      </c>
      <c r="R96" s="93">
        <f t="shared" si="134"/>
        <v>-2.1263014631614729E-2</v>
      </c>
      <c r="S96" s="93">
        <f t="shared" si="135"/>
        <v>8.8650595479877747E-3</v>
      </c>
      <c r="T96" s="93">
        <f t="shared" si="136"/>
        <v>4.018105099915914E-2</v>
      </c>
      <c r="U96" s="93">
        <f t="shared" si="137"/>
        <v>4.0808965670871E-2</v>
      </c>
      <c r="V96" s="93">
        <f t="shared" si="138"/>
        <v>4.5986019790655641E-2</v>
      </c>
      <c r="W96" s="93">
        <f t="shared" si="139"/>
        <v>4.8268444915856135E-2</v>
      </c>
      <c r="X96" s="93">
        <f t="shared" si="140"/>
        <v>-4.7471657928341071E-2</v>
      </c>
      <c r="Y96" s="93">
        <f t="shared" si="141"/>
        <v>0.11184026379598966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3.5882188335070397E-2</v>
      </c>
      <c r="F97" s="89">
        <f t="shared" ref="F97:F106" si="143">IF(E23=0,"",F23/E23-1)</f>
        <v>5.3260441577659412E-2</v>
      </c>
      <c r="G97" s="89">
        <f t="shared" ref="G97:G106" si="144">IF(F23=0,"",G23/F23-1)</f>
        <v>5.9542845761708874E-2</v>
      </c>
      <c r="H97" s="89">
        <f t="shared" ref="H97:H106" si="145">IF(G23=0,"",H23/G23-1)</f>
        <v>4.2446114074555785E-2</v>
      </c>
      <c r="I97" s="89">
        <f t="shared" ref="I97:I106" si="146">IF(H23=0,"",I23/H23-1)</f>
        <v>4.2043225351058755E-2</v>
      </c>
      <c r="J97" s="89">
        <f t="shared" ref="J97:J106" si="147">IF(I23=0,"",J23/I23-1)</f>
        <v>4.7080050002399343E-2</v>
      </c>
      <c r="K97" s="89">
        <f t="shared" ref="K97:K106" si="148">IF(J23=0,"",K23/J23-1)</f>
        <v>4.9584816560364731E-2</v>
      </c>
      <c r="L97" s="89">
        <f t="shared" ref="L97:L106" si="149">IF(K23=0,"",L23/K23-1)</f>
        <v>2.0475534457030209E-2</v>
      </c>
      <c r="M97" s="89">
        <f t="shared" ref="M97:M106" si="150">IF(L23=0,"",M23/L23-1)</f>
        <v>-6.1412320836022105E-2</v>
      </c>
      <c r="N97" s="89">
        <f t="shared" ref="N97:N106" si="151">IF(M23=0,"",N23/M23-1)</f>
        <v>-1.7058581772033898E-2</v>
      </c>
      <c r="O97" s="89">
        <f t="shared" ref="O97:O106" si="152">IF(N23=0,"",O23/N23-1)</f>
        <v>2.9069684788551875E-3</v>
      </c>
      <c r="P97" s="89">
        <f t="shared" ref="P97:P106" si="153">IF(O23=0,"",P23/O23-1)</f>
        <v>-3.3849450253825131E-2</v>
      </c>
      <c r="Q97" s="89">
        <f t="shared" ref="Q97:Q106" si="154">IF(P23=0,"",Q23/P23-1)</f>
        <v>-6.9315430810161782E-3</v>
      </c>
      <c r="R97" s="89">
        <f t="shared" ref="R97:R106" si="155">IF(Q23=0,"",R23/Q23-1)</f>
        <v>-3.7750494991989347E-3</v>
      </c>
      <c r="S97" s="89">
        <f t="shared" ref="S97:S106" si="156">IF(R23=0,"",S23/R23-1)</f>
        <v>2.5219005833619468E-2</v>
      </c>
      <c r="T97" s="89">
        <f t="shared" ref="T97:T106" si="157">IF(S23=0,"",T23/S23-1)</f>
        <v>3.6555314122800331E-2</v>
      </c>
      <c r="U97" s="89">
        <f t="shared" ref="U97:U106" si="158">IF(T23=0,"",U23/T23-1)</f>
        <v>2.9191047612874499E-2</v>
      </c>
      <c r="V97" s="89">
        <f t="shared" ref="V97:V106" si="159">IF(U23=0,"",V23/U23-1)</f>
        <v>2.56643696379657E-2</v>
      </c>
      <c r="W97" s="89">
        <f t="shared" ref="W97:W106" si="160">IF(V23=0,"",W23/V23-1)</f>
        <v>3.6292282302444523E-2</v>
      </c>
      <c r="X97" s="89">
        <f t="shared" ref="X97:X106" si="161">IF(W23=0,"",X23/W23-1)</f>
        <v>-7.5155857832614137E-2</v>
      </c>
      <c r="Y97" s="89">
        <f t="shared" ref="Y97:Y106" si="162">IF(X23=0,"",Y23/X23-1)</f>
        <v>0.12214492363174467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3.0891402149202607E-2</v>
      </c>
      <c r="F98" s="83">
        <f t="shared" si="143"/>
        <v>2.9433661718989645E-2</v>
      </c>
      <c r="G98" s="83">
        <f t="shared" si="144"/>
        <v>-0.14587154519370227</v>
      </c>
      <c r="H98" s="83">
        <f t="shared" si="145"/>
        <v>0.16090508855031693</v>
      </c>
      <c r="I98" s="83">
        <f t="shared" si="146"/>
        <v>-8.8675336705889007E-2</v>
      </c>
      <c r="J98" s="83">
        <f t="shared" si="147"/>
        <v>8.0730166802277958E-2</v>
      </c>
      <c r="K98" s="83">
        <f t="shared" si="148"/>
        <v>-3.1034657540666477E-2</v>
      </c>
      <c r="L98" s="83">
        <f t="shared" si="149"/>
        <v>7.2317726724192122E-2</v>
      </c>
      <c r="M98" s="83">
        <f t="shared" si="150"/>
        <v>-4.5481770898396556E-2</v>
      </c>
      <c r="N98" s="83">
        <f t="shared" si="151"/>
        <v>-9.5685227883755997E-2</v>
      </c>
      <c r="O98" s="83">
        <f t="shared" si="152"/>
        <v>-8.6207706026466546E-3</v>
      </c>
      <c r="P98" s="83">
        <f t="shared" si="153"/>
        <v>-0.11228653690626433</v>
      </c>
      <c r="Q98" s="83">
        <f t="shared" si="154"/>
        <v>5.1615842139324686E-2</v>
      </c>
      <c r="R98" s="83">
        <f t="shared" si="155"/>
        <v>-0.14889825356776587</v>
      </c>
      <c r="S98" s="83">
        <f t="shared" si="156"/>
        <v>3.7166165239527871E-2</v>
      </c>
      <c r="T98" s="83">
        <f t="shared" si="157"/>
        <v>6.9176463833385604E-2</v>
      </c>
      <c r="U98" s="83">
        <f t="shared" si="158"/>
        <v>-2.6728367338363146E-2</v>
      </c>
      <c r="V98" s="83">
        <f t="shared" si="159"/>
        <v>5.3944771793815294E-2</v>
      </c>
      <c r="W98" s="83">
        <f t="shared" si="160"/>
        <v>7.0381865143323008E-3</v>
      </c>
      <c r="X98" s="83">
        <f t="shared" si="161"/>
        <v>-1.9837400311183973E-2</v>
      </c>
      <c r="Y98" s="83">
        <f t="shared" si="162"/>
        <v>0.21519151103867529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-0.21044458510562303</v>
      </c>
      <c r="F99" s="83">
        <f t="shared" si="143"/>
        <v>0.43193073270745441</v>
      </c>
      <c r="G99" s="83">
        <f t="shared" si="144"/>
        <v>-0.16144169895100768</v>
      </c>
      <c r="H99" s="83">
        <f t="shared" si="145"/>
        <v>0.49813220423929683</v>
      </c>
      <c r="I99" s="83">
        <f t="shared" si="146"/>
        <v>0.13595158422293352</v>
      </c>
      <c r="J99" s="83">
        <f t="shared" si="147"/>
        <v>0.45004611746479561</v>
      </c>
      <c r="K99" s="83">
        <f t="shared" si="148"/>
        <v>-0.23523570884510203</v>
      </c>
      <c r="L99" s="83">
        <f t="shared" si="149"/>
        <v>1.2459531834857485E-2</v>
      </c>
      <c r="M99" s="83">
        <f t="shared" si="150"/>
        <v>8.9556832140635256E-2</v>
      </c>
      <c r="N99" s="83">
        <f t="shared" si="151"/>
        <v>1.7855075040741575E-2</v>
      </c>
      <c r="O99" s="83">
        <f t="shared" si="152"/>
        <v>-4.3801897517617761E-2</v>
      </c>
      <c r="P99" s="83">
        <f t="shared" si="153"/>
        <v>-2.0961268124820909E-2</v>
      </c>
      <c r="Q99" s="83">
        <f t="shared" si="154"/>
        <v>8.5464871624425287E-2</v>
      </c>
      <c r="R99" s="83">
        <f t="shared" si="155"/>
        <v>-0.21664458890365401</v>
      </c>
      <c r="S99" s="83">
        <f t="shared" si="156"/>
        <v>-0.30906783681214423</v>
      </c>
      <c r="T99" s="83">
        <f t="shared" si="157"/>
        <v>-0.2563106738460017</v>
      </c>
      <c r="U99" s="83">
        <f t="shared" si="158"/>
        <v>1.5959604620565893E-2</v>
      </c>
      <c r="V99" s="83">
        <f t="shared" si="159"/>
        <v>-3.9466452572948119E-2</v>
      </c>
      <c r="W99" s="83">
        <f t="shared" si="160"/>
        <v>-8.3624905829536855E-3</v>
      </c>
      <c r="X99" s="83">
        <f t="shared" si="161"/>
        <v>-0.43502108744657586</v>
      </c>
      <c r="Y99" s="83">
        <f t="shared" si="162"/>
        <v>0.14723122576529057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3.9209417541568925E-2</v>
      </c>
      <c r="F100" s="83">
        <f t="shared" si="143"/>
        <v>6.9990805266145761E-2</v>
      </c>
      <c r="G100" s="83">
        <f t="shared" si="144"/>
        <v>7.3803171304832382E-2</v>
      </c>
      <c r="H100" s="83">
        <f t="shared" si="145"/>
        <v>2.4179932276718663E-2</v>
      </c>
      <c r="I100" s="83">
        <f t="shared" si="146"/>
        <v>5.9935176358786313E-2</v>
      </c>
      <c r="J100" s="83">
        <f t="shared" si="147"/>
        <v>4.7117051865704251E-2</v>
      </c>
      <c r="K100" s="83">
        <f t="shared" si="148"/>
        <v>6.6917626796826557E-2</v>
      </c>
      <c r="L100" s="83">
        <f t="shared" si="149"/>
        <v>2.1662249063468364E-2</v>
      </c>
      <c r="M100" s="83">
        <f t="shared" si="150"/>
        <v>-5.6524991278627978E-2</v>
      </c>
      <c r="N100" s="83">
        <f t="shared" si="151"/>
        <v>1.0183845662960822E-2</v>
      </c>
      <c r="O100" s="83">
        <f t="shared" si="152"/>
        <v>2.4369317950305724E-3</v>
      </c>
      <c r="P100" s="83">
        <f t="shared" si="153"/>
        <v>-2.5429804243302989E-2</v>
      </c>
      <c r="Q100" s="83">
        <f t="shared" si="154"/>
        <v>-4.8675081541396104E-3</v>
      </c>
      <c r="R100" s="83">
        <f t="shared" si="155"/>
        <v>2.7162403050562389E-3</v>
      </c>
      <c r="S100" s="83">
        <f t="shared" si="156"/>
        <v>2.7097995465205305E-2</v>
      </c>
      <c r="T100" s="83">
        <f t="shared" si="157"/>
        <v>3.3695908273635222E-2</v>
      </c>
      <c r="U100" s="83">
        <f t="shared" si="158"/>
        <v>3.7767674390035033E-2</v>
      </c>
      <c r="V100" s="83">
        <f t="shared" si="159"/>
        <v>2.7876980874647739E-2</v>
      </c>
      <c r="W100" s="83">
        <f t="shared" si="160"/>
        <v>3.1721955561988535E-2</v>
      </c>
      <c r="X100" s="83">
        <f t="shared" si="161"/>
        <v>-7.5719334566485164E-2</v>
      </c>
      <c r="Y100" s="83">
        <f t="shared" si="162"/>
        <v>0.12237983790011553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-1.491079880797519E-2</v>
      </c>
      <c r="F101" s="84">
        <f t="shared" si="143"/>
        <v>4.7053669103799933E-2</v>
      </c>
      <c r="G101" s="84">
        <f t="shared" si="144"/>
        <v>4.9573860562324601E-2</v>
      </c>
      <c r="H101" s="84">
        <f t="shared" si="145"/>
        <v>5.2563410123884546E-2</v>
      </c>
      <c r="I101" s="84">
        <f t="shared" si="146"/>
        <v>2.0886795275015579E-2</v>
      </c>
      <c r="J101" s="84">
        <f t="shared" si="147"/>
        <v>2.445724825141915E-2</v>
      </c>
      <c r="K101" s="84">
        <f t="shared" si="148"/>
        <v>4.1550999169731373E-2</v>
      </c>
      <c r="L101" s="84">
        <f t="shared" si="149"/>
        <v>2.0683459232946122E-2</v>
      </c>
      <c r="M101" s="84">
        <f t="shared" si="150"/>
        <v>-1.0566695572780893E-2</v>
      </c>
      <c r="N101" s="84">
        <f t="shared" si="151"/>
        <v>1.0004879662542709E-2</v>
      </c>
      <c r="O101" s="84">
        <f t="shared" si="152"/>
        <v>-1.0810762359905191E-3</v>
      </c>
      <c r="P101" s="84">
        <f t="shared" si="153"/>
        <v>-1.8471994031679095E-2</v>
      </c>
      <c r="Q101" s="84">
        <f t="shared" si="154"/>
        <v>1.4185336222727329E-2</v>
      </c>
      <c r="R101" s="84">
        <f t="shared" si="155"/>
        <v>-8.4408826459660968E-3</v>
      </c>
      <c r="S101" s="84">
        <f t="shared" si="156"/>
        <v>3.2101865388399986E-2</v>
      </c>
      <c r="T101" s="84">
        <f t="shared" si="157"/>
        <v>5.7857732022273956E-2</v>
      </c>
      <c r="U101" s="84">
        <f t="shared" si="158"/>
        <v>4.6161186822897049E-2</v>
      </c>
      <c r="V101" s="84">
        <f t="shared" si="159"/>
        <v>3.8945876690955394E-2</v>
      </c>
      <c r="W101" s="84">
        <f t="shared" si="160"/>
        <v>2.7105888898547592E-2</v>
      </c>
      <c r="X101" s="84">
        <f t="shared" si="161"/>
        <v>-0.11437456049191541</v>
      </c>
      <c r="Y101" s="84">
        <f t="shared" si="162"/>
        <v>0.14481198268608231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7.0000037110336422E-2</v>
      </c>
      <c r="F102" s="84">
        <f t="shared" si="143"/>
        <v>7.8720100017642514E-2</v>
      </c>
      <c r="G102" s="84">
        <f t="shared" si="144"/>
        <v>7.4214649002576349E-2</v>
      </c>
      <c r="H102" s="84">
        <f t="shared" si="145"/>
        <v>3.2918160189471912E-2</v>
      </c>
      <c r="I102" s="84">
        <f t="shared" si="146"/>
        <v>9.629219511890641E-2</v>
      </c>
      <c r="J102" s="84">
        <f t="shared" si="147"/>
        <v>6.469306542113662E-2</v>
      </c>
      <c r="K102" s="84">
        <f t="shared" si="148"/>
        <v>0.11055481670859901</v>
      </c>
      <c r="L102" s="84">
        <f t="shared" si="149"/>
        <v>1.8344919960135098E-2</v>
      </c>
      <c r="M102" s="84">
        <f t="shared" si="150"/>
        <v>-4.6496253012155431E-2</v>
      </c>
      <c r="N102" s="84">
        <f t="shared" si="151"/>
        <v>-1.7539408325817352E-3</v>
      </c>
      <c r="O102" s="84">
        <f t="shared" si="152"/>
        <v>5.677699205587583E-3</v>
      </c>
      <c r="P102" s="84">
        <f t="shared" si="153"/>
        <v>-3.4640832522355169E-2</v>
      </c>
      <c r="Q102" s="84">
        <f t="shared" si="154"/>
        <v>-1.6837520041398601E-2</v>
      </c>
      <c r="R102" s="84">
        <f t="shared" si="155"/>
        <v>1.0398394999524552E-2</v>
      </c>
      <c r="S102" s="84">
        <f t="shared" si="156"/>
        <v>8.6928858114934116E-3</v>
      </c>
      <c r="T102" s="84">
        <f t="shared" si="157"/>
        <v>3.0956541606514287E-2</v>
      </c>
      <c r="U102" s="84">
        <f t="shared" si="158"/>
        <v>2.8325879183586977E-2</v>
      </c>
      <c r="V102" s="84">
        <f t="shared" si="159"/>
        <v>6.7271506732193842E-3</v>
      </c>
      <c r="W102" s="84">
        <f t="shared" si="160"/>
        <v>3.8751905742911097E-2</v>
      </c>
      <c r="X102" s="84">
        <f t="shared" si="161"/>
        <v>-5.1523188878479065E-2</v>
      </c>
      <c r="Y102" s="84">
        <f t="shared" si="162"/>
        <v>0.10980517177261317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0.10176131143885092</v>
      </c>
      <c r="F103" s="84">
        <f t="shared" si="143"/>
        <v>9.9774251781845846E-2</v>
      </c>
      <c r="G103" s="84">
        <f t="shared" si="144"/>
        <v>0.11925941566115039</v>
      </c>
      <c r="H103" s="84">
        <f t="shared" si="145"/>
        <v>-4.1801727568748115E-2</v>
      </c>
      <c r="I103" s="84">
        <f t="shared" si="146"/>
        <v>6.8344792914750041E-2</v>
      </c>
      <c r="J103" s="84">
        <f t="shared" si="147"/>
        <v>5.577196453736355E-2</v>
      </c>
      <c r="K103" s="84">
        <f t="shared" si="148"/>
        <v>2.8296455695913547E-2</v>
      </c>
      <c r="L103" s="84">
        <f t="shared" si="149"/>
        <v>3.0432101294025626E-2</v>
      </c>
      <c r="M103" s="84">
        <f t="shared" si="150"/>
        <v>-0.16131525427422577</v>
      </c>
      <c r="N103" s="84">
        <f t="shared" si="151"/>
        <v>3.8727673818101715E-2</v>
      </c>
      <c r="O103" s="84">
        <f t="shared" si="152"/>
        <v>2.4653288860068123E-3</v>
      </c>
      <c r="P103" s="84">
        <f t="shared" si="153"/>
        <v>-1.9016927835854402E-2</v>
      </c>
      <c r="Q103" s="84">
        <f t="shared" si="154"/>
        <v>-1.790053376628753E-2</v>
      </c>
      <c r="R103" s="84">
        <f t="shared" si="155"/>
        <v>9.5861393028220387E-3</v>
      </c>
      <c r="S103" s="84">
        <f t="shared" si="156"/>
        <v>5.775677890345543E-2</v>
      </c>
      <c r="T103" s="84">
        <f t="shared" si="157"/>
        <v>-1.0421353837767211E-2</v>
      </c>
      <c r="U103" s="84">
        <f t="shared" si="158"/>
        <v>4.0240795392617823E-2</v>
      </c>
      <c r="V103" s="84">
        <f t="shared" si="159"/>
        <v>4.9835242626910858E-2</v>
      </c>
      <c r="W103" s="84">
        <f t="shared" si="160"/>
        <v>2.7035743688760494E-2</v>
      </c>
      <c r="X103" s="84">
        <f t="shared" si="161"/>
        <v>-4.2325151756831048E-2</v>
      </c>
      <c r="Y103" s="84">
        <f t="shared" si="162"/>
        <v>0.10332453022741972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-7.5847088515192729E-2</v>
      </c>
      <c r="F104" s="83">
        <f t="shared" si="143"/>
        <v>-0.10820168711375433</v>
      </c>
      <c r="G104" s="83">
        <f t="shared" si="144"/>
        <v>8.5177209367869766E-2</v>
      </c>
      <c r="H104" s="83">
        <f t="shared" si="145"/>
        <v>0.20865971947534834</v>
      </c>
      <c r="I104" s="83">
        <f t="shared" si="146"/>
        <v>-3.0418319773170333E-2</v>
      </c>
      <c r="J104" s="83">
        <f t="shared" si="147"/>
        <v>-8.9661999013712856E-2</v>
      </c>
      <c r="K104" s="83">
        <f t="shared" si="148"/>
        <v>-8.7240531379008779E-2</v>
      </c>
      <c r="L104" s="83">
        <f t="shared" si="149"/>
        <v>-0.12099157125770443</v>
      </c>
      <c r="M104" s="83">
        <f t="shared" si="150"/>
        <v>0.23898690242575338</v>
      </c>
      <c r="N104" s="83">
        <f t="shared" si="151"/>
        <v>0.21670546008972913</v>
      </c>
      <c r="O104" s="83">
        <f t="shared" si="152"/>
        <v>0.10083638062534406</v>
      </c>
      <c r="P104" s="83">
        <f t="shared" si="153"/>
        <v>7.3461564289098336E-2</v>
      </c>
      <c r="Q104" s="83">
        <f t="shared" si="154"/>
        <v>-1.440937590504654E-2</v>
      </c>
      <c r="R104" s="83">
        <f t="shared" si="155"/>
        <v>-3.6456057468557179E-2</v>
      </c>
      <c r="S104" s="83">
        <f t="shared" si="156"/>
        <v>-1.1666274209690686E-3</v>
      </c>
      <c r="T104" s="83">
        <f t="shared" si="157"/>
        <v>-2.7162002628321469E-3</v>
      </c>
      <c r="U104" s="83">
        <f t="shared" si="158"/>
        <v>-2.5796170601210422E-2</v>
      </c>
      <c r="V104" s="83">
        <f t="shared" si="159"/>
        <v>-4.5809241964667513E-2</v>
      </c>
      <c r="W104" s="83">
        <f t="shared" si="160"/>
        <v>6.7145551409133031E-2</v>
      </c>
      <c r="X104" s="83">
        <f t="shared" si="161"/>
        <v>-0.31414962080623621</v>
      </c>
      <c r="Y104" s="83">
        <f t="shared" si="162"/>
        <v>0.27846288301611111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0.15564039235730065</v>
      </c>
      <c r="F105" s="83">
        <f t="shared" si="143"/>
        <v>5.4542792722284572E-2</v>
      </c>
      <c r="G105" s="83">
        <f t="shared" si="144"/>
        <v>0.26468386325912663</v>
      </c>
      <c r="H105" s="83">
        <f t="shared" si="145"/>
        <v>7.0271933661181007E-2</v>
      </c>
      <c r="I105" s="83">
        <f t="shared" si="146"/>
        <v>0.12021259537966666</v>
      </c>
      <c r="J105" s="83">
        <f t="shared" si="147"/>
        <v>8.6252616540998028E-2</v>
      </c>
      <c r="K105" s="83">
        <f t="shared" si="148"/>
        <v>5.7275347234861718E-2</v>
      </c>
      <c r="L105" s="83">
        <f t="shared" si="149"/>
        <v>5.7560778630071585E-2</v>
      </c>
      <c r="M105" s="83">
        <f t="shared" si="150"/>
        <v>-0.1361326117797157</v>
      </c>
      <c r="N105" s="83">
        <f t="shared" si="151"/>
        <v>-0.25521604625944549</v>
      </c>
      <c r="O105" s="83">
        <f t="shared" si="152"/>
        <v>-8.1748448864449319E-2</v>
      </c>
      <c r="P105" s="83">
        <f t="shared" si="153"/>
        <v>-0.16348304293755822</v>
      </c>
      <c r="Q105" s="83">
        <f t="shared" si="154"/>
        <v>3.0452658405994981E-3</v>
      </c>
      <c r="R105" s="83">
        <f t="shared" si="155"/>
        <v>-1.1702191291897535E-2</v>
      </c>
      <c r="S105" s="83">
        <f t="shared" si="156"/>
        <v>4.7018522633483384E-2</v>
      </c>
      <c r="T105" s="83">
        <f t="shared" si="157"/>
        <v>6.33350408825617E-2</v>
      </c>
      <c r="U105" s="83">
        <f t="shared" si="158"/>
        <v>3.5662021954593559E-2</v>
      </c>
      <c r="V105" s="83">
        <f t="shared" si="159"/>
        <v>0.11375992522047973</v>
      </c>
      <c r="W105" s="83">
        <f t="shared" si="160"/>
        <v>0.13523512698930307</v>
      </c>
      <c r="X105" s="83">
        <f t="shared" si="161"/>
        <v>3.5223235020226396E-2</v>
      </c>
      <c r="Y105" s="83">
        <f t="shared" si="162"/>
        <v>0.10852459791247493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2.9491384648684171E-2</v>
      </c>
      <c r="F106" s="83">
        <f t="shared" si="143"/>
        <v>2.2322321007206547E-2</v>
      </c>
      <c r="G106" s="83">
        <f t="shared" si="144"/>
        <v>1.105626829244577E-2</v>
      </c>
      <c r="H106" s="83">
        <f t="shared" si="145"/>
        <v>2.3457832612836294E-2</v>
      </c>
      <c r="I106" s="83">
        <f t="shared" si="146"/>
        <v>-1.0646704166254128E-2</v>
      </c>
      <c r="J106" s="83">
        <f t="shared" si="147"/>
        <v>2.8571727925075674E-2</v>
      </c>
      <c r="K106" s="83">
        <f t="shared" si="148"/>
        <v>4.3757915472170783E-2</v>
      </c>
      <c r="L106" s="83">
        <f t="shared" si="149"/>
        <v>7.9712466744075172E-3</v>
      </c>
      <c r="M106" s="83">
        <f t="shared" si="150"/>
        <v>-0.10952219321167944</v>
      </c>
      <c r="N106" s="83">
        <f t="shared" si="151"/>
        <v>-6.334528183271082E-2</v>
      </c>
      <c r="O106" s="83">
        <f t="shared" si="152"/>
        <v>1.8420801070030857E-2</v>
      </c>
      <c r="P106" s="83">
        <f t="shared" si="153"/>
        <v>-4.2350051321685789E-2</v>
      </c>
      <c r="Q106" s="83">
        <f t="shared" si="154"/>
        <v>-4.339483066863381E-2</v>
      </c>
      <c r="R106" s="83">
        <f t="shared" si="155"/>
        <v>3.9714680553037063E-2</v>
      </c>
      <c r="S106" s="83">
        <f t="shared" si="156"/>
        <v>3.554476717762256E-2</v>
      </c>
      <c r="T106" s="83">
        <f t="shared" si="157"/>
        <v>6.086655856343226E-2</v>
      </c>
      <c r="U106" s="83">
        <f t="shared" si="158"/>
        <v>1.3855800793990625E-2</v>
      </c>
      <c r="V106" s="83">
        <f t="shared" si="159"/>
        <v>2.928367089662931E-4</v>
      </c>
      <c r="W106" s="83">
        <f t="shared" si="160"/>
        <v>2.5399663759090974E-2</v>
      </c>
      <c r="X106" s="83">
        <f t="shared" si="161"/>
        <v>-4.9855469226421256E-2</v>
      </c>
      <c r="Y106" s="83">
        <f t="shared" si="162"/>
        <v>6.6555575018602209E-2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-2.5311995301717793E-2</v>
      </c>
      <c r="F107" s="87">
        <f t="shared" ref="F107:F108" si="164">IF(E33=0,"",F33/E33-1)</f>
        <v>0.3897190594893214</v>
      </c>
      <c r="G107" s="87">
        <f t="shared" ref="G107:G108" si="165">IF(F33=0,"",G33/F33-1)</f>
        <v>-0.19237927375362374</v>
      </c>
      <c r="H107" s="87">
        <f t="shared" ref="H107:H108" si="166">IF(G33=0,"",H33/G33-1)</f>
        <v>-8.4889058677136697E-2</v>
      </c>
      <c r="I107" s="87">
        <f t="shared" ref="I107:I108" si="167">IF(H33=0,"",I33/H33-1)</f>
        <v>0.31809835421610577</v>
      </c>
      <c r="J107" s="87">
        <f t="shared" ref="J107:J108" si="168">IF(I33=0,"",J33/I33-1)</f>
        <v>0.19348636279987375</v>
      </c>
      <c r="K107" s="87">
        <f t="shared" ref="K107:K108" si="169">IF(J33=0,"",K33/J33-1)</f>
        <v>-0.16693608541353977</v>
      </c>
      <c r="L107" s="87">
        <f t="shared" ref="L107:L108" si="170">IF(K33=0,"",L33/K33-1)</f>
        <v>-0.26324082933657378</v>
      </c>
      <c r="M107" s="87">
        <f t="shared" ref="M107:M108" si="171">IF(L33=0,"",M33/L33-1)</f>
        <v>-0.18198568426973816</v>
      </c>
      <c r="N107" s="87">
        <f t="shared" ref="N107:N108" si="172">IF(M33=0,"",N33/M33-1)</f>
        <v>0.32588142023573541</v>
      </c>
      <c r="O107" s="87">
        <f t="shared" ref="O107:O108" si="173">IF(N33=0,"",O33/N33-1)</f>
        <v>7.0351449600037252E-2</v>
      </c>
      <c r="P107" s="87">
        <f t="shared" ref="P107:P108" si="174">IF(O33=0,"",P33/O33-1)</f>
        <v>-0.16782146039210222</v>
      </c>
      <c r="Q107" s="87">
        <f t="shared" ref="Q107:Q108" si="175">IF(P33=0,"",Q33/P33-1)</f>
        <v>-1.0527603678413322E-2</v>
      </c>
      <c r="R107" s="87">
        <f t="shared" ref="R107:R108" si="176">IF(Q33=0,"",R33/Q33-1)</f>
        <v>2.2205324739424714E-2</v>
      </c>
      <c r="S107" s="87">
        <f t="shared" ref="S107:S108" si="177">IF(R33=0,"",S33/R33-1)</f>
        <v>-0.14649892550143273</v>
      </c>
      <c r="T107" s="87">
        <f t="shared" ref="T107:T108" si="178">IF(S33=0,"",T33/S33-1)</f>
        <v>2.0647804995330032E-2</v>
      </c>
      <c r="U107" s="87">
        <f t="shared" ref="U107:U108" si="179">IF(T33=0,"",U33/T33-1)</f>
        <v>-4.6728960450413748E-2</v>
      </c>
      <c r="V107" s="87">
        <f t="shared" ref="V107:V108" si="180">IF(U33=0,"",V33/U33-1)</f>
        <v>0.13894650427149013</v>
      </c>
      <c r="W107" s="87">
        <f t="shared" ref="W107:W108" si="181">IF(V33=0,"",W33/V33-1)</f>
        <v>0.70016169065016554</v>
      </c>
      <c r="X107" s="87">
        <f t="shared" ref="X107:X108" si="182">IF(W33=0,"",X33/W33-1)</f>
        <v>-0.63472030473405172</v>
      </c>
      <c r="Y107" s="87">
        <f t="shared" ref="Y107:Y108" si="183">IF(X33=0,"",Y33/X33-1)</f>
        <v>-0.35399464700236849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-2.5311995301717793E-2</v>
      </c>
      <c r="F108" s="89">
        <f t="shared" si="164"/>
        <v>0.3897190594893214</v>
      </c>
      <c r="G108" s="89">
        <f t="shared" si="165"/>
        <v>0.20282504186025863</v>
      </c>
      <c r="H108" s="89">
        <f t="shared" si="166"/>
        <v>-8.4889058677136697E-2</v>
      </c>
      <c r="I108" s="89">
        <f t="shared" si="167"/>
        <v>0.31809835421610577</v>
      </c>
      <c r="J108" s="89">
        <f t="shared" si="168"/>
        <v>0.19348636279987375</v>
      </c>
      <c r="K108" s="89">
        <f t="shared" si="169"/>
        <v>-0.16693608541353988</v>
      </c>
      <c r="L108" s="89">
        <f t="shared" si="170"/>
        <v>-0.26324082933657389</v>
      </c>
      <c r="M108" s="89">
        <f t="shared" si="171"/>
        <v>-0.84085293188304222</v>
      </c>
      <c r="N108" s="89">
        <f t="shared" si="172"/>
        <v>23.165715501633432</v>
      </c>
      <c r="O108" s="89">
        <f t="shared" si="173"/>
        <v>4.4999994668179832E-2</v>
      </c>
      <c r="P108" s="89">
        <f t="shared" si="174"/>
        <v>-0.75419414128713858</v>
      </c>
      <c r="Q108" s="89">
        <f t="shared" si="175"/>
        <v>2.4450339430280161</v>
      </c>
      <c r="R108" s="89">
        <f t="shared" si="176"/>
        <v>0.42987650253212872</v>
      </c>
      <c r="S108" s="89">
        <f t="shared" si="177"/>
        <v>-0.28597932913176172</v>
      </c>
      <c r="T108" s="89">
        <f t="shared" si="178"/>
        <v>-4.1313347591793503E-2</v>
      </c>
      <c r="U108" s="89">
        <f t="shared" si="179"/>
        <v>1.0859543072579081E-2</v>
      </c>
      <c r="V108" s="89">
        <f t="shared" si="180"/>
        <v>0.37656016350346189</v>
      </c>
      <c r="W108" s="89">
        <f t="shared" si="181"/>
        <v>0.15687912273723814</v>
      </c>
      <c r="X108" s="89">
        <f t="shared" si="182"/>
        <v>-0.66088201399311908</v>
      </c>
      <c r="Y108" s="89">
        <f t="shared" si="183"/>
        <v>-0.2491124507617023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-2.5311995301717571E-2</v>
      </c>
      <c r="F109" s="89">
        <f t="shared" ref="F109" si="185">IF(E37=0,"",F37/E37-1)</f>
        <v>0.3897190594893214</v>
      </c>
      <c r="G109" s="89">
        <f t="shared" ref="G109" si="186">IF(F37=0,"",G37/F37-1)</f>
        <v>-0.23736604366087177</v>
      </c>
      <c r="H109" s="89">
        <f t="shared" ref="H109" si="187">IF(G37=0,"",H37/G37-1)</f>
        <v>-8.4889058677136808E-2</v>
      </c>
      <c r="I109" s="89">
        <f t="shared" ref="I109" si="188">IF(H37=0,"",I37/H37-1)</f>
        <v>0.31809835421610533</v>
      </c>
      <c r="J109" s="89">
        <f t="shared" ref="J109" si="189">IF(I37=0,"",J37/I37-1)</f>
        <v>0.19348636279987397</v>
      </c>
      <c r="K109" s="89">
        <f t="shared" ref="K109" si="190">IF(J37=0,"",K37/J37-1)</f>
        <v>-0.16693608541353988</v>
      </c>
      <c r="L109" s="89">
        <f t="shared" ref="L109" si="191">IF(K37=0,"",L37/K37-1)</f>
        <v>-0.26324082933657378</v>
      </c>
      <c r="M109" s="89">
        <f t="shared" ref="M109" si="192">IF(L37=0,"",M37/L37-1)</f>
        <v>-6.36958631141884E-2</v>
      </c>
      <c r="N109" s="89">
        <f t="shared" ref="N109" si="193">IF(M37=0,"",N37/M37-1)</f>
        <v>-0.37110465341151844</v>
      </c>
      <c r="O109" s="89">
        <f t="shared" ref="O109" si="194">IF(N37=0,"",O37/N37-1)</f>
        <v>0.10007873973112447</v>
      </c>
      <c r="P109" s="89">
        <f t="shared" ref="P109" si="195">IF(O37=0,"",P37/O37-1)</f>
        <v>0.48533718254870251</v>
      </c>
      <c r="Q109" s="89">
        <f t="shared" ref="Q109" si="196">IF(P37=0,"",Q37/P37-1)</f>
        <v>-0.46317804758746683</v>
      </c>
      <c r="R109" s="89">
        <f t="shared" ref="R109" si="197">IF(Q37=0,"",R37/Q37-1)</f>
        <v>-0.46005926256113816</v>
      </c>
      <c r="S109" s="89">
        <f t="shared" ref="S109" si="198">IF(R37=0,"",S37/R37-1)</f>
        <v>0.29046038173192179</v>
      </c>
      <c r="T109" s="89">
        <f t="shared" ref="T109" si="199">IF(S37=0,"",T37/S37-1)</f>
        <v>0.12805005892158294</v>
      </c>
      <c r="U109" s="89">
        <f t="shared" ref="U109" si="200">IF(T37=0,"",U37/T37-1)</f>
        <v>-0.13156453573147564</v>
      </c>
      <c r="V109" s="89">
        <f t="shared" ref="V109" si="201">IF(U37=0,"",V37/U37-1)</f>
        <v>-0.2684965168853638</v>
      </c>
      <c r="W109" s="89">
        <f t="shared" ref="W109" si="202">IF(V37=0,"",W37/V37-1)</f>
        <v>2.4532348887996895</v>
      </c>
      <c r="X109" s="89">
        <f t="shared" ref="X109" si="203">IF(W37=0,"",X37/W37-1)</f>
        <v>-0.60643881654615162</v>
      </c>
      <c r="Y109" s="89">
        <f t="shared" ref="Y109" si="204">IF(X37=0,"",Y37/X37-1)</f>
        <v>-0.45169057960906911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1.7543923941148121E-2</v>
      </c>
      <c r="F110" s="89">
        <f t="shared" ref="F110:F111" si="206">IF(E43=0,"",F43/E43-1)</f>
        <v>-0.21596276984983698</v>
      </c>
      <c r="G110" s="89">
        <f t="shared" ref="G110:G111" si="207">IF(F43=0,"",G43/F43-1)</f>
        <v>-0.1230817862027016</v>
      </c>
      <c r="H110" s="89">
        <f t="shared" ref="H110:H111" si="208">IF(G43=0,"",H43/G43-1)</f>
        <v>-1.398203267067144E-2</v>
      </c>
      <c r="I110" s="89">
        <f t="shared" ref="I110:I111" si="209">IF(H43=0,"",I43/H43-1)</f>
        <v>-3.8420760481347793E-2</v>
      </c>
      <c r="J110" s="89">
        <f t="shared" ref="J110:J111" si="210">IF(I43=0,"",J43/I43-1)</f>
        <v>-0.25172669980106754</v>
      </c>
      <c r="K110" s="89">
        <f t="shared" ref="K110:K111" si="211">IF(J43=0,"",K43/J43-1)</f>
        <v>0.1220464508171224</v>
      </c>
      <c r="L110" s="89">
        <f t="shared" ref="L110:L111" si="212">IF(K43=0,"",L43/K43-1)</f>
        <v>0.20832566608247904</v>
      </c>
      <c r="M110" s="89">
        <f t="shared" ref="M110:M111" si="213">IF(L43=0,"",M43/L43-1)</f>
        <v>-0.16838251049458797</v>
      </c>
      <c r="N110" s="89">
        <f t="shared" ref="N110:N111" si="214">IF(M43=0,"",N43/M43-1)</f>
        <v>0.17462539823302636</v>
      </c>
      <c r="O110" s="89">
        <f t="shared" ref="O110:O111" si="215">IF(N43=0,"",O43/N43-1)</f>
        <v>-3.4521737100924765E-2</v>
      </c>
      <c r="P110" s="89">
        <f t="shared" ref="P110:P111" si="216">IF(O43=0,"",P43/O43-1)</f>
        <v>7.0361995561527113E-2</v>
      </c>
      <c r="Q110" s="89">
        <f t="shared" ref="Q110:Q111" si="217">IF(P43=0,"",Q43/P43-1)</f>
        <v>-6.0161765257011335E-2</v>
      </c>
      <c r="R110" s="89">
        <f t="shared" ref="R110:R111" si="218">IF(Q43=0,"",R43/Q43-1)</f>
        <v>3.9642454798144211E-2</v>
      </c>
      <c r="S110" s="89">
        <f t="shared" ref="S110:S111" si="219">IF(R43=0,"",S43/R43-1)</f>
        <v>9.0651660918497079E-3</v>
      </c>
      <c r="T110" s="89">
        <f t="shared" ref="T110:T111" si="220">IF(S43=0,"",T43/S43-1)</f>
        <v>-2.8771821996511626E-2</v>
      </c>
      <c r="U110" s="89">
        <f t="shared" ref="U110:U111" si="221">IF(T43=0,"",U43/T43-1)</f>
        <v>-5.5312433816259832E-2</v>
      </c>
      <c r="V110" s="89">
        <f t="shared" ref="V110:V111" si="222">IF(U43=0,"",V43/U43-1)</f>
        <v>-4.9196330661220755E-2</v>
      </c>
      <c r="W110" s="89">
        <f t="shared" ref="W110:W111" si="223">IF(V43=0,"",W43/V43-1)</f>
        <v>1.1455664821990119E-2</v>
      </c>
      <c r="X110" s="89">
        <f t="shared" ref="X110:X111" si="224">IF(W43=0,"",X43/W43-1)</f>
        <v>0.18317586729892099</v>
      </c>
      <c r="Y110" s="89">
        <f t="shared" ref="Y110:Y111" si="225">IF(X43=0,"",Y43/X43-1)</f>
        <v>-8.8046522971392593E-2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1.2266990113328546E-2</v>
      </c>
      <c r="F111" s="89">
        <f t="shared" si="206"/>
        <v>-0.23734147009091444</v>
      </c>
      <c r="G111" s="89">
        <f t="shared" si="207"/>
        <v>-0.15789512681279905</v>
      </c>
      <c r="H111" s="89">
        <f t="shared" si="208"/>
        <v>4.747328843824894E-3</v>
      </c>
      <c r="I111" s="89">
        <f t="shared" si="209"/>
        <v>6.3167198260846824E-2</v>
      </c>
      <c r="J111" s="89">
        <f t="shared" si="210"/>
        <v>-0.20874880466185208</v>
      </c>
      <c r="K111" s="89">
        <f t="shared" si="211"/>
        <v>0.1238691247930519</v>
      </c>
      <c r="L111" s="89">
        <f t="shared" si="212"/>
        <v>4.950484704146918E-2</v>
      </c>
      <c r="M111" s="89">
        <f t="shared" si="213"/>
        <v>-0.10944289658318995</v>
      </c>
      <c r="N111" s="89">
        <f t="shared" si="214"/>
        <v>0.11967136546839208</v>
      </c>
      <c r="O111" s="89">
        <f t="shared" si="215"/>
        <v>-1.5989167761300105E-2</v>
      </c>
      <c r="P111" s="89">
        <f t="shared" si="216"/>
        <v>-6.8062365059085028E-4</v>
      </c>
      <c r="Q111" s="89">
        <f t="shared" si="217"/>
        <v>-0.16528093944228939</v>
      </c>
      <c r="R111" s="89">
        <f t="shared" si="218"/>
        <v>-3.1847831774788227E-2</v>
      </c>
      <c r="S111" s="89">
        <f t="shared" si="219"/>
        <v>9.3710510328068208E-2</v>
      </c>
      <c r="T111" s="89">
        <f t="shared" si="220"/>
        <v>-7.5991912763851088E-2</v>
      </c>
      <c r="U111" s="89">
        <f t="shared" si="221"/>
        <v>-5.3700409510445524E-2</v>
      </c>
      <c r="V111" s="89">
        <f t="shared" si="222"/>
        <v>-0.17204994209279489</v>
      </c>
      <c r="W111" s="89">
        <f t="shared" si="223"/>
        <v>0.5437297527909617</v>
      </c>
      <c r="X111" s="89">
        <f t="shared" si="224"/>
        <v>0.12497018782707703</v>
      </c>
      <c r="Y111" s="89">
        <f t="shared" si="225"/>
        <v>-0.18330107085505565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2.0863487109921808E-2</v>
      </c>
      <c r="F112" s="89">
        <f t="shared" ref="F112:F113" si="227">IF(E47=0,"",F47/E47-1)</f>
        <v>-0.2026273101574747</v>
      </c>
      <c r="G112" s="89">
        <f t="shared" ref="G112:G113" si="228">IF(F47=0,"",G47/F47-1)</f>
        <v>-0.10231156281983933</v>
      </c>
      <c r="H112" s="89">
        <f t="shared" ref="H112:H113" si="229">IF(G47=0,"",H47/G47-1)</f>
        <v>-2.4464390721687157E-2</v>
      </c>
      <c r="I112" s="89">
        <f t="shared" ref="I112:I113" si="230">IF(H47=0,"",I47/H47-1)</f>
        <v>-9.6979535737068301E-2</v>
      </c>
      <c r="J112" s="89">
        <f t="shared" ref="J112:J113" si="231">IF(I47=0,"",J47/I47-1)</f>
        <v>-0.28089417716381415</v>
      </c>
      <c r="K112" s="89">
        <f t="shared" ref="K112:K113" si="232">IF(J47=0,"",K47/J47-1)</f>
        <v>0.12068536880620906</v>
      </c>
      <c r="L112" s="89">
        <f t="shared" ref="L112:L113" si="233">IF(K47=0,"",L47/K47-1)</f>
        <v>0.32726206113781098</v>
      </c>
      <c r="M112" s="89">
        <f t="shared" ref="M112:M113" si="234">IF(L47=0,"",M47/L47-1)</f>
        <v>-0.20328387402504677</v>
      </c>
      <c r="N112" s="89">
        <f t="shared" ref="N112:N113" si="235">IF(M47=0,"",N47/M47-1)</f>
        <v>0.21099954715372049</v>
      </c>
      <c r="O112" s="89">
        <f t="shared" ref="O112:O113" si="236">IF(N47=0,"",O47/N47-1)</f>
        <v>-4.5863367668280586E-2</v>
      </c>
      <c r="P112" s="89">
        <f t="shared" ref="P112:P113" si="237">IF(O47=0,"",P47/O47-1)</f>
        <v>0.11520019217570954</v>
      </c>
      <c r="Q112" s="89">
        <f t="shared" ref="Q112:Q113" si="238">IF(P47=0,"",Q47/P47-1)</f>
        <v>-7.1029691132695749E-4</v>
      </c>
      <c r="R112" s="89">
        <f t="shared" ref="R112:R113" si="239">IF(Q47=0,"",R47/Q47-1)</f>
        <v>7.3415996138307626E-2</v>
      </c>
      <c r="S112" s="89">
        <f t="shared" ref="S112:S113" si="240">IF(R47=0,"",S47/R47-1)</f>
        <v>-2.7001682630080293E-2</v>
      </c>
      <c r="T112" s="89">
        <f t="shared" ref="T112:T113" si="241">IF(S47=0,"",T47/S47-1)</f>
        <v>-6.1554865677216908E-3</v>
      </c>
      <c r="U112" s="89">
        <f t="shared" ref="U112:U113" si="242">IF(T47=0,"",U47/T47-1)</f>
        <v>-5.6030268325248267E-2</v>
      </c>
      <c r="V112" s="89">
        <f t="shared" ref="V112:V113" si="243">IF(U47=0,"",V47/U47-1)</f>
        <v>5.6454134192838179E-3</v>
      </c>
      <c r="W112" s="89">
        <f t="shared" ref="W112:W113" si="244">IF(V47=0,"",W47/V47-1)</f>
        <v>-0.18416643588455495</v>
      </c>
      <c r="X112" s="89">
        <f t="shared" ref="X112:X113" si="245">IF(W47=0,"",X47/W47-1)</f>
        <v>0.22365373840619185</v>
      </c>
      <c r="Y112" s="89">
        <f t="shared" ref="Y112:Y113" si="246">IF(X47=0,"",Y47/X47-1)</f>
        <v>-2.7146074324460479E-2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4.6538476209794455E-2</v>
      </c>
      <c r="F113" s="89">
        <f t="shared" si="227"/>
        <v>0.14562571238830402</v>
      </c>
      <c r="G113" s="89">
        <f t="shared" si="228"/>
        <v>7.1930940499530749E-2</v>
      </c>
      <c r="H113" s="89">
        <f t="shared" si="229"/>
        <v>4.8933221072080535E-2</v>
      </c>
      <c r="I113" s="89">
        <f t="shared" si="230"/>
        <v>-1.9326680320199463E-2</v>
      </c>
      <c r="J113" s="89">
        <f t="shared" si="231"/>
        <v>5.3027650195412113E-2</v>
      </c>
      <c r="K113" s="89">
        <f t="shared" si="232"/>
        <v>8.1777616976769885E-2</v>
      </c>
      <c r="L113" s="89">
        <f t="shared" si="233"/>
        <v>-3.2298282898677089E-2</v>
      </c>
      <c r="M113" s="89">
        <f t="shared" si="234"/>
        <v>-0.18966151797868658</v>
      </c>
      <c r="N113" s="89">
        <f t="shared" si="235"/>
        <v>-0.27646170750080556</v>
      </c>
      <c r="O113" s="89">
        <f t="shared" si="236"/>
        <v>-6.574328110690475E-3</v>
      </c>
      <c r="P113" s="89">
        <f t="shared" si="237"/>
        <v>-2.3632389258738784E-2</v>
      </c>
      <c r="Q113" s="89">
        <f t="shared" si="238"/>
        <v>-1.1988155610182183E-2</v>
      </c>
      <c r="R113" s="89">
        <f t="shared" si="239"/>
        <v>3.7756128986200954E-2</v>
      </c>
      <c r="S113" s="89">
        <f t="shared" si="240"/>
        <v>3.6745819397993262E-2</v>
      </c>
      <c r="T113" s="89">
        <f t="shared" si="241"/>
        <v>9.723317535479481E-2</v>
      </c>
      <c r="U113" s="89">
        <f t="shared" si="242"/>
        <v>7.9599226944202517E-3</v>
      </c>
      <c r="V113" s="89">
        <f t="shared" si="243"/>
        <v>3.353307695074581E-2</v>
      </c>
      <c r="W113" s="89">
        <f t="shared" si="244"/>
        <v>-6.4167233727403961E-2</v>
      </c>
      <c r="X113" s="89">
        <f t="shared" si="245"/>
        <v>0.2050765212173904</v>
      </c>
      <c r="Y113" s="89">
        <f t="shared" si="246"/>
        <v>2.2642180675847001E-2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1.6178891549077035E-2</v>
      </c>
      <c r="F114" s="89">
        <f t="shared" ref="F114:F115" si="248">IF(E52=0,"",F52/E52-1)</f>
        <v>1.1470097699029624E-2</v>
      </c>
      <c r="G114" s="89">
        <f t="shared" ref="G114:G115" si="249">IF(F52=0,"",G52/F52-1)</f>
        <v>3.8939210500902988E-2</v>
      </c>
      <c r="H114" s="89">
        <f t="shared" ref="H114:H115" si="250">IF(G52=0,"",H52/G52-1)</f>
        <v>-4.4388009460202826E-2</v>
      </c>
      <c r="I114" s="89">
        <f t="shared" ref="I114:I115" si="251">IF(H52=0,"",I52/H52-1)</f>
        <v>-4.0774657162482186E-2</v>
      </c>
      <c r="J114" s="89">
        <f t="shared" ref="J114:J115" si="252">IF(I52=0,"",J52/I52-1)</f>
        <v>-3.7376834612259602E-2</v>
      </c>
      <c r="K114" s="89">
        <f t="shared" ref="K114:K115" si="253">IF(J52=0,"",K52/J52-1)</f>
        <v>0.12292875299666828</v>
      </c>
      <c r="L114" s="89">
        <f t="shared" ref="L114:L115" si="254">IF(K52=0,"",L52/K52-1)</f>
        <v>6.3308313070060906E-2</v>
      </c>
      <c r="M114" s="89">
        <f t="shared" ref="M114:M115" si="255">IF(L52=0,"",M52/L52-1)</f>
        <v>-0.1761319751396343</v>
      </c>
      <c r="N114" s="89">
        <f t="shared" ref="N114:N115" si="256">IF(M52=0,"",N52/M52-1)</f>
        <v>-4.8303294734428626E-2</v>
      </c>
      <c r="O114" s="89">
        <f t="shared" ref="O114:O115" si="257">IF(N52=0,"",O52/N52-1)</f>
        <v>2.826183745093469E-2</v>
      </c>
      <c r="P114" s="89">
        <f t="shared" ref="P114:P115" si="258">IF(O52=0,"",P52/O52-1)</f>
        <v>-6.6469586891481081E-2</v>
      </c>
      <c r="Q114" s="89">
        <f t="shared" ref="Q114:Q115" si="259">IF(P52=0,"",Q52/P52-1)</f>
        <v>-8.4668483057362964E-3</v>
      </c>
      <c r="R114" s="89">
        <f t="shared" ref="R114:R115" si="260">IF(Q52=0,"",R52/Q52-1)</f>
        <v>7.4759078078665109E-2</v>
      </c>
      <c r="S114" s="89">
        <f t="shared" ref="S114:S115" si="261">IF(R52=0,"",S52/R52-1)</f>
        <v>9.2626213592233109E-2</v>
      </c>
      <c r="T114" s="89">
        <f t="shared" ref="T114:T115" si="262">IF(S52=0,"",T52/S52-1)</f>
        <v>-1.2142712167471759E-2</v>
      </c>
      <c r="U114" s="89">
        <f t="shared" ref="U114:U115" si="263">IF(T52=0,"",U52/T52-1)</f>
        <v>5.4841229194702024E-4</v>
      </c>
      <c r="V114" s="89">
        <f t="shared" ref="V114:V115" si="264">IF(U52=0,"",V52/U52-1)</f>
        <v>5.380800430924304E-2</v>
      </c>
      <c r="W114" s="89">
        <f t="shared" ref="W114:W115" si="265">IF(V52=0,"",W52/V52-1)</f>
        <v>0.15346020605602773</v>
      </c>
      <c r="X114" s="89">
        <f t="shared" ref="X114:X115" si="266">IF(W52=0,"",X52/W52-1)</f>
        <v>2.9028031338091509E-2</v>
      </c>
      <c r="Y114" s="89">
        <f t="shared" ref="Y114:Y115" si="267">IF(X52=0,"",Y52/X52-1)</f>
        <v>0.25624089145470741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2.9260986571865599E-2</v>
      </c>
      <c r="F115" s="89">
        <f t="shared" si="248"/>
        <v>-1.7079884896416653E-2</v>
      </c>
      <c r="G115" s="89">
        <f t="shared" si="249"/>
        <v>-8.4323075471863684E-2</v>
      </c>
      <c r="H115" s="89">
        <f t="shared" si="250"/>
        <v>-5.2926807348512295E-3</v>
      </c>
      <c r="I115" s="89">
        <f t="shared" si="251"/>
        <v>-1.4313138828892291E-2</v>
      </c>
      <c r="J115" s="89">
        <f t="shared" si="252"/>
        <v>-0.10050316705085349</v>
      </c>
      <c r="K115" s="89">
        <f t="shared" si="253"/>
        <v>0.12104143520486743</v>
      </c>
      <c r="L115" s="89">
        <f t="shared" si="254"/>
        <v>3.0457313821176113E-2</v>
      </c>
      <c r="M115" s="89">
        <f t="shared" si="255"/>
        <v>-0.26388926376420185</v>
      </c>
      <c r="N115" s="89">
        <f t="shared" si="256"/>
        <v>-7.5468826689769064E-2</v>
      </c>
      <c r="O115" s="89">
        <f t="shared" si="257"/>
        <v>-4.8790988017506365E-3</v>
      </c>
      <c r="P115" s="89">
        <f t="shared" si="258"/>
        <v>-3.2870229057742062E-2</v>
      </c>
      <c r="Q115" s="89">
        <f t="shared" si="259"/>
        <v>-2.5013122993932213E-2</v>
      </c>
      <c r="R115" s="89">
        <f t="shared" si="260"/>
        <v>8.839970966524402E-2</v>
      </c>
      <c r="S115" s="89">
        <f t="shared" si="261"/>
        <v>7.8849569429493949E-2</v>
      </c>
      <c r="T115" s="89">
        <f t="shared" si="262"/>
        <v>5.6986820947946937E-2</v>
      </c>
      <c r="U115" s="89">
        <f t="shared" si="263"/>
        <v>-0.10424935623148557</v>
      </c>
      <c r="V115" s="89">
        <f t="shared" si="264"/>
        <v>0.14985087263906793</v>
      </c>
      <c r="W115" s="89">
        <f t="shared" si="265"/>
        <v>0.17377857039307609</v>
      </c>
      <c r="X115" s="89">
        <f t="shared" si="266"/>
        <v>0.1540321291557385</v>
      </c>
      <c r="Y115" s="89">
        <f t="shared" si="267"/>
        <v>0.53587637834446533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3.2889784049026094E-3</v>
      </c>
      <c r="F116" s="89">
        <f t="shared" ref="F116:F122" si="269">IF(E56=0,"",F56/E56-1)</f>
        <v>4.0328880499539643E-2</v>
      </c>
      <c r="G116" s="89">
        <f t="shared" ref="G116:G122" si="270">IF(F56=0,"",G56/F56-1)</f>
        <v>0.15665912750007416</v>
      </c>
      <c r="H116" s="89">
        <f t="shared" ref="H116:H122" si="271">IF(G56=0,"",H56/G56-1)</f>
        <v>-7.3946447390430659E-2</v>
      </c>
      <c r="I116" s="89">
        <f t="shared" ref="I116:I122" si="272">IF(H56=0,"",I56/H56-1)</f>
        <v>-6.2264368479978516E-2</v>
      </c>
      <c r="J116" s="89">
        <f t="shared" ref="J116:J122" si="273">IF(I56=0,"",J56/I56-1)</f>
        <v>1.651027986657172E-2</v>
      </c>
      <c r="K116" s="89">
        <f t="shared" ref="K116:K122" si="274">IF(J56=0,"",K56/J56-1)</f>
        <v>0.12435438444948166</v>
      </c>
      <c r="L116" s="89">
        <f t="shared" ref="L116:L122" si="275">IF(K56=0,"",L56/K56-1)</f>
        <v>8.8049997642898559E-2</v>
      </c>
      <c r="M116" s="89">
        <f t="shared" ref="M116:M122" si="276">IF(L56=0,"",M56/L56-1)</f>
        <v>-0.11353619853431374</v>
      </c>
      <c r="N116" s="89">
        <f t="shared" ref="N116:N122" si="277">IF(M56=0,"",N56/M56-1)</f>
        <v>-3.2213066847471272E-2</v>
      </c>
      <c r="O116" s="89">
        <f t="shared" ref="O116:O122" si="278">IF(N56=0,"",O56/N56-1)</f>
        <v>4.7013965495932508E-2</v>
      </c>
      <c r="P116" s="89">
        <f t="shared" ref="P116:P122" si="279">IF(O56=0,"",P56/O56-1)</f>
        <v>-8.4538837325794036E-2</v>
      </c>
      <c r="Q116" s="89">
        <f t="shared" ref="Q116:Q122" si="280">IF(P56=0,"",Q56/P56-1)</f>
        <v>9.3372234245192587E-4</v>
      </c>
      <c r="R116" s="89">
        <f t="shared" ref="R116:R122" si="281">IF(Q56=0,"",R56/Q56-1)</f>
        <v>6.7210208603466937E-2</v>
      </c>
      <c r="S116" s="89">
        <f t="shared" ref="S116:S122" si="282">IF(R56=0,"",S56/R56-1)</f>
        <v>0.10040173147023101</v>
      </c>
      <c r="T116" s="89">
        <f t="shared" ref="T116:T122" si="283">IF(S56=0,"",T56/S56-1)</f>
        <v>-5.0395151442504393E-2</v>
      </c>
      <c r="U116" s="89">
        <f t="shared" ref="U116:U122" si="284">IF(T56=0,"",U56/T56-1)</f>
        <v>6.509513477350759E-2</v>
      </c>
      <c r="V116" s="89">
        <f t="shared" ref="V116:V122" si="285">IF(U56=0,"",V56/U56-1)</f>
        <v>4.0588148410425351E-3</v>
      </c>
      <c r="W116" s="89">
        <f t="shared" ref="W116:W122" si="286">IF(V56=0,"",W56/V56-1)</f>
        <v>0.14140729374074468</v>
      </c>
      <c r="X116" s="89">
        <f t="shared" ref="X116:X122" si="287">IF(W56=0,"",X56/W56-1)</f>
        <v>-4.7227795857678223E-2</v>
      </c>
      <c r="Y116" s="89">
        <f t="shared" ref="Y116:Y122" si="288">IF(X56=0,"",Y56/X56-1)</f>
        <v>4.9622064220768314E-2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-1.6958825632350294E-2</v>
      </c>
      <c r="F117" s="89">
        <f t="shared" si="269"/>
        <v>5.8740606642703863E-2</v>
      </c>
      <c r="G117" s="89">
        <f t="shared" si="270"/>
        <v>2.27706945737427E-2</v>
      </c>
      <c r="H117" s="89">
        <f t="shared" si="271"/>
        <v>6.7054380310411776E-2</v>
      </c>
      <c r="I117" s="89">
        <f t="shared" si="272"/>
        <v>1.3583915535137603E-2</v>
      </c>
      <c r="J117" s="89">
        <f t="shared" si="273"/>
        <v>3.6092809994233033E-2</v>
      </c>
      <c r="K117" s="89">
        <f t="shared" si="274"/>
        <v>-1.9280009105949736E-2</v>
      </c>
      <c r="L117" s="89">
        <f t="shared" si="275"/>
        <v>1.7615730914903205E-2</v>
      </c>
      <c r="M117" s="89">
        <f t="shared" si="276"/>
        <v>-4.170446659008209E-2</v>
      </c>
      <c r="N117" s="89">
        <f t="shared" si="277"/>
        <v>-6.6422093061667686E-3</v>
      </c>
      <c r="O117" s="89">
        <f t="shared" si="278"/>
        <v>4.9352562185683846E-2</v>
      </c>
      <c r="P117" s="89">
        <f t="shared" si="279"/>
        <v>-2.8392021409289869E-2</v>
      </c>
      <c r="Q117" s="89">
        <f t="shared" si="280"/>
        <v>-1.9704445745891586E-2</v>
      </c>
      <c r="R117" s="89">
        <f t="shared" si="281"/>
        <v>-3.0172317569346685E-2</v>
      </c>
      <c r="S117" s="89">
        <f t="shared" si="282"/>
        <v>-1.3769778751969386E-2</v>
      </c>
      <c r="T117" s="89">
        <f t="shared" si="283"/>
        <v>-2.9732732373632942E-4</v>
      </c>
      <c r="U117" s="89">
        <f t="shared" si="284"/>
        <v>2.8041893266039786E-4</v>
      </c>
      <c r="V117" s="89">
        <f t="shared" si="285"/>
        <v>2.0262932058398464E-2</v>
      </c>
      <c r="W117" s="89">
        <f t="shared" si="286"/>
        <v>1.4737164378429535E-2</v>
      </c>
      <c r="X117" s="89">
        <f t="shared" si="287"/>
        <v>-0.14904144593730817</v>
      </c>
      <c r="Y117" s="89">
        <f t="shared" si="288"/>
        <v>-6.9164607407334877E-3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-2.0698833042443243E-2</v>
      </c>
      <c r="F118" s="89">
        <f t="shared" si="269"/>
        <v>0.15320816746371779</v>
      </c>
      <c r="G118" s="89">
        <f t="shared" si="270"/>
        <v>-2.8396950416720079E-2</v>
      </c>
      <c r="H118" s="89">
        <f t="shared" si="271"/>
        <v>0.1151240374415623</v>
      </c>
      <c r="I118" s="89">
        <f t="shared" si="272"/>
        <v>-0.12983805458381026</v>
      </c>
      <c r="J118" s="89">
        <f t="shared" si="273"/>
        <v>0.18204082962397128</v>
      </c>
      <c r="K118" s="89">
        <f t="shared" si="274"/>
        <v>-1.9348962028852612E-2</v>
      </c>
      <c r="L118" s="89">
        <f t="shared" si="275"/>
        <v>-1.0954907205913189E-2</v>
      </c>
      <c r="M118" s="89">
        <f t="shared" si="276"/>
        <v>-6.2231941048298434E-2</v>
      </c>
      <c r="N118" s="89">
        <f t="shared" si="277"/>
        <v>-4.8501866811415106E-2</v>
      </c>
      <c r="O118" s="89">
        <f t="shared" si="278"/>
        <v>-5.7422009296060561E-2</v>
      </c>
      <c r="P118" s="89">
        <f t="shared" si="279"/>
        <v>-0.11969683221847771</v>
      </c>
      <c r="Q118" s="89">
        <f t="shared" si="280"/>
        <v>-0.56979952315989824</v>
      </c>
      <c r="R118" s="89">
        <f t="shared" si="281"/>
        <v>0.2854373095938556</v>
      </c>
      <c r="S118" s="89">
        <f t="shared" si="282"/>
        <v>-2.0394315452361811E-2</v>
      </c>
      <c r="T118" s="89">
        <f t="shared" si="283"/>
        <v>0.20146021680665749</v>
      </c>
      <c r="U118" s="89">
        <f t="shared" si="284"/>
        <v>-6.3038892311329309E-2</v>
      </c>
      <c r="V118" s="89">
        <f t="shared" si="285"/>
        <v>-0.11841198153070009</v>
      </c>
      <c r="W118" s="89">
        <f t="shared" si="286"/>
        <v>0.82261260048705109</v>
      </c>
      <c r="X118" s="89">
        <f t="shared" si="287"/>
        <v>-0.40448228270526931</v>
      </c>
      <c r="Y118" s="89">
        <f t="shared" si="288"/>
        <v>0.29336967447534201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0.14899174545160876</v>
      </c>
      <c r="F119" s="89">
        <f t="shared" si="269"/>
        <v>7.5822238475016679E-2</v>
      </c>
      <c r="G119" s="89">
        <f t="shared" si="270"/>
        <v>7.2417988395713229E-2</v>
      </c>
      <c r="H119" s="89">
        <f t="shared" si="271"/>
        <v>4.015357075555448E-2</v>
      </c>
      <c r="I119" s="89">
        <f t="shared" si="272"/>
        <v>-2.2550021129700282E-3</v>
      </c>
      <c r="J119" s="89">
        <f t="shared" si="273"/>
        <v>0.1046044599535858</v>
      </c>
      <c r="K119" s="89">
        <f t="shared" si="274"/>
        <v>8.2720852602170325E-2</v>
      </c>
      <c r="L119" s="89">
        <f t="shared" si="275"/>
        <v>-2.4949232791339204E-3</v>
      </c>
      <c r="M119" s="89">
        <f t="shared" si="276"/>
        <v>-0.11290338159043745</v>
      </c>
      <c r="N119" s="89">
        <f t="shared" si="277"/>
        <v>-0.12402787416781347</v>
      </c>
      <c r="O119" s="89">
        <f t="shared" si="278"/>
        <v>-6.0043045557033325E-3</v>
      </c>
      <c r="P119" s="89">
        <f t="shared" si="279"/>
        <v>-7.4731114486663475E-2</v>
      </c>
      <c r="Q119" s="89">
        <f t="shared" si="280"/>
        <v>-1.7518302232330862E-2</v>
      </c>
      <c r="R119" s="89">
        <f t="shared" si="281"/>
        <v>7.5423546261053076E-2</v>
      </c>
      <c r="S119" s="89">
        <f t="shared" si="282"/>
        <v>9.9203900559037717E-2</v>
      </c>
      <c r="T119" s="89">
        <f t="shared" si="283"/>
        <v>0.16051692482771918</v>
      </c>
      <c r="U119" s="89">
        <f t="shared" si="284"/>
        <v>2.442298481172922E-2</v>
      </c>
      <c r="V119" s="89">
        <f t="shared" si="285"/>
        <v>-1.7178337612411165E-2</v>
      </c>
      <c r="W119" s="89">
        <f t="shared" si="286"/>
        <v>-0.10129723309965366</v>
      </c>
      <c r="X119" s="89">
        <f t="shared" si="287"/>
        <v>0.10000324490969348</v>
      </c>
      <c r="Y119" s="89">
        <f t="shared" si="288"/>
        <v>9.419014364554501E-2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-2.7335416889694431E-3</v>
      </c>
      <c r="F120" s="89">
        <f t="shared" si="269"/>
        <v>2.250357409234427E-2</v>
      </c>
      <c r="G120" s="89">
        <f t="shared" si="270"/>
        <v>-4.7493167949663295E-2</v>
      </c>
      <c r="H120" s="89">
        <f t="shared" si="271"/>
        <v>-5.1953401802928623E-2</v>
      </c>
      <c r="I120" s="89">
        <f t="shared" si="272"/>
        <v>-4.1391715040512755E-2</v>
      </c>
      <c r="J120" s="89">
        <f t="shared" si="273"/>
        <v>-9.9492290303435649E-3</v>
      </c>
      <c r="K120" s="89">
        <f t="shared" si="274"/>
        <v>-2.2322253056986874E-2</v>
      </c>
      <c r="L120" s="89">
        <f t="shared" si="275"/>
        <v>-5.7463297781216949E-2</v>
      </c>
      <c r="M120" s="89">
        <f t="shared" si="276"/>
        <v>-0.13646638341357831</v>
      </c>
      <c r="N120" s="89">
        <f t="shared" si="277"/>
        <v>-4.1826128605602753E-2</v>
      </c>
      <c r="O120" s="89">
        <f t="shared" si="278"/>
        <v>2.8214186710676437E-2</v>
      </c>
      <c r="P120" s="89">
        <f t="shared" si="279"/>
        <v>-8.3442819900198528E-2</v>
      </c>
      <c r="Q120" s="89">
        <f t="shared" si="280"/>
        <v>-1.5738243865793144E-2</v>
      </c>
      <c r="R120" s="89">
        <f t="shared" si="281"/>
        <v>3.9825487639499446E-2</v>
      </c>
      <c r="S120" s="89">
        <f t="shared" si="282"/>
        <v>-9.9028801843318082E-2</v>
      </c>
      <c r="T120" s="89">
        <f t="shared" si="283"/>
        <v>5.5956247883584886E-2</v>
      </c>
      <c r="U120" s="89">
        <f t="shared" si="284"/>
        <v>4.9172264135598498E-2</v>
      </c>
      <c r="V120" s="89">
        <f t="shared" si="285"/>
        <v>9.5322876625691944E-3</v>
      </c>
      <c r="W120" s="89">
        <f t="shared" si="286"/>
        <v>0.11517844637398356</v>
      </c>
      <c r="X120" s="89">
        <f t="shared" si="287"/>
        <v>-0.18929520838868608</v>
      </c>
      <c r="Y120" s="89">
        <f t="shared" si="288"/>
        <v>4.6748646940975469E-2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-0.12573283923546252</v>
      </c>
      <c r="F121" s="89">
        <f t="shared" si="269"/>
        <v>0.13916421172140803</v>
      </c>
      <c r="G121" s="89">
        <f t="shared" si="270"/>
        <v>6.7427171579308665E-2</v>
      </c>
      <c r="H121" s="89">
        <f t="shared" si="271"/>
        <v>-1.295195422848372E-2</v>
      </c>
      <c r="I121" s="89">
        <f t="shared" si="272"/>
        <v>-5.3123411690542133E-3</v>
      </c>
      <c r="J121" s="89">
        <f t="shared" si="273"/>
        <v>-4.3750926408481217E-3</v>
      </c>
      <c r="K121" s="89">
        <f t="shared" si="274"/>
        <v>0.18506457104611296</v>
      </c>
      <c r="L121" s="89">
        <f t="shared" si="275"/>
        <v>-4.6031818158587146E-2</v>
      </c>
      <c r="M121" s="89">
        <f t="shared" si="276"/>
        <v>-0.16504368882634857</v>
      </c>
      <c r="N121" s="89">
        <f t="shared" si="277"/>
        <v>-0.18681615927858219</v>
      </c>
      <c r="O121" s="89">
        <f t="shared" si="278"/>
        <v>4.1638327598511493E-2</v>
      </c>
      <c r="P121" s="89">
        <f t="shared" si="279"/>
        <v>-2.7453019700761305E-2</v>
      </c>
      <c r="Q121" s="89">
        <f t="shared" si="280"/>
        <v>6.9571146816290508E-2</v>
      </c>
      <c r="R121" s="89">
        <f t="shared" si="281"/>
        <v>0.1525332902217551</v>
      </c>
      <c r="S121" s="89">
        <f t="shared" si="282"/>
        <v>0.17652122641509438</v>
      </c>
      <c r="T121" s="89">
        <f t="shared" si="283"/>
        <v>0.10026205590937898</v>
      </c>
      <c r="U121" s="89">
        <f t="shared" si="284"/>
        <v>6.7051916936074818E-2</v>
      </c>
      <c r="V121" s="89">
        <f t="shared" si="285"/>
        <v>1.095600536550001E-2</v>
      </c>
      <c r="W121" s="89">
        <f t="shared" si="286"/>
        <v>0.10507237133734071</v>
      </c>
      <c r="X121" s="89">
        <f t="shared" si="287"/>
        <v>-0.42584160608340615</v>
      </c>
      <c r="Y121" s="89">
        <f t="shared" si="288"/>
        <v>0.41384638431412069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8.0132596123281274E-2</v>
      </c>
      <c r="F122" s="91">
        <f t="shared" si="269"/>
        <v>-4.2660011334261227E-2</v>
      </c>
      <c r="G122" s="91">
        <f t="shared" si="270"/>
        <v>5.7947708166148137E-2</v>
      </c>
      <c r="H122" s="91">
        <f t="shared" si="271"/>
        <v>-3.670773302058028E-2</v>
      </c>
      <c r="I122" s="91">
        <f t="shared" si="272"/>
        <v>6.6744023894953486E-3</v>
      </c>
      <c r="J122" s="91">
        <f t="shared" si="273"/>
        <v>7.3261631748935629E-2</v>
      </c>
      <c r="K122" s="91">
        <f t="shared" si="274"/>
        <v>8.4828160770907823E-2</v>
      </c>
      <c r="L122" s="91">
        <f t="shared" si="275"/>
        <v>-2.2072135062292664E-2</v>
      </c>
      <c r="M122" s="91">
        <f t="shared" si="276"/>
        <v>-9.2133303457863303E-2</v>
      </c>
      <c r="N122" s="91">
        <f t="shared" si="277"/>
        <v>-0.16230603752967554</v>
      </c>
      <c r="O122" s="91">
        <f t="shared" si="278"/>
        <v>9.9257347689636122E-2</v>
      </c>
      <c r="P122" s="91">
        <f t="shared" si="279"/>
        <v>-4.1077040844888946E-2</v>
      </c>
      <c r="Q122" s="91">
        <f t="shared" si="280"/>
        <v>5.0252761608171603E-3</v>
      </c>
      <c r="R122" s="91">
        <f t="shared" si="281"/>
        <v>8.7629699301212671E-2</v>
      </c>
      <c r="S122" s="91">
        <f t="shared" si="282"/>
        <v>0.12191413413675689</v>
      </c>
      <c r="T122" s="91">
        <f t="shared" si="283"/>
        <v>5.066966328031608E-2</v>
      </c>
      <c r="U122" s="91">
        <f t="shared" si="284"/>
        <v>9.7391481326794649E-2</v>
      </c>
      <c r="V122" s="91">
        <f t="shared" si="285"/>
        <v>-3.824681954230913E-4</v>
      </c>
      <c r="W122" s="91">
        <f t="shared" si="286"/>
        <v>5.9277936001119302E-2</v>
      </c>
      <c r="X122" s="91">
        <f t="shared" si="287"/>
        <v>-4.0157151324402562E-3</v>
      </c>
      <c r="Y122" s="91">
        <f t="shared" si="288"/>
        <v>0.11951191484708046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2024-05-20T16:50:48Z</dcterms:created>
  <dcterms:modified xsi:type="dcterms:W3CDTF">2024-05-20T16:50:48Z</dcterms:modified>
</cp:coreProperties>
</file>