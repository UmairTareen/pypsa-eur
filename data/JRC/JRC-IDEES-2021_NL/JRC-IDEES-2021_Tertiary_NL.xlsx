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NL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L12" i="29"/>
  <c r="L11" i="29" s="1"/>
  <c r="K12" i="29"/>
  <c r="K11" i="29" s="1"/>
  <c r="J12" i="29"/>
  <c r="J11" i="29" s="1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G7" i="29"/>
  <c r="D7" i="29"/>
  <c r="W6" i="29"/>
  <c r="V6" i="29"/>
  <c r="U6" i="29"/>
  <c r="P6" i="29"/>
  <c r="O6" i="29"/>
  <c r="N6" i="29"/>
  <c r="M6" i="29"/>
  <c r="H6" i="29"/>
  <c r="G6" i="29"/>
  <c r="F6" i="29"/>
  <c r="E6" i="29"/>
  <c r="T5" i="29"/>
  <c r="S5" i="29"/>
  <c r="R5" i="29"/>
  <c r="Q5" i="29"/>
  <c r="L5" i="29"/>
  <c r="K5" i="29"/>
  <c r="J5" i="29"/>
  <c r="I5" i="29"/>
  <c r="D5" i="29"/>
  <c r="W4" i="29"/>
  <c r="V4" i="29"/>
  <c r="U4" i="29"/>
  <c r="P4" i="29"/>
  <c r="O4" i="29"/>
  <c r="N4" i="29"/>
  <c r="M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W9" i="29" l="1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W3" i="29" l="1"/>
  <c r="U15" i="24"/>
  <c r="U19" i="23"/>
  <c r="W3" i="31"/>
  <c r="U19" i="25"/>
  <c r="U27" i="24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W3" i="12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S81" i="6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C113" i="6" l="1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J4" i="8"/>
  <c r="J4" i="12" s="1"/>
  <c r="F4" i="8"/>
  <c r="F4" i="12" s="1"/>
  <c r="B4" i="8"/>
  <c r="O29" i="9"/>
  <c r="K29" i="9"/>
  <c r="K29" i="13" s="1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P16" i="25" l="1"/>
  <c r="P19" i="13"/>
  <c r="I4" i="13"/>
  <c r="F4" i="24"/>
  <c r="N4" i="12"/>
  <c r="L19" i="24"/>
  <c r="C4" i="24"/>
  <c r="C4" i="27" s="1"/>
  <c r="G16" i="12"/>
  <c r="G29" i="12"/>
  <c r="G29" i="15" s="1"/>
  <c r="M29" i="24"/>
  <c r="M29" i="27" s="1"/>
  <c r="G29" i="13"/>
  <c r="E16" i="23"/>
  <c r="F16" i="12"/>
  <c r="G19" i="24"/>
  <c r="D16" i="14"/>
  <c r="D16" i="17" s="1"/>
  <c r="O4" i="13"/>
  <c r="O29" i="13"/>
  <c r="O29" i="16" s="1"/>
  <c r="O29" i="12"/>
  <c r="C17" i="16"/>
  <c r="E19" i="24"/>
  <c r="I4" i="23"/>
  <c r="G19" i="23"/>
  <c r="E4" i="13"/>
  <c r="E4" i="16" s="1"/>
  <c r="K4" i="24"/>
  <c r="G16" i="13"/>
  <c r="N29" i="23"/>
  <c r="N29" i="26" s="1"/>
  <c r="C19" i="13"/>
  <c r="K19" i="24"/>
  <c r="O19" i="23"/>
  <c r="O19" i="26" s="1"/>
  <c r="Q29" i="24"/>
  <c r="G29" i="24"/>
  <c r="G29" i="27" s="1"/>
  <c r="C19" i="12"/>
  <c r="C19" i="15" s="1"/>
  <c r="P16" i="23"/>
  <c r="M4" i="14"/>
  <c r="M4" i="17" s="1"/>
  <c r="O16" i="13"/>
  <c r="O16" i="23"/>
  <c r="F19" i="12"/>
  <c r="M16" i="24"/>
  <c r="J4" i="23"/>
  <c r="J4" i="26" s="1"/>
  <c r="P19" i="12"/>
  <c r="P19" i="15" s="1"/>
  <c r="H4" i="24"/>
  <c r="H4" i="27" s="1"/>
  <c r="M4" i="12"/>
  <c r="M4" i="15" s="1"/>
  <c r="O19" i="24"/>
  <c r="P16" i="24"/>
  <c r="L19" i="13"/>
  <c r="G4" i="23"/>
  <c r="P4" i="24"/>
  <c r="P4" i="27" s="1"/>
  <c r="C29" i="24"/>
  <c r="C29" i="27" s="1"/>
  <c r="G4" i="24"/>
  <c r="I4" i="24"/>
  <c r="I4" i="27" s="1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4" i="24"/>
  <c r="P19" i="23"/>
  <c r="N16" i="14"/>
  <c r="D4" i="13"/>
  <c r="N16" i="12"/>
  <c r="N16" i="15" s="1"/>
  <c r="E16" i="12"/>
  <c r="E16" i="15" s="1"/>
  <c r="I16" i="14"/>
  <c r="Q4" i="23"/>
  <c r="Q4" i="26" s="1"/>
  <c r="J29" i="24"/>
  <c r="P16" i="13"/>
  <c r="C29" i="12"/>
  <c r="G16" i="24"/>
  <c r="I4" i="12"/>
  <c r="I4" i="15" s="1"/>
  <c r="L16" i="13"/>
  <c r="L16" i="16" s="1"/>
  <c r="B29" i="13"/>
  <c r="B29" i="16" s="1"/>
  <c r="L4" i="24"/>
  <c r="L4" i="27" s="1"/>
  <c r="Q29" i="23"/>
  <c r="G16" i="25"/>
  <c r="Q4" i="24"/>
  <c r="D4" i="23"/>
  <c r="C29" i="13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4" i="16" s="1"/>
  <c r="H19" i="13"/>
  <c r="I19" i="24"/>
  <c r="K16" i="23"/>
  <c r="E29" i="13"/>
  <c r="L16" i="24"/>
  <c r="L16" i="27" s="1"/>
  <c r="M4" i="13"/>
  <c r="M4" i="16" s="1"/>
  <c r="D27" i="13"/>
  <c r="D27" i="16" s="1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Q19" i="13"/>
  <c r="I29" i="12"/>
  <c r="I29" i="15" s="1"/>
  <c r="D19" i="13"/>
  <c r="D19" i="16" s="1"/>
  <c r="E4" i="12"/>
  <c r="E4" i="15" s="1"/>
  <c r="M19" i="12"/>
  <c r="M19" i="15" s="1"/>
  <c r="N27" i="12"/>
  <c r="N27" i="13"/>
  <c r="E29" i="23"/>
  <c r="E29" i="26" s="1"/>
  <c r="N19" i="13"/>
  <c r="N19" i="16" s="1"/>
  <c r="M16" i="12"/>
  <c r="M16" i="15" s="1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5" s="1"/>
  <c r="E27" i="13"/>
  <c r="E27" i="16" s="1"/>
  <c r="E19" i="23"/>
  <c r="E19" i="26" s="1"/>
  <c r="D15" i="23"/>
  <c r="D15" i="26" s="1"/>
  <c r="D15" i="24"/>
  <c r="E19" i="13"/>
  <c r="E19" i="16" s="1"/>
  <c r="C16" i="23"/>
  <c r="C16" i="26" s="1"/>
  <c r="F16" i="23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M4" i="27" s="1"/>
  <c r="I19" i="23"/>
  <c r="Q19" i="23"/>
  <c r="G15" i="23"/>
  <c r="G15" i="24"/>
  <c r="G15" i="27" s="1"/>
  <c r="H27" i="23"/>
  <c r="H27" i="26" s="1"/>
  <c r="H27" i="24"/>
  <c r="H27" i="27" s="1"/>
  <c r="Q29" i="13"/>
  <c r="Q29" i="16" s="1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P15" i="23"/>
  <c r="P15" i="26" s="1"/>
  <c r="P15" i="24"/>
  <c r="M29" i="12"/>
  <c r="M29" i="15" s="1"/>
  <c r="H16" i="12"/>
  <c r="H16" i="15" s="1"/>
  <c r="J15" i="24"/>
  <c r="J15" i="23"/>
  <c r="L27" i="23"/>
  <c r="L27" i="24"/>
  <c r="L27" i="27" s="1"/>
  <c r="O19" i="12"/>
  <c r="O19" i="15" s="1"/>
  <c r="G27" i="24"/>
  <c r="G27" i="27" s="1"/>
  <c r="G27" i="23"/>
  <c r="G27" i="26" s="1"/>
  <c r="L4" i="13"/>
  <c r="L4" i="16" s="1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E29" i="24"/>
  <c r="E29" i="27" s="1"/>
  <c r="K27" i="23"/>
  <c r="K27" i="24"/>
  <c r="K27" i="27" s="1"/>
  <c r="B27" i="12"/>
  <c r="B27" i="15" s="1"/>
  <c r="B27" i="13"/>
  <c r="B27" i="16" s="1"/>
  <c r="Q19" i="24"/>
  <c r="K15" i="23"/>
  <c r="K15" i="24"/>
  <c r="P27" i="23"/>
  <c r="P27" i="26" s="1"/>
  <c r="P27" i="24"/>
  <c r="P27" i="27" s="1"/>
  <c r="P16" i="12"/>
  <c r="P16" i="15" s="1"/>
  <c r="F4" i="13"/>
  <c r="L29" i="13"/>
  <c r="L15" i="23"/>
  <c r="L15" i="24"/>
  <c r="J27" i="12"/>
  <c r="J27" i="15" s="1"/>
  <c r="J27" i="13"/>
  <c r="J27" i="16" s="1"/>
  <c r="E16" i="24"/>
  <c r="E16" i="27" s="1"/>
  <c r="D16" i="12"/>
  <c r="D16" i="15" s="1"/>
  <c r="M15" i="23"/>
  <c r="M15" i="24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J27" i="26" s="1"/>
  <c r="N4" i="13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6" s="1"/>
  <c r="G27" i="12"/>
  <c r="O27" i="13"/>
  <c r="O27" i="16" s="1"/>
  <c r="O27" i="12"/>
  <c r="B19" i="12"/>
  <c r="I27" i="23"/>
  <c r="I27" i="26" s="1"/>
  <c r="I27" i="24"/>
  <c r="I27" i="27" s="1"/>
  <c r="D27" i="23"/>
  <c r="D27" i="26" s="1"/>
  <c r="D27" i="24"/>
  <c r="D27" i="27" s="1"/>
  <c r="L29" i="24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L16" i="15"/>
  <c r="M16" i="13"/>
  <c r="M16" i="16" s="1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15" i="27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16" i="28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G4" i="16"/>
  <c r="J16" i="14"/>
  <c r="J16" i="17" s="1"/>
  <c r="J16" i="21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4" i="10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3" i="9"/>
  <c r="L3" i="13" s="1"/>
  <c r="N16" i="16"/>
  <c r="N16" i="10"/>
  <c r="F18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G28" i="16"/>
  <c r="F28" i="15"/>
  <c r="C16" i="16"/>
  <c r="C16" i="10"/>
  <c r="C19" i="16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C19" i="27"/>
  <c r="C19" i="21"/>
  <c r="K19" i="27"/>
  <c r="K19" i="21"/>
  <c r="K29" i="21"/>
  <c r="K29" i="27"/>
  <c r="E4" i="26"/>
  <c r="E3" i="19"/>
  <c r="Q3" i="19"/>
  <c r="J19" i="25"/>
  <c r="J19" i="28" s="1"/>
  <c r="C4" i="21"/>
  <c r="C3" i="20"/>
  <c r="C3" i="24" s="1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O7" i="16"/>
  <c r="B29" i="10"/>
  <c r="M23" i="15"/>
  <c r="M28" i="15"/>
  <c r="P4" i="16"/>
  <c r="C15" i="15"/>
  <c r="E9" i="16"/>
  <c r="C21" i="15"/>
  <c r="M32" i="15"/>
  <c r="M5" i="15"/>
  <c r="M9" i="15"/>
  <c r="M13" i="15"/>
  <c r="B130" i="6" l="1"/>
  <c r="Q3" i="12"/>
  <c r="Q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28" i="4"/>
  <c r="B15" i="4"/>
  <c r="B24" i="4"/>
  <c r="B35" i="4"/>
  <c r="B21" i="4"/>
  <c r="B12" i="4"/>
  <c r="B34" i="4"/>
  <c r="B27" i="4"/>
  <c r="B25" i="4"/>
  <c r="B8" i="4"/>
  <c r="B11" i="4"/>
  <c r="B4" i="4"/>
  <c r="B29" i="4"/>
  <c r="B14" i="4"/>
  <c r="B10" i="4"/>
  <c r="B37" i="4"/>
  <c r="B26" i="4"/>
  <c r="B16" i="4"/>
  <c r="B43" i="4"/>
  <c r="B13" i="4"/>
  <c r="B17" i="4"/>
  <c r="B44" i="4"/>
  <c r="B30" i="4"/>
  <c r="B36" i="4"/>
  <c r="B7" i="4"/>
  <c r="B39" i="4"/>
  <c r="B9" i="4"/>
  <c r="B20" i="4"/>
  <c r="B45" i="4"/>
  <c r="B38" i="4"/>
  <c r="B22" i="4"/>
  <c r="B42" i="4"/>
  <c r="B33" i="4"/>
  <c r="B23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<sst xmlns="http://schemas.openxmlformats.org/spreadsheetml/2006/main" count="2099" uniqueCount="1055">
  <si>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</si>
  <si>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</si>
  <si>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</si>
  <si>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</si>
  <si>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</si>
  <si>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</si>
  <si>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</si>
  <si>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</si>
  <si>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</si>
  <si>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</si>
  <si>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</si>
  <si>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</si>
  <si>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</si>
  <si>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</si>
  <si>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</si>
  <si>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</si>
  <si>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</si>
  <si>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</si>
  <si>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</si>
  <si>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</si>
  <si>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</si>
  <si>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</si>
  <si>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</si>
  <si>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</si>
  <si>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</si>
  <si>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</si>
  <si>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</si>
  <si>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</si>
  <si>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</si>
  <si>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</si>
  <si>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</si>
  <si>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</si>
  <si>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</si>
  <si>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</si>
  <si>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</si>
  <si>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</si>
  <si>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</si>
  <si>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</si>
  <si>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</si>
  <si>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</si>
  <si>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</si>
  <si>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</si>
  <si>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</si>
  <si>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</si>
  <si>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</si>
  <si>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</si>
  <si>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</si>
  <si>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</si>
  <si>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</si>
  <si>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</si>
  <si>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</si>
  <si>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</si>
  <si>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</si>
  <si>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</si>
  <si>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</si>
  <si>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</si>
  <si>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</si>
  <si>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</si>
  <si>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</si>
  <si>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</si>
  <si>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</si>
  <si>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</si>
  <si>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</si>
  <si>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</si>
  <si>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</si>
  <si>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</si>
  <si>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</si>
  <si>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</si>
  <si>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</si>
  <si>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</si>
  <si>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</si>
  <si>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</si>
  <si>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</si>
  <si>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</si>
  <si>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</si>
  <si>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</si>
  <si>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</si>
  <si>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</si>
  <si>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</si>
  <si>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</si>
  <si>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</si>
  <si>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</si>
  <si>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</si>
  <si>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</si>
  <si>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</si>
  <si>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</si>
  <si>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</si>
  <si>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</si>
  <si>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</si>
  <si>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</si>
  <si>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</si>
  <si>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</si>
  <si>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</si>
  <si>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</si>
  <si>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</si>
  <si>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</si>
  <si>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</si>
  <si>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</si>
  <si>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</si>
  <si>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</si>
  <si>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</si>
  <si>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</si>
  <si>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</si>
  <si>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</si>
  <si>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</si>
  <si>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</si>
  <si>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</si>
  <si>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</si>
  <si>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</si>
  <si>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</si>
  <si>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</si>
  <si>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</si>
  <si>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</si>
  <si>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</si>
  <si>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</si>
  <si>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</si>
  <si>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</si>
  <si>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</si>
  <si>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</si>
  <si>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</si>
  <si>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</si>
  <si>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</si>
  <si>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</si>
  <si>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</si>
  <si>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</si>
  <si>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</si>
  <si>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</si>
  <si>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</si>
  <si>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</si>
  <si>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</si>
  <si>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</si>
  <si>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</si>
  <si>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</si>
  <si>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</si>
  <si>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</si>
  <si>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</si>
  <si>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</si>
  <si>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</si>
  <si>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</si>
  <si>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</si>
  <si>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</si>
  <si>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</si>
  <si>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</si>
  <si>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</si>
  <si>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</si>
  <si>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</si>
  <si>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</si>
  <si>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</si>
  <si>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</si>
  <si>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</si>
  <si>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</si>
  <si>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</si>
  <si>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</si>
  <si>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</si>
  <si>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</si>
  <si>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</si>
  <si>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</si>
  <si>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</si>
  <si>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</si>
  <si>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</si>
  <si>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</si>
  <si>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</si>
  <si>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</si>
  <si>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</si>
  <si>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</si>
  <si>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</si>
  <si>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</si>
  <si>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</si>
  <si>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</si>
  <si>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</si>
  <si>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</si>
  <si>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</si>
  <si>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</si>
  <si>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</si>
  <si>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</si>
  <si>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</si>
  <si>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</si>
  <si>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</si>
  <si>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</si>
  <si>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</si>
  <si>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</si>
  <si>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</si>
  <si>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</si>
  <si>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</si>
  <si>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NL</t>
  </si>
  <si>
    <t>Netherlands</t>
  </si>
  <si>
    <t>NL - Services sector summary</t>
  </si>
  <si>
    <t>Macro.number.NL.Population</t>
  </si>
  <si>
    <t>Macro.Meuro2015.NL.GDP</t>
  </si>
  <si>
    <t>Macro.Meuro2015.NL.VA</t>
  </si>
  <si>
    <t>Macro.number.NL.Employees</t>
  </si>
  <si>
    <t>NUM.number.NL.Ser.Bld</t>
  </si>
  <si>
    <t>SurfaceArea.ksqm.NL.Ser.Bld</t>
  </si>
  <si>
    <t>NUM.number.NL.Ser.BldNew</t>
  </si>
  <si>
    <t>SurfaceArea.ksqm.NL.Ser.BldNew</t>
  </si>
  <si>
    <t>HDD.Celsius.NL.Actual</t>
  </si>
  <si>
    <t>HDD.Celsius.NL.Mean</t>
  </si>
  <si>
    <t>HDD.ratio.NL.Relative</t>
  </si>
  <si>
    <t>FEC.ktoe.NL.ES.Ser</t>
  </si>
  <si>
    <t>FEC.ktoe.NL.ES.Ser.Solids</t>
  </si>
  <si>
    <t>FEC.ktoe.NL.ES.Ser.LPG</t>
  </si>
  <si>
    <t>FEC.ktoe.NL.ES.Ser.Oil</t>
  </si>
  <si>
    <t>FEC.ktoe.NL.ES.Ser.NG</t>
  </si>
  <si>
    <t>FEC.ktoe.NL.ES.Ser.Biomass_Waste</t>
  </si>
  <si>
    <t>FEC.ktoe.NL.ES.Ser.Biogas</t>
  </si>
  <si>
    <t>FEC.ktoe.NL.ES.Ser.LiqBio</t>
  </si>
  <si>
    <t>FEC.ktoe.NL.ES.Ser.Solar</t>
  </si>
  <si>
    <t>FEC.ktoe.NL.ES.Ser.Geo</t>
  </si>
  <si>
    <t>FEC.ktoe.NL.ES.Ser.Ambient</t>
  </si>
  <si>
    <t>FEC.ktoe.NL.ES.Ser.Steam_Distr</t>
  </si>
  <si>
    <t>FEC.ktoe.NL.ES.Ser.Elec</t>
  </si>
  <si>
    <t>FEC.ktoe.NL.Ser</t>
  </si>
  <si>
    <t>FEC.ktoe.NL.Ser.Bld.Thermal</t>
  </si>
  <si>
    <t>FEC.ktoe.NL.Ser.Bld.Thermal.SH</t>
  </si>
  <si>
    <t>FEC.ktoe.NL.Ser.Bld.Thermal.SC</t>
  </si>
  <si>
    <t>FEC.ktoe.NL.Ser.Bld.Thermal.HW</t>
  </si>
  <si>
    <t>FEC.ktoe.NL.Ser.Bld.Thermal.CA</t>
  </si>
  <si>
    <t>FEC.ktoe.NL.Ser.SEU</t>
  </si>
  <si>
    <t>EMI.ktCO2.NL.ES.Ser</t>
  </si>
  <si>
    <t>EMI.ktCO2.NL.ES.Ser.Solids</t>
  </si>
  <si>
    <t>EMI.ktCO2.NL.ES.Ser.LPG</t>
  </si>
  <si>
    <t>EMI.ktCO2.NL.ES.Ser.Oil</t>
  </si>
  <si>
    <t>EMI.ktCO2.NL.ES.Ser.NG</t>
  </si>
  <si>
    <t>EMI.ktCO2.NL.ES.Ser.Biomass_Waste</t>
  </si>
  <si>
    <t>EMI.ktCO2.NL.ES.Ser.Biogas</t>
  </si>
  <si>
    <t>EMI.ktCO2.NL.ES.Ser.LiqBio</t>
  </si>
  <si>
    <t>EMI.ktCO2.NL.ES.Ser.Solar</t>
  </si>
  <si>
    <t>EMI.ktCO2.NL.ES.Ser.Geo</t>
  </si>
  <si>
    <t>EMI.ktCO2.NL.ES.Ser.Ambient</t>
  </si>
  <si>
    <t>EMI.ktCO2.NL.ES.Ser.Steam_Distr</t>
  </si>
  <si>
    <t>EMI.ktCO2.NL.ES.Ser.Elec</t>
  </si>
  <si>
    <t>EMI.ktCO2.NL.Ser</t>
  </si>
  <si>
    <t>EMI.ktCO2.NL.Ser.Bld.Thermal</t>
  </si>
  <si>
    <t>EMI.ktCO2.NL.Ser.Bld.Thermal.SH</t>
  </si>
  <si>
    <t>EMI.ktCO2.NL.Ser.Bld.Thermal.SC</t>
  </si>
  <si>
    <t>EMI.ktCO2.NL.Ser.Bld.Thermal.HW</t>
  </si>
  <si>
    <t>EMI.ktCO2.NL.Ser.Bld.Thermal.CA</t>
  </si>
  <si>
    <t>EMI.ktCO2.NL.Ser.SEU</t>
  </si>
  <si>
    <t>Eff.ratio.NL.Ser.Bld.Thermal</t>
  </si>
  <si>
    <t>Eff.ratio.NL.Ser.Bld.Thermal.SH</t>
  </si>
  <si>
    <t>Eff.ratio.NL.Ser.Bld.Thermal.SC</t>
  </si>
  <si>
    <t>Eff.ratio.NL.Ser.Bld.Thermal.HW</t>
  </si>
  <si>
    <t>Eff.ratio.NL.Ser.Bld.Thermal.CA</t>
  </si>
  <si>
    <t>NL - Number of buildings</t>
  </si>
  <si>
    <t>NUM.number.NL.Ser.Bld.Thermal</t>
  </si>
  <si>
    <t>NUM.number.NL.Ser.Bld.Thermal.SH</t>
  </si>
  <si>
    <t>NUM.number.NL.Ser.Bld.Thermal.SH.Solids</t>
  </si>
  <si>
    <t>NUM.number.NL.Ser.Bld.Thermal.SH.LPG</t>
  </si>
  <si>
    <t>NUM.number.NL.Ser.Bld.Thermal.SH.Oil</t>
  </si>
  <si>
    <t>NUM.number.NL.Ser.Bld.Thermal.SH.GasHP</t>
  </si>
  <si>
    <t>NUM.number.NL.Ser.Bld.Thermal.SH.GasTH</t>
  </si>
  <si>
    <t>NUM.number.NL.Ser.Bld.Thermal.SH.Biomass</t>
  </si>
  <si>
    <t>NUM.number.NL.Ser.Bld.Thermal.SH.Geo</t>
  </si>
  <si>
    <t>NUM.number.NL.Ser.Bld.Thermal.SH.DistrHeat</t>
  </si>
  <si>
    <t>NUM.number.NL.Ser.Bld.Thermal.SH.AdvElc</t>
  </si>
  <si>
    <t>NUM.number.NL.Ser.Bld.Thermal.SH.ConvElc</t>
  </si>
  <si>
    <t>NUM.number.NL.Ser.Bld.Thermal.SC</t>
  </si>
  <si>
    <t>NUM.number.NL.Ser.Bld.Thermal.SC.GasHP</t>
  </si>
  <si>
    <t>NUM.number.NL.Ser.Bld.Thermal.SC.AC</t>
  </si>
  <si>
    <t>NUM.number.NL.Ser.Bld.Thermal.HW</t>
  </si>
  <si>
    <t>NUM.number.NL.Ser.Bld.Thermal.HW.Solids</t>
  </si>
  <si>
    <t>NUM.number.NL.Ser.Bld.Thermal.HW.LPG</t>
  </si>
  <si>
    <t>NUM.number.NL.Ser.Bld.Thermal.HW.Oil</t>
  </si>
  <si>
    <t>NUM.number.NL.Ser.Bld.Thermal.HW.Gas</t>
  </si>
  <si>
    <t>NUM.number.NL.Ser.Bld.Thermal.HW.Biomass</t>
  </si>
  <si>
    <t>NUM.number.NL.Ser.Bld.Thermal.HW.DistrHeat</t>
  </si>
  <si>
    <t>NUM.number.NL.Ser.Bld.Thermal.HW.Elc</t>
  </si>
  <si>
    <t>NUM.number.NL.Ser.Bld.Thermal.HW.Solar</t>
  </si>
  <si>
    <t>NUM.number.NL.Ser.Bld.Thermal.CA</t>
  </si>
  <si>
    <t>NUM.number.NL.Ser.Bld.Thermal.CA.LPG</t>
  </si>
  <si>
    <t>NUM.number.NL.Ser.Bld.Thermal.CA.Gas</t>
  </si>
  <si>
    <t>NUM.number.NL.Ser.Bld.Thermal.CA.Biomass</t>
  </si>
  <si>
    <t>NUM.number.NL.Ser.Bld.Thermal.CA.Elc</t>
  </si>
  <si>
    <t>NL - Final energy consumption</t>
  </si>
  <si>
    <t>FEC.ktoe.NL.Ser.Bld.Thermal.SH.Solids.Solids</t>
  </si>
  <si>
    <t>FEC.ktoe.NL.Ser.Bld.Thermal.SH.LPG.LPG</t>
  </si>
  <si>
    <t>FEC.ktoe.NL.Ser.Bld.Thermal.SH.Oil.Oil_LiqBio</t>
  </si>
  <si>
    <t>FEC.ktoe.NL.Ser.Bld.Thermal.SH.GasHP.NG_Biogas</t>
  </si>
  <si>
    <t>FEC.ktoe.NL.Ser.Bld.Thermal.SH.GasTH.NG_Biogas</t>
  </si>
  <si>
    <t>FEC.ktoe.NL.Ser.Bld.Thermal.SH.Biomass.Biomass_Waste</t>
  </si>
  <si>
    <t>FEC.ktoe.NL.Ser.Bld.Thermal.SH.Geo.Geo</t>
  </si>
  <si>
    <t>FEC.ktoe.NL.Ser.Bld.Thermal.SH.DistrHeat.Steam_Distr</t>
  </si>
  <si>
    <t>FEC.ktoe.NL.Ser.Bld.Thermal.SH.AdvElc.Elec</t>
  </si>
  <si>
    <t>FEC.ktoe.NL.Ser.Bld.Thermal.SH.ConvElc.Elec</t>
  </si>
  <si>
    <t>FEC.ktoe.NL.Ser.Bld.Thermal.SH.TotalCirculation.Elec</t>
  </si>
  <si>
    <t>FEC.ktoe.NL.Ser.Bld.Thermal.SC.GasHP.NG_Biogas</t>
  </si>
  <si>
    <t>FEC.ktoe.NL.Ser.Bld.Thermal.SC.AC.Elec</t>
  </si>
  <si>
    <t>FEC.ktoe.NL.Ser.Bld.Thermal.HW.Solids.Solids</t>
  </si>
  <si>
    <t>FEC.ktoe.NL.Ser.Bld.Thermal.HW.LPG.LPG</t>
  </si>
  <si>
    <t>FEC.ktoe.NL.Ser.Bld.Thermal.HW.Oil.Oil_LiqBio</t>
  </si>
  <si>
    <t>FEC.ktoe.NL.Ser.Bld.Thermal.HW.Gas.NG_Biogas</t>
  </si>
  <si>
    <t>FEC.ktoe.NL.Ser.Bld.Thermal.HW.Biomass.Biomass_Waste</t>
  </si>
  <si>
    <t>FEC.ktoe.NL.Ser.Bld.Thermal.HW.DistrHeat.Steam_Distr</t>
  </si>
  <si>
    <t>FEC.ktoe.NL.Ser.Bld.Thermal.HW.Elc.Elec</t>
  </si>
  <si>
    <t>FEC.ktoe.NL.Ser.Bld.Thermal.HW.TotalSolar.Solar</t>
  </si>
  <si>
    <t>FEC.ktoe.NL.Ser.Bld.Thermal.CA.LPG</t>
  </si>
  <si>
    <t>FEC.ktoe.NL.Ser.Bld.Thermal.CA.Gas.NG_Biogas</t>
  </si>
  <si>
    <t>FEC.ktoe.NL.Ser.Bld.Thermal.CA.Biomass.Biomass_Waste</t>
  </si>
  <si>
    <t>FEC.ktoe.NL.Ser.Bld.Thermal.CA.Elc.Elec</t>
  </si>
  <si>
    <t>NL - Thermal energy service</t>
  </si>
  <si>
    <t>TES.ktoe.NL.Ser.Bld.Thermal</t>
  </si>
  <si>
    <t>TES.ktoe.NL.Ser.Bld.Thermal.SH</t>
  </si>
  <si>
    <t>TES.ktoe.NL.Ser.Bld.Thermal.SH.Solids.Solids</t>
  </si>
  <si>
    <t>TES.ktoe.NL.Ser.Bld.Thermal.SH.LPG.LPG</t>
  </si>
  <si>
    <t>TES.ktoe.NL.Ser.Bld.Thermal.SH.Oil.Oil_LiqBio</t>
  </si>
  <si>
    <t>TES.ktoe.NL.Ser.Bld.Thermal.SH.GasHP.NG_Biogas</t>
  </si>
  <si>
    <t>TES.ktoe.NL.Ser.Bld.Thermal.SH.GasTH.NG_Biogas</t>
  </si>
  <si>
    <t>TES.ktoe.NL.Ser.Bld.Thermal.SH.Biomass.Biomass_Waste</t>
  </si>
  <si>
    <t>TES.ktoe.NL.Ser.Bld.Thermal.SH.Geo.Geo</t>
  </si>
  <si>
    <t>TES.ktoe.NL.Ser.Bld.Thermal.SH.DistrHeat.Steam_Distr</t>
  </si>
  <si>
    <t>TES.ktoe.NL.Ser.Bld.Thermal.SH.AdvElc.Elec</t>
  </si>
  <si>
    <t>TES.ktoe.NL.Ser.Bld.Thermal.SH.ConvElc.Elec</t>
  </si>
  <si>
    <t>TES.ktoe.NL.Ser.Bld.Thermal.SH.TotalCirculation.Elec</t>
  </si>
  <si>
    <t>TES.ktoe.NL.Ser.Bld.Thermal.SC</t>
  </si>
  <si>
    <t>TES.ktoe.NL.Ser.Bld.Thermal.SC.GasHP.NG_Biogas</t>
  </si>
  <si>
    <t>TES.ktoe.NL.Ser.Bld.Thermal.SC.AC.Elec</t>
  </si>
  <si>
    <t>TES.ktoe.NL.Ser.Bld.Thermal.HW</t>
  </si>
  <si>
    <t>TES.ktoe.NL.Ser.Bld.Thermal.HW.Solids.Solids</t>
  </si>
  <si>
    <t>TES.ktoe.NL.Ser.Bld.Thermal.HW.LPG.LPG</t>
  </si>
  <si>
    <t>TES.ktoe.NL.Ser.Bld.Thermal.HW.Oil.Oil_LiqBio</t>
  </si>
  <si>
    <t>TES.ktoe.NL.Ser.Bld.Thermal.HW.Gas.NG_Biogas</t>
  </si>
  <si>
    <t>TES.ktoe.NL.Ser.Bld.Thermal.HW.Biomass.Biomass_Waste</t>
  </si>
  <si>
    <t>TES.ktoe.NL.Ser.Bld.Thermal.HW.DistrHeat.Steam_Distr</t>
  </si>
  <si>
    <t>TES.ktoe.NL.Ser.Bld.Thermal.HW.Elc.Elec</t>
  </si>
  <si>
    <t>TES.ktoe.NL.Ser.Bld.Thermal.HW.TotalSolar.Solar</t>
  </si>
  <si>
    <t>TES.ktoe.NL.Ser.Bld.Thermal.CA</t>
  </si>
  <si>
    <t>TES.ktoe.NL.Ser.Bld.Thermal.CA.LPG</t>
  </si>
  <si>
    <t>TES.ktoe.NL.Ser.Bld.Thermal.CA.Gas.NG_Biogas</t>
  </si>
  <si>
    <t>TES.ktoe.NL.Ser.Bld.Thermal.CA.Biomass.Biomass_Waste</t>
  </si>
  <si>
    <t>TES.ktoe.NL.Ser.Bld.Thermal.CA.Elc.Elec</t>
  </si>
  <si>
    <t>NL - System efficiency indicator of total stock</t>
  </si>
  <si>
    <t>Eff.ratio.NL.Ser.Bld.Thermal.SH.Solids.Solids</t>
  </si>
  <si>
    <t>Eff.ratio.NL.Ser.Bld.Thermal.SH.LPG.LPG</t>
  </si>
  <si>
    <t>Eff.ratio.NL.Ser.Bld.Thermal.SH.Oil.Oil_LiqBio</t>
  </si>
  <si>
    <t>Eff.ratio.NL.Ser.Bld.Thermal.SH.GasHP.NG_Biogas</t>
  </si>
  <si>
    <t>Eff.ratio.NL.Ser.Bld.Thermal.SH.GasTH.NG_Biogas</t>
  </si>
  <si>
    <t>Eff.ratio.NL.Ser.Bld.Thermal.SH.Biomass.Biomass_Waste</t>
  </si>
  <si>
    <t>Eff.ratio.NL.Ser.Bld.Thermal.SH.Geo.Geo</t>
  </si>
  <si>
    <t>Eff.ratio.NL.Ser.Bld.Thermal.SH.DistrHeat.Steam_Distr</t>
  </si>
  <si>
    <t>Eff.ratio.NL.Ser.Bld.Thermal.SH.AdvElc.Elec</t>
  </si>
  <si>
    <t>Eff.ratio.NL.Ser.Bld.Thermal.SH.ConvElc.Elec</t>
  </si>
  <si>
    <t>Eff.ratio.NL.Ser.Bld.Thermal.SH.TotalCirculation.Elec</t>
  </si>
  <si>
    <t>Eff.ratio.NL.Ser.Bld.Thermal.SC.GasHP.NG_Biogas</t>
  </si>
  <si>
    <t>Eff.ratio.NL.Ser.Bld.Thermal.SC.AC.Elec</t>
  </si>
  <si>
    <t>Eff.ratio.NL.Ser.Bld.Thermal.HW.Solids.Solids</t>
  </si>
  <si>
    <t>Eff.ratio.NL.Ser.Bld.Thermal.HW.LPG.LPG</t>
  </si>
  <si>
    <t>Eff.ratio.NL.Ser.Bld.Thermal.HW.Oil.Oil_LiqBio</t>
  </si>
  <si>
    <t>Eff.ratio.NL.Ser.Bld.Thermal.HW.Gas.NG_Biogas</t>
  </si>
  <si>
    <t>Eff.ratio.NL.Ser.Bld.Thermal.HW.Biomass.Biomass_Waste</t>
  </si>
  <si>
    <t>Eff.ratio.NL.Ser.Bld.Thermal.HW.DistrHeat.Steam_Distr</t>
  </si>
  <si>
    <t>Eff.ratio.NL.Ser.Bld.Thermal.HW.Elc.Elec</t>
  </si>
  <si>
    <t>Eff.ratio.NL.Ser.Bld.Thermal.HW.TotalSolar.Solar</t>
  </si>
  <si>
    <t>Eff.ratio.NL.Ser.Bld.Thermal.CA.LPG</t>
  </si>
  <si>
    <t>Eff.ratio.NL.Ser.Bld.Thermal.CA.Gas.NG_Biogas</t>
  </si>
  <si>
    <t>Eff.ratio.NL.Ser.Bld.Thermal.CA.Biomass.Biomass_Waste</t>
  </si>
  <si>
    <t>Eff.ratio.NL.Ser.Bld.Thermal.CA.Elc.Elec</t>
  </si>
  <si>
    <t>NL - CO2 emissions</t>
  </si>
  <si>
    <t>EMI.ktCO2.NL.Ser.Bld.Thermal.SH.Solids.Solids</t>
  </si>
  <si>
    <t>EMI.ktCO2.NL.Ser.Bld.Thermal.SH.LPG.LPG</t>
  </si>
  <si>
    <t>EMI.ktCO2.NL.Ser.Bld.Thermal.SH.Oil.Oil_LiqBio</t>
  </si>
  <si>
    <t>EMI.ktCO2.NL.Ser.Bld.Thermal.SH.GasHP.NG_Biogas</t>
  </si>
  <si>
    <t>EMI.ktCO2.NL.Ser.Bld.Thermal.SH.GasTH.NG_Biogas</t>
  </si>
  <si>
    <t>EMI.ktCO2.NL.Ser.Bld.Thermal.SH.Biomass.Biomass_Waste</t>
  </si>
  <si>
    <t>EMI.ktCO2.NL.Ser.Bld.Thermal.SH.Geo.Geo</t>
  </si>
  <si>
    <t>EMI.ktCO2.NL.Ser.Bld.Thermal.SH.DistrHeat.Steam_Distr</t>
  </si>
  <si>
    <t>EMI.ktCO2.NL.Ser.Bld.Thermal.SH.AdvElc.Elec</t>
  </si>
  <si>
    <t>EMI.ktCO2.NL.Ser.Bld.Thermal.SH.ConvElc.Elec</t>
  </si>
  <si>
    <t>EMI.ktCO2.NL.Ser.Bld.Thermal.SH.TotalCirculation.Elec</t>
  </si>
  <si>
    <t>EMI.ktCO2.NL.Ser.Bld.Thermal.SC.GasHP.NG_Biogas</t>
  </si>
  <si>
    <t>EMI.ktCO2.NL.Ser.Bld.Thermal.SC.AC.Elec</t>
  </si>
  <si>
    <t>EMI.ktCO2.NL.Ser.Bld.Thermal.HW.Solids.Solids</t>
  </si>
  <si>
    <t>EMI.ktCO2.NL.Ser.Bld.Thermal.HW.LPG.LPG</t>
  </si>
  <si>
    <t>EMI.ktCO2.NL.Ser.Bld.Thermal.HW.Oil.Oil_LiqBio</t>
  </si>
  <si>
    <t>EMI.ktCO2.NL.Ser.Bld.Thermal.HW.Gas.NG_Biogas</t>
  </si>
  <si>
    <t>EMI.ktCO2.NL.Ser.Bld.Thermal.HW.Biomass.Biomass_Waste</t>
  </si>
  <si>
    <t>EMI.ktCO2.NL.Ser.Bld.Thermal.HW.DistrHeat.Steam_Distr</t>
  </si>
  <si>
    <t>EMI.ktCO2.NL.Ser.Bld.Thermal.HW.Elc.Elec</t>
  </si>
  <si>
    <t>EMI.ktCO2.NL.Ser.Bld.Thermal.HW.TotalSolar.Solar</t>
  </si>
  <si>
    <t>EMI.ktCO2.NL.Ser.Bld.Thermal.CA.LPG</t>
  </si>
  <si>
    <t>EMI.ktCO2.NL.Ser.Bld.Thermal.CA.Gas.NG_Biogas</t>
  </si>
  <si>
    <t>EMI.ktCO2.NL.Ser.Bld.Thermal.CA.Biomass.Biomass_Waste</t>
  </si>
  <si>
    <t>EMI.ktCO2.NL.Ser.Bld.Thermal.CA.Elc.Elec</t>
  </si>
  <si>
    <t>NL - Final energy consumption per building</t>
  </si>
  <si>
    <t>FEC_per_building.kWh.NL.Ser.Bld.Thermal</t>
  </si>
  <si>
    <t>FEC_per_building.kWh.NL.Ser.Bld.Thermal.SH</t>
  </si>
  <si>
    <t>FEC_per_building.kWh.NL.Ser.Bld.Thermal.SH.Solids.Solids</t>
  </si>
  <si>
    <t>FEC_per_building.kWh.NL.Ser.Bld.Thermal.SH.LPG.LPG</t>
  </si>
  <si>
    <t>FEC_per_building.kWh.NL.Ser.Bld.Thermal.SH.Oil.Oil_LiqBio</t>
  </si>
  <si>
    <t>FEC_per_building.kWh.NL.Ser.Bld.Thermal.SH.GasHP.NG_Biogas</t>
  </si>
  <si>
    <t>FEC_per_building.kWh.NL.Ser.Bld.Thermal.SH.GasTH.NG_Biogas</t>
  </si>
  <si>
    <t>FEC_per_building.kWh.NL.Ser.Bld.Thermal.SH.Biomass.Biomass_Waste</t>
  </si>
  <si>
    <t>FEC_per_building.kWh.NL.Ser.Bld.Thermal.SH.Geo.Geo</t>
  </si>
  <si>
    <t>FEC_per_building.kWh.NL.Ser.Bld.Thermal.SH.DistrHeat.Steam_Distr</t>
  </si>
  <si>
    <t>FEC_per_building.kWh.NL.Ser.Bld.Thermal.SH.AdvElc.Elec</t>
  </si>
  <si>
    <t>FEC_per_building.kWh.NL.Ser.Bld.Thermal.SH.ConvElc.Elec</t>
  </si>
  <si>
    <t>FEC_per_building.kWh.NL.Ser.Bld.Thermal.SH.TotalCirculation.Elec</t>
  </si>
  <si>
    <t>FEC_per_building.kWh.NL.Ser.Bld.Thermal.SC</t>
  </si>
  <si>
    <t>FEC_per_building.kWh.NL.Ser.Bld.Thermal.SC.GasHP.NG_Biogas</t>
  </si>
  <si>
    <t>FEC_per_building.kWh.NL.Ser.Bld.Thermal.SC.AC.Elec</t>
  </si>
  <si>
    <t>FEC_per_building.kWh.NL.Ser.Bld.Thermal.HW</t>
  </si>
  <si>
    <t>FEC_per_building.kWh.NL.Ser.Bld.Thermal.HW.Solids.Solids</t>
  </si>
  <si>
    <t>FEC_per_building.kWh.NL.Ser.Bld.Thermal.HW.LPG.LPG</t>
  </si>
  <si>
    <t>FEC_per_building.kWh.NL.Ser.Bld.Thermal.HW.Oil.Oil_LiqBio</t>
  </si>
  <si>
    <t>FEC_per_building.kWh.NL.Ser.Bld.Thermal.HW.Gas.NG_Biogas</t>
  </si>
  <si>
    <t>FEC_per_building.kWh.NL.Ser.Bld.Thermal.HW.Biomass.Biomass_Waste</t>
  </si>
  <si>
    <t>FEC_per_building.kWh.NL.Ser.Bld.Thermal.HW.DistrHeat.Steam_Distr</t>
  </si>
  <si>
    <t>FEC_per_building.kWh.NL.Ser.Bld.Thermal.HW.Elc.Elec</t>
  </si>
  <si>
    <t>FEC_per_building.kWh.NL.Ser.Bld.Thermal.HW.TotalSolar.Solar</t>
  </si>
  <si>
    <t>FEC_per_building.kWh.NL.Ser.Bld.Thermal.CA</t>
  </si>
  <si>
    <t>FEC_per_building.kWh.NL.Ser.Bld.Thermal.CA.LPG</t>
  </si>
  <si>
    <t>FEC_per_building.kWh.NL.Ser.Bld.Thermal.CA.Gas.NG_Biogas</t>
  </si>
  <si>
    <t>FEC_per_building.kWh.NL.Ser.Bld.Thermal.CA.Biomass.Biomass_Waste</t>
  </si>
  <si>
    <t>FEC_per_building.kWh.NL.Ser.Bld.Thermal.CA.Elc.Elec</t>
  </si>
  <si>
    <t>NL - Thermal energy service per building</t>
  </si>
  <si>
    <t>TES_per_building.kWh.NL.Ser.Bld.Thermal</t>
  </si>
  <si>
    <t>TES_per_building.kWh.NL.Ser.Bld.Thermal.SH</t>
  </si>
  <si>
    <t>TES_per_building.kWh.NL.Ser.Bld.Thermal.SH.Solids.Solids</t>
  </si>
  <si>
    <t>TES_per_building.kWh.NL.Ser.Bld.Thermal.SH.LPG.LPG</t>
  </si>
  <si>
    <t>TES_per_building.kWh.NL.Ser.Bld.Thermal.SH.Oil.Oil_LiqBio</t>
  </si>
  <si>
    <t>TES_per_building.kWh.NL.Ser.Bld.Thermal.SH.GasHP.NG_Biogas</t>
  </si>
  <si>
    <t>TES_per_building.kWh.NL.Ser.Bld.Thermal.SH.GasTH.NG_Biogas</t>
  </si>
  <si>
    <t>TES_per_building.kWh.NL.Ser.Bld.Thermal.SH.Biomass.Biomass_Waste</t>
  </si>
  <si>
    <t>TES_per_building.kWh.NL.Ser.Bld.Thermal.SH.Geo.Geo</t>
  </si>
  <si>
    <t>TES_per_building.kWh.NL.Ser.Bld.Thermal.SH.DistrHeat.Steam_Distr</t>
  </si>
  <si>
    <t>TES_per_building.kWh.NL.Ser.Bld.Thermal.SH.AdvElc.Elec</t>
  </si>
  <si>
    <t>TES_per_building.kWh.NL.Ser.Bld.Thermal.SH.ConvElc.Elec</t>
  </si>
  <si>
    <t>TES_per_building.kWh.NL.Ser.Bld.Thermal.SH.TotalCirculation.Elec</t>
  </si>
  <si>
    <t>TES_per_building.kWh.NL.Ser.Bld.Thermal.SC</t>
  </si>
  <si>
    <t>TES_per_building.kWh.NL.Ser.Bld.Thermal.SC.GasHP.NG_Biogas</t>
  </si>
  <si>
    <t>TES_per_building.kWh.NL.Ser.Bld.Thermal.SC.AC.Elec</t>
  </si>
  <si>
    <t>TES_per_building.kWh.NL.Ser.Bld.Thermal.HW</t>
  </si>
  <si>
    <t>TES_per_building.kWh.NL.Ser.Bld.Thermal.HW.Solids.Solids</t>
  </si>
  <si>
    <t>TES_per_building.kWh.NL.Ser.Bld.Thermal.HW.LPG.LPG</t>
  </si>
  <si>
    <t>TES_per_building.kWh.NL.Ser.Bld.Thermal.HW.Oil.Oil_LiqBio</t>
  </si>
  <si>
    <t>TES_per_building.kWh.NL.Ser.Bld.Thermal.HW.Gas.NG_Biogas</t>
  </si>
  <si>
    <t>TES_per_building.kWh.NL.Ser.Bld.Thermal.HW.Biomass.Biomass_Waste</t>
  </si>
  <si>
    <t>TES_per_building.kWh.NL.Ser.Bld.Thermal.HW.DistrHeat.Steam_Distr</t>
  </si>
  <si>
    <t>TES_per_building.kWh.NL.Ser.Bld.Thermal.HW.Elc.Elec</t>
  </si>
  <si>
    <t>TES_per_building.kWh.NL.Ser.Bld.Thermal.HW.TotalSolar.Solar</t>
  </si>
  <si>
    <t>TES_per_building.kWh.NL.Ser.Bld.Thermal.CA</t>
  </si>
  <si>
    <t>TES_per_building.kWh.NL.Ser.Bld.Thermal.CA.LPG</t>
  </si>
  <si>
    <t>TES_per_building.kWh.NL.Ser.Bld.Thermal.CA.Gas.NG_Biogas</t>
  </si>
  <si>
    <t>TES_per_building.kWh.NL.Ser.Bld.Thermal.CA.Biomass.Biomass_Waste</t>
  </si>
  <si>
    <t>TES_per_building.kWh.NL.Ser.Bld.Thermal.CA.Elc.Elec</t>
  </si>
  <si>
    <t>NL - CO2 emissions per building</t>
  </si>
  <si>
    <t>EMI_per_building.kgCO2.NL.Ser.Bld.Thermal</t>
  </si>
  <si>
    <t>EMI_per_building.kgCO2.NL.Ser.Bld.Thermal.SH</t>
  </si>
  <si>
    <t>EMI_per_building.kgCO2.NL.Ser.Bld.Thermal.SH.Solids.Solids</t>
  </si>
  <si>
    <t>EMI_per_building.kgCO2.NL.Ser.Bld.Thermal.SH.LPG.LPG</t>
  </si>
  <si>
    <t>EMI_per_building.kgCO2.NL.Ser.Bld.Thermal.SH.Oil.Oil_LiqBio</t>
  </si>
  <si>
    <t>EMI_per_building.kgCO2.NL.Ser.Bld.Thermal.SH.GasHP.NG_Biogas</t>
  </si>
  <si>
    <t>EMI_per_building.kgCO2.NL.Ser.Bld.Thermal.SH.GasTH.NG_Biogas</t>
  </si>
  <si>
    <t>EMI_per_building.kgCO2.NL.Ser.Bld.Thermal.SH.Biomass.Biomass_Waste</t>
  </si>
  <si>
    <t>EMI_per_building.kgCO2.NL.Ser.Bld.Thermal.SH.Geo.Geo</t>
  </si>
  <si>
    <t>EMI_per_building.kgCO2.NL.Ser.Bld.Thermal.SH.DistrHeat.Steam_Distr</t>
  </si>
  <si>
    <t>EMI_per_building.kgCO2.NL.Ser.Bld.Thermal.SH.AdvElc.Elec</t>
  </si>
  <si>
    <t>EMI_per_building.kgCO2.NL.Ser.Bld.Thermal.SH.ConvElc.Elec</t>
  </si>
  <si>
    <t>EMI_per_building.kgCO2.NL.Ser.Bld.Thermal.SH.TotalCirculation.Elec</t>
  </si>
  <si>
    <t>EMI_per_building.kgCO2.NL.Ser.Bld.Thermal.SC</t>
  </si>
  <si>
    <t>EMI_per_building.kgCO2.NL.Ser.Bld.Thermal.SC.GasHP.NG_Biogas</t>
  </si>
  <si>
    <t>EMI_per_building.kgCO2.NL.Ser.Bld.Thermal.SC.AC.Elec</t>
  </si>
  <si>
    <t>EMI_per_building.kgCO2.NL.Ser.Bld.Thermal.HW</t>
  </si>
  <si>
    <t>EMI_per_building.kgCO2.NL.Ser.Bld.Thermal.HW.Solids.Solids</t>
  </si>
  <si>
    <t>EMI_per_building.kgCO2.NL.Ser.Bld.Thermal.HW.LPG.LPG</t>
  </si>
  <si>
    <t>EMI_per_building.kgCO2.NL.Ser.Bld.Thermal.HW.Oil.Oil_LiqBio</t>
  </si>
  <si>
    <t>EMI_per_building.kgCO2.NL.Ser.Bld.Thermal.HW.Gas.NG_Biogas</t>
  </si>
  <si>
    <t>EMI_per_building.kgCO2.NL.Ser.Bld.Thermal.HW.Biomass.Biomass_Waste</t>
  </si>
  <si>
    <t>EMI_per_building.kgCO2.NL.Ser.Bld.Thermal.HW.DistrHeat.Steam_Distr</t>
  </si>
  <si>
    <t>EMI_per_building.kgCO2.NL.Ser.Bld.Thermal.HW.Elc.Elec</t>
  </si>
  <si>
    <t>EMI_per_building.kgCO2.NL.Ser.Bld.Thermal.HW.TotalSolar.Solar</t>
  </si>
  <si>
    <t>EMI_per_building.kgCO2.NL.Ser.Bld.Thermal.CA</t>
  </si>
  <si>
    <t>EMI_per_building.kgCO2.NL.Ser.Bld.Thermal.CA.LPG</t>
  </si>
  <si>
    <t>EMI_per_building.kgCO2.NL.Ser.Bld.Thermal.CA.Gas.NG_Biogas</t>
  </si>
  <si>
    <t>EMI_per_building.kgCO2.NL.Ser.Bld.Thermal.CA.Biomass.Biomass_Waste</t>
  </si>
  <si>
    <t>EMI_per_building.kgCO2.NL.Ser.Bld.Thermal.CA.Elc.Elec</t>
  </si>
  <si>
    <t>NL - Final energy consumption per useful surface area</t>
  </si>
  <si>
    <t>FEC_per_sqm.kWh.NL.Ser.Bld.Thermal</t>
  </si>
  <si>
    <t>FEC_per_sqm.kWh.NL.Ser.Bld.Thermal.SH</t>
  </si>
  <si>
    <t>FEC_per_sqm.kWh.NL.Ser.Bld.Thermal.SH.Solids.Solids</t>
  </si>
  <si>
    <t>FEC_per_sqm.kWh.NL.Ser.Bld.Thermal.SH.LPG.LPG</t>
  </si>
  <si>
    <t>FEC_per_sqm.kWh.NL.Ser.Bld.Thermal.SH.Oil.Oil_LiqBio</t>
  </si>
  <si>
    <t>FEC_per_sqm.kWh.NL.Ser.Bld.Thermal.SH.GasHP.NG_Biogas</t>
  </si>
  <si>
    <t>FEC_per_sqm.kWh.NL.Ser.Bld.Thermal.SH.GasTH.NG_Biogas</t>
  </si>
  <si>
    <t>FEC_per_sqm.kWh.NL.Ser.Bld.Thermal.SH.Biomass.Biomass_Waste</t>
  </si>
  <si>
    <t>FEC_per_sqm.kWh.NL.Ser.Bld.Thermal.SH.Geo.Geo</t>
  </si>
  <si>
    <t>FEC_per_sqm.kWh.NL.Ser.Bld.Thermal.SH.DistrHeat.Steam_Distr</t>
  </si>
  <si>
    <t>FEC_per_sqm.kWh.NL.Ser.Bld.Thermal.SH.AdvElc.Elec</t>
  </si>
  <si>
    <t>FEC_per_sqm.kWh.NL.Ser.Bld.Thermal.SH.ConvElc.Elec</t>
  </si>
  <si>
    <t>FEC_per_sqm.kWh.NL.Ser.Bld.Thermal.SH.TotalCirculation.Elec</t>
  </si>
  <si>
    <t>FEC_per_sqm.kWh.NL.Ser.Bld.Thermal.SC</t>
  </si>
  <si>
    <t>FEC_per_sqm.kWh.NL.Ser.Bld.Thermal.SC.GasHP.NG_Biogas</t>
  </si>
  <si>
    <t>FEC_per_sqm.kWh.NL.Ser.Bld.Thermal.SC.AC.Elec</t>
  </si>
  <si>
    <t>FEC_per_sqm.kWh.NL.Ser.Bld.Thermal.HW</t>
  </si>
  <si>
    <t>FEC_per_sqm.kWh.NL.Ser.Bld.Thermal.HW.Solids.Solids</t>
  </si>
  <si>
    <t>FEC_per_sqm.kWh.NL.Ser.Bld.Thermal.HW.LPG.LPG</t>
  </si>
  <si>
    <t>FEC_per_sqm.kWh.NL.Ser.Bld.Thermal.HW.Oil.Oil_LiqBio</t>
  </si>
  <si>
    <t>FEC_per_sqm.kWh.NL.Ser.Bld.Thermal.HW.Gas.NG_Biogas</t>
  </si>
  <si>
    <t>FEC_per_sqm.kWh.NL.Ser.Bld.Thermal.HW.Biomass.Biomass_Waste</t>
  </si>
  <si>
    <t>FEC_per_sqm.kWh.NL.Ser.Bld.Thermal.HW.DistrHeat.Steam_Distr</t>
  </si>
  <si>
    <t>FEC_per_sqm.kWh.NL.Ser.Bld.Thermal.HW.Elc.Elec</t>
  </si>
  <si>
    <t>FEC_per_sqm.kWh.NL.Ser.Bld.Thermal.HW.TotalSolar.Solar</t>
  </si>
  <si>
    <t>FEC_per_sqm.kWh.NL.Ser.Bld.Thermal.CA</t>
  </si>
  <si>
    <t>FEC_per_sqm.kWh.NL.Ser.Bld.Thermal.CA.LPG</t>
  </si>
  <si>
    <t>FEC_per_sqm.kWh.NL.Ser.Bld.Thermal.CA.Gas.NG_Biogas</t>
  </si>
  <si>
    <t>FEC_per_sqm.kWh.NL.Ser.Bld.Thermal.CA.Biomass.Biomass_Waste</t>
  </si>
  <si>
    <t>FEC_per_sqm.kWh.NL.Ser.Bld.Thermal.CA.Elc.Elec</t>
  </si>
  <si>
    <t>NL - Thermal energy service per useful surface area</t>
  </si>
  <si>
    <t>TES_per_sqm.kWh.NL.Ser.Bld.Thermal</t>
  </si>
  <si>
    <t>TES_per_sqm.kWh.NL.Ser.Bld.Thermal.SH</t>
  </si>
  <si>
    <t>TES_per_sqm.kWh.NL.Ser.Bld.Thermal.SH.Solids.Solids</t>
  </si>
  <si>
    <t>TES_per_sqm.kWh.NL.Ser.Bld.Thermal.SH.LPG.LPG</t>
  </si>
  <si>
    <t>TES_per_sqm.kWh.NL.Ser.Bld.Thermal.SH.Oil.Oil_LiqBio</t>
  </si>
  <si>
    <t>TES_per_sqm.kWh.NL.Ser.Bld.Thermal.SH.GasHP.NG_Biogas</t>
  </si>
  <si>
    <t>TES_per_sqm.kWh.NL.Ser.Bld.Thermal.SH.GasTH.NG_Biogas</t>
  </si>
  <si>
    <t>TES_per_sqm.kWh.NL.Ser.Bld.Thermal.SH.Biomass.Biomass_Waste</t>
  </si>
  <si>
    <t>TES_per_sqm.kWh.NL.Ser.Bld.Thermal.SH.Geo.Geo</t>
  </si>
  <si>
    <t>TES_per_sqm.kWh.NL.Ser.Bld.Thermal.SH.DistrHeat.Steam_Distr</t>
  </si>
  <si>
    <t>TES_per_sqm.kWh.NL.Ser.Bld.Thermal.SH.AdvElc.Elec</t>
  </si>
  <si>
    <t>TES_per_sqm.kWh.NL.Ser.Bld.Thermal.SH.ConvElc.Elec</t>
  </si>
  <si>
    <t>TES_per_sqm.kWh.NL.Ser.Bld.Thermal.SH.TotalCirculation.Elec</t>
  </si>
  <si>
    <t>TES_per_sqm.kWh.NL.Ser.Bld.Thermal.SC</t>
  </si>
  <si>
    <t>TES_per_sqm.kWh.NL.Ser.Bld.Thermal.SC.GasHP.NG_Biogas</t>
  </si>
  <si>
    <t>TES_per_sqm.kWh.NL.Ser.Bld.Thermal.SC.AC.Elec</t>
  </si>
  <si>
    <t>TES_per_sqm.kWh.NL.Ser.Bld.Thermal.HW</t>
  </si>
  <si>
    <t>TES_per_sqm.kWh.NL.Ser.Bld.Thermal.HW.Solids.Solids</t>
  </si>
  <si>
    <t>TES_per_sqm.kWh.NL.Ser.Bld.Thermal.HW.LPG.LPG</t>
  </si>
  <si>
    <t>TES_per_sqm.kWh.NL.Ser.Bld.Thermal.HW.Oil.Oil_LiqBio</t>
  </si>
  <si>
    <t>TES_per_sqm.kWh.NL.Ser.Bld.Thermal.HW.Gas.NG_Biogas</t>
  </si>
  <si>
    <t>TES_per_sqm.kWh.NL.Ser.Bld.Thermal.HW.Biomass.Biomass_Waste</t>
  </si>
  <si>
    <t>TES_per_sqm.kWh.NL.Ser.Bld.Thermal.HW.DistrHeat.Steam_Distr</t>
  </si>
  <si>
    <t>TES_per_sqm.kWh.NL.Ser.Bld.Thermal.HW.Elc.Elec</t>
  </si>
  <si>
    <t>TES_per_sqm.kWh.NL.Ser.Bld.Thermal.HW.TotalSolar.Solar</t>
  </si>
  <si>
    <t>TES_per_sqm.kWh.NL.Ser.Bld.Thermal.CA</t>
  </si>
  <si>
    <t>TES_per_sqm.kWh.NL.Ser.Bld.Thermal.CA.LPG</t>
  </si>
  <si>
    <t>TES_per_sqm.kWh.NL.Ser.Bld.Thermal.CA.Gas.NG_Biogas</t>
  </si>
  <si>
    <t>TES_per_sqm.kWh.NL.Ser.Bld.Thermal.CA.Biomass.Biomass_Waste</t>
  </si>
  <si>
    <t>TES_per_sqm.kWh.NL.Ser.Bld.Thermal.CA.Elc.Elec</t>
  </si>
  <si>
    <t>NL - CO2 emissions per useful surface area</t>
  </si>
  <si>
    <t>EMI_per_sqm.kgCO2.NL.Ser.Bld.Thermal</t>
  </si>
  <si>
    <t>EMI_per_sqm.kgCO2.NL.Ser.Bld.Thermal.SH</t>
  </si>
  <si>
    <t>EMI_per_sqm.kgCO2.NL.Ser.Bld.Thermal.SH.Solids.Solids</t>
  </si>
  <si>
    <t>EMI_per_sqm.kgCO2.NL.Ser.Bld.Thermal.SH.LPG.LPG</t>
  </si>
  <si>
    <t>EMI_per_sqm.kgCO2.NL.Ser.Bld.Thermal.SH.Oil.Oil_LiqBio</t>
  </si>
  <si>
    <t>EMI_per_sqm.kgCO2.NL.Ser.Bld.Thermal.SH.GasHP.NG_Biogas</t>
  </si>
  <si>
    <t>EMI_per_sqm.kgCO2.NL.Ser.Bld.Thermal.SH.GasTH.NG_Biogas</t>
  </si>
  <si>
    <t>EMI_per_sqm.kgCO2.NL.Ser.Bld.Thermal.SH.Biomass.Biomass_Waste</t>
  </si>
  <si>
    <t>EMI_per_sqm.kgCO2.NL.Ser.Bld.Thermal.SH.Geo.Geo</t>
  </si>
  <si>
    <t>EMI_per_sqm.kgCO2.NL.Ser.Bld.Thermal.SH.DistrHeat.Steam_Distr</t>
  </si>
  <si>
    <t>EMI_per_sqm.kgCO2.NL.Ser.Bld.Thermal.SH.AdvElc.Elec</t>
  </si>
  <si>
    <t>EMI_per_sqm.kgCO2.NL.Ser.Bld.Thermal.SH.ConvElc.Elec</t>
  </si>
  <si>
    <t>EMI_per_sqm.kgCO2.NL.Ser.Bld.Thermal.SH.TotalCirculation.Elec</t>
  </si>
  <si>
    <t>EMI_per_sqm.kgCO2.NL.Ser.Bld.Thermal.SC</t>
  </si>
  <si>
    <t>EMI_per_sqm.kgCO2.NL.Ser.Bld.Thermal.SC.GasHP.NG_Biogas</t>
  </si>
  <si>
    <t>EMI_per_sqm.kgCO2.NL.Ser.Bld.Thermal.SC.AC.Elec</t>
  </si>
  <si>
    <t>EMI_per_sqm.kgCO2.NL.Ser.Bld.Thermal.HW</t>
  </si>
  <si>
    <t>EMI_per_sqm.kgCO2.NL.Ser.Bld.Thermal.HW.Solids.Solids</t>
  </si>
  <si>
    <t>EMI_per_sqm.kgCO2.NL.Ser.Bld.Thermal.HW.LPG.LPG</t>
  </si>
  <si>
    <t>EMI_per_sqm.kgCO2.NL.Ser.Bld.Thermal.HW.Oil.Oil_LiqBio</t>
  </si>
  <si>
    <t>EMI_per_sqm.kgCO2.NL.Ser.Bld.Thermal.HW.Gas.NG_Biogas</t>
  </si>
  <si>
    <t>EMI_per_sqm.kgCO2.NL.Ser.Bld.Thermal.HW.Biomass.Biomass_Waste</t>
  </si>
  <si>
    <t>EMI_per_sqm.kgCO2.NL.Ser.Bld.Thermal.HW.DistrHeat.Steam_Distr</t>
  </si>
  <si>
    <t>EMI_per_sqm.kgCO2.NL.Ser.Bld.Thermal.HW.Elc.Elec</t>
  </si>
  <si>
    <t>EMI_per_sqm.kgCO2.NL.Ser.Bld.Thermal.HW.TotalSolar.Solar</t>
  </si>
  <si>
    <t>EMI_per_sqm.kgCO2.NL.Ser.Bld.Thermal.CA</t>
  </si>
  <si>
    <t>EMI_per_sqm.kgCO2.NL.Ser.Bld.Thermal.CA.LPG</t>
  </si>
  <si>
    <t>EMI_per_sqm.kgCO2.NL.Ser.Bld.Thermal.CA.Gas.NG_Biogas</t>
  </si>
  <si>
    <t>EMI_per_sqm.kgCO2.NL.Ser.Bld.Thermal.CA.Biomass.Biomass_Waste</t>
  </si>
  <si>
    <t>EMI_per_sqm.kgCO2.NL.Ser.Bld.Thermal.CA.Elc.Elec</t>
  </si>
  <si>
    <t>NL - Number of new and renovated buildings</t>
  </si>
  <si>
    <t>NUM.number.NL.Ser.BldNew.Thermal</t>
  </si>
  <si>
    <t>NUM.number.NL.Ser.BldNew.Thermal.SH</t>
  </si>
  <si>
    <t>NUM.number.NL.Ser.BldNew.Thermal.SH.Solids</t>
  </si>
  <si>
    <t>NUM.number.NL.Ser.BldNew.Thermal.SH.LPG</t>
  </si>
  <si>
    <t>NUM.number.NL.Ser.BldNew.Thermal.SH.Oil</t>
  </si>
  <si>
    <t>NUM.number.NL.Ser.BldNew.Thermal.SH.GasHP</t>
  </si>
  <si>
    <t>NUM.number.NL.Ser.BldNew.Thermal.SH.GasTH</t>
  </si>
  <si>
    <t>NUM.number.NL.Ser.BldNew.Thermal.SH.Biomass</t>
  </si>
  <si>
    <t>NUM.number.NL.Ser.BldNew.Thermal.SH.Geo</t>
  </si>
  <si>
    <t>NUM.number.NL.Ser.BldNew.Thermal.SH.DistrHeat</t>
  </si>
  <si>
    <t>NUM.number.NL.Ser.BldNew.Thermal.SH.AdvElc</t>
  </si>
  <si>
    <t>NUM.number.NL.Ser.BldNew.Thermal.SH.ConvElc</t>
  </si>
  <si>
    <t>NUM.number.NL.Ser.BldNew.Thermal.SC</t>
  </si>
  <si>
    <t>NUM.number.NL.Ser.BldNew.Thermal.SC.GasHP</t>
  </si>
  <si>
    <t>NUM.number.NL.Ser.BldNew.Thermal.SC.AC</t>
  </si>
  <si>
    <t>NUM.number.NL.Ser.BldNew.Thermal.HW</t>
  </si>
  <si>
    <t>NUM.number.NL.Ser.BldNew.Thermal.HW.Solids</t>
  </si>
  <si>
    <t>NUM.number.NL.Ser.BldNew.Thermal.HW.LPG</t>
  </si>
  <si>
    <t>NUM.number.NL.Ser.BldNew.Thermal.HW.Oil</t>
  </si>
  <si>
    <t>NUM.number.NL.Ser.BldNew.Thermal.HW.Gas</t>
  </si>
  <si>
    <t>NUM.number.NL.Ser.BldNew.Thermal.HW.Biomass</t>
  </si>
  <si>
    <t>NUM.number.NL.Ser.BldNew.Thermal.HW.DistrHeat</t>
  </si>
  <si>
    <t>NUM.number.NL.Ser.BldNew.Thermal.HW.Elc</t>
  </si>
  <si>
    <t>NUM.number.NL.Ser.BldNew.Thermal.HW.Solar</t>
  </si>
  <si>
    <t>NUM.number.NL.Ser.BldNew.Thermal.CA</t>
  </si>
  <si>
    <t>NUM.number.NL.Ser.BldNew.Thermal.CA.LPG</t>
  </si>
  <si>
    <t>NUM.number.NL.Ser.BldNew.Thermal.CA.Gas</t>
  </si>
  <si>
    <t>NUM.number.NL.Ser.BldNew.Thermal.CA.Biomass</t>
  </si>
  <si>
    <t>NUM.number.NL.Ser.BldNew.Thermal.CA.Elc</t>
  </si>
  <si>
    <t>NL - Final energy consumption in new and renovated buildings</t>
  </si>
  <si>
    <t>FEC.ktoe.NL.Ser.BldNew.Thermal</t>
  </si>
  <si>
    <t>FEC.ktoe.NL.Ser.BldNew.Thermal.SH</t>
  </si>
  <si>
    <t>FEC.ktoe.NL.Ser.BldNew.Thermal.SH.Solids.Solids</t>
  </si>
  <si>
    <t>FEC.ktoe.NL.Ser.BldNew.Thermal.SH.LPG.LPG</t>
  </si>
  <si>
    <t>FEC.ktoe.NL.Ser.BldNew.Thermal.SH.Oil.Oil_LiqBio</t>
  </si>
  <si>
    <t>FEC.ktoe.NL.Ser.BldNew.Thermal.SH.GasHP.NG_Biogas</t>
  </si>
  <si>
    <t>FEC.ktoe.NL.Ser.BldNew.Thermal.SH.GasTH.NG_Biogas</t>
  </si>
  <si>
    <t>FEC.ktoe.NL.Ser.BldNew.Thermal.SH.Biomass.Biomass_Waste</t>
  </si>
  <si>
    <t>FEC.ktoe.NL.Ser.BldNew.Thermal.SH.Geo.Geo</t>
  </si>
  <si>
    <t>FEC.ktoe.NL.Ser.BldNew.Thermal.SH.DistrHeat.Steam_Distr</t>
  </si>
  <si>
    <t>FEC.ktoe.NL.Ser.BldNew.Thermal.SH.AdvElc.Elec</t>
  </si>
  <si>
    <t>FEC.ktoe.NL.Ser.BldNew.Thermal.SH.ConvElc.Elec</t>
  </si>
  <si>
    <t>FEC.ktoe.NL.Ser.BldNew.Thermal.SH.TotalCirculation.Elec</t>
  </si>
  <si>
    <t>FEC.ktoe.NL.Ser.BldNew.Thermal.SC</t>
  </si>
  <si>
    <t>FEC.ktoe.NL.Ser.BldNew.Thermal.SC.GasHP.NG_Biogas</t>
  </si>
  <si>
    <t>FEC.ktoe.NL.Ser.BldNew.Thermal.SC.AC.Elec</t>
  </si>
  <si>
    <t>FEC.ktoe.NL.Ser.BldNew.Thermal.HW</t>
  </si>
  <si>
    <t>FEC.ktoe.NL.Ser.BldNew.Thermal.HW.Solids.Solids</t>
  </si>
  <si>
    <t>FEC.ktoe.NL.Ser.BldNew.Thermal.HW.LPG.LPG</t>
  </si>
  <si>
    <t>FEC.ktoe.NL.Ser.BldNew.Thermal.HW.Oil.Oil_LiqBio</t>
  </si>
  <si>
    <t>FEC.ktoe.NL.Ser.BldNew.Thermal.HW.Gas.NG_Biogas</t>
  </si>
  <si>
    <t>FEC.ktoe.NL.Ser.BldNew.Thermal.HW.Biomass.Biomass_Waste</t>
  </si>
  <si>
    <t>FEC.ktoe.NL.Ser.BldNew.Thermal.HW.DistrHeat.Steam_Distr</t>
  </si>
  <si>
    <t>FEC.ktoe.NL.Ser.BldNew.Thermal.HW.Elc.Elec</t>
  </si>
  <si>
    <t>FEC.ktoe.NL.Ser.BldNew.Thermal.HW.TotalSolar.Solar</t>
  </si>
  <si>
    <t>FEC.ktoe.NL.Ser.BldNew.Thermal.CA</t>
  </si>
  <si>
    <t>FEC.ktoe.NL.Ser.BldNew.Thermal.CA.LPG</t>
  </si>
  <si>
    <t>FEC.ktoe.NL.Ser.BldNew.Thermal.CA.Gas.NG_Biogas</t>
  </si>
  <si>
    <t>FEC.ktoe.NL.Ser.BldNew.Thermal.CA.Biomass.Biomass_Waste</t>
  </si>
  <si>
    <t>FEC.ktoe.NL.Ser.BldNew.Thermal.CA.Elc.Elec</t>
  </si>
  <si>
    <t>NL - Thermal energy service in new and renovated buildings</t>
  </si>
  <si>
    <t>TES.ktoe.NL.Ser.BldNew.Thermal</t>
  </si>
  <si>
    <t>TES.ktoe.NL.Ser.BldNew.Thermal.SH</t>
  </si>
  <si>
    <t>TES.ktoe.NL.Ser.BldNew.Thermal.SH.Solids.Solids</t>
  </si>
  <si>
    <t>TES.ktoe.NL.Ser.BldNew.Thermal.SH.LPG.LPG</t>
  </si>
  <si>
    <t>TES.ktoe.NL.Ser.BldNew.Thermal.SH.Oil.Oil_LiqBio</t>
  </si>
  <si>
    <t>TES.ktoe.NL.Ser.BldNew.Thermal.SH.GasHP.NG_Biogas</t>
  </si>
  <si>
    <t>TES.ktoe.NL.Ser.BldNew.Thermal.SH.GasTH.NG_Biogas</t>
  </si>
  <si>
    <t>TES.ktoe.NL.Ser.BldNew.Thermal.SH.Biomass.Biomass_Waste</t>
  </si>
  <si>
    <t>TES.ktoe.NL.Ser.BldNew.Thermal.SH.Geo.Geo</t>
  </si>
  <si>
    <t>TES.ktoe.NL.Ser.BldNew.Thermal.SH.DistrHeat.Steam_Distr</t>
  </si>
  <si>
    <t>TES.ktoe.NL.Ser.BldNew.Thermal.SH.AdvElc.Elec</t>
  </si>
  <si>
    <t>TES.ktoe.NL.Ser.BldNew.Thermal.SH.ConvElc.Elec</t>
  </si>
  <si>
    <t>TES.ktoe.NL.Ser.BldNew.Thermal.SH.TotalCirculation.Elec</t>
  </si>
  <si>
    <t>TES.ktoe.NL.Ser.BldNew.Thermal.SC</t>
  </si>
  <si>
    <t>TES.ktoe.NL.Ser.BldNew.Thermal.SC.GasHP.NG_Biogas</t>
  </si>
  <si>
    <t>TES.ktoe.NL.Ser.BldNew.Thermal.SC.AC.Elec</t>
  </si>
  <si>
    <t>TES.ktoe.NL.Ser.BldNew.Thermal.HW</t>
  </si>
  <si>
    <t>TES.ktoe.NL.Ser.BldNew.Thermal.HW.Solids.Solids</t>
  </si>
  <si>
    <t>TES.ktoe.NL.Ser.BldNew.Thermal.HW.LPG.LPG</t>
  </si>
  <si>
    <t>TES.ktoe.NL.Ser.BldNew.Thermal.HW.Oil.Oil_LiqBio</t>
  </si>
  <si>
    <t>TES.ktoe.NL.Ser.BldNew.Thermal.HW.Gas.NG_Biogas</t>
  </si>
  <si>
    <t>TES.ktoe.NL.Ser.BldNew.Thermal.HW.Biomass.Biomass_Waste</t>
  </si>
  <si>
    <t>TES.ktoe.NL.Ser.BldNew.Thermal.HW.DistrHeat.Steam_Distr</t>
  </si>
  <si>
    <t>TES.ktoe.NL.Ser.BldNew.Thermal.HW.Elc.Elec</t>
  </si>
  <si>
    <t>TES.ktoe.NL.Ser.BldNew.Thermal.HW.TotalSolar.Solar</t>
  </si>
  <si>
    <t>TES.ktoe.NL.Ser.BldNew.Thermal.CA</t>
  </si>
  <si>
    <t>TES.ktoe.NL.Ser.BldNew.Thermal.CA.LPG</t>
  </si>
  <si>
    <t>TES.ktoe.NL.Ser.BldNew.Thermal.CA.Gas.NG_Biogas</t>
  </si>
  <si>
    <t>TES.ktoe.NL.Ser.BldNew.Thermal.CA.Biomass.Biomass_Waste</t>
  </si>
  <si>
    <t>TES.ktoe.NL.Ser.BldNew.Thermal.CA.Elc.Elec</t>
  </si>
  <si>
    <t>NL - System efficiency indicator of new and renovated buildings</t>
  </si>
  <si>
    <t>Eff.ratio.NL.Ser.BldNew.Thermal</t>
  </si>
  <si>
    <t>Eff.ratio.NL.Ser.BldNew.Thermal.SH</t>
  </si>
  <si>
    <t>Eff.ratio.NL.Ser.BldNew.Thermal.SH.Solids.Solids</t>
  </si>
  <si>
    <t>Eff.ratio.NL.Ser.BldNew.Thermal.SH.LPG.LPG</t>
  </si>
  <si>
    <t>Eff.ratio.NL.Ser.BldNew.Thermal.SH.Oil.Oil_LiqBio</t>
  </si>
  <si>
    <t>Eff.ratio.NL.Ser.BldNew.Thermal.SH.GasHP.NG_Biogas</t>
  </si>
  <si>
    <t>Eff.ratio.NL.Ser.BldNew.Thermal.SH.GasTH.NG_Biogas</t>
  </si>
  <si>
    <t>Eff.ratio.NL.Ser.BldNew.Thermal.SH.Biomass.Biomass_Waste</t>
  </si>
  <si>
    <t>Eff.ratio.NL.Ser.BldNew.Thermal.SH.Geo.Geo</t>
  </si>
  <si>
    <t>Eff.ratio.NL.Ser.BldNew.Thermal.SH.DistrHeat.Steam_Distr</t>
  </si>
  <si>
    <t>Eff.ratio.NL.Ser.BldNew.Thermal.SH.AdvElc.Elec</t>
  </si>
  <si>
    <t>Eff.ratio.NL.Ser.BldNew.Thermal.SH.ConvElc.Elec</t>
  </si>
  <si>
    <t>Eff.ratio.NL.Ser.BldNew.Thermal.SH.TotalCirculation.Elec</t>
  </si>
  <si>
    <t>Eff.ratio.NL.Ser.BldNew.Thermal.SC</t>
  </si>
  <si>
    <t>Eff.ratio.NL.Ser.BldNew.Thermal.SC.GasHP.NG_Biogas</t>
  </si>
  <si>
    <t>Eff.ratio.NL.Ser.BldNew.Thermal.SC.AC.Elec</t>
  </si>
  <si>
    <t>Eff.ratio.NL.Ser.BldNew.Thermal.HW</t>
  </si>
  <si>
    <t>Eff.ratio.NL.Ser.BldNew.Thermal.HW.Solids.Solids</t>
  </si>
  <si>
    <t>Eff.ratio.NL.Ser.BldNew.Thermal.HW.LPG.LPG</t>
  </si>
  <si>
    <t>Eff.ratio.NL.Ser.BldNew.Thermal.HW.Oil.Oil_LiqBio</t>
  </si>
  <si>
    <t>Eff.ratio.NL.Ser.BldNew.Thermal.HW.Gas.NG_Biogas</t>
  </si>
  <si>
    <t>Eff.ratio.NL.Ser.BldNew.Thermal.HW.Biomass.Biomass_Waste</t>
  </si>
  <si>
    <t>Eff.ratio.NL.Ser.BldNew.Thermal.HW.DistrHeat.Steam_Distr</t>
  </si>
  <si>
    <t>Eff.ratio.NL.Ser.BldNew.Thermal.HW.Elc.Elec</t>
  </si>
  <si>
    <t>Eff.ratio.NL.Ser.BldNew.Thermal.HW.TotalSolar.Solar</t>
  </si>
  <si>
    <t>Eff.ratio.NL.Ser.BldNew.Thermal.CA</t>
  </si>
  <si>
    <t>Eff.ratio.NL.Ser.BldNew.Thermal.CA.LPG</t>
  </si>
  <si>
    <t>Eff.ratio.NL.Ser.BldNew.Thermal.CA.Gas.NG_Biogas</t>
  </si>
  <si>
    <t>Eff.ratio.NL.Ser.BldNew.Thermal.CA.Biomass.Biomass_Waste</t>
  </si>
  <si>
    <t>Eff.ratio.NL.Ser.BldNew.Thermal.CA.Elc.Elec</t>
  </si>
  <si>
    <t>NL - CO2 emissions in new and renovated buildings</t>
  </si>
  <si>
    <t>EMI.ktCO2.NL.Ser.BldNew.Thermal</t>
  </si>
  <si>
    <t>EMI.ktCO2.NL.Ser.BldNew.Thermal.SH</t>
  </si>
  <si>
    <t>EMI.ktCO2.NL.Ser.BldNew.Thermal.SH.Solids.Solids</t>
  </si>
  <si>
    <t>EMI.ktCO2.NL.Ser.BldNew.Thermal.SH.LPG.LPG</t>
  </si>
  <si>
    <t>EMI.ktCO2.NL.Ser.BldNew.Thermal.SH.Oil.Oil_LiqBio</t>
  </si>
  <si>
    <t>EMI.ktCO2.NL.Ser.BldNew.Thermal.SH.GasHP.NG_Biogas</t>
  </si>
  <si>
    <t>EMI.ktCO2.NL.Ser.BldNew.Thermal.SH.GasTH.NG_Biogas</t>
  </si>
  <si>
    <t>EMI.ktCO2.NL.Ser.BldNew.Thermal.SH.Biomass.Biomass_Waste</t>
  </si>
  <si>
    <t>EMI.ktCO2.NL.Ser.BldNew.Thermal.SH.Geo.Geo</t>
  </si>
  <si>
    <t>EMI.ktCO2.NL.Ser.BldNew.Thermal.SH.DistrHeat.Steam_Distr</t>
  </si>
  <si>
    <t>EMI.ktCO2.NL.Ser.BldNew.Thermal.SH.AdvElc.Elec</t>
  </si>
  <si>
    <t>EMI.ktCO2.NL.Ser.BldNew.Thermal.SH.ConvElc.Elec</t>
  </si>
  <si>
    <t>EMI.ktCO2.NL.Ser.BldNew.Thermal.SH.TotalCirculation.Elec</t>
  </si>
  <si>
    <t>EMI.ktCO2.NL.Ser.BldNew.Thermal.SC</t>
  </si>
  <si>
    <t>EMI.ktCO2.NL.Ser.BldNew.Thermal.SC.GasHP.NG_Biogas</t>
  </si>
  <si>
    <t>EMI.ktCO2.NL.Ser.BldNew.Thermal.SC.AC.Elec</t>
  </si>
  <si>
    <t>EMI.ktCO2.NL.Ser.BldNew.Thermal.HW</t>
  </si>
  <si>
    <t>EMI.ktCO2.NL.Ser.BldNew.Thermal.HW.Solids.Solids</t>
  </si>
  <si>
    <t>EMI.ktCO2.NL.Ser.BldNew.Thermal.HW.LPG.LPG</t>
  </si>
  <si>
    <t>EMI.ktCO2.NL.Ser.BldNew.Thermal.HW.Oil.Oil_LiqBio</t>
  </si>
  <si>
    <t>EMI.ktCO2.NL.Ser.BldNew.Thermal.HW.Gas.NG_Biogas</t>
  </si>
  <si>
    <t>EMI.ktCO2.NL.Ser.BldNew.Thermal.HW.Biomass.Biomass_Waste</t>
  </si>
  <si>
    <t>EMI.ktCO2.NL.Ser.BldNew.Thermal.HW.DistrHeat.Steam_Distr</t>
  </si>
  <si>
    <t>EMI.ktCO2.NL.Ser.BldNew.Thermal.HW.Elc.Elec</t>
  </si>
  <si>
    <t>EMI.ktCO2.NL.Ser.BldNew.Thermal.HW.TotalSolar.Solar</t>
  </si>
  <si>
    <t>EMI.ktCO2.NL.Ser.BldNew.Thermal.CA</t>
  </si>
  <si>
    <t>EMI.ktCO2.NL.Ser.BldNew.Thermal.CA.LPG</t>
  </si>
  <si>
    <t>EMI.ktCO2.NL.Ser.BldNew.Thermal.CA.Gas.NG_Biogas</t>
  </si>
  <si>
    <t>EMI.ktCO2.NL.Ser.BldNew.Thermal.CA.Biomass.Biomass_Waste</t>
  </si>
  <si>
    <t>EMI.ktCO2.NL.Ser.BldNew.Thermal.CA.Elc.Elec</t>
  </si>
  <si>
    <t>NL - Final energy consumption of new and renovated buildings (per building)</t>
  </si>
  <si>
    <t>FEC_per_building.kWh.NL.Ser.BldNew.Thermal</t>
  </si>
  <si>
    <t>FEC_per_building.kWh.NL.Ser.BldNew.Thermal.SH</t>
  </si>
  <si>
    <t>FEC_per_building.kWh.NL.Ser.BldNew.Thermal.SH.Solids.Solids</t>
  </si>
  <si>
    <t>FEC_per_building.kWh.NL.Ser.BldNew.Thermal.SH.LPG.LPG</t>
  </si>
  <si>
    <t>FEC_per_building.kWh.NL.Ser.BldNew.Thermal.SH.Oil.Oil_LiqBio</t>
  </si>
  <si>
    <t>FEC_per_building.kWh.NL.Ser.BldNew.Thermal.SH.GasHP.NG_Biogas</t>
  </si>
  <si>
    <t>FEC_per_building.kWh.NL.Ser.BldNew.Thermal.SH.GasTH.NG_Biogas</t>
  </si>
  <si>
    <t>FEC_per_building.kWh.NL.Ser.BldNew.Thermal.SH.Biomass.Biomass_Waste</t>
  </si>
  <si>
    <t>FEC_per_building.kWh.NL.Ser.BldNew.Thermal.SH.Geo.Geo</t>
  </si>
  <si>
    <t>FEC_per_building.kWh.NL.Ser.BldNew.Thermal.SH.DistrHeat.Steam_Distr</t>
  </si>
  <si>
    <t>FEC_per_building.kWh.NL.Ser.BldNew.Thermal.SH.AdvElc.Elec</t>
  </si>
  <si>
    <t>FEC_per_building.kWh.NL.Ser.BldNew.Thermal.SH.ConvElc.Elec</t>
  </si>
  <si>
    <t>FEC_per_building.kWh.NL.Ser.BldNew.Thermal.SH.TotalCirculation.Elec</t>
  </si>
  <si>
    <t>FEC_per_building.kWh.NL.Ser.BldNew.Thermal.SC</t>
  </si>
  <si>
    <t>FEC_per_building.kWh.NL.Ser.BldNew.Thermal.SC.GasHP.NG_Biogas</t>
  </si>
  <si>
    <t>FEC_per_building.kWh.NL.Ser.BldNew.Thermal.SC.AC.Elec</t>
  </si>
  <si>
    <t>FEC_per_building.kWh.NL.Ser.BldNew.Thermal.HW</t>
  </si>
  <si>
    <t>FEC_per_building.kWh.NL.Ser.BldNew.Thermal.HW.Solids.Solids</t>
  </si>
  <si>
    <t>FEC_per_building.kWh.NL.Ser.BldNew.Thermal.HW.LPG.LPG</t>
  </si>
  <si>
    <t>FEC_per_building.kWh.NL.Ser.BldNew.Thermal.HW.Oil.Oil_LiqBio</t>
  </si>
  <si>
    <t>FEC_per_building.kWh.NL.Ser.BldNew.Thermal.HW.Gas.NG_Biogas</t>
  </si>
  <si>
    <t>FEC_per_building.kWh.NL.Ser.BldNew.Thermal.HW.Biomass.Biomass_Waste</t>
  </si>
  <si>
    <t>FEC_per_building.kWh.NL.Ser.BldNew.Thermal.HW.DistrHeat.Steam_Distr</t>
  </si>
  <si>
    <t>FEC_per_building.kWh.NL.Ser.BldNew.Thermal.HW.Elc.Elec</t>
  </si>
  <si>
    <t>FEC_per_building.kWh.NL.Ser.BldNew.Thermal.HW.TotalSolar.Solar</t>
  </si>
  <si>
    <t>FEC_per_building.kWh.NL.Ser.BldNew.Thermal.CA</t>
  </si>
  <si>
    <t>FEC_per_building.kWh.NL.Ser.BldNew.Thermal.CA.LPG</t>
  </si>
  <si>
    <t>FEC_per_building.kWh.NL.Ser.BldNew.Thermal.CA.Gas.NG_Biogas</t>
  </si>
  <si>
    <t>FEC_per_building.kWh.NL.Ser.BldNew.Thermal.CA.Biomass.Biomass_Waste</t>
  </si>
  <si>
    <t>FEC_per_building.kWh.NL.Ser.BldNew.Thermal.CA.Elc.Elec</t>
  </si>
  <si>
    <t>NL - Thermal energy service of new and renovated buildings (per building)</t>
  </si>
  <si>
    <t>TES_per_building.kWh.NL.Ser.BldNew.Thermal</t>
  </si>
  <si>
    <t>TES_per_building.kWh.NL.Ser.BldNew.Thermal.SH</t>
  </si>
  <si>
    <t>TES_per_building.kWh.NL.Ser.BldNew.Thermal.SH.Solids.Solids</t>
  </si>
  <si>
    <t>TES_per_building.kWh.NL.Ser.BldNew.Thermal.SH.LPG.LPG</t>
  </si>
  <si>
    <t>TES_per_building.kWh.NL.Ser.BldNew.Thermal.SH.Oil.Oil_LiqBio</t>
  </si>
  <si>
    <t>TES_per_building.kWh.NL.Ser.BldNew.Thermal.SH.GasHP.NG_Biogas</t>
  </si>
  <si>
    <t>TES_per_building.kWh.NL.Ser.BldNew.Thermal.SH.GasTH.NG_Biogas</t>
  </si>
  <si>
    <t>TES_per_building.kWh.NL.Ser.BldNew.Thermal.SH.Biomass.Biomass_Waste</t>
  </si>
  <si>
    <t>TES_per_building.kWh.NL.Ser.BldNew.Thermal.SH.Geo.Geo</t>
  </si>
  <si>
    <t>TES_per_building.kWh.NL.Ser.BldNew.Thermal.SH.DistrHeat.Steam_Distr</t>
  </si>
  <si>
    <t>TES_per_building.kWh.NL.Ser.BldNew.Thermal.SH.AdvElc.Elec</t>
  </si>
  <si>
    <t>TES_per_building.kWh.NL.Ser.BldNew.Thermal.SH.ConvElc.Elec</t>
  </si>
  <si>
    <t>TES_per_building.kWh.NL.Ser.BldNew.Thermal.SH.TotalCirculation.Elec</t>
  </si>
  <si>
    <t>TES_per_building.kWh.NL.Ser.BldNew.Thermal.SC</t>
  </si>
  <si>
    <t>TES_per_building.kWh.NL.Ser.BldNew.Thermal.SC.GasHP.NG_Biogas</t>
  </si>
  <si>
    <t>TES_per_building.kWh.NL.Ser.BldNew.Thermal.SC.AC.Elec</t>
  </si>
  <si>
    <t>TES_per_building.kWh.NL.Ser.BldNew.Thermal.HW</t>
  </si>
  <si>
    <t>TES_per_building.kWh.NL.Ser.BldNew.Thermal.HW.Solids.Solids</t>
  </si>
  <si>
    <t>TES_per_building.kWh.NL.Ser.BldNew.Thermal.HW.LPG.LPG</t>
  </si>
  <si>
    <t>TES_per_building.kWh.NL.Ser.BldNew.Thermal.HW.Oil.Oil_LiqBio</t>
  </si>
  <si>
    <t>TES_per_building.kWh.NL.Ser.BldNew.Thermal.HW.Gas.NG_Biogas</t>
  </si>
  <si>
    <t>TES_per_building.kWh.NL.Ser.BldNew.Thermal.HW.Biomass.Biomass_Waste</t>
  </si>
  <si>
    <t>TES_per_building.kWh.NL.Ser.BldNew.Thermal.HW.DistrHeat.Steam_Distr</t>
  </si>
  <si>
    <t>TES_per_building.kWh.NL.Ser.BldNew.Thermal.HW.Elc.Elec</t>
  </si>
  <si>
    <t>TES_per_building.kWh.NL.Ser.BldNew.Thermal.HW.TotalSolar.Solar</t>
  </si>
  <si>
    <t>TES_per_building.kWh.NL.Ser.BldNew.Thermal.CA</t>
  </si>
  <si>
    <t>TES_per_building.kWh.NL.Ser.BldNew.Thermal.CA.LPG</t>
  </si>
  <si>
    <t>TES_per_building.kWh.NL.Ser.BldNew.Thermal.CA.Gas.NG_Biogas</t>
  </si>
  <si>
    <t>TES_per_building.kWh.NL.Ser.BldNew.Thermal.CA.Biomass.Biomass_Waste</t>
  </si>
  <si>
    <t>TES_per_building.kWh.NL.Ser.BldNew.Thermal.CA.Elc.Elec</t>
  </si>
  <si>
    <t>NL - CO2 emissions in new and renovated buildings (per building)</t>
  </si>
  <si>
    <t>EMI_per_building.kgCO2.NL.Ser.BldNew.Thermal</t>
  </si>
  <si>
    <t>EMI_per_building.kgCO2.NL.Ser.BldNew.Thermal.SH</t>
  </si>
  <si>
    <t>EMI_per_building.kgCO2.NL.Ser.BldNew.Thermal.SH.Solids.Solids</t>
  </si>
  <si>
    <t>EMI_per_building.kgCO2.NL.Ser.BldNew.Thermal.SH.LPG.LPG</t>
  </si>
  <si>
    <t>EMI_per_building.kgCO2.NL.Ser.BldNew.Thermal.SH.Oil.Oil_LiqBio</t>
  </si>
  <si>
    <t>EMI_per_building.kgCO2.NL.Ser.BldNew.Thermal.SH.GasHP.NG_Biogas</t>
  </si>
  <si>
    <t>EMI_per_building.kgCO2.NL.Ser.BldNew.Thermal.SH.GasTH.NG_Biogas</t>
  </si>
  <si>
    <t>EMI_per_building.kgCO2.NL.Ser.BldNew.Thermal.SH.Biomass.Biomass_Waste</t>
  </si>
  <si>
    <t>EMI_per_building.kgCO2.NL.Ser.BldNew.Thermal.SH.Geo.Geo</t>
  </si>
  <si>
    <t>EMI_per_building.kgCO2.NL.Ser.BldNew.Thermal.SH.DistrHeat.Steam_Distr</t>
  </si>
  <si>
    <t>EMI_per_building.kgCO2.NL.Ser.BldNew.Thermal.SH.AdvElc.Elec</t>
  </si>
  <si>
    <t>EMI_per_building.kgCO2.NL.Ser.BldNew.Thermal.SH.ConvElc.Elec</t>
  </si>
  <si>
    <t>EMI_per_building.kgCO2.NL.Ser.BldNew.Thermal.SH.TotalCirculation.Elec</t>
  </si>
  <si>
    <t>EMI_per_building.kgCO2.NL.Ser.BldNew.Thermal.SC</t>
  </si>
  <si>
    <t>EMI_per_building.kgCO2.NL.Ser.BldNew.Thermal.SC.GasHP.NG_Biogas</t>
  </si>
  <si>
    <t>EMI_per_building.kgCO2.NL.Ser.BldNew.Thermal.SC.AC.Elec</t>
  </si>
  <si>
    <t>EMI_per_building.kgCO2.NL.Ser.BldNew.Thermal.HW</t>
  </si>
  <si>
    <t>EMI_per_building.kgCO2.NL.Ser.BldNew.Thermal.HW.Solids.Solids</t>
  </si>
  <si>
    <t>EMI_per_building.kgCO2.NL.Ser.BldNew.Thermal.HW.LPG.LPG</t>
  </si>
  <si>
    <t>EMI_per_building.kgCO2.NL.Ser.BldNew.Thermal.HW.Oil.Oil_LiqBio</t>
  </si>
  <si>
    <t>EMI_per_building.kgCO2.NL.Ser.BldNew.Thermal.HW.Gas.NG_Biogas</t>
  </si>
  <si>
    <t>EMI_per_building.kgCO2.NL.Ser.BldNew.Thermal.HW.Biomass.Biomass_Waste</t>
  </si>
  <si>
    <t>EMI_per_building.kgCO2.NL.Ser.BldNew.Thermal.HW.DistrHeat.Steam_Distr</t>
  </si>
  <si>
    <t>EMI_per_building.kgCO2.NL.Ser.BldNew.Thermal.HW.Elc.Elec</t>
  </si>
  <si>
    <t>EMI_per_building.kgCO2.NL.Ser.BldNew.Thermal.HW.TotalSolar.Solar</t>
  </si>
  <si>
    <t>EMI_per_building.kgCO2.NL.Ser.BldNew.Thermal.CA</t>
  </si>
  <si>
    <t>EMI_per_building.kgCO2.NL.Ser.BldNew.Thermal.CA.LPG</t>
  </si>
  <si>
    <t>EMI_per_building.kgCO2.NL.Ser.BldNew.Thermal.CA.Gas.NG_Biogas</t>
  </si>
  <si>
    <t>EMI_per_building.kgCO2.NL.Ser.BldNew.Thermal.CA.Biomass.Biomass_Waste</t>
  </si>
  <si>
    <t>EMI_per_building.kgCO2.NL.Ser.BldNew.Thermal.CA.Elc.Elec</t>
  </si>
  <si>
    <t>NL - Final energy consumption in new and renovated buildings per surface area</t>
  </si>
  <si>
    <t>FEC_per_sqm.kWh.NL.Ser.BldNew.Thermal</t>
  </si>
  <si>
    <t>FEC_per_sqm.kWh.NL.Ser.BldNew.Thermal.SH</t>
  </si>
  <si>
    <t>FEC_per_sqm.kWh.NL.Ser.BldNew.Thermal.SH.Solids.Solids</t>
  </si>
  <si>
    <t>FEC_per_sqm.kWh.NL.Ser.BldNew.Thermal.SH.LPG.LPG</t>
  </si>
  <si>
    <t>FEC_per_sqm.kWh.NL.Ser.BldNew.Thermal.SH.Oil.Oil_LiqBio</t>
  </si>
  <si>
    <t>FEC_per_sqm.kWh.NL.Ser.BldNew.Thermal.SH.GasHP.NG_Biogas</t>
  </si>
  <si>
    <t>FEC_per_sqm.kWh.NL.Ser.BldNew.Thermal.SH.GasTH.NG_Biogas</t>
  </si>
  <si>
    <t>FEC_per_sqm.kWh.NL.Ser.BldNew.Thermal.SH.Biomass.Biomass_Waste</t>
  </si>
  <si>
    <t>FEC_per_sqm.kWh.NL.Ser.BldNew.Thermal.SH.Geo.Geo</t>
  </si>
  <si>
    <t>FEC_per_sqm.kWh.NL.Ser.BldNew.Thermal.SH.DistrHeat.Steam_Distr</t>
  </si>
  <si>
    <t>FEC_per_sqm.kWh.NL.Ser.BldNew.Thermal.SH.AdvElc.Elec</t>
  </si>
  <si>
    <t>FEC_per_sqm.kWh.NL.Ser.BldNew.Thermal.SH.ConvElc.Elec</t>
  </si>
  <si>
    <t>FEC_per_sqm.kWh.NL.Ser.BldNew.Thermal.SH.TotalCirculation.Elec</t>
  </si>
  <si>
    <t>FEC_per_sqm.kWh.NL.Ser.BldNew.Thermal.SC</t>
  </si>
  <si>
    <t>FEC_per_sqm.kWh.NL.Ser.BldNew.Thermal.SC.GasHP.NG_Biogas</t>
  </si>
  <si>
    <t>FEC_per_sqm.kWh.NL.Ser.BldNew.Thermal.SC.AC.Elec</t>
  </si>
  <si>
    <t>FEC_per_sqm.kWh.NL.Ser.BldNew.Thermal.HW</t>
  </si>
  <si>
    <t>FEC_per_sqm.kWh.NL.Ser.BldNew.Thermal.HW.Solids.Solids</t>
  </si>
  <si>
    <t>FEC_per_sqm.kWh.NL.Ser.BldNew.Thermal.HW.LPG.LPG</t>
  </si>
  <si>
    <t>FEC_per_sqm.kWh.NL.Ser.BldNew.Thermal.HW.Oil.Oil_LiqBio</t>
  </si>
  <si>
    <t>FEC_per_sqm.kWh.NL.Ser.BldNew.Thermal.HW.Gas.NG_Biogas</t>
  </si>
  <si>
    <t>FEC_per_sqm.kWh.NL.Ser.BldNew.Thermal.HW.Biomass.Biomass_Waste</t>
  </si>
  <si>
    <t>FEC_per_sqm.kWh.NL.Ser.BldNew.Thermal.HW.DistrHeat.Steam_Distr</t>
  </si>
  <si>
    <t>FEC_per_sqm.kWh.NL.Ser.BldNew.Thermal.HW.Elc.Elec</t>
  </si>
  <si>
    <t>FEC_per_sqm.kWh.NL.Ser.BldNew.Thermal.HW.TotalSolar.Solar</t>
  </si>
  <si>
    <t>FEC_per_sqm.kWh.NL.Ser.BldNew.Thermal.CA</t>
  </si>
  <si>
    <t>FEC_per_sqm.kWh.NL.Ser.BldNew.Thermal.CA.LPG</t>
  </si>
  <si>
    <t>FEC_per_sqm.kWh.NL.Ser.BldNew.Thermal.CA.Gas.NG_Biogas</t>
  </si>
  <si>
    <t>FEC_per_sqm.kWh.NL.Ser.BldNew.Thermal.CA.Biomass.Biomass_Waste</t>
  </si>
  <si>
    <t>FEC_per_sqm.kWh.NL.Ser.BldNew.Thermal.CA.Elc.Elec</t>
  </si>
  <si>
    <t>NL - Thermal energy service in new and renovated buildings per surface area</t>
  </si>
  <si>
    <t>TES_per_sqm.kWh.NL.Ser.BldNew.Thermal</t>
  </si>
  <si>
    <t>TES_per_sqm.kWh.NL.Ser.BldNew.Thermal.SH</t>
  </si>
  <si>
    <t>TES_per_sqm.kWh.NL.Ser.BldNew.Thermal.SH.Solids.Solids</t>
  </si>
  <si>
    <t>TES_per_sqm.kWh.NL.Ser.BldNew.Thermal.SH.LPG.LPG</t>
  </si>
  <si>
    <t>TES_per_sqm.kWh.NL.Ser.BldNew.Thermal.SH.Oil.Oil_LiqBio</t>
  </si>
  <si>
    <t>TES_per_sqm.kWh.NL.Ser.BldNew.Thermal.SH.GasHP.NG_Biogas</t>
  </si>
  <si>
    <t>TES_per_sqm.kWh.NL.Ser.BldNew.Thermal.SH.GasTH.NG_Biogas</t>
  </si>
  <si>
    <t>TES_per_sqm.kWh.NL.Ser.BldNew.Thermal.SH.Biomass.Biomass_Waste</t>
  </si>
  <si>
    <t>TES_per_sqm.kWh.NL.Ser.BldNew.Thermal.SH.Geo.Geo</t>
  </si>
  <si>
    <t>TES_per_sqm.kWh.NL.Ser.BldNew.Thermal.SH.DistrHeat.Steam_Distr</t>
  </si>
  <si>
    <t>TES_per_sqm.kWh.NL.Ser.BldNew.Thermal.SH.AdvElc.Elec</t>
  </si>
  <si>
    <t>TES_per_sqm.kWh.NL.Ser.BldNew.Thermal.SH.ConvElc.Elec</t>
  </si>
  <si>
    <t>TES_per_sqm.kWh.NL.Ser.BldNew.Thermal.SH.TotalCirculation.Elec</t>
  </si>
  <si>
    <t>TES_per_sqm.kWh.NL.Ser.BldNew.Thermal.SC</t>
  </si>
  <si>
    <t>TES_per_sqm.kWh.NL.Ser.BldNew.Thermal.SC.GasHP.NG_Biogas</t>
  </si>
  <si>
    <t>TES_per_sqm.kWh.NL.Ser.BldNew.Thermal.SC.AC.Elec</t>
  </si>
  <si>
    <t>TES_per_sqm.kWh.NL.Ser.BldNew.Thermal.HW</t>
  </si>
  <si>
    <t>TES_per_sqm.kWh.NL.Ser.BldNew.Thermal.HW.Solids.Solids</t>
  </si>
  <si>
    <t>TES_per_sqm.kWh.NL.Ser.BldNew.Thermal.HW.LPG.LPG</t>
  </si>
  <si>
    <t>TES_per_sqm.kWh.NL.Ser.BldNew.Thermal.HW.Oil.Oil_LiqBio</t>
  </si>
  <si>
    <t>TES_per_sqm.kWh.NL.Ser.BldNew.Thermal.HW.Gas.NG_Biogas</t>
  </si>
  <si>
    <t>TES_per_sqm.kWh.NL.Ser.BldNew.Thermal.HW.Biomass.Biomass_Waste</t>
  </si>
  <si>
    <t>TES_per_sqm.kWh.NL.Ser.BldNew.Thermal.HW.DistrHeat.Steam_Distr</t>
  </si>
  <si>
    <t>TES_per_sqm.kWh.NL.Ser.BldNew.Thermal.HW.Elc.Elec</t>
  </si>
  <si>
    <t>TES_per_sqm.kWh.NL.Ser.BldNew.Thermal.HW.TotalSolar.Solar</t>
  </si>
  <si>
    <t>TES_per_sqm.kWh.NL.Ser.BldNew.Thermal.CA</t>
  </si>
  <si>
    <t>TES_per_sqm.kWh.NL.Ser.BldNew.Thermal.CA.LPG</t>
  </si>
  <si>
    <t>TES_per_sqm.kWh.NL.Ser.BldNew.Thermal.CA.Gas.NG_Biogas</t>
  </si>
  <si>
    <t>TES_per_sqm.kWh.NL.Ser.BldNew.Thermal.CA.Biomass.Biomass_Waste</t>
  </si>
  <si>
    <t>TES_per_sqm.kWh.NL.Ser.BldNew.Thermal.CA.Elc.Elec</t>
  </si>
  <si>
    <t>NL - CO2 emissions in new and renovated buildings per surface area</t>
  </si>
  <si>
    <t>EMI_per_sqm.kgCO2.NL.Ser.BldNew.Thermal</t>
  </si>
  <si>
    <t>EMI_per_sqm.kgCO2.NL.Ser.BldNew.Thermal.SH</t>
  </si>
  <si>
    <t>EMI_per_sqm.kgCO2.NL.Ser.BldNew.Thermal.SH.Solids.Solids</t>
  </si>
  <si>
    <t>EMI_per_sqm.kgCO2.NL.Ser.BldNew.Thermal.SH.LPG.LPG</t>
  </si>
  <si>
    <t>EMI_per_sqm.kgCO2.NL.Ser.BldNew.Thermal.SH.Oil.Oil_LiqBio</t>
  </si>
  <si>
    <t>EMI_per_sqm.kgCO2.NL.Ser.BldNew.Thermal.SH.GasHP.NG_Biogas</t>
  </si>
  <si>
    <t>EMI_per_sqm.kgCO2.NL.Ser.BldNew.Thermal.SH.GasTH.NG_Biogas</t>
  </si>
  <si>
    <t>EMI_per_sqm.kgCO2.NL.Ser.BldNew.Thermal.SH.Biomass.Biomass_Waste</t>
  </si>
  <si>
    <t>EMI_per_sqm.kgCO2.NL.Ser.BldNew.Thermal.SH.Geo.Geo</t>
  </si>
  <si>
    <t>EMI_per_sqm.kgCO2.NL.Ser.BldNew.Thermal.SH.DistrHeat.Steam_Distr</t>
  </si>
  <si>
    <t>EMI_per_sqm.kgCO2.NL.Ser.BldNew.Thermal.SH.AdvElc.Elec</t>
  </si>
  <si>
    <t>EMI_per_sqm.kgCO2.NL.Ser.BldNew.Thermal.SH.ConvElc.Elec</t>
  </si>
  <si>
    <t>EMI_per_sqm.kgCO2.NL.Ser.BldNew.Thermal.SH.TotalCirculation.Elec</t>
  </si>
  <si>
    <t>EMI_per_sqm.kgCO2.NL.Ser.BldNew.Thermal.SC</t>
  </si>
  <si>
    <t>EMI_per_sqm.kgCO2.NL.Ser.BldNew.Thermal.SC.GasHP.NG_Biogas</t>
  </si>
  <si>
    <t>EMI_per_sqm.kgCO2.NL.Ser.BldNew.Thermal.SC.AC.Elec</t>
  </si>
  <si>
    <t>EMI_per_sqm.kgCO2.NL.Ser.BldNew.Thermal.HW</t>
  </si>
  <si>
    <t>EMI_per_sqm.kgCO2.NL.Ser.BldNew.Thermal.HW.Solids.Solids</t>
  </si>
  <si>
    <t>EMI_per_sqm.kgCO2.NL.Ser.BldNew.Thermal.HW.LPG.LPG</t>
  </si>
  <si>
    <t>EMI_per_sqm.kgCO2.NL.Ser.BldNew.Thermal.HW.Oil.Oil_LiqBio</t>
  </si>
  <si>
    <t>EMI_per_sqm.kgCO2.NL.Ser.BldNew.Thermal.HW.Gas.NG_Biogas</t>
  </si>
  <si>
    <t>EMI_per_sqm.kgCO2.NL.Ser.BldNew.Thermal.HW.Biomass.Biomass_Waste</t>
  </si>
  <si>
    <t>EMI_per_sqm.kgCO2.NL.Ser.BldNew.Thermal.HW.DistrHeat.Steam_Distr</t>
  </si>
  <si>
    <t>EMI_per_sqm.kgCO2.NL.Ser.BldNew.Thermal.HW.Elc.Elec</t>
  </si>
  <si>
    <t>EMI_per_sqm.kgCO2.NL.Ser.BldNew.Thermal.HW.TotalSolar.Solar</t>
  </si>
  <si>
    <t>EMI_per_sqm.kgCO2.NL.Ser.BldNew.Thermal.CA</t>
  </si>
  <si>
    <t>EMI_per_sqm.kgCO2.NL.Ser.BldNew.Thermal.CA.LPG</t>
  </si>
  <si>
    <t>EMI_per_sqm.kgCO2.NL.Ser.BldNew.Thermal.CA.Gas.NG_Biogas</t>
  </si>
  <si>
    <t>EMI_per_sqm.kgCO2.NL.Ser.BldNew.Thermal.CA.Biomass.Biomass_Waste</t>
  </si>
  <si>
    <t>EMI_per_sqm.kgCO2.NL.Ser.BldNew.Thermal.CA.Elc.Elec</t>
  </si>
  <si>
    <t>FEC.ktoe.NL.Ser.SEU.VE</t>
  </si>
  <si>
    <t>FEC.ktoe.NL.Ser.SEU.SL</t>
  </si>
  <si>
    <t>FEC.ktoe.NL.Ser.SEU.BL</t>
  </si>
  <si>
    <t>FEC.ktoe.NL.Ser.SEU.CR</t>
  </si>
  <si>
    <t>FEC.ktoe.NL.Ser.SEU.BT</t>
  </si>
  <si>
    <t>FEC.ktoe.NL.Ser.SEU.IT</t>
  </si>
  <si>
    <t>Size.MW.NL.Ser.SEU</t>
  </si>
  <si>
    <t>Size.MW.NL.Ser.SEU.VE</t>
  </si>
  <si>
    <t>Size.MW.NL.Ser.SEU.SL</t>
  </si>
  <si>
    <t>Size.MW.NL.Ser.SEU.BL</t>
  </si>
  <si>
    <t>Size.MW.NL.Ser.SEU.CR</t>
  </si>
  <si>
    <t>Size.MW.NL.Ser.SEU.BT</t>
  </si>
  <si>
    <t>Size.MW.NL.Ser.SEU.IT</t>
  </si>
  <si>
    <t>NUM.Msqm.NL.Ser.SEU.VE</t>
  </si>
  <si>
    <t>NUM.k.NL.Ser.SEU.SL</t>
  </si>
  <si>
    <t>NUM.M.NL.Ser.SEU.BL</t>
  </si>
  <si>
    <t>NUM.k.NL.Ser.SEU.CR</t>
  </si>
  <si>
    <t>NUM.Msqm.NL.Ser.SEU.BT</t>
  </si>
  <si>
    <t>NUM.k.NL.Ser.SEU.IT</t>
  </si>
  <si>
    <t>NUM.Msqm.NL.Ser.SEUnew.VE</t>
  </si>
  <si>
    <t>NUM.k.NL.Ser.SEUnew.SL</t>
  </si>
  <si>
    <t>NUM.M.NL.Ser.SEUnew.BL</t>
  </si>
  <si>
    <t>NUM.k.NL.Ser.SEUnew.CR</t>
  </si>
  <si>
    <t>NUM.Msqm.NL.Ser.SEUnew.BT</t>
  </si>
  <si>
    <t>NUM.k.NL.Ser.SEUnew.IT</t>
  </si>
  <si>
    <t>NUM.Msqm.NL.Ser.SEUrepl.VE</t>
  </si>
  <si>
    <t>NUM.k.NL.Ser.SEUrepl.SL</t>
  </si>
  <si>
    <t>NUM.M.NL.Ser.SEUrepl.BL</t>
  </si>
  <si>
    <t>NUM.k.NL.Ser.SEUrepl.CR</t>
  </si>
  <si>
    <t>NUM.Msqm.NL.Ser.SEUrepl.BT</t>
  </si>
  <si>
    <t>NUM.k.NL.Ser.SEUrepl.IT</t>
  </si>
  <si>
    <t>Op.hours.NL.Ser.SEU.VE</t>
  </si>
  <si>
    <t>Op.hours.NL.Ser.SEU.SL</t>
  </si>
  <si>
    <t>Op.hours.NL.Ser.SEU.BL</t>
  </si>
  <si>
    <t>Op.hours.NL.Ser.SEU.CR</t>
  </si>
  <si>
    <t>Op.hours.NL.Ser.SEU.BT</t>
  </si>
  <si>
    <t>Op.hours.NL.Ser.SEU.IT</t>
  </si>
  <si>
    <t>Size_per_appl.W.NL.Ser.SEU.VE</t>
  </si>
  <si>
    <t>Size_per_appl.W.NL.Ser.SEU.SL</t>
  </si>
  <si>
    <t>Size_per_appl.W.NL.Ser.SEU.BL</t>
  </si>
  <si>
    <t>Size_per_appl.W.NL.Ser.SEU.CR</t>
  </si>
  <si>
    <t>Size_per_appl.W.NL.Ser.SEU.BT</t>
  </si>
  <si>
    <t>Size_per_appl.W.NL.Ser.SEU.IT</t>
  </si>
  <si>
    <t>Size_per_appl.W.NL.Ser.SEUnew.VE</t>
  </si>
  <si>
    <t>Size_per_appl.W.NL.Ser.SEUnew.SL</t>
  </si>
  <si>
    <t>Size_per_appl.W.NL.Ser.SEUnew.BL</t>
  </si>
  <si>
    <t>Size_per_appl.W.NL.Ser.SEUnew.CR</t>
  </si>
  <si>
    <t>Size_per_appl.W.NL.Ser.SEUnew.BT</t>
  </si>
  <si>
    <t>Size_per_appl.W.NL.Ser.SEUnew.IT</t>
  </si>
  <si>
    <t>NUM.sqm_per_building.NL.Ser.SEU.VE</t>
  </si>
  <si>
    <t>NUM.number_per_capita.NL.Ser.SEU.SL</t>
  </si>
  <si>
    <t>NUM.number_per_building.NL.Ser.SEU.BL</t>
  </si>
  <si>
    <t>NUM.number_per_capita.NL.Ser.SEU.CR</t>
  </si>
  <si>
    <t>NUM.sqm_per_building.NL.Ser.SEU.BT</t>
  </si>
  <si>
    <t>NUM.number_per_capita.NL.Ser.SEU.IT</t>
  </si>
  <si>
    <t>Lumens_per_sqm.lumen.NL.Ser.SEU.BL</t>
  </si>
  <si>
    <t>NL - Services / specific electric uses</t>
  </si>
  <si>
    <t>NL - Ventilation and others</t>
  </si>
  <si>
    <t>NL - Street lighting</t>
  </si>
  <si>
    <t>NL - Building lighting</t>
  </si>
  <si>
    <t>NL - Commercial refrigeration</t>
  </si>
  <si>
    <t>NL - Miscellaneous building technologies</t>
  </si>
  <si>
    <t>NL - ICT and multimedia</t>
  </si>
  <si>
    <t>NL - Agriculture, forestry and fishing</t>
  </si>
  <si>
    <t>VA.Meuro2015.NL.AGR.AGR</t>
  </si>
  <si>
    <t>OUTPUT.index.NL.AGR.AGR</t>
  </si>
  <si>
    <t>CAP.index.NL.AGR.AGR</t>
  </si>
  <si>
    <t>NEWCAP.index.NL.AGR.AGR</t>
  </si>
  <si>
    <t>CAPOUT.index.NL.AGR.AGR</t>
  </si>
  <si>
    <t>CAPIDLE.index.NL.AGR.AGR</t>
  </si>
  <si>
    <t>FEC.ktoe.NL.ES.AGR</t>
  </si>
  <si>
    <t>FEC.ktoe.NL.ES.AGR.Solids</t>
  </si>
  <si>
    <t>FEC.ktoe.NL.ES.AGR.LPG</t>
  </si>
  <si>
    <t>FEC.ktoe.NL.ES.AGR.Diesel</t>
  </si>
  <si>
    <t>FEC.ktoe.NL.ES.AGR.RFO</t>
  </si>
  <si>
    <t>FEC.ktoe.NL.ES.AGR.NG</t>
  </si>
  <si>
    <t>FEC.ktoe.NL.ES.AGR.Biomass_Waste</t>
  </si>
  <si>
    <t>FEC.ktoe.NL.ES.AGR.Biogas</t>
  </si>
  <si>
    <t>FEC.ktoe.NL.ES.AGR.LiqBio</t>
  </si>
  <si>
    <t>FEC.ktoe.NL.ES.AGR.Solar</t>
  </si>
  <si>
    <t>FEC.ktoe.NL.ES.AGR.Geo</t>
  </si>
  <si>
    <t>FEC.ktoe.NL.ES.AGR.Ambient</t>
  </si>
  <si>
    <t>FEC.ktoe.NL.ES.AGR.Steam_Distr</t>
  </si>
  <si>
    <t>FEC.ktoe.NL.ES.AGR.Elec</t>
  </si>
  <si>
    <t>NL - Agriculture, forestry and fishing / final energy consumption</t>
  </si>
  <si>
    <t>FEC.ktoe.NL.AGR.AGR.LIGHT.GENERIC.ELEC</t>
  </si>
  <si>
    <t>FEC.ktoe.NL.AGR.AGR.FANS.GENERIC.ELEC</t>
  </si>
  <si>
    <t>FEC.ktoe.NL.AGR.AGR.MOTOR.GENERIC.ELEC</t>
  </si>
  <si>
    <t>FEC.ktoe.NL.AGR.AGR.LOW_ENTH.THERM.DIESEL_LIQBIO</t>
  </si>
  <si>
    <t>FEC.ktoe.NL.AGR.AGR.LOW_ENTH.THERM.NG_BIOGAS</t>
  </si>
  <si>
    <t>FEC.ktoe.NL.AGR.AGR.LOW_ENTH.THERM.SOLAR_GEO</t>
  </si>
  <si>
    <t>FEC.ktoe.NL.AGR.AGR.LOW_ENTH.HP.AMBIENT</t>
  </si>
  <si>
    <t>FEC.ktoe.NL.AGR.AGR.LOW_ENTH.THERM.STEAM_DISTR</t>
  </si>
  <si>
    <t>FEC.ktoe.NL.AGR.AGR.LOW_ENTH.THERM.ELEC</t>
  </si>
  <si>
    <t>FEC.ktoe.NL.AGR.AGR.FARM_DRIVES.MECH.DIESEL_LIQBIO</t>
  </si>
  <si>
    <t>FEC.ktoe.NL.AGR.AGR.HEAT_USE.THERM.SOLIDS</t>
  </si>
  <si>
    <t>FEC.ktoe.NL.AGR.AGR.HEAT_USE.THERM.LPG</t>
  </si>
  <si>
    <t>FEC.ktoe.NL.AGR.AGR.HEAT_USE.THERM.DIESEL_LIQBIO</t>
  </si>
  <si>
    <t>FEC.ktoe.NL.AGR.AGR.HEAT_USE.THERM.RFO</t>
  </si>
  <si>
    <t>FEC.ktoe.NL.AGR.AGR.HEAT_USE.THERM.NG_BIOGAS</t>
  </si>
  <si>
    <t>FEC.ktoe.NL.AGR.AGR.HEAT_USE.THERM.BIOMASS_WASTE</t>
  </si>
  <si>
    <t>FEC.ktoe.NL.AGR.AGR.HEAT_USE.THERM.SOLAR_GEO</t>
  </si>
  <si>
    <t>FEC.ktoe.NL.AGR.AGR.FARM_PUMP.MECH.DIESEL_LIQBIO</t>
  </si>
  <si>
    <t>FEC.ktoe.NL.AGR.AGR.FARM_PUMP_ELEC.MECH.ELEC</t>
  </si>
  <si>
    <t>FEC.ktoe.NL.AGR.AGR.GENERIC.MECH.ELEC</t>
  </si>
  <si>
    <t>NL - Agriculture, forestry and fishing / useful energy demand</t>
  </si>
  <si>
    <t>UED.ktoe.NL.AGR.AGR.LIGHT.GENERIC.ELEC</t>
  </si>
  <si>
    <t>UED.ktoe.NL.AGR.AGR.FANS.GENERIC.ELEC</t>
  </si>
  <si>
    <t>UED.ktoe.NL.AGR.AGR.MOTOR.GENERIC.ELEC</t>
  </si>
  <si>
    <t>UED.ktoe.NL.AGR.AGR.LOW_ENTH.THERM.DIESEL_LIQBIO</t>
  </si>
  <si>
    <t>UED.ktoe.NL.AGR.AGR.LOW_ENTH.THERM.NG_BIOGAS</t>
  </si>
  <si>
    <t>UED.ktoe.NL.AGR.AGR.LOW_ENTH.THERM.SOLAR_GEO</t>
  </si>
  <si>
    <t>UED.ktoe.NL.AGR.AGR.LOW_ENTH.HP.AMBIENT</t>
  </si>
  <si>
    <t>UED.ktoe.NL.AGR.AGR.LOW_ENTH.THERM.STEAM_DISTR</t>
  </si>
  <si>
    <t>UED.ktoe.NL.AGR.AGR.LOW_ENTH.THERM.ELEC</t>
  </si>
  <si>
    <t>UED.ktoe.NL.AGR.AGR.FARM_DRIVES.MECH.DIESEL_LIQBIO</t>
  </si>
  <si>
    <t>UED.ktoe.NL.AGR.AGR.HEAT_USE.THERM.SOLIDS</t>
  </si>
  <si>
    <t>UED.ktoe.NL.AGR.AGR.HEAT_USE.THERM.LPG</t>
  </si>
  <si>
    <t>UED.ktoe.NL.AGR.AGR.HEAT_USE.THERM.DIESEL_LIQBIO</t>
  </si>
  <si>
    <t>UED.ktoe.NL.AGR.AGR.HEAT_USE.THERM.RFO</t>
  </si>
  <si>
    <t>UED.ktoe.NL.AGR.AGR.HEAT_USE.THERM.NG_BIOGAS</t>
  </si>
  <si>
    <t>UED.ktoe.NL.AGR.AGR.HEAT_USE.THERM.BIOMASS_WASTE</t>
  </si>
  <si>
    <t>UED.ktoe.NL.AGR.AGR.HEAT_USE.THERM.SOLAR_GEO</t>
  </si>
  <si>
    <t>UED.ktoe.NL.AGR.AGR.FARM_PUMP.MECH.DIESEL_LIQBIO</t>
  </si>
  <si>
    <t>UED.ktoe.NL.AGR.AGR.FARM_PUMP_ELEC.MECH.ELEC</t>
  </si>
  <si>
    <t>UED.ktoe.NL.AGR.AGR.GENERIC.MECH.ELEC</t>
  </si>
  <si>
    <t>NL - Agriculture, forestry and fishing / CO2 emissions</t>
  </si>
  <si>
    <t>FUEL_EMI.ktCO2.NL.AGR.AGR.LIGHT.GENERIC.ELEC</t>
  </si>
  <si>
    <t>FUEL_EMI.ktCO2.NL.AGR.AGR.FANS.GENERIC.ELEC</t>
  </si>
  <si>
    <t>FUEL_EMI.ktCO2.NL.AGR.AGR.MOTOR.GENERIC.ELEC</t>
  </si>
  <si>
    <t>FUEL_EMI.ktCO2.NL.AGR.AGR.LOW_ENTH.THERM.DIESEL_LIQBIO</t>
  </si>
  <si>
    <t>FUEL_EMI.ktCO2.NL.AGR.AGR.LOW_ENTH.THERM.NG_BIOGAS</t>
  </si>
  <si>
    <t>FUEL_EMI.ktCO2.NL.AGR.AGR.LOW_ENTH.THERM.SOLAR_GEO</t>
  </si>
  <si>
    <t>FUEL_EMI.ktCO2.NL.AGR.AGR.LOW_ENTH.HP.AMBIENT</t>
  </si>
  <si>
    <t>FUEL_EMI.ktCO2.NL.AGR.AGR.LOW_ENTH.THERM.STEAM_DISTR</t>
  </si>
  <si>
    <t>FUEL_EMI.ktCO2.NL.AGR.AGR.LOW_ENTH.THERM.ELEC</t>
  </si>
  <si>
    <t>FUEL_EMI.ktCO2.NL.AGR.AGR.FARM_DRIVES.MECH.DIESEL_LIQBIO</t>
  </si>
  <si>
    <t>FUEL_EMI.ktCO2.NL.AGR.AGR.HEAT_USE.THERM.SOLIDS</t>
  </si>
  <si>
    <t>FUEL_EMI.ktCO2.NL.AGR.AGR.HEAT_USE.THERM.LPG</t>
  </si>
  <si>
    <t>FUEL_EMI.ktCO2.NL.AGR.AGR.HEAT_USE.THERM.DIESEL_LIQBIO</t>
  </si>
  <si>
    <t>FUEL_EMI.ktCO2.NL.AGR.AGR.HEAT_USE.THERM.RFO</t>
  </si>
  <si>
    <t>FUEL_EMI.ktCO2.NL.AGR.AGR.HEAT_USE.THERM.NG_BIOGAS</t>
  </si>
  <si>
    <t>FUEL_EMI.ktCO2.NL.AGR.AGR.HEAT_USE.THERM.BIOMASS_WASTE</t>
  </si>
  <si>
    <t>FUEL_EMI.ktCO2.NL.AGR.AGR.HEAT_USE.THERM.SOLAR_GEO</t>
  </si>
  <si>
    <t>FUEL_EMI.ktCO2.NL.AGR.AGR.FARM_PUMP.MECH.DIESEL_LIQBIO</t>
  </si>
  <si>
    <t>FUEL_EMI.ktCO2.NL.AGR.AGR.FARM_PUMP_ELEC.MECH.ELEC</t>
  </si>
  <si>
    <t>FUEL_EMI.ktCO2.NL.AGR.AGR.GENERIC.MECH.ELEC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</si>
</sst>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45432.787685185183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15863950</v>
      </c>
      <c r="C3" s="34">
        <v>15987075</v>
      </c>
      <c r="D3" s="34">
        <v>16105285</v>
      </c>
      <c r="E3" s="34">
        <v>16192572</v>
      </c>
      <c r="F3" s="34">
        <v>16258032</v>
      </c>
      <c r="G3" s="34">
        <v>16305526</v>
      </c>
      <c r="H3" s="34">
        <v>16334210</v>
      </c>
      <c r="I3" s="34">
        <v>16357992</v>
      </c>
      <c r="J3" s="34">
        <v>16405399</v>
      </c>
      <c r="K3" s="34">
        <v>16485787</v>
      </c>
      <c r="L3" s="34">
        <v>16574989</v>
      </c>
      <c r="M3" s="34">
        <v>16655799</v>
      </c>
      <c r="N3" s="34">
        <v>16730348</v>
      </c>
      <c r="O3" s="34">
        <v>16779575</v>
      </c>
      <c r="P3" s="34">
        <v>16829289</v>
      </c>
      <c r="Q3" s="34">
        <v>16900726</v>
      </c>
      <c r="R3" s="34">
        <v>16979120</v>
      </c>
      <c r="S3" s="34">
        <v>17081507</v>
      </c>
      <c r="T3" s="34">
        <v>17181084</v>
      </c>
      <c r="U3" s="34">
        <v>17282163</v>
      </c>
      <c r="V3" s="34">
        <v>17407585</v>
      </c>
      <c r="W3" s="34">
        <v>17475415</v>
      </c>
      <c r="DA3" s="88" t="s">
        <v>187</v>
      </c>
    </row>
    <row r="4" spans="1:105" ht="12" customHeight="1" x14ac:dyDescent="0.25">
      <c r="A4" s="35" t="s">
        <v>178</v>
      </c>
      <c r="B4" s="36">
        <v>580702.22770369228</v>
      </c>
      <c r="C4" s="36">
        <v>594217.89259510452</v>
      </c>
      <c r="D4" s="36">
        <v>595506.99321473984</v>
      </c>
      <c r="E4" s="36">
        <v>596436.3391060608</v>
      </c>
      <c r="F4" s="36">
        <v>608269.83853358612</v>
      </c>
      <c r="G4" s="36">
        <v>620748.21116682631</v>
      </c>
      <c r="H4" s="36">
        <v>642231.20701399725</v>
      </c>
      <c r="I4" s="36">
        <v>666462.15448204603</v>
      </c>
      <c r="J4" s="36">
        <v>680924.17435584497</v>
      </c>
      <c r="K4" s="36">
        <v>655960.7793734778</v>
      </c>
      <c r="L4" s="36">
        <v>664767.24353107577</v>
      </c>
      <c r="M4" s="36">
        <v>675080.44592995499</v>
      </c>
      <c r="N4" s="36">
        <v>668118.93750255799</v>
      </c>
      <c r="O4" s="36">
        <v>667248.92153198016</v>
      </c>
      <c r="P4" s="36">
        <v>676750.67769794317</v>
      </c>
      <c r="Q4" s="36">
        <v>690008</v>
      </c>
      <c r="R4" s="36">
        <v>705128.66457617842</v>
      </c>
      <c r="S4" s="36">
        <v>725657.43553445209</v>
      </c>
      <c r="T4" s="36">
        <v>742789.82725527824</v>
      </c>
      <c r="U4" s="36">
        <v>757316.50521609536</v>
      </c>
      <c r="V4" s="36">
        <v>727883.32373824599</v>
      </c>
      <c r="W4" s="36">
        <v>772955.04789977893</v>
      </c>
      <c r="DA4" s="89" t="s">
        <v>188</v>
      </c>
    </row>
    <row r="5" spans="1:105" ht="12" customHeight="1" x14ac:dyDescent="0.25">
      <c r="A5" s="35" t="s">
        <v>147</v>
      </c>
      <c r="B5" s="36">
        <v>376465.07385543088</v>
      </c>
      <c r="C5" s="36">
        <v>384130.47730829421</v>
      </c>
      <c r="D5" s="36">
        <v>390418.40118535247</v>
      </c>
      <c r="E5" s="36">
        <v>393118.37364307168</v>
      </c>
      <c r="F5" s="36">
        <v>402590.56132629438</v>
      </c>
      <c r="G5" s="36">
        <v>408929.73069776816</v>
      </c>
      <c r="H5" s="36">
        <v>420661.26531414472</v>
      </c>
      <c r="I5" s="36">
        <v>438362.66307657794</v>
      </c>
      <c r="J5" s="36">
        <v>448337.79656052554</v>
      </c>
      <c r="K5" s="36">
        <v>442639.25522044179</v>
      </c>
      <c r="L5" s="36">
        <v>451947.79677142482</v>
      </c>
      <c r="M5" s="36">
        <v>459651.83992070373</v>
      </c>
      <c r="N5" s="36">
        <v>456273.70240455493</v>
      </c>
      <c r="O5" s="36">
        <v>460831.17827703245</v>
      </c>
      <c r="P5" s="36">
        <v>473849.41461445298</v>
      </c>
      <c r="Q5" s="36">
        <v>483452</v>
      </c>
      <c r="R5" s="36">
        <v>495984.2841615061</v>
      </c>
      <c r="S5" s="36">
        <v>509400.17728750122</v>
      </c>
      <c r="T5" s="36">
        <v>521756.12197751424</v>
      </c>
      <c r="U5" s="36">
        <v>533718.31197342998</v>
      </c>
      <c r="V5" s="36">
        <v>510080.10005609755</v>
      </c>
      <c r="W5" s="36">
        <v>541710.14935292373</v>
      </c>
      <c r="DA5" s="89" t="s">
        <v>189</v>
      </c>
    </row>
    <row r="6" spans="1:105" ht="12" customHeight="1" x14ac:dyDescent="0.25">
      <c r="A6" s="37" t="s">
        <v>70</v>
      </c>
      <c r="B6" s="38">
        <v>6489000</v>
      </c>
      <c r="C6" s="38">
        <v>6645000</v>
      </c>
      <c r="D6" s="38">
        <v>6730000</v>
      </c>
      <c r="E6" s="38">
        <v>6743000</v>
      </c>
      <c r="F6" s="38">
        <v>6690000</v>
      </c>
      <c r="G6" s="38">
        <v>6767000</v>
      </c>
      <c r="H6" s="38">
        <v>6956000</v>
      </c>
      <c r="I6" s="38">
        <v>7192000</v>
      </c>
      <c r="J6" s="38">
        <v>7327000</v>
      </c>
      <c r="K6" s="38">
        <v>7288000</v>
      </c>
      <c r="L6" s="38">
        <v>7274000</v>
      </c>
      <c r="M6" s="38">
        <v>7361000</v>
      </c>
      <c r="N6" s="38">
        <v>7368000</v>
      </c>
      <c r="O6" s="38">
        <v>7311000</v>
      </c>
      <c r="P6" s="38">
        <v>7320000</v>
      </c>
      <c r="Q6" s="38">
        <v>7407000</v>
      </c>
      <c r="R6" s="38">
        <v>7536000</v>
      </c>
      <c r="S6" s="38">
        <v>7730000</v>
      </c>
      <c r="T6" s="38">
        <v>7943000</v>
      </c>
      <c r="U6" s="38">
        <v>8119000</v>
      </c>
      <c r="V6" s="38">
        <v>8067000</v>
      </c>
      <c r="W6" s="38">
        <v>8239000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388765.91218783642</v>
      </c>
      <c r="C8" s="34">
        <v>394779.53288229246</v>
      </c>
      <c r="D8" s="34">
        <v>398133.0519863849</v>
      </c>
      <c r="E8" s="34">
        <v>399585.97263702803</v>
      </c>
      <c r="F8" s="34">
        <v>397935.4724366538</v>
      </c>
      <c r="G8" s="34">
        <v>403965.70387661079</v>
      </c>
      <c r="H8" s="34">
        <v>414261.80828934553</v>
      </c>
      <c r="I8" s="34">
        <v>427277.0214874731</v>
      </c>
      <c r="J8" s="34">
        <v>434859.54982328712</v>
      </c>
      <c r="K8" s="34">
        <v>433133.92804567557</v>
      </c>
      <c r="L8" s="34">
        <v>437576.21741488861</v>
      </c>
      <c r="M8" s="34">
        <v>443263.23874691891</v>
      </c>
      <c r="N8" s="34">
        <v>444621.39903230284</v>
      </c>
      <c r="O8" s="34">
        <v>443480.26574480836</v>
      </c>
      <c r="P8" s="34">
        <v>443595.98222024296</v>
      </c>
      <c r="Q8" s="34">
        <v>450150.59079536953</v>
      </c>
      <c r="R8" s="34">
        <v>452112.89615237608</v>
      </c>
      <c r="S8" s="34">
        <v>455111.12400772457</v>
      </c>
      <c r="T8" s="34">
        <v>457946.53731876245</v>
      </c>
      <c r="U8" s="34">
        <v>460640.80291483208</v>
      </c>
      <c r="V8" s="34">
        <v>463265.55666666664</v>
      </c>
      <c r="W8" s="34">
        <v>465885.71955534979</v>
      </c>
      <c r="DA8" s="88" t="s">
        <v>191</v>
      </c>
    </row>
    <row r="9" spans="1:105" ht="12" customHeight="1" x14ac:dyDescent="0.25">
      <c r="A9" s="39" t="s">
        <v>68</v>
      </c>
      <c r="B9" s="40">
        <v>349889.32096905279</v>
      </c>
      <c r="C9" s="40">
        <v>355301.57959406322</v>
      </c>
      <c r="D9" s="40">
        <v>358319.74678774638</v>
      </c>
      <c r="E9" s="40">
        <v>359627.37537332519</v>
      </c>
      <c r="F9" s="40">
        <v>358141.92519298842</v>
      </c>
      <c r="G9" s="40">
        <v>363569.13348894974</v>
      </c>
      <c r="H9" s="40">
        <v>372835.62746041099</v>
      </c>
      <c r="I9" s="40">
        <v>384549.31933872582</v>
      </c>
      <c r="J9" s="40">
        <v>391373.59484095842</v>
      </c>
      <c r="K9" s="40">
        <v>389820.53524110804</v>
      </c>
      <c r="L9" s="40">
        <v>393818.59567339974</v>
      </c>
      <c r="M9" s="40">
        <v>398936.914872227</v>
      </c>
      <c r="N9" s="40">
        <v>400159.2591290726</v>
      </c>
      <c r="O9" s="40">
        <v>399132.23917032755</v>
      </c>
      <c r="P9" s="40">
        <v>399236.38399821863</v>
      </c>
      <c r="Q9" s="40">
        <v>405135.53171583253</v>
      </c>
      <c r="R9" s="40">
        <v>406901.60653713846</v>
      </c>
      <c r="S9" s="40">
        <v>409600.01160695212</v>
      </c>
      <c r="T9" s="40">
        <v>412151.88358688622</v>
      </c>
      <c r="U9" s="40">
        <v>414576.72262334888</v>
      </c>
      <c r="V9" s="40">
        <v>416939.00099999999</v>
      </c>
      <c r="W9" s="40">
        <v>419297.14759981481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7568.5483931700073</v>
      </c>
      <c r="D10" s="41">
        <v>4932.831450459913</v>
      </c>
      <c r="E10" s="41">
        <v>3045.6445532202088</v>
      </c>
      <c r="F10" s="41">
        <v>1598.413653696251</v>
      </c>
      <c r="G10" s="41">
        <v>7622.1425209456884</v>
      </c>
      <c r="H10" s="41">
        <v>11911.993730582799</v>
      </c>
      <c r="I10" s="41">
        <v>14672.150006192522</v>
      </c>
      <c r="J10" s="41">
        <v>9291.4857255400748</v>
      </c>
      <c r="K10" s="41">
        <v>1739.4381992931485</v>
      </c>
      <c r="L10" s="41">
        <v>6174.8185850043656</v>
      </c>
      <c r="M10" s="41">
        <v>7437.4326227675265</v>
      </c>
      <c r="N10" s="41">
        <v>3131.3305805979967</v>
      </c>
      <c r="O10" s="41">
        <v>1778.4536355389764</v>
      </c>
      <c r="P10" s="41">
        <v>1889.6995922371095</v>
      </c>
      <c r="Q10" s="41">
        <v>8328.9981027232552</v>
      </c>
      <c r="R10" s="41">
        <v>4282.6692270857775</v>
      </c>
      <c r="S10" s="41">
        <v>5328.7067014948007</v>
      </c>
      <c r="T10" s="41">
        <v>5181.3469399437263</v>
      </c>
      <c r="U10" s="41">
        <v>5054.814757506364</v>
      </c>
      <c r="V10" s="41">
        <v>4999.1908802615717</v>
      </c>
      <c r="W10" s="41">
        <v>5008.1296756247284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6811.693553853007</v>
      </c>
      <c r="D11" s="42">
        <v>4439.5483054139222</v>
      </c>
      <c r="E11" s="42">
        <v>2741.0800978981874</v>
      </c>
      <c r="F11" s="42">
        <v>1438.572288326626</v>
      </c>
      <c r="G11" s="42">
        <v>6859.9282688511194</v>
      </c>
      <c r="H11" s="42">
        <v>10720.794357524519</v>
      </c>
      <c r="I11" s="42">
        <v>13204.93500557327</v>
      </c>
      <c r="J11" s="42">
        <v>8362.3371529860669</v>
      </c>
      <c r="K11" s="42">
        <v>1565.4943793638336</v>
      </c>
      <c r="L11" s="42">
        <v>5557.3367265039296</v>
      </c>
      <c r="M11" s="42">
        <v>6693.6893604907737</v>
      </c>
      <c r="N11" s="42">
        <v>2818.1975225381971</v>
      </c>
      <c r="O11" s="42">
        <v>1600.6082719850788</v>
      </c>
      <c r="P11" s="42">
        <v>1700.7296330133986</v>
      </c>
      <c r="Q11" s="42">
        <v>7496.0982924509308</v>
      </c>
      <c r="R11" s="42">
        <v>3854.4023043771995</v>
      </c>
      <c r="S11" s="42">
        <v>4795.8360313453204</v>
      </c>
      <c r="T11" s="42">
        <v>4663.212245949353</v>
      </c>
      <c r="U11" s="42">
        <v>4549.3332817557275</v>
      </c>
      <c r="V11" s="42">
        <v>4499.2717922354141</v>
      </c>
      <c r="W11" s="42">
        <v>4507.3167080622552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2496.48</v>
      </c>
      <c r="C13" s="43">
        <v>2728.84</v>
      </c>
      <c r="D13" s="43">
        <v>2594.89</v>
      </c>
      <c r="E13" s="43">
        <v>2762.17</v>
      </c>
      <c r="F13" s="43">
        <v>2772.07</v>
      </c>
      <c r="G13" s="43">
        <v>2650.18</v>
      </c>
      <c r="H13" s="43">
        <v>2566.5100000000002</v>
      </c>
      <c r="I13" s="43">
        <v>2424.77</v>
      </c>
      <c r="J13" s="43">
        <v>2697.32</v>
      </c>
      <c r="K13" s="43">
        <v>2727.14</v>
      </c>
      <c r="L13" s="43">
        <v>3311.71</v>
      </c>
      <c r="M13" s="43">
        <v>2516.5700000000002</v>
      </c>
      <c r="N13" s="43">
        <v>2817.13</v>
      </c>
      <c r="O13" s="43">
        <v>3012.96</v>
      </c>
      <c r="P13" s="43">
        <v>2282.08</v>
      </c>
      <c r="Q13" s="43">
        <v>2625.49</v>
      </c>
      <c r="R13" s="43">
        <v>2679.86</v>
      </c>
      <c r="S13" s="43">
        <v>2538.98</v>
      </c>
      <c r="T13" s="43">
        <v>2528.64</v>
      </c>
      <c r="U13" s="43">
        <v>2514.41</v>
      </c>
      <c r="V13" s="43">
        <v>2386.31</v>
      </c>
      <c r="W13" s="43">
        <v>2722.19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2649.2623809523807</v>
      </c>
      <c r="C14" s="44">
        <f t="shared" ref="C14:W14" si="0">AVERAGE($B$13:$V$13)</f>
        <v>2649.2623809523807</v>
      </c>
      <c r="D14" s="44">
        <f t="shared" si="0"/>
        <v>2649.2623809523807</v>
      </c>
      <c r="E14" s="44">
        <f t="shared" si="0"/>
        <v>2649.2623809523807</v>
      </c>
      <c r="F14" s="44">
        <f t="shared" si="0"/>
        <v>2649.2623809523807</v>
      </c>
      <c r="G14" s="44">
        <f t="shared" si="0"/>
        <v>2649.2623809523807</v>
      </c>
      <c r="H14" s="44">
        <f t="shared" si="0"/>
        <v>2649.2623809523807</v>
      </c>
      <c r="I14" s="44">
        <f t="shared" si="0"/>
        <v>2649.2623809523807</v>
      </c>
      <c r="J14" s="44">
        <f t="shared" si="0"/>
        <v>2649.2623809523807</v>
      </c>
      <c r="K14" s="44">
        <f t="shared" si="0"/>
        <v>2649.2623809523807</v>
      </c>
      <c r="L14" s="44">
        <f t="shared" si="0"/>
        <v>2649.2623809523807</v>
      </c>
      <c r="M14" s="44">
        <f t="shared" si="0"/>
        <v>2649.2623809523807</v>
      </c>
      <c r="N14" s="44">
        <f t="shared" si="0"/>
        <v>2649.2623809523807</v>
      </c>
      <c r="O14" s="44">
        <f t="shared" si="0"/>
        <v>2649.2623809523807</v>
      </c>
      <c r="P14" s="44">
        <f t="shared" si="0"/>
        <v>2649.2623809523807</v>
      </c>
      <c r="Q14" s="44">
        <f t="shared" si="0"/>
        <v>2649.2623809523807</v>
      </c>
      <c r="R14" s="44">
        <f t="shared" si="0"/>
        <v>2649.2623809523807</v>
      </c>
      <c r="S14" s="44">
        <f t="shared" si="0"/>
        <v>2649.2623809523807</v>
      </c>
      <c r="T14" s="44">
        <f t="shared" si="0"/>
        <v>2649.2623809523807</v>
      </c>
      <c r="U14" s="44">
        <f t="shared" si="0"/>
        <v>2649.2623809523807</v>
      </c>
      <c r="V14" s="44">
        <f t="shared" si="0"/>
        <v>2649.2623809523807</v>
      </c>
      <c r="W14" s="44">
        <f t="shared" si="0"/>
        <v>2649.2623809523807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0.94233021913916393</v>
      </c>
      <c r="C15" s="46">
        <f t="shared" ref="C15:W15" si="1">C13/C14</f>
        <v>1.0300376510910225</v>
      </c>
      <c r="D15" s="46">
        <f t="shared" si="1"/>
        <v>0.97947640771887812</v>
      </c>
      <c r="E15" s="46">
        <f t="shared" si="1"/>
        <v>1.0426185114239346</v>
      </c>
      <c r="F15" s="46">
        <f t="shared" si="1"/>
        <v>1.0463554006317304</v>
      </c>
      <c r="G15" s="46">
        <f t="shared" si="1"/>
        <v>1.0003463677490825</v>
      </c>
      <c r="H15" s="46">
        <f t="shared" si="1"/>
        <v>0.96876399198986407</v>
      </c>
      <c r="I15" s="46">
        <f t="shared" si="1"/>
        <v>0.91526230751380766</v>
      </c>
      <c r="J15" s="46">
        <f t="shared" si="1"/>
        <v>1.0181399997950913</v>
      </c>
      <c r="K15" s="46">
        <f t="shared" si="1"/>
        <v>1.0293959630452394</v>
      </c>
      <c r="L15" s="46">
        <f t="shared" si="1"/>
        <v>1.250049834176665</v>
      </c>
      <c r="M15" s="46">
        <f t="shared" si="1"/>
        <v>0.94991346198609472</v>
      </c>
      <c r="N15" s="46">
        <f t="shared" si="1"/>
        <v>1.0633639084805457</v>
      </c>
      <c r="O15" s="46">
        <f t="shared" si="1"/>
        <v>1.1372825967191948</v>
      </c>
      <c r="P15" s="46">
        <f t="shared" si="1"/>
        <v>0.86140203265922544</v>
      </c>
      <c r="Q15" s="46">
        <f t="shared" si="1"/>
        <v>0.99102679254297377</v>
      </c>
      <c r="R15" s="46">
        <f t="shared" si="1"/>
        <v>1.0115494861013425</v>
      </c>
      <c r="S15" s="46">
        <f t="shared" si="1"/>
        <v>0.95837242028374126</v>
      </c>
      <c r="T15" s="46">
        <f t="shared" si="1"/>
        <v>0.95446944711115467</v>
      </c>
      <c r="U15" s="46">
        <f t="shared" si="1"/>
        <v>0.9490981407043938</v>
      </c>
      <c r="V15" s="46">
        <f t="shared" si="1"/>
        <v>0.90074505913685599</v>
      </c>
      <c r="W15" s="46">
        <f t="shared" si="1"/>
        <v>1.0275275184413417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36605.14737525599</v>
      </c>
      <c r="C19" s="34">
        <f t="shared" si="2"/>
        <v>37168.643582087687</v>
      </c>
      <c r="D19" s="34">
        <f t="shared" ref="D19:W19" si="3">D4*1000000/D3</f>
        <v>36975.874268275278</v>
      </c>
      <c r="E19" s="34">
        <f t="shared" si="3"/>
        <v>36833.947016327038</v>
      </c>
      <c r="F19" s="34">
        <f t="shared" si="3"/>
        <v>37413.49743521148</v>
      </c>
      <c r="G19" s="34">
        <f t="shared" si="3"/>
        <v>38069.805976625736</v>
      </c>
      <c r="H19" s="34">
        <f t="shared" si="3"/>
        <v>39318.167637981707</v>
      </c>
      <c r="I19" s="34">
        <f t="shared" si="3"/>
        <v>40742.296149921458</v>
      </c>
      <c r="J19" s="34">
        <f t="shared" si="3"/>
        <v>41506.102616330449</v>
      </c>
      <c r="K19" s="34">
        <f t="shared" si="3"/>
        <v>39789.473160940259</v>
      </c>
      <c r="L19" s="34">
        <f t="shared" si="3"/>
        <v>40106.647644295619</v>
      </c>
      <c r="M19" s="34">
        <f t="shared" si="3"/>
        <v>40531.255566301857</v>
      </c>
      <c r="N19" s="34">
        <f t="shared" si="3"/>
        <v>39934.551122460689</v>
      </c>
      <c r="O19" s="34">
        <f t="shared" si="3"/>
        <v>39765.543616687559</v>
      </c>
      <c r="P19" s="34">
        <f t="shared" si="3"/>
        <v>40212.671949358235</v>
      </c>
      <c r="Q19" s="34">
        <f t="shared" si="3"/>
        <v>40827.121864469016</v>
      </c>
      <c r="R19" s="34">
        <f t="shared" si="3"/>
        <v>41529.164325134545</v>
      </c>
      <c r="S19" s="34">
        <f t="shared" si="3"/>
        <v>42482.050063524963</v>
      </c>
      <c r="T19" s="34">
        <f t="shared" si="3"/>
        <v>43233.001320247211</v>
      </c>
      <c r="U19" s="34">
        <f t="shared" si="3"/>
        <v>43820.701449008164</v>
      </c>
      <c r="V19" s="34">
        <f t="shared" si="3"/>
        <v>41814.147323608988</v>
      </c>
      <c r="W19" s="34">
        <f t="shared" si="3"/>
        <v>44230.998113622991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58015.88439750822</v>
      </c>
      <c r="C20" s="36">
        <f t="shared" si="4"/>
        <v>57807.445795078129</v>
      </c>
      <c r="D20" s="36">
        <f t="shared" ref="D20:W20" si="5">D5*1000000/D6</f>
        <v>58011.649507481794</v>
      </c>
      <c r="E20" s="36">
        <f t="shared" si="5"/>
        <v>58300.218544130454</v>
      </c>
      <c r="F20" s="36">
        <f t="shared" si="5"/>
        <v>60177.961334274194</v>
      </c>
      <c r="G20" s="36">
        <f t="shared" si="5"/>
        <v>60429.988281035643</v>
      </c>
      <c r="H20" s="36">
        <f t="shared" si="5"/>
        <v>60474.592483344553</v>
      </c>
      <c r="I20" s="36">
        <f t="shared" si="5"/>
        <v>60951.427012872351</v>
      </c>
      <c r="J20" s="36">
        <f t="shared" si="5"/>
        <v>61189.818010171366</v>
      </c>
      <c r="K20" s="36">
        <f t="shared" si="5"/>
        <v>60735.353350774116</v>
      </c>
      <c r="L20" s="36">
        <f t="shared" si="5"/>
        <v>62131.948965002033</v>
      </c>
      <c r="M20" s="36">
        <f t="shared" si="5"/>
        <v>62444.211373550294</v>
      </c>
      <c r="N20" s="36">
        <f t="shared" si="5"/>
        <v>61926.398263376075</v>
      </c>
      <c r="O20" s="36">
        <f t="shared" si="5"/>
        <v>63032.578070993361</v>
      </c>
      <c r="P20" s="36">
        <f t="shared" si="5"/>
        <v>64733.526586673906</v>
      </c>
      <c r="Q20" s="36">
        <f t="shared" si="5"/>
        <v>65269.609828540568</v>
      </c>
      <c r="R20" s="36">
        <f t="shared" si="5"/>
        <v>65815.32433141004</v>
      </c>
      <c r="S20" s="36">
        <f t="shared" si="5"/>
        <v>65899.11737225113</v>
      </c>
      <c r="T20" s="36">
        <f t="shared" si="5"/>
        <v>65687.538962295628</v>
      </c>
      <c r="U20" s="36">
        <f t="shared" si="5"/>
        <v>65736.951838087203</v>
      </c>
      <c r="V20" s="36">
        <f t="shared" si="5"/>
        <v>63230.457426068868</v>
      </c>
      <c r="W20" s="36">
        <f t="shared" si="5"/>
        <v>65749.502288253876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23730.853529885739</v>
      </c>
      <c r="C21" s="36">
        <f t="shared" si="6"/>
        <v>24027.564598795852</v>
      </c>
      <c r="D21" s="36">
        <f t="shared" ref="D21:W21" si="7">D5*1000000/D3</f>
        <v>24241.63255635355</v>
      </c>
      <c r="E21" s="36">
        <f t="shared" si="7"/>
        <v>24277.698048405877</v>
      </c>
      <c r="F21" s="36">
        <f t="shared" si="7"/>
        <v>24762.564209880653</v>
      </c>
      <c r="G21" s="36">
        <f t="shared" si="7"/>
        <v>25079.211225554343</v>
      </c>
      <c r="H21" s="36">
        <f t="shared" si="7"/>
        <v>25753.389072023972</v>
      </c>
      <c r="I21" s="36">
        <f t="shared" si="7"/>
        <v>26798.072958867931</v>
      </c>
      <c r="J21" s="36">
        <f t="shared" si="7"/>
        <v>27328.673722627871</v>
      </c>
      <c r="K21" s="36">
        <f t="shared" si="7"/>
        <v>26849.749740212086</v>
      </c>
      <c r="L21" s="36">
        <f t="shared" si="7"/>
        <v>27266.853496640317</v>
      </c>
      <c r="M21" s="36">
        <f t="shared" si="7"/>
        <v>27597.105363765721</v>
      </c>
      <c r="N21" s="36">
        <f t="shared" si="7"/>
        <v>27272.218270926278</v>
      </c>
      <c r="O21" s="36">
        <f t="shared" si="7"/>
        <v>27463.817067895488</v>
      </c>
      <c r="P21" s="36">
        <f t="shared" si="7"/>
        <v>28156.234919636416</v>
      </c>
      <c r="Q21" s="36">
        <f t="shared" si="7"/>
        <v>28605.398371643918</v>
      </c>
      <c r="R21" s="36">
        <f t="shared" si="7"/>
        <v>29211.424629869281</v>
      </c>
      <c r="S21" s="36">
        <f t="shared" si="7"/>
        <v>29821.73512486347</v>
      </c>
      <c r="T21" s="36">
        <f t="shared" si="7"/>
        <v>30368.056053827233</v>
      </c>
      <c r="U21" s="36">
        <f t="shared" si="7"/>
        <v>30882.610699449484</v>
      </c>
      <c r="V21" s="36">
        <f t="shared" si="7"/>
        <v>29302.174888480942</v>
      </c>
      <c r="W21" s="36">
        <f t="shared" si="7"/>
        <v>30998.414020664099</v>
      </c>
      <c r="DA21" s="89"/>
    </row>
    <row r="22" spans="1:105" ht="12" customHeight="1" x14ac:dyDescent="0.25">
      <c r="A22" s="51" t="s">
        <v>152</v>
      </c>
      <c r="B22" s="52">
        <v>1.6311313180254998</v>
      </c>
      <c r="C22" s="52">
        <v>1.6095619859203594</v>
      </c>
      <c r="D22" s="52">
        <v>1.5929669453591442</v>
      </c>
      <c r="E22" s="52">
        <v>1.5776334169315895</v>
      </c>
      <c r="F22" s="52">
        <v>1.5723054748017482</v>
      </c>
      <c r="G22" s="52">
        <v>1.5608311477582031</v>
      </c>
      <c r="H22" s="52">
        <v>1.5575065625447673</v>
      </c>
      <c r="I22" s="52">
        <v>1.5728265277877338</v>
      </c>
      <c r="J22" s="52">
        <v>1.5831497663281318</v>
      </c>
      <c r="K22" s="52">
        <v>1.5911321858809231</v>
      </c>
      <c r="L22" s="52">
        <v>1.5943136845339936</v>
      </c>
      <c r="M22" s="52">
        <v>1.5835644088970642</v>
      </c>
      <c r="N22" s="52">
        <v>1.5696874283547928</v>
      </c>
      <c r="O22" s="52">
        <v>1.5747252833794847</v>
      </c>
      <c r="P22" s="52">
        <v>1.5935526719176751</v>
      </c>
      <c r="Q22" s="52">
        <v>1.5957347487916818</v>
      </c>
      <c r="R22" s="52">
        <v>1.6035080920641025</v>
      </c>
      <c r="S22" s="52">
        <v>1.5949549173273212</v>
      </c>
      <c r="T22" s="52">
        <v>1.5905793622772237</v>
      </c>
      <c r="U22" s="52">
        <v>1.5872489873900446</v>
      </c>
      <c r="V22" s="52">
        <v>1.5954469142350245</v>
      </c>
      <c r="W22" s="52">
        <v>1.6019203473177268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16.691278212851053</v>
      </c>
      <c r="C23" s="53">
        <f t="shared" si="8"/>
        <v>16.832179600306873</v>
      </c>
      <c r="D23" s="53">
        <f t="shared" ref="D23:W23" si="9">D6/D8</f>
        <v>16.903896741107914</v>
      </c>
      <c r="E23" s="53">
        <f t="shared" si="9"/>
        <v>16.874966744954133</v>
      </c>
      <c r="F23" s="53">
        <f t="shared" si="9"/>
        <v>16.811770911086501</v>
      </c>
      <c r="G23" s="53">
        <f t="shared" si="9"/>
        <v>16.751422051578281</v>
      </c>
      <c r="H23" s="53">
        <f t="shared" si="9"/>
        <v>16.791313755724033</v>
      </c>
      <c r="I23" s="53">
        <f t="shared" si="9"/>
        <v>16.832171257332298</v>
      </c>
      <c r="J23" s="53">
        <f t="shared" si="9"/>
        <v>16.849118302627726</v>
      </c>
      <c r="K23" s="53">
        <f t="shared" si="9"/>
        <v>16.82620438644431</v>
      </c>
      <c r="L23" s="53">
        <f t="shared" si="9"/>
        <v>16.62338973304654</v>
      </c>
      <c r="M23" s="53">
        <f t="shared" si="9"/>
        <v>16.606385002305057</v>
      </c>
      <c r="N23" s="53">
        <f t="shared" si="9"/>
        <v>16.571402132322238</v>
      </c>
      <c r="O23" s="53">
        <f t="shared" si="9"/>
        <v>16.485513707631277</v>
      </c>
      <c r="P23" s="53">
        <f t="shared" si="9"/>
        <v>16.501502027504074</v>
      </c>
      <c r="Q23" s="53">
        <f t="shared" si="9"/>
        <v>16.454493566058854</v>
      </c>
      <c r="R23" s="53">
        <f t="shared" si="9"/>
        <v>16.668403100494913</v>
      </c>
      <c r="S23" s="53">
        <f t="shared" si="9"/>
        <v>16.984862799945095</v>
      </c>
      <c r="T23" s="53">
        <f t="shared" si="9"/>
        <v>17.344819433520737</v>
      </c>
      <c r="U23" s="53">
        <f t="shared" si="9"/>
        <v>17.625446874494795</v>
      </c>
      <c r="V23" s="53">
        <f t="shared" si="9"/>
        <v>17.413338600098964</v>
      </c>
      <c r="W23" s="53">
        <f t="shared" si="9"/>
        <v>17.684594427713858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22.055624290864053</v>
      </c>
      <c r="C24" s="54">
        <f t="shared" si="10"/>
        <v>22.22430179342145</v>
      </c>
      <c r="D24" s="54">
        <f t="shared" ref="D24:W24" si="11">D9*1000/D3</f>
        <v>22.248581554921032</v>
      </c>
      <c r="E24" s="54">
        <f t="shared" si="11"/>
        <v>22.209404125133744</v>
      </c>
      <c r="F24" s="54">
        <f t="shared" si="11"/>
        <v>22.028614852830181</v>
      </c>
      <c r="G24" s="54">
        <f t="shared" si="11"/>
        <v>22.297295621677566</v>
      </c>
      <c r="H24" s="54">
        <f t="shared" si="11"/>
        <v>22.825445948130398</v>
      </c>
      <c r="I24" s="54">
        <f t="shared" si="11"/>
        <v>23.508344993610816</v>
      </c>
      <c r="J24" s="54">
        <f t="shared" si="11"/>
        <v>23.856389889752663</v>
      </c>
      <c r="K24" s="54">
        <f t="shared" si="11"/>
        <v>23.645855380826408</v>
      </c>
      <c r="L24" s="54">
        <f t="shared" si="11"/>
        <v>23.759810378963131</v>
      </c>
      <c r="M24" s="54">
        <f t="shared" si="11"/>
        <v>23.951832924510377</v>
      </c>
      <c r="N24" s="54">
        <f t="shared" si="11"/>
        <v>23.918167101429844</v>
      </c>
      <c r="O24" s="54">
        <f t="shared" si="11"/>
        <v>23.786790736376073</v>
      </c>
      <c r="P24" s="54">
        <f t="shared" si="11"/>
        <v>23.722712468614606</v>
      </c>
      <c r="Q24" s="54">
        <f t="shared" si="11"/>
        <v>23.971486888541506</v>
      </c>
      <c r="R24" s="54">
        <f t="shared" si="11"/>
        <v>23.964823061332886</v>
      </c>
      <c r="S24" s="54">
        <f t="shared" si="11"/>
        <v>23.979149591833561</v>
      </c>
      <c r="T24" s="54">
        <f t="shared" si="11"/>
        <v>23.988700805309271</v>
      </c>
      <c r="U24" s="54">
        <f t="shared" si="11"/>
        <v>23.988705732225121</v>
      </c>
      <c r="V24" s="54">
        <f t="shared" si="11"/>
        <v>23.95157059408298</v>
      </c>
      <c r="W24" s="54">
        <f t="shared" si="11"/>
        <v>23.993544508088352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53.920376170296315</v>
      </c>
      <c r="C25" s="54">
        <f t="shared" si="12"/>
        <v>53.469011225592659</v>
      </c>
      <c r="D25" s="54">
        <f t="shared" ref="D25:W25" si="13">D9*1000/D6</f>
        <v>53.242161484063352</v>
      </c>
      <c r="E25" s="54">
        <f t="shared" si="13"/>
        <v>53.333438435907631</v>
      </c>
      <c r="F25" s="54">
        <f t="shared" si="13"/>
        <v>53.533920058742659</v>
      </c>
      <c r="G25" s="54">
        <f t="shared" si="13"/>
        <v>53.726781954920895</v>
      </c>
      <c r="H25" s="54">
        <f t="shared" si="13"/>
        <v>53.599141383037811</v>
      </c>
      <c r="I25" s="54">
        <f t="shared" si="13"/>
        <v>53.46903772785398</v>
      </c>
      <c r="J25" s="54">
        <f t="shared" si="13"/>
        <v>53.415257928341532</v>
      </c>
      <c r="K25" s="54">
        <f t="shared" si="13"/>
        <v>53.487998798176186</v>
      </c>
      <c r="L25" s="54">
        <f t="shared" si="13"/>
        <v>54.140582303189404</v>
      </c>
      <c r="M25" s="54">
        <f t="shared" si="13"/>
        <v>54.196021582967944</v>
      </c>
      <c r="N25" s="54">
        <f t="shared" si="13"/>
        <v>54.310431477887164</v>
      </c>
      <c r="O25" s="54">
        <f t="shared" si="13"/>
        <v>54.593385196324377</v>
      </c>
      <c r="P25" s="54">
        <f t="shared" si="13"/>
        <v>54.540489617242983</v>
      </c>
      <c r="Q25" s="54">
        <f t="shared" si="13"/>
        <v>54.696305078416707</v>
      </c>
      <c r="R25" s="54">
        <f t="shared" si="13"/>
        <v>53.994374540490774</v>
      </c>
      <c r="S25" s="54">
        <f t="shared" si="13"/>
        <v>52.988358551998985</v>
      </c>
      <c r="T25" s="54">
        <f t="shared" si="13"/>
        <v>51.888692381579531</v>
      </c>
      <c r="U25" s="54">
        <f t="shared" si="13"/>
        <v>51.0625351180378</v>
      </c>
      <c r="V25" s="54">
        <f t="shared" si="13"/>
        <v>51.68451729267386</v>
      </c>
      <c r="W25" s="54">
        <f t="shared" si="13"/>
        <v>50.891752348563521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</v>
      </c>
      <c r="C26" s="55">
        <f t="shared" si="14"/>
        <v>900</v>
      </c>
      <c r="D26" s="55">
        <f t="shared" ref="D26:W26" si="15">D9*1000/D8</f>
        <v>899.99999999999989</v>
      </c>
      <c r="E26" s="55">
        <f t="shared" si="15"/>
        <v>899.99999999999989</v>
      </c>
      <c r="F26" s="55">
        <f t="shared" si="15"/>
        <v>899.99999999999989</v>
      </c>
      <c r="G26" s="55">
        <f t="shared" si="15"/>
        <v>900</v>
      </c>
      <c r="H26" s="55">
        <f t="shared" si="15"/>
        <v>900.00000000000011</v>
      </c>
      <c r="I26" s="55">
        <f t="shared" si="15"/>
        <v>900</v>
      </c>
      <c r="J26" s="55">
        <f t="shared" si="15"/>
        <v>900</v>
      </c>
      <c r="K26" s="55">
        <f t="shared" si="15"/>
        <v>900.00000000000011</v>
      </c>
      <c r="L26" s="55">
        <f t="shared" si="15"/>
        <v>900</v>
      </c>
      <c r="M26" s="55">
        <f t="shared" si="15"/>
        <v>900</v>
      </c>
      <c r="N26" s="55">
        <f t="shared" si="15"/>
        <v>900.00000000000011</v>
      </c>
      <c r="O26" s="55">
        <f t="shared" si="15"/>
        <v>900</v>
      </c>
      <c r="P26" s="55">
        <f t="shared" si="15"/>
        <v>900</v>
      </c>
      <c r="Q26" s="55">
        <f t="shared" si="15"/>
        <v>899.99999999999989</v>
      </c>
      <c r="R26" s="55">
        <f t="shared" si="15"/>
        <v>900</v>
      </c>
      <c r="S26" s="55">
        <f t="shared" si="15"/>
        <v>900</v>
      </c>
      <c r="T26" s="55">
        <f t="shared" si="15"/>
        <v>900</v>
      </c>
      <c r="U26" s="55">
        <f t="shared" si="15"/>
        <v>900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900.00000000000011</v>
      </c>
      <c r="D27" s="57">
        <f t="shared" ref="D27:W27" si="17">IF(SUM(D11)=0,"",D11*1000/D10)</f>
        <v>900.00000000000011</v>
      </c>
      <c r="E27" s="57">
        <f t="shared" si="17"/>
        <v>899.99999999999989</v>
      </c>
      <c r="F27" s="57">
        <f t="shared" si="17"/>
        <v>900</v>
      </c>
      <c r="G27" s="57">
        <f t="shared" si="17"/>
        <v>899.99999999999989</v>
      </c>
      <c r="H27" s="57">
        <f t="shared" si="17"/>
        <v>900.00000000000011</v>
      </c>
      <c r="I27" s="57">
        <f t="shared" si="17"/>
        <v>900.00000000000011</v>
      </c>
      <c r="J27" s="57">
        <f t="shared" si="17"/>
        <v>900</v>
      </c>
      <c r="K27" s="57">
        <f t="shared" si="17"/>
        <v>899.99999999999989</v>
      </c>
      <c r="L27" s="57">
        <f t="shared" si="17"/>
        <v>900.00000000000011</v>
      </c>
      <c r="M27" s="57">
        <f t="shared" si="17"/>
        <v>900</v>
      </c>
      <c r="N27" s="57">
        <f t="shared" si="17"/>
        <v>900.00000000000011</v>
      </c>
      <c r="O27" s="57">
        <f t="shared" si="17"/>
        <v>900</v>
      </c>
      <c r="P27" s="57">
        <f t="shared" si="17"/>
        <v>900</v>
      </c>
      <c r="Q27" s="57">
        <f t="shared" si="17"/>
        <v>900.00000000000011</v>
      </c>
      <c r="R27" s="57">
        <f t="shared" si="17"/>
        <v>900</v>
      </c>
      <c r="S27" s="57">
        <f t="shared" si="17"/>
        <v>900</v>
      </c>
      <c r="T27" s="57">
        <f t="shared" si="17"/>
        <v>899.99999999999989</v>
      </c>
      <c r="U27" s="57">
        <f t="shared" si="17"/>
        <v>900</v>
      </c>
      <c r="V27" s="57">
        <f t="shared" si="17"/>
        <v>900</v>
      </c>
      <c r="W27" s="57">
        <f t="shared" si="17"/>
        <v>899.99999999999989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6414.3311154743151</v>
      </c>
      <c r="C31" s="80">
        <f t="shared" ref="C31:W31" si="18">SUM(C32:C33,C36:C37,C44:C45)</f>
        <v>6778.5153832771557</v>
      </c>
      <c r="D31" s="80">
        <f t="shared" si="18"/>
        <v>6726.755357487611</v>
      </c>
      <c r="E31" s="80">
        <f t="shared" si="18"/>
        <v>7016.633810562842</v>
      </c>
      <c r="F31" s="80">
        <f t="shared" si="18"/>
        <v>7476.2871195814405</v>
      </c>
      <c r="G31" s="80">
        <f t="shared" si="18"/>
        <v>7113.0607198896141</v>
      </c>
      <c r="H31" s="80">
        <f t="shared" si="18"/>
        <v>7250.5693884638204</v>
      </c>
      <c r="I31" s="80">
        <f t="shared" si="18"/>
        <v>6963.3537571908219</v>
      </c>
      <c r="J31" s="80">
        <f t="shared" si="18"/>
        <v>7271.1515658033086</v>
      </c>
      <c r="K31" s="80">
        <f t="shared" si="18"/>
        <v>7482.6247849802721</v>
      </c>
      <c r="L31" s="80">
        <f t="shared" si="18"/>
        <v>8036.8422480862409</v>
      </c>
      <c r="M31" s="80">
        <f t="shared" si="18"/>
        <v>7152.8663428876098</v>
      </c>
      <c r="N31" s="80">
        <f t="shared" si="18"/>
        <v>7429.028334879511</v>
      </c>
      <c r="O31" s="80">
        <f t="shared" si="18"/>
        <v>7431.7856354255491</v>
      </c>
      <c r="P31" s="80">
        <f t="shared" si="18"/>
        <v>6534.5755742558349</v>
      </c>
      <c r="Q31" s="80">
        <f t="shared" si="18"/>
        <v>6818.5318565145772</v>
      </c>
      <c r="R31" s="80">
        <f t="shared" si="18"/>
        <v>6825.0667379552306</v>
      </c>
      <c r="S31" s="80">
        <f t="shared" si="18"/>
        <v>6928.4180817193746</v>
      </c>
      <c r="T31" s="80">
        <f t="shared" si="18"/>
        <v>6888.4937935286434</v>
      </c>
      <c r="U31" s="80">
        <f t="shared" si="18"/>
        <v>6690.789225844348</v>
      </c>
      <c r="V31" s="80">
        <f t="shared" si="18"/>
        <v>6308.0687684425484</v>
      </c>
      <c r="W31" s="80">
        <f t="shared" si="18"/>
        <v>6511.2959703989709</v>
      </c>
      <c r="DA31" s="103" t="s">
        <v>198</v>
      </c>
    </row>
    <row r="32" spans="1:105" ht="12" customHeight="1" x14ac:dyDescent="0.25">
      <c r="A32" s="58" t="s">
        <v>29</v>
      </c>
      <c r="B32" s="59">
        <v>0.47773000859845233</v>
      </c>
      <c r="C32" s="59">
        <v>0.47773000859845233</v>
      </c>
      <c r="D32" s="59">
        <v>0.47773000859845233</v>
      </c>
      <c r="E32" s="59">
        <v>0.95537403267411869</v>
      </c>
      <c r="F32" s="59">
        <v>0.47773000859845233</v>
      </c>
      <c r="G32" s="59">
        <v>0.95537403267411869</v>
      </c>
      <c r="H32" s="59">
        <v>0.95537403267411869</v>
      </c>
      <c r="I32" s="59">
        <v>2.3884780739466889</v>
      </c>
      <c r="J32" s="59">
        <v>3.3438521066208078</v>
      </c>
      <c r="K32" s="59">
        <v>3.8214961306964752</v>
      </c>
      <c r="L32" s="59">
        <v>3.8214961306964752</v>
      </c>
      <c r="M32" s="59">
        <v>3.8214961306964752</v>
      </c>
      <c r="N32" s="59">
        <v>3.8214961306964752</v>
      </c>
      <c r="O32" s="59">
        <v>2.3884780739466889</v>
      </c>
      <c r="P32" s="59">
        <v>0.95537403267411869</v>
      </c>
      <c r="Q32" s="59">
        <v>4.7675838349097157</v>
      </c>
      <c r="R32" s="59">
        <v>5.6080825451418743</v>
      </c>
      <c r="S32" s="59">
        <v>5.6158211521926047</v>
      </c>
      <c r="T32" s="59">
        <v>5.3315563198624236</v>
      </c>
      <c r="U32" s="59">
        <v>3.7436801375752351</v>
      </c>
      <c r="V32" s="59">
        <v>4.347463456577815</v>
      </c>
      <c r="W32" s="59">
        <v>2.8107480653482364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315.4352536543422</v>
      </c>
      <c r="C33" s="55">
        <f t="shared" ref="C33:W33" si="19">SUM(C34:C35)</f>
        <v>312.40619088564063</v>
      </c>
      <c r="D33" s="55">
        <f t="shared" si="19"/>
        <v>322.04780739466901</v>
      </c>
      <c r="E33" s="55">
        <f t="shared" si="19"/>
        <v>321.80937231298373</v>
      </c>
      <c r="F33" s="55">
        <f t="shared" si="19"/>
        <v>316.95546001719686</v>
      </c>
      <c r="G33" s="55">
        <f t="shared" si="19"/>
        <v>321.06835769561474</v>
      </c>
      <c r="H33" s="55">
        <f t="shared" si="19"/>
        <v>327.77377472055025</v>
      </c>
      <c r="I33" s="55">
        <f t="shared" si="19"/>
        <v>300.41478933791916</v>
      </c>
      <c r="J33" s="55">
        <f t="shared" si="19"/>
        <v>289.51444539982805</v>
      </c>
      <c r="K33" s="55">
        <f t="shared" si="19"/>
        <v>297.5309544282029</v>
      </c>
      <c r="L33" s="55">
        <f t="shared" si="19"/>
        <v>344.41315563198629</v>
      </c>
      <c r="M33" s="55">
        <f t="shared" si="19"/>
        <v>301.98675838349095</v>
      </c>
      <c r="N33" s="55">
        <f t="shared" si="19"/>
        <v>309.66466036113496</v>
      </c>
      <c r="O33" s="55">
        <f t="shared" si="19"/>
        <v>310.59638865004302</v>
      </c>
      <c r="P33" s="55">
        <f t="shared" si="19"/>
        <v>265.7895098882201</v>
      </c>
      <c r="Q33" s="55">
        <f t="shared" si="19"/>
        <v>287.52708512467751</v>
      </c>
      <c r="R33" s="55">
        <f t="shared" si="19"/>
        <v>280.71642304385205</v>
      </c>
      <c r="S33" s="55">
        <f t="shared" si="19"/>
        <v>288.66104901117802</v>
      </c>
      <c r="T33" s="55">
        <f t="shared" si="19"/>
        <v>311.75511607910573</v>
      </c>
      <c r="U33" s="55">
        <f t="shared" si="19"/>
        <v>351.61263972484949</v>
      </c>
      <c r="V33" s="55">
        <f t="shared" si="19"/>
        <v>306.12295786758386</v>
      </c>
      <c r="W33" s="55">
        <f t="shared" si="19"/>
        <v>299.60292347377469</v>
      </c>
      <c r="DA33" s="101"/>
    </row>
    <row r="34" spans="1:105" ht="12" customHeight="1" x14ac:dyDescent="0.25">
      <c r="A34" s="61" t="s">
        <v>52</v>
      </c>
      <c r="B34" s="55">
        <v>42.099999999999987</v>
      </c>
      <c r="C34" s="55">
        <v>48.576956147893377</v>
      </c>
      <c r="D34" s="55">
        <v>55.053912295786759</v>
      </c>
      <c r="E34" s="55">
        <v>50.735941530524499</v>
      </c>
      <c r="F34" s="55">
        <v>57.212897678417868</v>
      </c>
      <c r="G34" s="55">
        <v>56.133361994840932</v>
      </c>
      <c r="H34" s="55">
        <v>71.246173688736022</v>
      </c>
      <c r="I34" s="55">
        <v>35.62312983662941</v>
      </c>
      <c r="J34" s="55">
        <v>29.146173688736031</v>
      </c>
      <c r="K34" s="55">
        <v>46.417970765262247</v>
      </c>
      <c r="L34" s="55">
        <v>56.133361994840932</v>
      </c>
      <c r="M34" s="55">
        <v>31.30515907136715</v>
      </c>
      <c r="N34" s="55">
        <v>42.099999999999987</v>
      </c>
      <c r="O34" s="55">
        <v>39.941014617368872</v>
      </c>
      <c r="P34" s="55">
        <v>6.4769561478933788</v>
      </c>
      <c r="Q34" s="55">
        <v>48.35270851246775</v>
      </c>
      <c r="R34" s="55">
        <v>47.395098882201196</v>
      </c>
      <c r="S34" s="55">
        <v>56.952880481513319</v>
      </c>
      <c r="T34" s="55">
        <v>86.48245915735167</v>
      </c>
      <c r="U34" s="55">
        <v>116.3391229578676</v>
      </c>
      <c r="V34" s="55">
        <v>86.732932072226987</v>
      </c>
      <c r="W34" s="55">
        <v>79.277901977644021</v>
      </c>
      <c r="DA34" s="101" t="s">
        <v>200</v>
      </c>
    </row>
    <row r="35" spans="1:105" ht="12" customHeight="1" x14ac:dyDescent="0.25">
      <c r="A35" s="61" t="s">
        <v>170</v>
      </c>
      <c r="B35" s="55">
        <v>273.33525365434224</v>
      </c>
      <c r="C35" s="55">
        <v>263.82923473774724</v>
      </c>
      <c r="D35" s="55">
        <v>266.99389509888226</v>
      </c>
      <c r="E35" s="55">
        <v>271.07343078245924</v>
      </c>
      <c r="F35" s="55">
        <v>259.74256233877901</v>
      </c>
      <c r="G35" s="55">
        <v>264.93499570077381</v>
      </c>
      <c r="H35" s="55">
        <v>256.52760103181424</v>
      </c>
      <c r="I35" s="55">
        <v>264.79165950128976</v>
      </c>
      <c r="J35" s="55">
        <v>260.36827171109201</v>
      </c>
      <c r="K35" s="55">
        <v>251.11298366294065</v>
      </c>
      <c r="L35" s="55">
        <v>288.27979363714536</v>
      </c>
      <c r="M35" s="55">
        <v>270.68159931212381</v>
      </c>
      <c r="N35" s="55">
        <v>267.564660361135</v>
      </c>
      <c r="O35" s="55">
        <v>270.65537403267416</v>
      </c>
      <c r="P35" s="55">
        <v>259.31255374032673</v>
      </c>
      <c r="Q35" s="55">
        <v>239.17437661220976</v>
      </c>
      <c r="R35" s="55">
        <v>233.32132416165086</v>
      </c>
      <c r="S35" s="55">
        <v>231.7081685296647</v>
      </c>
      <c r="T35" s="55">
        <v>225.27265692175405</v>
      </c>
      <c r="U35" s="55">
        <v>235.27351676698188</v>
      </c>
      <c r="V35" s="55">
        <v>219.39002579535688</v>
      </c>
      <c r="W35" s="55">
        <v>220.32502149613066</v>
      </c>
      <c r="DA35" s="101" t="s">
        <v>201</v>
      </c>
    </row>
    <row r="36" spans="1:105" ht="12" customHeight="1" x14ac:dyDescent="0.25">
      <c r="A36" s="60" t="s">
        <v>153</v>
      </c>
      <c r="B36" s="55">
        <v>3227.3323301805672</v>
      </c>
      <c r="C36" s="55">
        <v>3475.0528804815131</v>
      </c>
      <c r="D36" s="55">
        <v>3269.0346517626831</v>
      </c>
      <c r="E36" s="55">
        <v>3507.8558899398108</v>
      </c>
      <c r="F36" s="55">
        <v>3864.8624247635421</v>
      </c>
      <c r="G36" s="55">
        <v>3523.118056749785</v>
      </c>
      <c r="H36" s="55">
        <v>3525.5471195184859</v>
      </c>
      <c r="I36" s="55">
        <v>3150.591401547721</v>
      </c>
      <c r="J36" s="55">
        <v>3436.0375752364571</v>
      </c>
      <c r="K36" s="55">
        <v>3535.3278589853821</v>
      </c>
      <c r="L36" s="55">
        <v>4040.8722269991404</v>
      </c>
      <c r="M36" s="55">
        <v>3226.8379191745485</v>
      </c>
      <c r="N36" s="55">
        <v>3638.5089423903696</v>
      </c>
      <c r="O36" s="55">
        <v>3651.8150472914867</v>
      </c>
      <c r="P36" s="55">
        <v>2891.6068787618224</v>
      </c>
      <c r="Q36" s="55">
        <v>3116.8085124677559</v>
      </c>
      <c r="R36" s="55">
        <v>3130.2362854686157</v>
      </c>
      <c r="S36" s="55">
        <v>3105.9494411006017</v>
      </c>
      <c r="T36" s="55">
        <v>3007.6519346517616</v>
      </c>
      <c r="U36" s="55">
        <v>2777.7431642304382</v>
      </c>
      <c r="V36" s="55">
        <v>2498.2137575236461</v>
      </c>
      <c r="W36" s="55">
        <v>2726.1655202063625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113.14127257093722</v>
      </c>
      <c r="C37" s="55">
        <f t="shared" ref="C37:W37" si="20">SUM(C38:C42)</f>
        <v>136.30928632846087</v>
      </c>
      <c r="D37" s="55">
        <f t="shared" si="20"/>
        <v>132.03404987102323</v>
      </c>
      <c r="E37" s="55">
        <f t="shared" si="20"/>
        <v>126.42115219260533</v>
      </c>
      <c r="F37" s="55">
        <f t="shared" si="20"/>
        <v>136.19002579535683</v>
      </c>
      <c r="G37" s="55">
        <f t="shared" si="20"/>
        <v>131.98632846087702</v>
      </c>
      <c r="H37" s="55">
        <f t="shared" si="20"/>
        <v>145.67196904557179</v>
      </c>
      <c r="I37" s="55">
        <f t="shared" si="20"/>
        <v>148.82484952708512</v>
      </c>
      <c r="J37" s="55">
        <f t="shared" si="20"/>
        <v>170.17764402407562</v>
      </c>
      <c r="K37" s="55">
        <f t="shared" si="20"/>
        <v>163.41840068787616</v>
      </c>
      <c r="L37" s="55">
        <f t="shared" si="20"/>
        <v>172.44677558039552</v>
      </c>
      <c r="M37" s="55">
        <f t="shared" si="20"/>
        <v>161.19716251074806</v>
      </c>
      <c r="N37" s="55">
        <f t="shared" si="20"/>
        <v>159.71616509028374</v>
      </c>
      <c r="O37" s="55">
        <f t="shared" si="20"/>
        <v>159.07136715391229</v>
      </c>
      <c r="P37" s="55">
        <f t="shared" si="20"/>
        <v>163.01220980223559</v>
      </c>
      <c r="Q37" s="55">
        <f t="shared" si="20"/>
        <v>145.75614789337916</v>
      </c>
      <c r="R37" s="55">
        <f t="shared" si="20"/>
        <v>146.65219260533101</v>
      </c>
      <c r="S37" s="55">
        <f t="shared" si="20"/>
        <v>178.42106620808249</v>
      </c>
      <c r="T37" s="55">
        <f t="shared" si="20"/>
        <v>199.88022355975929</v>
      </c>
      <c r="U37" s="55">
        <f t="shared" si="20"/>
        <v>217.45941530524502</v>
      </c>
      <c r="V37" s="55">
        <f t="shared" si="20"/>
        <v>221.92631126397245</v>
      </c>
      <c r="W37" s="55">
        <f t="shared" si="20"/>
        <v>205.3824591573516</v>
      </c>
      <c r="DA37" s="101"/>
    </row>
    <row r="38" spans="1:105" ht="12" customHeight="1" x14ac:dyDescent="0.25">
      <c r="A38" s="61" t="s">
        <v>171</v>
      </c>
      <c r="B38" s="55">
        <v>74.734823731728284</v>
      </c>
      <c r="C38" s="55">
        <v>95.968271711091987</v>
      </c>
      <c r="D38" s="55">
        <v>93.149957007738635</v>
      </c>
      <c r="E38" s="55">
        <v>89.208942390369742</v>
      </c>
      <c r="F38" s="55">
        <v>97.90300945829749</v>
      </c>
      <c r="G38" s="55">
        <v>95.299570077386051</v>
      </c>
      <c r="H38" s="55">
        <v>109.74961306964747</v>
      </c>
      <c r="I38" s="55">
        <v>114.26388650042992</v>
      </c>
      <c r="J38" s="55">
        <v>134.37472055030091</v>
      </c>
      <c r="K38" s="55">
        <v>125.56130696474632</v>
      </c>
      <c r="L38" s="55">
        <v>131.96233877901977</v>
      </c>
      <c r="M38" s="55">
        <v>119.11246775580395</v>
      </c>
      <c r="N38" s="55">
        <v>116.17463456577815</v>
      </c>
      <c r="O38" s="55">
        <v>112.63972484952707</v>
      </c>
      <c r="P38" s="55">
        <v>112.16190885640583</v>
      </c>
      <c r="Q38" s="55">
        <v>104.8627687016337</v>
      </c>
      <c r="R38" s="55">
        <v>104.46139294926911</v>
      </c>
      <c r="S38" s="55">
        <v>136.21564918314698</v>
      </c>
      <c r="T38" s="55">
        <v>148.63241616509032</v>
      </c>
      <c r="U38" s="55">
        <v>163.93301805674975</v>
      </c>
      <c r="V38" s="55">
        <v>168.29561478933789</v>
      </c>
      <c r="W38" s="55">
        <v>158.69002579535677</v>
      </c>
      <c r="DA38" s="101" t="s">
        <v>203</v>
      </c>
    </row>
    <row r="39" spans="1:105" ht="12" customHeight="1" x14ac:dyDescent="0.25">
      <c r="A39" s="61" t="s">
        <v>50</v>
      </c>
      <c r="B39" s="55">
        <v>36.232932072226987</v>
      </c>
      <c r="C39" s="55">
        <v>37.90481513327601</v>
      </c>
      <c r="D39" s="55">
        <v>36.137403267411862</v>
      </c>
      <c r="E39" s="55">
        <v>34.226655202063633</v>
      </c>
      <c r="F39" s="55">
        <v>35.062596732588133</v>
      </c>
      <c r="G39" s="55">
        <v>33.247377472055028</v>
      </c>
      <c r="H39" s="55">
        <v>32.315821152192598</v>
      </c>
      <c r="I39" s="55">
        <v>30.739466895958721</v>
      </c>
      <c r="J39" s="55">
        <v>31.766466036113499</v>
      </c>
      <c r="K39" s="55">
        <v>33.438435081685299</v>
      </c>
      <c r="L39" s="55">
        <v>35.731384350816853</v>
      </c>
      <c r="M39" s="55">
        <v>37.11668099742046</v>
      </c>
      <c r="N39" s="55">
        <v>38.430266552020633</v>
      </c>
      <c r="O39" s="55">
        <v>41.153138435081679</v>
      </c>
      <c r="P39" s="55">
        <v>45.45236457437661</v>
      </c>
      <c r="Q39" s="55">
        <v>35.471539122957857</v>
      </c>
      <c r="R39" s="55">
        <v>36.721238177128107</v>
      </c>
      <c r="S39" s="55">
        <v>36.759759243336198</v>
      </c>
      <c r="T39" s="55">
        <v>36.546431642304377</v>
      </c>
      <c r="U39" s="55">
        <v>38.193981083404992</v>
      </c>
      <c r="V39" s="55">
        <v>38.787360275150469</v>
      </c>
      <c r="W39" s="55">
        <v>32.33628546861565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9.1840068787618225</v>
      </c>
      <c r="U40" s="55">
        <v>9.6956147893379185</v>
      </c>
      <c r="V40" s="55">
        <v>9.2304385210662065</v>
      </c>
      <c r="W40" s="55">
        <v>8.7910576096302648</v>
      </c>
      <c r="DA40" s="101" t="s">
        <v>205</v>
      </c>
    </row>
    <row r="41" spans="1:105" ht="12" customHeight="1" x14ac:dyDescent="0.25">
      <c r="A41" s="61" t="s">
        <v>26</v>
      </c>
      <c r="B41" s="55">
        <v>2.1735167669819431</v>
      </c>
      <c r="C41" s="55">
        <v>2.4361994840928629</v>
      </c>
      <c r="D41" s="55">
        <v>2.7466895958727431</v>
      </c>
      <c r="E41" s="55">
        <v>2.9855546001719691</v>
      </c>
      <c r="F41" s="55">
        <v>3.224419604471195</v>
      </c>
      <c r="G41" s="55">
        <v>3.4393809114359408</v>
      </c>
      <c r="H41" s="55">
        <v>3.6065348237317281</v>
      </c>
      <c r="I41" s="55">
        <v>3.8214961306964752</v>
      </c>
      <c r="J41" s="55">
        <v>4.0364574376612206</v>
      </c>
      <c r="K41" s="55">
        <v>4.4186586414445399</v>
      </c>
      <c r="L41" s="55">
        <v>4.7530524505588989</v>
      </c>
      <c r="M41" s="55">
        <v>4.9680137575236456</v>
      </c>
      <c r="N41" s="55">
        <v>5.1112639724849522</v>
      </c>
      <c r="O41" s="55">
        <v>5.2785038693035249</v>
      </c>
      <c r="P41" s="55">
        <v>5.3979363714531381</v>
      </c>
      <c r="Q41" s="55">
        <v>5.4218400687876178</v>
      </c>
      <c r="R41" s="55">
        <v>5.469561478933791</v>
      </c>
      <c r="S41" s="55">
        <v>5.4456577815993112</v>
      </c>
      <c r="T41" s="55">
        <v>5.5173688736027513</v>
      </c>
      <c r="U41" s="55">
        <v>5.6368013757523636</v>
      </c>
      <c r="V41" s="55">
        <v>5.6128976784178848</v>
      </c>
      <c r="W41" s="55">
        <v>5.5650902837489236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2.4882201203783314</v>
      </c>
      <c r="C43" s="55">
        <v>3.1257093723129832</v>
      </c>
      <c r="D43" s="55">
        <v>4.1624247635425595</v>
      </c>
      <c r="E43" s="55">
        <v>5.2265692175408418</v>
      </c>
      <c r="F43" s="55">
        <v>8.0638865004299198</v>
      </c>
      <c r="G43" s="55">
        <v>11.609286328460872</v>
      </c>
      <c r="H43" s="55">
        <v>15.10128976784179</v>
      </c>
      <c r="I43" s="55">
        <v>20.923645743766127</v>
      </c>
      <c r="J43" s="55">
        <v>27.681083404987088</v>
      </c>
      <c r="K43" s="55">
        <v>35.07910576096306</v>
      </c>
      <c r="L43" s="55">
        <v>43.625795356835688</v>
      </c>
      <c r="M43" s="55">
        <v>52.376956147893424</v>
      </c>
      <c r="N43" s="55">
        <v>61.432330180567476</v>
      </c>
      <c r="O43" s="55">
        <v>71.856663800515904</v>
      </c>
      <c r="P43" s="55">
        <v>83.015391229578597</v>
      </c>
      <c r="Q43" s="55">
        <v>94.657695614789418</v>
      </c>
      <c r="R43" s="55">
        <v>106.50137575236464</v>
      </c>
      <c r="S43" s="55">
        <v>119.99389509888212</v>
      </c>
      <c r="T43" s="55">
        <v>136.44643164230462</v>
      </c>
      <c r="U43" s="55">
        <v>151.96835769561488</v>
      </c>
      <c r="V43" s="55">
        <v>169.06466036113542</v>
      </c>
      <c r="W43" s="55">
        <v>187.44711951848655</v>
      </c>
      <c r="DA43" s="101" t="s">
        <v>208</v>
      </c>
    </row>
    <row r="44" spans="1:105" ht="12" customHeight="1" x14ac:dyDescent="0.25">
      <c r="A44" s="60" t="s">
        <v>169</v>
      </c>
      <c r="B44" s="55">
        <v>282.4113499570077</v>
      </c>
      <c r="C44" s="55">
        <v>271.23336199484089</v>
      </c>
      <c r="D44" s="55">
        <v>387.79019776440242</v>
      </c>
      <c r="E44" s="55">
        <v>324.23327601031809</v>
      </c>
      <c r="F44" s="55">
        <v>325.69028374892508</v>
      </c>
      <c r="G44" s="55">
        <v>238.84591573516761</v>
      </c>
      <c r="H44" s="55">
        <v>273.66964746345661</v>
      </c>
      <c r="I44" s="55">
        <v>316.2558899398108</v>
      </c>
      <c r="J44" s="55">
        <v>286.35236457437662</v>
      </c>
      <c r="K44" s="55">
        <v>340.28374892519338</v>
      </c>
      <c r="L44" s="55">
        <v>306.20042992261392</v>
      </c>
      <c r="M44" s="55">
        <v>277.27618228718831</v>
      </c>
      <c r="N44" s="55">
        <v>164.13490971625109</v>
      </c>
      <c r="O44" s="55">
        <v>149.32648323301811</v>
      </c>
      <c r="P44" s="55">
        <v>146.67523645743759</v>
      </c>
      <c r="Q44" s="55">
        <v>140.848581255374</v>
      </c>
      <c r="R44" s="55">
        <v>148.36749785038691</v>
      </c>
      <c r="S44" s="55">
        <v>197.1519346517627</v>
      </c>
      <c r="T44" s="55">
        <v>183.40163370593291</v>
      </c>
      <c r="U44" s="55">
        <v>216.5573516766982</v>
      </c>
      <c r="V44" s="55">
        <v>215.47815993121239</v>
      </c>
      <c r="W44" s="55">
        <v>194.48297506448839</v>
      </c>
      <c r="DA44" s="101" t="s">
        <v>209</v>
      </c>
    </row>
    <row r="45" spans="1:105" ht="12" customHeight="1" x14ac:dyDescent="0.25">
      <c r="A45" s="62" t="s">
        <v>24</v>
      </c>
      <c r="B45" s="63">
        <v>2475.5331791028621</v>
      </c>
      <c r="C45" s="63">
        <v>2583.0359335781018</v>
      </c>
      <c r="D45" s="63">
        <v>2615.3709206862341</v>
      </c>
      <c r="E45" s="63">
        <v>2735.3587460744498</v>
      </c>
      <c r="F45" s="63">
        <v>2832.1111952478218</v>
      </c>
      <c r="G45" s="63">
        <v>2897.0866872154961</v>
      </c>
      <c r="H45" s="63">
        <v>2976.9515036830812</v>
      </c>
      <c r="I45" s="63">
        <v>3044.8783487643386</v>
      </c>
      <c r="J45" s="63">
        <v>3085.7256844619506</v>
      </c>
      <c r="K45" s="63">
        <v>3142.242325822921</v>
      </c>
      <c r="L45" s="63">
        <v>3169.0881638214082</v>
      </c>
      <c r="M45" s="63">
        <v>3181.7468244009369</v>
      </c>
      <c r="N45" s="63">
        <v>3153.1821611907753</v>
      </c>
      <c r="O45" s="63">
        <v>3158.5878710231423</v>
      </c>
      <c r="P45" s="63">
        <v>3066.536365313445</v>
      </c>
      <c r="Q45" s="63">
        <v>3122.8239459384804</v>
      </c>
      <c r="R45" s="63">
        <v>3113.4862564419027</v>
      </c>
      <c r="S45" s="63">
        <v>3152.6187695955578</v>
      </c>
      <c r="T45" s="63">
        <v>3180.4733292122219</v>
      </c>
      <c r="U45" s="63">
        <v>3123.6729747695417</v>
      </c>
      <c r="V45" s="63">
        <v>3061.9801183995564</v>
      </c>
      <c r="W45" s="63">
        <v>3082.8513444316459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6414.3311154743151</v>
      </c>
      <c r="C47" s="82">
        <f t="shared" ref="C47:W47" si="22">SUM(C48,C53)</f>
        <v>6778.5153832771557</v>
      </c>
      <c r="D47" s="82">
        <f t="shared" si="22"/>
        <v>6726.7553574876092</v>
      </c>
      <c r="E47" s="82">
        <f t="shared" si="22"/>
        <v>7016.6338105628402</v>
      </c>
      <c r="F47" s="82">
        <f t="shared" si="22"/>
        <v>7476.2871195814423</v>
      </c>
      <c r="G47" s="82">
        <f t="shared" si="22"/>
        <v>7113.0607198896141</v>
      </c>
      <c r="H47" s="82">
        <f t="shared" si="22"/>
        <v>7250.5693884638204</v>
      </c>
      <c r="I47" s="82">
        <f t="shared" si="22"/>
        <v>6963.35375719082</v>
      </c>
      <c r="J47" s="82">
        <f t="shared" si="22"/>
        <v>7271.1515658033095</v>
      </c>
      <c r="K47" s="82">
        <f t="shared" si="22"/>
        <v>7482.6247849802721</v>
      </c>
      <c r="L47" s="82">
        <f t="shared" si="22"/>
        <v>8036.8422480862409</v>
      </c>
      <c r="M47" s="82">
        <f t="shared" si="22"/>
        <v>7152.866342887608</v>
      </c>
      <c r="N47" s="82">
        <f t="shared" si="22"/>
        <v>7429.0283348795119</v>
      </c>
      <c r="O47" s="82">
        <f t="shared" si="22"/>
        <v>7431.7856354255509</v>
      </c>
      <c r="P47" s="82">
        <f t="shared" si="22"/>
        <v>6534.575574255834</v>
      </c>
      <c r="Q47" s="82">
        <f t="shared" si="22"/>
        <v>6818.5318565145735</v>
      </c>
      <c r="R47" s="82">
        <f t="shared" si="22"/>
        <v>6825.0667379552278</v>
      </c>
      <c r="S47" s="82">
        <f t="shared" si="22"/>
        <v>6928.4180817193746</v>
      </c>
      <c r="T47" s="82">
        <f t="shared" si="22"/>
        <v>6888.4937935286462</v>
      </c>
      <c r="U47" s="82">
        <f t="shared" si="22"/>
        <v>6690.7892258443471</v>
      </c>
      <c r="V47" s="82">
        <f t="shared" si="22"/>
        <v>6308.0687684425529</v>
      </c>
      <c r="W47" s="82">
        <f t="shared" si="22"/>
        <v>6511.29597039897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5179.1721846411774</v>
      </c>
      <c r="C48" s="64">
        <f t="shared" ref="C48:W48" si="24">SUM(C49:C52)</f>
        <v>5494.593192160788</v>
      </c>
      <c r="D48" s="64">
        <f t="shared" si="24"/>
        <v>5397.58957597069</v>
      </c>
      <c r="E48" s="64">
        <f t="shared" si="24"/>
        <v>5643.3304412785892</v>
      </c>
      <c r="F48" s="64">
        <f t="shared" si="24"/>
        <v>6058.8245594034861</v>
      </c>
      <c r="G48" s="64">
        <f t="shared" si="24"/>
        <v>5643.2738518599099</v>
      </c>
      <c r="H48" s="64">
        <f t="shared" si="24"/>
        <v>5729.4282921080403</v>
      </c>
      <c r="I48" s="64">
        <f t="shared" si="24"/>
        <v>5388.2845138411712</v>
      </c>
      <c r="J48" s="64">
        <f t="shared" si="24"/>
        <v>5652.10989938497</v>
      </c>
      <c r="K48" s="64">
        <f t="shared" si="24"/>
        <v>5835.4718965641705</v>
      </c>
      <c r="L48" s="64">
        <f t="shared" si="24"/>
        <v>6351.7254858350861</v>
      </c>
      <c r="M48" s="64">
        <f t="shared" si="24"/>
        <v>5429.5519670911399</v>
      </c>
      <c r="N48" s="64">
        <f t="shared" si="24"/>
        <v>5691.5605254239881</v>
      </c>
      <c r="O48" s="64">
        <f t="shared" si="24"/>
        <v>5685.3247406252458</v>
      </c>
      <c r="P48" s="64">
        <f t="shared" si="24"/>
        <v>4750.5207913627628</v>
      </c>
      <c r="Q48" s="64">
        <f t="shared" si="24"/>
        <v>4954.6310364702895</v>
      </c>
      <c r="R48" s="64">
        <f t="shared" si="24"/>
        <v>4965.9069372135673</v>
      </c>
      <c r="S48" s="64">
        <f t="shared" si="24"/>
        <v>5050.5800973695686</v>
      </c>
      <c r="T48" s="64">
        <f t="shared" si="24"/>
        <v>5026.6143368780577</v>
      </c>
      <c r="U48" s="64">
        <f t="shared" si="24"/>
        <v>4838.4712220923802</v>
      </c>
      <c r="V48" s="64">
        <f t="shared" si="24"/>
        <v>4489.1457311085469</v>
      </c>
      <c r="W48" s="64">
        <f t="shared" si="24"/>
        <v>4702.3676373127346</v>
      </c>
      <c r="DA48" s="108" t="s">
        <v>212</v>
      </c>
    </row>
    <row r="49" spans="1:105" ht="12" customHeight="1" x14ac:dyDescent="0.25">
      <c r="A49" s="61" t="s">
        <v>32</v>
      </c>
      <c r="B49" s="65">
        <v>3751.3894592164529</v>
      </c>
      <c r="C49" s="65">
        <v>4056.7296597274608</v>
      </c>
      <c r="D49" s="65">
        <v>3945.6911554738072</v>
      </c>
      <c r="E49" s="65">
        <v>4183.8944569767373</v>
      </c>
      <c r="F49" s="65">
        <v>4598.0482454109479</v>
      </c>
      <c r="G49" s="65">
        <v>4172.4338875032736</v>
      </c>
      <c r="H49" s="65">
        <v>4242.0055211470881</v>
      </c>
      <c r="I49" s="65">
        <v>3894.221189287357</v>
      </c>
      <c r="J49" s="65">
        <v>4147.2460244526301</v>
      </c>
      <c r="K49" s="65">
        <v>4320.4977353482482</v>
      </c>
      <c r="L49" s="65">
        <v>4828.8983018259732</v>
      </c>
      <c r="M49" s="65">
        <v>3911.05139410535</v>
      </c>
      <c r="N49" s="65">
        <v>4172.1955219752108</v>
      </c>
      <c r="O49" s="65">
        <v>4168.9003694831827</v>
      </c>
      <c r="P49" s="65">
        <v>3240.2529445066893</v>
      </c>
      <c r="Q49" s="65">
        <v>3440.1094654043764</v>
      </c>
      <c r="R49" s="65">
        <v>3461.7448612543976</v>
      </c>
      <c r="S49" s="65">
        <v>3549.2705654333686</v>
      </c>
      <c r="T49" s="65">
        <v>3521.0430107040593</v>
      </c>
      <c r="U49" s="65">
        <v>3341.2906199673685</v>
      </c>
      <c r="V49" s="65">
        <v>3033.4966824096027</v>
      </c>
      <c r="W49" s="65">
        <v>3256.9523744456492</v>
      </c>
      <c r="DA49" s="109" t="s">
        <v>213</v>
      </c>
    </row>
    <row r="50" spans="1:105" ht="12" customHeight="1" x14ac:dyDescent="0.25">
      <c r="A50" s="61" t="s">
        <v>31</v>
      </c>
      <c r="B50" s="65">
        <v>41.606100465012041</v>
      </c>
      <c r="C50" s="65">
        <v>47.023383153874462</v>
      </c>
      <c r="D50" s="65">
        <v>51.049874244779396</v>
      </c>
      <c r="E50" s="65">
        <v>59.538535572745921</v>
      </c>
      <c r="F50" s="65">
        <v>58.443325930261764</v>
      </c>
      <c r="G50" s="65">
        <v>63.973757774474677</v>
      </c>
      <c r="H50" s="65">
        <v>77.027658607113992</v>
      </c>
      <c r="I50" s="65">
        <v>79.599082006804935</v>
      </c>
      <c r="J50" s="65">
        <v>85.839819489660982</v>
      </c>
      <c r="K50" s="65">
        <v>92.13873825952318</v>
      </c>
      <c r="L50" s="65">
        <v>99.555963507215367</v>
      </c>
      <c r="M50" s="65">
        <v>99.475155838602021</v>
      </c>
      <c r="N50" s="65">
        <v>100.90575907386231</v>
      </c>
      <c r="O50" s="65">
        <v>101.63054597960817</v>
      </c>
      <c r="P50" s="65">
        <v>100.74522497421512</v>
      </c>
      <c r="Q50" s="65">
        <v>104.87574573778016</v>
      </c>
      <c r="R50" s="65">
        <v>102.48985191371156</v>
      </c>
      <c r="S50" s="65">
        <v>100.90411184760656</v>
      </c>
      <c r="T50" s="65">
        <v>111.92024775375762</v>
      </c>
      <c r="U50" s="65">
        <v>112.84120350448372</v>
      </c>
      <c r="V50" s="65">
        <v>111.48779863931075</v>
      </c>
      <c r="W50" s="65">
        <v>100.97398476391946</v>
      </c>
      <c r="DA50" s="109" t="s">
        <v>214</v>
      </c>
    </row>
    <row r="51" spans="1:105" ht="12" customHeight="1" x14ac:dyDescent="0.25">
      <c r="A51" s="61" t="s">
        <v>35</v>
      </c>
      <c r="B51" s="65">
        <v>757.66110594033432</v>
      </c>
      <c r="C51" s="65">
        <v>756.88036124748032</v>
      </c>
      <c r="D51" s="65">
        <v>760.44598410518802</v>
      </c>
      <c r="E51" s="65">
        <v>753.33399215765121</v>
      </c>
      <c r="F51" s="65">
        <v>750.32233834281726</v>
      </c>
      <c r="G51" s="65">
        <v>746.11188136838393</v>
      </c>
      <c r="H51" s="65">
        <v>741.44082085399259</v>
      </c>
      <c r="I51" s="65">
        <v>736.17198512103505</v>
      </c>
      <c r="J51" s="65">
        <v>731.56496695506439</v>
      </c>
      <c r="K51" s="65">
        <v>729.99687580048032</v>
      </c>
      <c r="L51" s="65">
        <v>726.86966794209241</v>
      </c>
      <c r="M51" s="65">
        <v>723.79116864736955</v>
      </c>
      <c r="N51" s="65">
        <v>722.48855426558919</v>
      </c>
      <c r="O51" s="65">
        <v>715.41803962237952</v>
      </c>
      <c r="P51" s="65">
        <v>709.63955219644492</v>
      </c>
      <c r="Q51" s="65">
        <v>707.67814200097087</v>
      </c>
      <c r="R51" s="65">
        <v>701.97607959083018</v>
      </c>
      <c r="S51" s="65">
        <v>698.21800719364069</v>
      </c>
      <c r="T51" s="65">
        <v>691.56339537277722</v>
      </c>
      <c r="U51" s="65">
        <v>683.66176331598933</v>
      </c>
      <c r="V51" s="65">
        <v>657.59158221347025</v>
      </c>
      <c r="W51" s="65">
        <v>656.16603186595228</v>
      </c>
      <c r="DA51" s="109" t="s">
        <v>215</v>
      </c>
    </row>
    <row r="52" spans="1:105" ht="12" customHeight="1" x14ac:dyDescent="0.25">
      <c r="A52" s="66" t="s">
        <v>34</v>
      </c>
      <c r="B52" s="67">
        <v>628.51551901937819</v>
      </c>
      <c r="C52" s="67">
        <v>633.95978803197261</v>
      </c>
      <c r="D52" s="67">
        <v>640.40256214691567</v>
      </c>
      <c r="E52" s="67">
        <v>646.56345657145584</v>
      </c>
      <c r="F52" s="67">
        <v>652.01064971945902</v>
      </c>
      <c r="G52" s="67">
        <v>660.75432521377752</v>
      </c>
      <c r="H52" s="67">
        <v>668.95429149984557</v>
      </c>
      <c r="I52" s="67">
        <v>678.29225742597498</v>
      </c>
      <c r="J52" s="67">
        <v>687.45908848761383</v>
      </c>
      <c r="K52" s="67">
        <v>692.8385471559186</v>
      </c>
      <c r="L52" s="67">
        <v>696.40155255980551</v>
      </c>
      <c r="M52" s="67">
        <v>695.23424849981848</v>
      </c>
      <c r="N52" s="67">
        <v>695.97069010932591</v>
      </c>
      <c r="O52" s="67">
        <v>699.37578554007519</v>
      </c>
      <c r="P52" s="67">
        <v>699.88306968541326</v>
      </c>
      <c r="Q52" s="67">
        <v>701.96768332716215</v>
      </c>
      <c r="R52" s="67">
        <v>699.69614445462753</v>
      </c>
      <c r="S52" s="67">
        <v>702.18741289495279</v>
      </c>
      <c r="T52" s="67">
        <v>702.08768304746354</v>
      </c>
      <c r="U52" s="67">
        <v>700.67763530453874</v>
      </c>
      <c r="V52" s="67">
        <v>686.5696678461635</v>
      </c>
      <c r="W52" s="67">
        <v>688.27524623721411</v>
      </c>
      <c r="DA52" s="110" t="s">
        <v>216</v>
      </c>
    </row>
    <row r="53" spans="1:105" ht="12" customHeight="1" x14ac:dyDescent="0.25">
      <c r="A53" s="78" t="s">
        <v>33</v>
      </c>
      <c r="B53" s="68">
        <v>1235.1589308331374</v>
      </c>
      <c r="C53" s="68">
        <v>1283.9221911163681</v>
      </c>
      <c r="D53" s="68">
        <v>1329.165781516919</v>
      </c>
      <c r="E53" s="68">
        <v>1373.3033692842509</v>
      </c>
      <c r="F53" s="68">
        <v>1417.462560177956</v>
      </c>
      <c r="G53" s="68">
        <v>1469.7868680297042</v>
      </c>
      <c r="H53" s="68">
        <v>1521.1410963557798</v>
      </c>
      <c r="I53" s="68">
        <v>1575.0692433496492</v>
      </c>
      <c r="J53" s="68">
        <v>1619.041666418339</v>
      </c>
      <c r="K53" s="68">
        <v>1647.1528884161019</v>
      </c>
      <c r="L53" s="68">
        <v>1685.1167622511553</v>
      </c>
      <c r="M53" s="68">
        <v>1723.3143757964685</v>
      </c>
      <c r="N53" s="68">
        <v>1737.4678094555238</v>
      </c>
      <c r="O53" s="68">
        <v>1746.4608948003051</v>
      </c>
      <c r="P53" s="68">
        <v>1784.0547828930708</v>
      </c>
      <c r="Q53" s="68">
        <v>1863.900820044284</v>
      </c>
      <c r="R53" s="68">
        <v>1859.1598007416605</v>
      </c>
      <c r="S53" s="68">
        <v>1877.837984349806</v>
      </c>
      <c r="T53" s="68">
        <v>1861.8794566505885</v>
      </c>
      <c r="U53" s="68">
        <v>1852.3180037519669</v>
      </c>
      <c r="V53" s="68">
        <v>1818.923037334006</v>
      </c>
      <c r="W53" s="68">
        <v>1808.9283330862354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0.80743760984627588</v>
      </c>
      <c r="C56" s="70">
        <f t="shared" ref="C56:W56" si="28">IF(C48=0,0,C48/C$47)</f>
        <v>0.81058947003589454</v>
      </c>
      <c r="D56" s="70">
        <f t="shared" si="28"/>
        <v>0.80240610652840028</v>
      </c>
      <c r="E56" s="70">
        <f t="shared" si="28"/>
        <v>0.80427888837281492</v>
      </c>
      <c r="F56" s="70">
        <f t="shared" si="28"/>
        <v>0.81040554790018382</v>
      </c>
      <c r="G56" s="70">
        <f t="shared" si="28"/>
        <v>0.79336787271900111</v>
      </c>
      <c r="H56" s="70">
        <f t="shared" si="28"/>
        <v>0.79020391160230463</v>
      </c>
      <c r="I56" s="70">
        <f t="shared" si="28"/>
        <v>0.77380594204005104</v>
      </c>
      <c r="J56" s="70">
        <f t="shared" si="28"/>
        <v>0.77733352801600286</v>
      </c>
      <c r="K56" s="70">
        <f t="shared" si="28"/>
        <v>0.7798696398993038</v>
      </c>
      <c r="L56" s="70">
        <f t="shared" si="28"/>
        <v>0.79032601235237376</v>
      </c>
      <c r="M56" s="70">
        <f t="shared" si="28"/>
        <v>0.75907359467019386</v>
      </c>
      <c r="N56" s="70">
        <f t="shared" si="28"/>
        <v>0.76612448746519646</v>
      </c>
      <c r="O56" s="70">
        <f t="shared" si="28"/>
        <v>0.76500117462008832</v>
      </c>
      <c r="P56" s="70">
        <f t="shared" si="28"/>
        <v>0.72698230166291378</v>
      </c>
      <c r="Q56" s="70">
        <f t="shared" si="28"/>
        <v>0.72664191364546127</v>
      </c>
      <c r="R56" s="70">
        <f t="shared" si="28"/>
        <v>0.7275982972587518</v>
      </c>
      <c r="S56" s="70">
        <f t="shared" si="28"/>
        <v>0.72896583863718045</v>
      </c>
      <c r="T56" s="70">
        <f t="shared" si="28"/>
        <v>0.72971167392213954</v>
      </c>
      <c r="U56" s="70">
        <f t="shared" si="28"/>
        <v>0.7231540344153925</v>
      </c>
      <c r="V56" s="70">
        <f t="shared" si="28"/>
        <v>0.71165136207240587</v>
      </c>
      <c r="W56" s="70">
        <f t="shared" si="28"/>
        <v>0.72218612987187003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0.58484499656813427</v>
      </c>
      <c r="C57" s="71">
        <f t="shared" ref="C57:W57" si="30">IF(C49=0,0,C49/C$47)</f>
        <v>0.59846875463845084</v>
      </c>
      <c r="D57" s="71">
        <f t="shared" si="30"/>
        <v>0.58656676893739335</v>
      </c>
      <c r="E57" s="71">
        <f t="shared" si="30"/>
        <v>0.59628228719564969</v>
      </c>
      <c r="F57" s="71">
        <f t="shared" si="30"/>
        <v>0.61501761126428867</v>
      </c>
      <c r="G57" s="71">
        <f t="shared" si="30"/>
        <v>0.58658769435726466</v>
      </c>
      <c r="H57" s="71">
        <f t="shared" si="30"/>
        <v>0.58505826147894335</v>
      </c>
      <c r="I57" s="71">
        <f t="shared" si="30"/>
        <v>0.55924505993479456</v>
      </c>
      <c r="J57" s="71">
        <f t="shared" si="30"/>
        <v>0.57036990453580871</v>
      </c>
      <c r="K57" s="71">
        <f t="shared" si="30"/>
        <v>0.57740403394550799</v>
      </c>
      <c r="L57" s="71">
        <f t="shared" si="30"/>
        <v>0.6008452266156955</v>
      </c>
      <c r="M57" s="71">
        <f t="shared" si="30"/>
        <v>0.54678099752196141</v>
      </c>
      <c r="N57" s="71">
        <f t="shared" si="30"/>
        <v>0.56160716232385699</v>
      </c>
      <c r="O57" s="71">
        <f t="shared" si="30"/>
        <v>0.56095541152465811</v>
      </c>
      <c r="P57" s="71">
        <f t="shared" si="30"/>
        <v>0.49586280052713194</v>
      </c>
      <c r="Q57" s="71">
        <f t="shared" si="30"/>
        <v>0.5045234865504985</v>
      </c>
      <c r="R57" s="71">
        <f t="shared" si="30"/>
        <v>0.50721040455225308</v>
      </c>
      <c r="S57" s="71">
        <f t="shared" si="30"/>
        <v>0.51227719279789363</v>
      </c>
      <c r="T57" s="71">
        <f t="shared" si="30"/>
        <v>0.51114846238402389</v>
      </c>
      <c r="U57" s="71">
        <f t="shared" si="30"/>
        <v>0.4993866204992749</v>
      </c>
      <c r="V57" s="71">
        <f t="shared" si="30"/>
        <v>0.48089150479546305</v>
      </c>
      <c r="W57" s="71">
        <f t="shared" si="30"/>
        <v>0.50020032713181739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6.4864285481987362E-3</v>
      </c>
      <c r="C58" s="72">
        <f t="shared" ref="C58:W58" si="32">IF(C50=0,0,C50/C$47)</f>
        <v>6.9371212566519888E-3</v>
      </c>
      <c r="D58" s="72">
        <f t="shared" si="32"/>
        <v>7.5890784682626135E-3</v>
      </c>
      <c r="E58" s="72">
        <f t="shared" si="32"/>
        <v>8.4853417151564345E-3</v>
      </c>
      <c r="F58" s="72">
        <f t="shared" si="32"/>
        <v>7.8171591052449696E-3</v>
      </c>
      <c r="G58" s="72">
        <f t="shared" si="32"/>
        <v>8.9938439012042445E-3</v>
      </c>
      <c r="H58" s="72">
        <f t="shared" si="32"/>
        <v>1.0623670291283683E-2</v>
      </c>
      <c r="I58" s="72">
        <f t="shared" si="32"/>
        <v>1.1431141484748733E-2</v>
      </c>
      <c r="J58" s="72">
        <f t="shared" si="32"/>
        <v>1.1805532963082649E-2</v>
      </c>
      <c r="K58" s="72">
        <f t="shared" si="32"/>
        <v>1.2313692174498911E-2</v>
      </c>
      <c r="L58" s="72">
        <f t="shared" si="32"/>
        <v>1.238744776045865E-2</v>
      </c>
      <c r="M58" s="72">
        <f t="shared" si="32"/>
        <v>1.3907034057404736E-2</v>
      </c>
      <c r="N58" s="72">
        <f t="shared" si="32"/>
        <v>1.3582632145863105E-2</v>
      </c>
      <c r="O58" s="72">
        <f t="shared" si="32"/>
        <v>1.3675118062496256E-2</v>
      </c>
      <c r="P58" s="72">
        <f t="shared" si="32"/>
        <v>1.5417256075684475E-2</v>
      </c>
      <c r="Q58" s="72">
        <f t="shared" si="32"/>
        <v>1.538098639776532E-2</v>
      </c>
      <c r="R58" s="72">
        <f t="shared" si="32"/>
        <v>1.5016681279283323E-2</v>
      </c>
      <c r="S58" s="72">
        <f t="shared" si="32"/>
        <v>1.4563802394350591E-2</v>
      </c>
      <c r="T58" s="72">
        <f t="shared" si="32"/>
        <v>1.6247419408129599E-2</v>
      </c>
      <c r="U58" s="72">
        <f t="shared" si="32"/>
        <v>1.6865155917423727E-2</v>
      </c>
      <c r="V58" s="72">
        <f t="shared" si="32"/>
        <v>1.7673840081936332E-2</v>
      </c>
      <c r="W58" s="72">
        <f t="shared" si="32"/>
        <v>1.550750959915779E-2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0.11812004904338466</v>
      </c>
      <c r="C59" s="72">
        <f t="shared" ref="C59:W59" si="34">IF(C51=0,0,C51/C$47)</f>
        <v>0.111658721482691</v>
      </c>
      <c r="D59" s="72">
        <f t="shared" si="34"/>
        <v>0.1130479620102029</v>
      </c>
      <c r="E59" s="72">
        <f t="shared" si="34"/>
        <v>0.10736401706236717</v>
      </c>
      <c r="F59" s="72">
        <f t="shared" si="34"/>
        <v>0.10036028931762372</v>
      </c>
      <c r="G59" s="72">
        <f t="shared" si="34"/>
        <v>0.10489322539903226</v>
      </c>
      <c r="H59" s="72">
        <f t="shared" si="34"/>
        <v>0.10225966832807344</v>
      </c>
      <c r="I59" s="72">
        <f t="shared" si="34"/>
        <v>0.10572089409658603</v>
      </c>
      <c r="J59" s="72">
        <f t="shared" si="34"/>
        <v>0.10061198151825926</v>
      </c>
      <c r="K59" s="72">
        <f t="shared" si="34"/>
        <v>9.7558931094044551E-2</v>
      </c>
      <c r="L59" s="72">
        <f t="shared" si="34"/>
        <v>9.0442196761442842E-2</v>
      </c>
      <c r="M59" s="72">
        <f t="shared" si="34"/>
        <v>0.10118896872259681</v>
      </c>
      <c r="N59" s="72">
        <f t="shared" si="34"/>
        <v>9.7252092965305251E-2</v>
      </c>
      <c r="O59" s="72">
        <f t="shared" si="34"/>
        <v>9.6264622624763582E-2</v>
      </c>
      <c r="P59" s="72">
        <f t="shared" si="34"/>
        <v>0.10859765016601856</v>
      </c>
      <c r="Q59" s="72">
        <f t="shared" si="34"/>
        <v>0.10378746582005623</v>
      </c>
      <c r="R59" s="72">
        <f t="shared" si="34"/>
        <v>0.10285263229545216</v>
      </c>
      <c r="S59" s="72">
        <f t="shared" si="34"/>
        <v>0.10077596342459302</v>
      </c>
      <c r="T59" s="72">
        <f t="shared" si="34"/>
        <v>0.10039399266389153</v>
      </c>
      <c r="U59" s="72">
        <f t="shared" si="34"/>
        <v>0.10217953969842987</v>
      </c>
      <c r="V59" s="72">
        <f t="shared" si="34"/>
        <v>0.10424610230998291</v>
      </c>
      <c r="W59" s="72">
        <f t="shared" si="34"/>
        <v>0.10077349192064858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9.798613568655816E-2</v>
      </c>
      <c r="C60" s="73">
        <f t="shared" ref="C60:W60" si="36">IF(C52=0,0,C52/C$47)</f>
        <v>9.3524872658100694E-2</v>
      </c>
      <c r="D60" s="73">
        <f t="shared" si="36"/>
        <v>9.5202297112541495E-2</v>
      </c>
      <c r="E60" s="73">
        <f t="shared" si="36"/>
        <v>9.2147242399641727E-2</v>
      </c>
      <c r="F60" s="73">
        <f t="shared" si="36"/>
        <v>8.7210488213026474E-2</v>
      </c>
      <c r="G60" s="73">
        <f t="shared" si="36"/>
        <v>9.2893109061499987E-2</v>
      </c>
      <c r="H60" s="73">
        <f t="shared" si="36"/>
        <v>9.2262311504004102E-2</v>
      </c>
      <c r="I60" s="73">
        <f t="shared" si="36"/>
        <v>9.740884652392183E-2</v>
      </c>
      <c r="J60" s="73">
        <f t="shared" si="36"/>
        <v>9.4546108998852102E-2</v>
      </c>
      <c r="K60" s="73">
        <f t="shared" si="36"/>
        <v>9.2592982685252373E-2</v>
      </c>
      <c r="L60" s="73">
        <f t="shared" si="36"/>
        <v>8.665114121477685E-2</v>
      </c>
      <c r="M60" s="73">
        <f t="shared" si="36"/>
        <v>9.7196594368230957E-2</v>
      </c>
      <c r="N60" s="73">
        <f t="shared" si="36"/>
        <v>9.3682600030171176E-2</v>
      </c>
      <c r="O60" s="73">
        <f t="shared" si="36"/>
        <v>9.4106022408170314E-2</v>
      </c>
      <c r="P60" s="73">
        <f t="shared" si="36"/>
        <v>0.10710459489407877</v>
      </c>
      <c r="Q60" s="73">
        <f t="shared" si="36"/>
        <v>0.10294997487714118</v>
      </c>
      <c r="R60" s="73">
        <f t="shared" si="36"/>
        <v>0.10251857913176314</v>
      </c>
      <c r="S60" s="73">
        <f t="shared" si="36"/>
        <v>0.10134888002034313</v>
      </c>
      <c r="T60" s="73">
        <f t="shared" si="36"/>
        <v>0.10192179946609455</v>
      </c>
      <c r="U60" s="73">
        <f t="shared" si="36"/>
        <v>0.10472271830026396</v>
      </c>
      <c r="V60" s="73">
        <f t="shared" si="36"/>
        <v>0.10883991488502366</v>
      </c>
      <c r="W60" s="73">
        <f t="shared" si="36"/>
        <v>0.10570480122024634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0.19256239015372412</v>
      </c>
      <c r="C61" s="70">
        <f t="shared" ref="C61:W61" si="38">IF(C53=0,0,C53/C$47)</f>
        <v>0.18941052996410554</v>
      </c>
      <c r="D61" s="70">
        <f t="shared" si="38"/>
        <v>0.19759389347159967</v>
      </c>
      <c r="E61" s="70">
        <f t="shared" si="38"/>
        <v>0.19572111162718511</v>
      </c>
      <c r="F61" s="70">
        <f t="shared" si="38"/>
        <v>0.18959445209981612</v>
      </c>
      <c r="G61" s="70">
        <f t="shared" si="38"/>
        <v>0.20663212728099889</v>
      </c>
      <c r="H61" s="70">
        <f t="shared" si="38"/>
        <v>0.2097960883976954</v>
      </c>
      <c r="I61" s="70">
        <f t="shared" si="38"/>
        <v>0.22619405795994904</v>
      </c>
      <c r="J61" s="70">
        <f t="shared" si="38"/>
        <v>0.22266647198399706</v>
      </c>
      <c r="K61" s="70">
        <f t="shared" si="38"/>
        <v>0.2201303601006962</v>
      </c>
      <c r="L61" s="70">
        <f t="shared" si="38"/>
        <v>0.20967398764762624</v>
      </c>
      <c r="M61" s="70">
        <f t="shared" si="38"/>
        <v>0.24092640532980622</v>
      </c>
      <c r="N61" s="70">
        <f t="shared" si="38"/>
        <v>0.23387551253480351</v>
      </c>
      <c r="O61" s="70">
        <f t="shared" si="38"/>
        <v>0.23499882537991171</v>
      </c>
      <c r="P61" s="70">
        <f t="shared" si="38"/>
        <v>0.27301769833708617</v>
      </c>
      <c r="Q61" s="70">
        <f t="shared" si="38"/>
        <v>0.27335808635453873</v>
      </c>
      <c r="R61" s="70">
        <f t="shared" si="38"/>
        <v>0.2724017027412482</v>
      </c>
      <c r="S61" s="70">
        <f t="shared" si="38"/>
        <v>0.2710341613628196</v>
      </c>
      <c r="T61" s="70">
        <f t="shared" si="38"/>
        <v>0.27028832607786041</v>
      </c>
      <c r="U61" s="70">
        <f t="shared" si="38"/>
        <v>0.2768459655846075</v>
      </c>
      <c r="V61" s="70">
        <f t="shared" si="38"/>
        <v>0.28834863792759408</v>
      </c>
      <c r="W61" s="70">
        <f t="shared" si="38"/>
        <v>0.27781387012812997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8617.470078633105</v>
      </c>
      <c r="C65" s="80">
        <v>9217.462049177293</v>
      </c>
      <c r="D65" s="80">
        <v>8757.4860494769218</v>
      </c>
      <c r="E65" s="80">
        <v>9321.8292007239179</v>
      </c>
      <c r="F65" s="80">
        <v>10161.121542696081</v>
      </c>
      <c r="G65" s="80">
        <v>9382.3174217022752</v>
      </c>
      <c r="H65" s="80">
        <v>9426.1745550617143</v>
      </c>
      <c r="I65" s="80">
        <v>8483.0258950549232</v>
      </c>
      <c r="J65" s="80">
        <v>9152.0803101656311</v>
      </c>
      <c r="K65" s="80">
        <v>9409.6567681060569</v>
      </c>
      <c r="L65" s="80">
        <v>10743.043992129806</v>
      </c>
      <c r="M65" s="80">
        <v>8681.4720660474813</v>
      </c>
      <c r="N65" s="80">
        <v>9639.0081074538921</v>
      </c>
      <c r="O65" s="80">
        <v>9671.2222896707299</v>
      </c>
      <c r="P65" s="80">
        <v>7755.2812546134928</v>
      </c>
      <c r="Q65" s="80">
        <v>8331.5172413727105</v>
      </c>
      <c r="R65" s="80">
        <v>8339.9718438918626</v>
      </c>
      <c r="S65" s="80">
        <v>8290.0034858190647</v>
      </c>
      <c r="T65" s="80">
        <v>8142.8027123850543</v>
      </c>
      <c r="U65" s="80">
        <v>7704.4305584255781</v>
      </c>
      <c r="V65" s="80">
        <v>6916.2630274625635</v>
      </c>
      <c r="W65" s="80">
        <v>7424.6972091564348</v>
      </c>
      <c r="DA65" s="103" t="s">
        <v>218</v>
      </c>
    </row>
    <row r="66" spans="1:105" ht="12" customHeight="1" x14ac:dyDescent="0.25">
      <c r="A66" s="58" t="s">
        <v>29</v>
      </c>
      <c r="B66" s="59">
        <v>1.9501560000000011</v>
      </c>
      <c r="C66" s="59">
        <v>1.9501560000000011</v>
      </c>
      <c r="D66" s="59">
        <v>1.9501560000000011</v>
      </c>
      <c r="E66" s="59">
        <v>3.899961000000002</v>
      </c>
      <c r="F66" s="59">
        <v>1.9501560000000011</v>
      </c>
      <c r="G66" s="59">
        <v>3.899961000000002</v>
      </c>
      <c r="H66" s="59">
        <v>3.899961000000002</v>
      </c>
      <c r="I66" s="59">
        <v>9.750078000000002</v>
      </c>
      <c r="J66" s="59">
        <v>13.650039000000005</v>
      </c>
      <c r="K66" s="59">
        <v>15.59984400000001</v>
      </c>
      <c r="L66" s="59">
        <v>15.59984400000001</v>
      </c>
      <c r="M66" s="59">
        <v>15.59984400000001</v>
      </c>
      <c r="N66" s="59">
        <v>15.59984400000001</v>
      </c>
      <c r="O66" s="59">
        <v>9.750078000000002</v>
      </c>
      <c r="P66" s="59">
        <v>3.899961000000002</v>
      </c>
      <c r="Q66" s="59">
        <v>20.04191279999997</v>
      </c>
      <c r="R66" s="59">
        <v>23.435213399999974</v>
      </c>
      <c r="S66" s="59">
        <v>23.450007599999978</v>
      </c>
      <c r="T66" s="59">
        <v>22.277908799999974</v>
      </c>
      <c r="U66" s="59">
        <v>15.528871799999985</v>
      </c>
      <c r="V66" s="59">
        <v>18.30662819999997</v>
      </c>
      <c r="W66" s="59">
        <v>11.796121799999982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951.74208143999999</v>
      </c>
      <c r="C67" s="55">
        <f t="shared" ref="C67:W67" si="39">SUM(C68:C69)</f>
        <v>941.41100700000015</v>
      </c>
      <c r="D67" s="55">
        <f t="shared" si="39"/>
        <v>967.57479540000008</v>
      </c>
      <c r="E67" s="55">
        <f t="shared" si="39"/>
        <v>969.20650008000007</v>
      </c>
      <c r="F67" s="55">
        <f t="shared" si="39"/>
        <v>951.6035807999998</v>
      </c>
      <c r="G67" s="55">
        <f t="shared" si="39"/>
        <v>964.37120399999992</v>
      </c>
      <c r="H67" s="55">
        <f t="shared" si="39"/>
        <v>979.93664063999995</v>
      </c>
      <c r="I67" s="55">
        <f t="shared" si="39"/>
        <v>911.1766316400001</v>
      </c>
      <c r="J67" s="55">
        <f t="shared" si="39"/>
        <v>879.66565416000014</v>
      </c>
      <c r="K67" s="55">
        <f t="shared" si="39"/>
        <v>896.73352955999997</v>
      </c>
      <c r="L67" s="55">
        <f t="shared" si="39"/>
        <v>1037.4202479600003</v>
      </c>
      <c r="M67" s="55">
        <f t="shared" si="39"/>
        <v>917.99597735999998</v>
      </c>
      <c r="N67" s="55">
        <f t="shared" si="39"/>
        <v>937.13160239999991</v>
      </c>
      <c r="O67" s="55">
        <f t="shared" si="39"/>
        <v>941.00552424000011</v>
      </c>
      <c r="P67" s="55">
        <f t="shared" si="39"/>
        <v>817.31192904</v>
      </c>
      <c r="Q67" s="55">
        <f t="shared" si="39"/>
        <v>866.18866175999983</v>
      </c>
      <c r="R67" s="55">
        <f t="shared" si="39"/>
        <v>845.52277103999995</v>
      </c>
      <c r="S67" s="55">
        <f t="shared" si="39"/>
        <v>866.12507928000014</v>
      </c>
      <c r="T67" s="55">
        <f t="shared" si="39"/>
        <v>924.06518496000012</v>
      </c>
      <c r="U67" s="55">
        <f t="shared" si="39"/>
        <v>1033.75269108</v>
      </c>
      <c r="V67" s="55">
        <f t="shared" si="39"/>
        <v>906.41167524000002</v>
      </c>
      <c r="W67" s="55">
        <f t="shared" si="39"/>
        <v>889.30519128000003</v>
      </c>
      <c r="DA67" s="101"/>
    </row>
    <row r="68" spans="1:105" ht="12" customHeight="1" x14ac:dyDescent="0.25">
      <c r="A68" s="61" t="s">
        <v>52</v>
      </c>
      <c r="B68" s="55">
        <v>111.22276067999998</v>
      </c>
      <c r="C68" s="55">
        <v>128.33404200000001</v>
      </c>
      <c r="D68" s="55">
        <v>145.44532332000003</v>
      </c>
      <c r="E68" s="55">
        <v>134.03780244000001</v>
      </c>
      <c r="F68" s="55">
        <v>151.14908375999997</v>
      </c>
      <c r="G68" s="55">
        <v>148.29708996000002</v>
      </c>
      <c r="H68" s="55">
        <v>188.22318588000002</v>
      </c>
      <c r="I68" s="55">
        <v>94.111706520000027</v>
      </c>
      <c r="J68" s="55">
        <v>77.000425200000024</v>
      </c>
      <c r="K68" s="55">
        <v>122.63028156</v>
      </c>
      <c r="L68" s="55">
        <v>148.29708996000002</v>
      </c>
      <c r="M68" s="55">
        <v>82.704185640000006</v>
      </c>
      <c r="N68" s="55">
        <v>111.22276067999998</v>
      </c>
      <c r="O68" s="55">
        <v>105.51900024000001</v>
      </c>
      <c r="P68" s="55">
        <v>17.111281320000003</v>
      </c>
      <c r="Q68" s="55">
        <v>127.74160872</v>
      </c>
      <c r="R68" s="55">
        <v>125.21172780000001</v>
      </c>
      <c r="S68" s="55">
        <v>150.46215192</v>
      </c>
      <c r="T68" s="55">
        <v>228.47548356000001</v>
      </c>
      <c r="U68" s="55">
        <v>307.35293184000011</v>
      </c>
      <c r="V68" s="55">
        <v>229.13720064</v>
      </c>
      <c r="W68" s="55">
        <v>209.44197432000001</v>
      </c>
      <c r="DA68" s="101" t="s">
        <v>220</v>
      </c>
    </row>
    <row r="69" spans="1:105" ht="12" customHeight="1" x14ac:dyDescent="0.25">
      <c r="A69" s="61" t="s">
        <v>170</v>
      </c>
      <c r="B69" s="55">
        <v>840.51932076000003</v>
      </c>
      <c r="C69" s="55">
        <v>813.0769650000002</v>
      </c>
      <c r="D69" s="55">
        <v>822.12947208000003</v>
      </c>
      <c r="E69" s="55">
        <v>835.16869764000012</v>
      </c>
      <c r="F69" s="55">
        <v>800.45449703999986</v>
      </c>
      <c r="G69" s="55">
        <v>816.07411403999993</v>
      </c>
      <c r="H69" s="55">
        <v>791.71345475999988</v>
      </c>
      <c r="I69" s="55">
        <v>817.06492512000011</v>
      </c>
      <c r="J69" s="55">
        <v>802.66522896000015</v>
      </c>
      <c r="K69" s="55">
        <v>774.10324800000001</v>
      </c>
      <c r="L69" s="55">
        <v>889.12315800000033</v>
      </c>
      <c r="M69" s="55">
        <v>835.29179171999999</v>
      </c>
      <c r="N69" s="55">
        <v>825.90884171999994</v>
      </c>
      <c r="O69" s="55">
        <v>835.48652400000014</v>
      </c>
      <c r="P69" s="55">
        <v>800.20064772000001</v>
      </c>
      <c r="Q69" s="55">
        <v>738.44705303999979</v>
      </c>
      <c r="R69" s="55">
        <v>720.31104323999989</v>
      </c>
      <c r="S69" s="55">
        <v>715.66292736000014</v>
      </c>
      <c r="T69" s="55">
        <v>695.58970140000008</v>
      </c>
      <c r="U69" s="55">
        <v>726.39975923999987</v>
      </c>
      <c r="V69" s="55">
        <v>677.27447460000008</v>
      </c>
      <c r="W69" s="55">
        <v>679.86321696000005</v>
      </c>
      <c r="DA69" s="101" t="s">
        <v>221</v>
      </c>
    </row>
    <row r="70" spans="1:105" ht="12" customHeight="1" x14ac:dyDescent="0.25">
      <c r="A70" s="60" t="s">
        <v>153</v>
      </c>
      <c r="B70" s="55">
        <v>7580.3413950000004</v>
      </c>
      <c r="C70" s="55">
        <v>8162.1861354000002</v>
      </c>
      <c r="D70" s="55">
        <v>7678.291591080002</v>
      </c>
      <c r="E70" s="55">
        <v>8239.2336734400014</v>
      </c>
      <c r="F70" s="55">
        <v>9077.7687659999992</v>
      </c>
      <c r="G70" s="55">
        <v>8275.0813714800006</v>
      </c>
      <c r="H70" s="55">
        <v>8280.7867414799985</v>
      </c>
      <c r="I70" s="55">
        <v>7400.0927008799999</v>
      </c>
      <c r="J70" s="55">
        <v>8070.5471893200001</v>
      </c>
      <c r="K70" s="55">
        <v>8303.7596914799997</v>
      </c>
      <c r="L70" s="55">
        <v>9491.179674240002</v>
      </c>
      <c r="M70" s="55">
        <v>7579.1801250000008</v>
      </c>
      <c r="N70" s="55">
        <v>8546.1108836399999</v>
      </c>
      <c r="O70" s="55">
        <v>8577.3641936399999</v>
      </c>
      <c r="P70" s="55">
        <v>6791.79120048</v>
      </c>
      <c r="Q70" s="55">
        <v>7320.7436266800014</v>
      </c>
      <c r="R70" s="55">
        <v>7352.2827100800014</v>
      </c>
      <c r="S70" s="55">
        <v>7295.2378963200008</v>
      </c>
      <c r="T70" s="55">
        <v>7064.3572243199987</v>
      </c>
      <c r="U70" s="55">
        <v>6524.3486998799999</v>
      </c>
      <c r="V70" s="55">
        <v>5867.7914829600013</v>
      </c>
      <c r="W70" s="55">
        <v>6403.2033977999999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83.436446193105169</v>
      </c>
      <c r="C71" s="55">
        <f t="shared" ref="C71:W71" si="40">SUM(C72:C76)</f>
        <v>111.91475077729264</v>
      </c>
      <c r="D71" s="55">
        <f t="shared" si="40"/>
        <v>109.66950699691877</v>
      </c>
      <c r="E71" s="55">
        <f t="shared" si="40"/>
        <v>109.48906620391652</v>
      </c>
      <c r="F71" s="55">
        <f t="shared" si="40"/>
        <v>129.7990398960815</v>
      </c>
      <c r="G71" s="55">
        <f t="shared" si="40"/>
        <v>138.96488522227409</v>
      </c>
      <c r="H71" s="55">
        <f t="shared" si="40"/>
        <v>161.55121194171647</v>
      </c>
      <c r="I71" s="55">
        <f t="shared" si="40"/>
        <v>162.00648453492292</v>
      </c>
      <c r="J71" s="55">
        <f t="shared" si="40"/>
        <v>188.21742768563072</v>
      </c>
      <c r="K71" s="55">
        <f t="shared" si="40"/>
        <v>193.56370306605723</v>
      </c>
      <c r="L71" s="55">
        <f t="shared" si="40"/>
        <v>198.84422592980218</v>
      </c>
      <c r="M71" s="55">
        <f t="shared" si="40"/>
        <v>168.69611968748001</v>
      </c>
      <c r="N71" s="55">
        <f t="shared" si="40"/>
        <v>140.16577741389227</v>
      </c>
      <c r="O71" s="55">
        <f t="shared" si="40"/>
        <v>143.10249379073039</v>
      </c>
      <c r="P71" s="55">
        <f t="shared" si="40"/>
        <v>142.27816409349299</v>
      </c>
      <c r="Q71" s="55">
        <f t="shared" si="40"/>
        <v>124.54304013270796</v>
      </c>
      <c r="R71" s="55">
        <f t="shared" si="40"/>
        <v>118.73114937186091</v>
      </c>
      <c r="S71" s="55">
        <f t="shared" si="40"/>
        <v>105.19050261906382</v>
      </c>
      <c r="T71" s="55">
        <f t="shared" si="40"/>
        <v>132.10239430505629</v>
      </c>
      <c r="U71" s="55">
        <f t="shared" si="40"/>
        <v>130.80029566557835</v>
      </c>
      <c r="V71" s="55">
        <f t="shared" si="40"/>
        <v>123.75324106256184</v>
      </c>
      <c r="W71" s="55">
        <f t="shared" si="40"/>
        <v>120.39249827643479</v>
      </c>
      <c r="DA71" s="101"/>
    </row>
    <row r="72" spans="1:105" ht="12" customHeight="1" x14ac:dyDescent="0.25">
      <c r="A72" s="61" t="s">
        <v>171</v>
      </c>
      <c r="B72" s="55">
        <v>83.436446193105169</v>
      </c>
      <c r="C72" s="55">
        <v>111.91475077729264</v>
      </c>
      <c r="D72" s="55">
        <v>109.66950699691877</v>
      </c>
      <c r="E72" s="55">
        <v>109.48906620391652</v>
      </c>
      <c r="F72" s="55">
        <v>129.7990398960815</v>
      </c>
      <c r="G72" s="55">
        <v>138.96488522227409</v>
      </c>
      <c r="H72" s="55">
        <v>161.55121194171647</v>
      </c>
      <c r="I72" s="55">
        <v>162.00648453492292</v>
      </c>
      <c r="J72" s="55">
        <v>188.21742768563072</v>
      </c>
      <c r="K72" s="55">
        <v>193.56370306605723</v>
      </c>
      <c r="L72" s="55">
        <v>198.84422592980218</v>
      </c>
      <c r="M72" s="55">
        <v>168.69611968748001</v>
      </c>
      <c r="N72" s="55">
        <v>140.16577741389227</v>
      </c>
      <c r="O72" s="55">
        <v>143.10249379073039</v>
      </c>
      <c r="P72" s="55">
        <v>142.27816409349299</v>
      </c>
      <c r="Q72" s="55">
        <v>124.54304013270796</v>
      </c>
      <c r="R72" s="55">
        <v>118.73114937186091</v>
      </c>
      <c r="S72" s="55">
        <v>105.19050261906382</v>
      </c>
      <c r="T72" s="55">
        <v>132.10239430505629</v>
      </c>
      <c r="U72" s="55">
        <v>130.80029566557835</v>
      </c>
      <c r="V72" s="55">
        <v>123.75324106256184</v>
      </c>
      <c r="W72" s="55">
        <v>120.39249827643479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8617.470078633105</v>
      </c>
      <c r="C81" s="82">
        <f t="shared" ref="C81:W81" si="42">C82+C87</f>
        <v>9217.4620491772948</v>
      </c>
      <c r="D81" s="82">
        <f t="shared" si="42"/>
        <v>8757.48604947692</v>
      </c>
      <c r="E81" s="82">
        <f t="shared" si="42"/>
        <v>9321.8292007239161</v>
      </c>
      <c r="F81" s="82">
        <f t="shared" si="42"/>
        <v>10161.121542696081</v>
      </c>
      <c r="G81" s="82">
        <f t="shared" si="42"/>
        <v>9382.317421702277</v>
      </c>
      <c r="H81" s="82">
        <f t="shared" si="42"/>
        <v>9426.1745550617106</v>
      </c>
      <c r="I81" s="82">
        <f t="shared" si="42"/>
        <v>8483.0258950549214</v>
      </c>
      <c r="J81" s="82">
        <f t="shared" si="42"/>
        <v>9152.0803101656311</v>
      </c>
      <c r="K81" s="82">
        <f t="shared" si="42"/>
        <v>9409.6567681060551</v>
      </c>
      <c r="L81" s="82">
        <f t="shared" si="42"/>
        <v>10743.043992129808</v>
      </c>
      <c r="M81" s="82">
        <f t="shared" si="42"/>
        <v>8681.4720660474777</v>
      </c>
      <c r="N81" s="82">
        <f t="shared" si="42"/>
        <v>9639.0081074538939</v>
      </c>
      <c r="O81" s="82">
        <f t="shared" si="42"/>
        <v>9671.2222896707335</v>
      </c>
      <c r="P81" s="82">
        <f t="shared" si="42"/>
        <v>7755.2812546134892</v>
      </c>
      <c r="Q81" s="82">
        <f t="shared" si="42"/>
        <v>8331.517241372705</v>
      </c>
      <c r="R81" s="82">
        <f t="shared" si="42"/>
        <v>8339.9718438918553</v>
      </c>
      <c r="S81" s="82">
        <f t="shared" si="42"/>
        <v>8290.0034858190629</v>
      </c>
      <c r="T81" s="82">
        <f t="shared" si="42"/>
        <v>8142.8027123850625</v>
      </c>
      <c r="U81" s="82">
        <f t="shared" si="42"/>
        <v>7704.4305584255753</v>
      </c>
      <c r="V81" s="82">
        <f t="shared" si="42"/>
        <v>6916.2630274625744</v>
      </c>
      <c r="W81" s="82">
        <f t="shared" si="42"/>
        <v>7424.6972091564339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8617.470078633105</v>
      </c>
      <c r="C82" s="64">
        <f t="shared" ref="C82:W82" si="44">SUM(C83:C86)</f>
        <v>9217.4620491772948</v>
      </c>
      <c r="D82" s="64">
        <f t="shared" si="44"/>
        <v>8757.48604947692</v>
      </c>
      <c r="E82" s="64">
        <f t="shared" si="44"/>
        <v>9321.8292007239161</v>
      </c>
      <c r="F82" s="64">
        <f t="shared" si="44"/>
        <v>10161.121542696081</v>
      </c>
      <c r="G82" s="64">
        <f t="shared" si="44"/>
        <v>9382.317421702277</v>
      </c>
      <c r="H82" s="64">
        <f t="shared" si="44"/>
        <v>9426.1745550617106</v>
      </c>
      <c r="I82" s="64">
        <f t="shared" si="44"/>
        <v>8483.0258950549214</v>
      </c>
      <c r="J82" s="64">
        <f t="shared" si="44"/>
        <v>9152.0803101656311</v>
      </c>
      <c r="K82" s="64">
        <f t="shared" si="44"/>
        <v>9409.6567681060551</v>
      </c>
      <c r="L82" s="64">
        <f t="shared" si="44"/>
        <v>10743.043992129808</v>
      </c>
      <c r="M82" s="64">
        <f t="shared" si="44"/>
        <v>8681.4720660474777</v>
      </c>
      <c r="N82" s="64">
        <f t="shared" si="44"/>
        <v>9639.0081074538939</v>
      </c>
      <c r="O82" s="64">
        <f t="shared" si="44"/>
        <v>9671.2222896707335</v>
      </c>
      <c r="P82" s="64">
        <f t="shared" si="44"/>
        <v>7755.2812546134892</v>
      </c>
      <c r="Q82" s="64">
        <f t="shared" si="44"/>
        <v>8331.517241372705</v>
      </c>
      <c r="R82" s="64">
        <f t="shared" si="44"/>
        <v>8339.9718438918553</v>
      </c>
      <c r="S82" s="64">
        <f t="shared" si="44"/>
        <v>8290.0034858190629</v>
      </c>
      <c r="T82" s="64">
        <f t="shared" si="44"/>
        <v>8142.8027123850625</v>
      </c>
      <c r="U82" s="64">
        <f t="shared" si="44"/>
        <v>7704.4305584255753</v>
      </c>
      <c r="V82" s="64">
        <f t="shared" si="44"/>
        <v>6916.2630274625744</v>
      </c>
      <c r="W82" s="64">
        <f t="shared" si="44"/>
        <v>7424.6972091564339</v>
      </c>
      <c r="DA82" s="108" t="s">
        <v>232</v>
      </c>
    </row>
    <row r="83" spans="1:105" ht="12" customHeight="1" x14ac:dyDescent="0.25">
      <c r="A83" s="61" t="s">
        <v>32</v>
      </c>
      <c r="B83" s="65">
        <v>7278.3305382420021</v>
      </c>
      <c r="C83" s="65">
        <v>7843.9480042038504</v>
      </c>
      <c r="D83" s="65">
        <v>7329.2414642971526</v>
      </c>
      <c r="E83" s="65">
        <v>7906.495699448662</v>
      </c>
      <c r="F83" s="65">
        <v>8736.6329372098171</v>
      </c>
      <c r="G83" s="65">
        <v>7956.8348098667548</v>
      </c>
      <c r="H83" s="65">
        <v>7982.5587356274918</v>
      </c>
      <c r="I83" s="65">
        <v>7062.1559470961638</v>
      </c>
      <c r="J83" s="65">
        <v>7724.1350535475594</v>
      </c>
      <c r="K83" s="65">
        <v>7970.5113891679321</v>
      </c>
      <c r="L83" s="65">
        <v>9304.8927381164758</v>
      </c>
      <c r="M83" s="65">
        <v>7260.5469105733328</v>
      </c>
      <c r="N83" s="65">
        <v>8168.0890515267811</v>
      </c>
      <c r="O83" s="65">
        <v>8202.8349560496572</v>
      </c>
      <c r="P83" s="65">
        <v>6363.0619743650905</v>
      </c>
      <c r="Q83" s="65">
        <v>6945.0259335268229</v>
      </c>
      <c r="R83" s="65">
        <v>6964.6564095793055</v>
      </c>
      <c r="S83" s="65">
        <v>6879.315102543027</v>
      </c>
      <c r="T83" s="65">
        <v>6749.3356045142164</v>
      </c>
      <c r="U83" s="65">
        <v>6341.2410889053581</v>
      </c>
      <c r="V83" s="65">
        <v>5707.4359919819053</v>
      </c>
      <c r="W83" s="65">
        <v>6196.6445707155672</v>
      </c>
      <c r="DA83" s="109" t="s">
        <v>233</v>
      </c>
    </row>
    <row r="84" spans="1:105" ht="12" customHeight="1" x14ac:dyDescent="0.25">
      <c r="A84" s="61" t="s">
        <v>31</v>
      </c>
      <c r="B84" s="65">
        <v>0.47960160130512564</v>
      </c>
      <c r="C84" s="65">
        <v>0.55262834316821707</v>
      </c>
      <c r="D84" s="65">
        <v>0.6764125978783142</v>
      </c>
      <c r="E84" s="65">
        <v>0.81305782725522158</v>
      </c>
      <c r="F84" s="65">
        <v>1.0026548695808486</v>
      </c>
      <c r="G84" s="65">
        <v>1.2018770042000162</v>
      </c>
      <c r="H84" s="65">
        <v>1.6758496023712113</v>
      </c>
      <c r="I84" s="65">
        <v>2.0692526964838267</v>
      </c>
      <c r="J84" s="65">
        <v>2.5426320146639805</v>
      </c>
      <c r="K84" s="65">
        <v>2.9034125208320991</v>
      </c>
      <c r="L84" s="65">
        <v>3.3196595518282899</v>
      </c>
      <c r="M84" s="65">
        <v>3.6218511135532339</v>
      </c>
      <c r="N84" s="65">
        <v>4.1458996574455238</v>
      </c>
      <c r="O84" s="65">
        <v>5.0554300647051171</v>
      </c>
      <c r="P84" s="65">
        <v>6.6481719190955282</v>
      </c>
      <c r="Q84" s="65">
        <v>9.1691097693797445</v>
      </c>
      <c r="R84" s="65">
        <v>11.627901284654543</v>
      </c>
      <c r="S84" s="65">
        <v>13.897929199047725</v>
      </c>
      <c r="T84" s="65">
        <v>15.883076557283223</v>
      </c>
      <c r="U84" s="65">
        <v>17.532312482875671</v>
      </c>
      <c r="V84" s="65">
        <v>18.869985257871257</v>
      </c>
      <c r="W84" s="65">
        <v>20.038305149266506</v>
      </c>
      <c r="DA84" s="109" t="s">
        <v>234</v>
      </c>
    </row>
    <row r="85" spans="1:105" ht="12" customHeight="1" x14ac:dyDescent="0.25">
      <c r="A85" s="61" t="s">
        <v>35</v>
      </c>
      <c r="B85" s="65">
        <v>702.22987824670645</v>
      </c>
      <c r="C85" s="65">
        <v>711.84409833601762</v>
      </c>
      <c r="D85" s="65">
        <v>749.79734497081279</v>
      </c>
      <c r="E85" s="65">
        <v>724.89786488879543</v>
      </c>
      <c r="F85" s="65">
        <v>720.98071928514696</v>
      </c>
      <c r="G85" s="65">
        <v>720.43872950864295</v>
      </c>
      <c r="H85" s="65">
        <v>723.1862584797052</v>
      </c>
      <c r="I85" s="65">
        <v>711.16114736426096</v>
      </c>
      <c r="J85" s="65">
        <v>707.84940143220092</v>
      </c>
      <c r="K85" s="65">
        <v>714.58004599742071</v>
      </c>
      <c r="L85" s="65">
        <v>716.99374929359624</v>
      </c>
      <c r="M85" s="65">
        <v>714.11964439996086</v>
      </c>
      <c r="N85" s="65">
        <v>767.61380567989954</v>
      </c>
      <c r="O85" s="65">
        <v>766.63184150867073</v>
      </c>
      <c r="P85" s="65">
        <v>709.07554161329335</v>
      </c>
      <c r="Q85" s="65">
        <v>694.98887616352999</v>
      </c>
      <c r="R85" s="65">
        <v>700.11211009692727</v>
      </c>
      <c r="S85" s="65">
        <v>730.87362235603143</v>
      </c>
      <c r="T85" s="65">
        <v>709.81354178959873</v>
      </c>
      <c r="U85" s="65">
        <v>680.12051404588135</v>
      </c>
      <c r="V85" s="65">
        <v>569.60840327311962</v>
      </c>
      <c r="W85" s="65">
        <v>575.22698953635415</v>
      </c>
      <c r="DA85" s="109" t="s">
        <v>235</v>
      </c>
    </row>
    <row r="86" spans="1:105" ht="12" customHeight="1" x14ac:dyDescent="0.25">
      <c r="A86" s="66" t="s">
        <v>34</v>
      </c>
      <c r="B86" s="67">
        <v>636.43006054309171</v>
      </c>
      <c r="C86" s="67">
        <v>661.11731829425753</v>
      </c>
      <c r="D86" s="67">
        <v>677.77082761107647</v>
      </c>
      <c r="E86" s="67">
        <v>689.62257855920393</v>
      </c>
      <c r="F86" s="67">
        <v>702.50523133153615</v>
      </c>
      <c r="G86" s="67">
        <v>703.84200532267755</v>
      </c>
      <c r="H86" s="67">
        <v>718.75371135214368</v>
      </c>
      <c r="I86" s="67">
        <v>707.63954789801323</v>
      </c>
      <c r="J86" s="67">
        <v>717.55322317120556</v>
      </c>
      <c r="K86" s="67">
        <v>721.66192041987119</v>
      </c>
      <c r="L86" s="67">
        <v>717.83784516790695</v>
      </c>
      <c r="M86" s="67">
        <v>703.18365996063096</v>
      </c>
      <c r="N86" s="67">
        <v>699.15935058976675</v>
      </c>
      <c r="O86" s="67">
        <v>696.70006204769993</v>
      </c>
      <c r="P86" s="67">
        <v>676.4955667160101</v>
      </c>
      <c r="Q86" s="67">
        <v>682.33332191297154</v>
      </c>
      <c r="R86" s="67">
        <v>663.57542293096833</v>
      </c>
      <c r="S86" s="67">
        <v>665.91683172095668</v>
      </c>
      <c r="T86" s="67">
        <v>667.77048952396399</v>
      </c>
      <c r="U86" s="67">
        <v>665.53664299146044</v>
      </c>
      <c r="V86" s="67">
        <v>620.34864694967837</v>
      </c>
      <c r="W86" s="67">
        <v>632.78734375524641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0.84460177660361357</v>
      </c>
      <c r="C91" s="71">
        <f t="shared" ref="C91:W91" si="50">IF(C83=0,0,C83/C$81)</f>
        <v>0.85098782749031898</v>
      </c>
      <c r="D91" s="71">
        <f t="shared" si="50"/>
        <v>0.83691157746519329</v>
      </c>
      <c r="E91" s="71">
        <f t="shared" si="50"/>
        <v>0.84816998136317046</v>
      </c>
      <c r="F91" s="71">
        <f t="shared" si="50"/>
        <v>0.85980990390670009</v>
      </c>
      <c r="G91" s="71">
        <f t="shared" si="50"/>
        <v>0.84806710882129899</v>
      </c>
      <c r="H91" s="71">
        <f t="shared" si="50"/>
        <v>0.84685029849579652</v>
      </c>
      <c r="I91" s="71">
        <f t="shared" si="50"/>
        <v>0.83250434862081035</v>
      </c>
      <c r="J91" s="71">
        <f t="shared" si="50"/>
        <v>0.84397588217926933</v>
      </c>
      <c r="K91" s="71">
        <f t="shared" si="50"/>
        <v>0.84705654898953453</v>
      </c>
      <c r="L91" s="71">
        <f t="shared" si="50"/>
        <v>0.86613186587833957</v>
      </c>
      <c r="M91" s="71">
        <f t="shared" si="50"/>
        <v>0.83632670304483658</v>
      </c>
      <c r="N91" s="71">
        <f t="shared" si="50"/>
        <v>0.84739933408815749</v>
      </c>
      <c r="O91" s="71">
        <f t="shared" si="50"/>
        <v>0.84816941544303304</v>
      </c>
      <c r="P91" s="71">
        <f t="shared" si="50"/>
        <v>0.82048113607482764</v>
      </c>
      <c r="Q91" s="71">
        <f t="shared" si="50"/>
        <v>0.83358477601644587</v>
      </c>
      <c r="R91" s="71">
        <f t="shared" si="50"/>
        <v>0.83509351589480219</v>
      </c>
      <c r="S91" s="71">
        <f t="shared" si="50"/>
        <v>0.82983259467994563</v>
      </c>
      <c r="T91" s="71">
        <f t="shared" si="50"/>
        <v>0.82887131653682256</v>
      </c>
      <c r="U91" s="71">
        <f t="shared" si="50"/>
        <v>0.82306421491080461</v>
      </c>
      <c r="V91" s="71">
        <f t="shared" si="50"/>
        <v>0.82521962645423541</v>
      </c>
      <c r="W91" s="71">
        <f t="shared" si="50"/>
        <v>0.83459896022071001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5.5654571112964002E-5</v>
      </c>
      <c r="C92" s="72">
        <f t="shared" ref="C92:W92" si="52">IF(C84=0,0,C84/C$81)</f>
        <v>5.9954501599227298E-5</v>
      </c>
      <c r="D92" s="72">
        <f t="shared" si="52"/>
        <v>7.7238215859757608E-5</v>
      </c>
      <c r="E92" s="72">
        <f t="shared" si="52"/>
        <v>8.7220845796239329E-5</v>
      </c>
      <c r="F92" s="72">
        <f t="shared" si="52"/>
        <v>9.8675610302247324E-5</v>
      </c>
      <c r="G92" s="72">
        <f t="shared" si="52"/>
        <v>1.2810022835295996E-4</v>
      </c>
      <c r="H92" s="72">
        <f t="shared" si="52"/>
        <v>1.777868203672619E-4</v>
      </c>
      <c r="I92" s="72">
        <f t="shared" si="52"/>
        <v>2.4392860779666757E-4</v>
      </c>
      <c r="J92" s="72">
        <f t="shared" si="52"/>
        <v>2.7782011613684853E-4</v>
      </c>
      <c r="K92" s="72">
        <f t="shared" si="52"/>
        <v>3.0855668728249359E-4</v>
      </c>
      <c r="L92" s="72">
        <f t="shared" si="52"/>
        <v>3.0900548804046812E-4</v>
      </c>
      <c r="M92" s="72">
        <f t="shared" si="52"/>
        <v>4.1719320018525374E-4</v>
      </c>
      <c r="N92" s="72">
        <f t="shared" si="52"/>
        <v>4.3011683476430301E-4</v>
      </c>
      <c r="O92" s="72">
        <f t="shared" si="52"/>
        <v>5.2272917665273041E-4</v>
      </c>
      <c r="P92" s="72">
        <f t="shared" si="52"/>
        <v>8.5724446358933018E-4</v>
      </c>
      <c r="Q92" s="72">
        <f t="shared" si="52"/>
        <v>1.1005330126243654E-3</v>
      </c>
      <c r="R92" s="72">
        <f t="shared" si="52"/>
        <v>1.3942374749347322E-3</v>
      </c>
      <c r="S92" s="72">
        <f t="shared" si="52"/>
        <v>1.6764684385020608E-3</v>
      </c>
      <c r="T92" s="72">
        <f t="shared" si="52"/>
        <v>1.9505662998718289E-3</v>
      </c>
      <c r="U92" s="72">
        <f t="shared" si="52"/>
        <v>2.2756143169727593E-3</v>
      </c>
      <c r="V92" s="72">
        <f t="shared" si="52"/>
        <v>2.7283498593017276E-3</v>
      </c>
      <c r="W92" s="72">
        <f t="shared" si="52"/>
        <v>2.6988716960140093E-3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8.1489099682269334E-2</v>
      </c>
      <c r="C93" s="72">
        <f t="shared" ref="C93:W93" si="54">IF(C85=0,0,C85/C$81)</f>
        <v>7.7227776424591124E-2</v>
      </c>
      <c r="D93" s="72">
        <f t="shared" si="54"/>
        <v>8.5617874894085358E-2</v>
      </c>
      <c r="E93" s="72">
        <f t="shared" si="54"/>
        <v>7.7763478527637167E-2</v>
      </c>
      <c r="F93" s="72">
        <f t="shared" si="54"/>
        <v>7.0954836654167908E-2</v>
      </c>
      <c r="G93" s="72">
        <f t="shared" si="54"/>
        <v>7.6786863748842388E-2</v>
      </c>
      <c r="H93" s="72">
        <f t="shared" si="54"/>
        <v>7.6721076429819068E-2</v>
      </c>
      <c r="I93" s="72">
        <f t="shared" si="54"/>
        <v>8.3833428797950957E-2</v>
      </c>
      <c r="J93" s="72">
        <f t="shared" si="54"/>
        <v>7.7343005900632283E-2</v>
      </c>
      <c r="K93" s="72">
        <f t="shared" si="54"/>
        <v>7.5941138301609812E-2</v>
      </c>
      <c r="L93" s="72">
        <f t="shared" si="54"/>
        <v>6.6740278622972701E-2</v>
      </c>
      <c r="M93" s="72">
        <f t="shared" si="54"/>
        <v>8.2257898080767194E-2</v>
      </c>
      <c r="N93" s="72">
        <f t="shared" si="54"/>
        <v>7.9636182180021192E-2</v>
      </c>
      <c r="O93" s="72">
        <f t="shared" si="54"/>
        <v>7.926938483540652E-2</v>
      </c>
      <c r="P93" s="72">
        <f t="shared" si="54"/>
        <v>9.1431312203084314E-2</v>
      </c>
      <c r="Q93" s="72">
        <f t="shared" si="54"/>
        <v>8.3416844258852332E-2</v>
      </c>
      <c r="R93" s="72">
        <f t="shared" si="54"/>
        <v>8.3946579581043207E-2</v>
      </c>
      <c r="S93" s="72">
        <f t="shared" si="54"/>
        <v>8.816324668696085E-2</v>
      </c>
      <c r="T93" s="72">
        <f t="shared" si="54"/>
        <v>8.7170666766859597E-2</v>
      </c>
      <c r="U93" s="72">
        <f t="shared" si="54"/>
        <v>8.8276545409589124E-2</v>
      </c>
      <c r="V93" s="72">
        <f t="shared" si="54"/>
        <v>8.2357828354902296E-2</v>
      </c>
      <c r="W93" s="72">
        <f t="shared" si="54"/>
        <v>7.7474807838218807E-2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7.3853469143004169E-2</v>
      </c>
      <c r="C94" s="73">
        <f t="shared" ref="C94:W94" si="56">IF(C86=0,0,C86/C$81)</f>
        <v>7.1724441583490506E-2</v>
      </c>
      <c r="D94" s="73">
        <f t="shared" si="56"/>
        <v>7.7393309424861639E-2</v>
      </c>
      <c r="E94" s="73">
        <f t="shared" si="56"/>
        <v>7.3979319263396195E-2</v>
      </c>
      <c r="F94" s="73">
        <f t="shared" si="56"/>
        <v>6.9136583828829812E-2</v>
      </c>
      <c r="G94" s="73">
        <f t="shared" si="56"/>
        <v>7.5017927201505435E-2</v>
      </c>
      <c r="H94" s="73">
        <f t="shared" si="56"/>
        <v>7.6250838254017267E-2</v>
      </c>
      <c r="I94" s="73">
        <f t="shared" si="56"/>
        <v>8.3418293973442095E-2</v>
      </c>
      <c r="J94" s="73">
        <f t="shared" si="56"/>
        <v>7.8403291803961397E-2</v>
      </c>
      <c r="K94" s="73">
        <f t="shared" si="56"/>
        <v>7.6693756021573245E-2</v>
      </c>
      <c r="L94" s="73">
        <f t="shared" si="56"/>
        <v>6.6818850010647274E-2</v>
      </c>
      <c r="M94" s="73">
        <f t="shared" si="56"/>
        <v>8.0998205674210982E-2</v>
      </c>
      <c r="N94" s="73">
        <f t="shared" si="56"/>
        <v>7.253436689705689E-2</v>
      </c>
      <c r="O94" s="73">
        <f t="shared" si="56"/>
        <v>7.2038470544907696E-2</v>
      </c>
      <c r="P94" s="73">
        <f t="shared" si="56"/>
        <v>8.7230307258498715E-2</v>
      </c>
      <c r="Q94" s="73">
        <f t="shared" si="56"/>
        <v>8.189784671207738E-2</v>
      </c>
      <c r="R94" s="73">
        <f t="shared" si="56"/>
        <v>7.9565667049219954E-2</v>
      </c>
      <c r="S94" s="73">
        <f t="shared" si="56"/>
        <v>8.032769019459142E-2</v>
      </c>
      <c r="T94" s="73">
        <f t="shared" si="56"/>
        <v>8.2007450396446011E-2</v>
      </c>
      <c r="U94" s="73">
        <f t="shared" si="56"/>
        <v>8.638362536263354E-2</v>
      </c>
      <c r="V94" s="73">
        <f t="shared" si="56"/>
        <v>8.9694195331560533E-2</v>
      </c>
      <c r="W94" s="73">
        <f t="shared" si="56"/>
        <v>8.5227360245057227E-2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191885.83292488655</v>
      </c>
      <c r="C99" s="82">
        <f t="shared" ref="C99:W99" si="60">C47*11630*1000/C$8</f>
        <v>199691.5425983305</v>
      </c>
      <c r="D99" s="82">
        <f t="shared" si="60"/>
        <v>196497.53874304367</v>
      </c>
      <c r="E99" s="82">
        <f t="shared" si="60"/>
        <v>204220.00972234318</v>
      </c>
      <c r="F99" s="82">
        <f t="shared" si="60"/>
        <v>218500.80031398401</v>
      </c>
      <c r="G99" s="82">
        <f t="shared" si="60"/>
        <v>204781.97871367837</v>
      </c>
      <c r="H99" s="82">
        <f t="shared" si="60"/>
        <v>203552.729941586</v>
      </c>
      <c r="I99" s="82">
        <f t="shared" si="60"/>
        <v>189534.65813397014</v>
      </c>
      <c r="J99" s="82">
        <f t="shared" si="60"/>
        <v>194461.62041205342</v>
      </c>
      <c r="K99" s="82">
        <f t="shared" si="60"/>
        <v>200914.59157210996</v>
      </c>
      <c r="L99" s="82">
        <f t="shared" si="60"/>
        <v>213605.01696695434</v>
      </c>
      <c r="M99" s="82">
        <f t="shared" si="60"/>
        <v>187671.40673102145</v>
      </c>
      <c r="N99" s="82">
        <f t="shared" si="60"/>
        <v>194321.73017918906</v>
      </c>
      <c r="O99" s="82">
        <f t="shared" si="60"/>
        <v>194894.05418038261</v>
      </c>
      <c r="P99" s="82">
        <f t="shared" si="60"/>
        <v>171320.56414988718</v>
      </c>
      <c r="Q99" s="82">
        <f t="shared" si="60"/>
        <v>176162.2157401825</v>
      </c>
      <c r="R99" s="82">
        <f t="shared" si="60"/>
        <v>175565.72006224591</v>
      </c>
      <c r="S99" s="82">
        <f t="shared" si="60"/>
        <v>177050.17091392539</v>
      </c>
      <c r="T99" s="82">
        <f t="shared" si="60"/>
        <v>174940.03402186188</v>
      </c>
      <c r="U99" s="82">
        <f t="shared" si="60"/>
        <v>168925.28452577567</v>
      </c>
      <c r="V99" s="82">
        <f t="shared" si="60"/>
        <v>158360.22929236165</v>
      </c>
      <c r="W99" s="82">
        <f t="shared" si="60"/>
        <v>162542.80600833765</v>
      </c>
      <c r="DA99" s="107"/>
    </row>
    <row r="100" spans="1:105" ht="12" customHeight="1" x14ac:dyDescent="0.25">
      <c r="A100" s="77" t="s">
        <v>36</v>
      </c>
      <c r="B100" s="64">
        <f t="shared" si="59"/>
        <v>154935.83830023219</v>
      </c>
      <c r="C100" s="64">
        <f t="shared" ref="C100:W100" si="61">C48*11630*1000/C$8</f>
        <v>161867.86168543098</v>
      </c>
      <c r="D100" s="64">
        <f t="shared" si="61"/>
        <v>157670.82500521917</v>
      </c>
      <c r="E100" s="64">
        <f t="shared" si="61"/>
        <v>164249.84240297167</v>
      </c>
      <c r="F100" s="64">
        <f t="shared" si="61"/>
        <v>177074.26079508284</v>
      </c>
      <c r="G100" s="64">
        <f t="shared" si="61"/>
        <v>162467.44282325878</v>
      </c>
      <c r="H100" s="64">
        <f t="shared" si="61"/>
        <v>160848.16341716881</v>
      </c>
      <c r="I100" s="64">
        <f t="shared" si="61"/>
        <v>146663.04468659579</v>
      </c>
      <c r="J100" s="64">
        <f t="shared" si="61"/>
        <v>151161.53745861023</v>
      </c>
      <c r="K100" s="64">
        <f t="shared" si="61"/>
        <v>156687.19017985708</v>
      </c>
      <c r="L100" s="64">
        <f t="shared" si="61"/>
        <v>168817.60127795418</v>
      </c>
      <c r="M100" s="64">
        <f t="shared" si="61"/>
        <v>142456.40932412844</v>
      </c>
      <c r="N100" s="64">
        <f t="shared" si="61"/>
        <v>148874.63593688144</v>
      </c>
      <c r="O100" s="64">
        <f t="shared" si="61"/>
        <v>149094.18037446382</v>
      </c>
      <c r="P100" s="64">
        <f t="shared" si="61"/>
        <v>124547.01804787386</v>
      </c>
      <c r="Q100" s="64">
        <f t="shared" si="61"/>
        <v>128006.84955747081</v>
      </c>
      <c r="R100" s="64">
        <f t="shared" si="61"/>
        <v>127741.3189742968</v>
      </c>
      <c r="S100" s="64">
        <f t="shared" si="61"/>
        <v>129063.52632112574</v>
      </c>
      <c r="T100" s="64">
        <f t="shared" si="61"/>
        <v>127655.78506208889</v>
      </c>
      <c r="U100" s="64">
        <f t="shared" si="61"/>
        <v>122159.00101958275</v>
      </c>
      <c r="V100" s="64">
        <f t="shared" si="61"/>
        <v>112697.27287400767</v>
      </c>
      <c r="W100" s="64">
        <f t="shared" si="61"/>
        <v>117386.16000967551</v>
      </c>
      <c r="DA100" s="108"/>
    </row>
    <row r="101" spans="1:105" ht="12" customHeight="1" x14ac:dyDescent="0.25">
      <c r="A101" s="61" t="s">
        <v>32</v>
      </c>
      <c r="B101" s="65">
        <f t="shared" si="59"/>
        <v>112223.46929842886</v>
      </c>
      <c r="C101" s="65">
        <f t="shared" ref="C101:W101" si="62">C49*11630*1000/C$8</f>
        <v>119509.14881065401</v>
      </c>
      <c r="D101" s="65">
        <f t="shared" si="62"/>
        <v>115258.92640465741</v>
      </c>
      <c r="E101" s="65">
        <f t="shared" si="62"/>
        <v>121772.77448835663</v>
      </c>
      <c r="F101" s="65">
        <f t="shared" si="62"/>
        <v>134381.84026844177</v>
      </c>
      <c r="G101" s="65">
        <f t="shared" si="62"/>
        <v>120122.58873957503</v>
      </c>
      <c r="H101" s="65">
        <f t="shared" si="62"/>
        <v>119090.20629891717</v>
      </c>
      <c r="I101" s="65">
        <f t="shared" si="62"/>
        <v>105996.32124785293</v>
      </c>
      <c r="J101" s="65">
        <f t="shared" si="62"/>
        <v>110915.0558703016</v>
      </c>
      <c r="K101" s="65">
        <f t="shared" si="62"/>
        <v>116008.89565225044</v>
      </c>
      <c r="L101" s="65">
        <f t="shared" si="62"/>
        <v>128343.55482575916</v>
      </c>
      <c r="M101" s="65">
        <f t="shared" si="62"/>
        <v>102615.15897873764</v>
      </c>
      <c r="N101" s="65">
        <f t="shared" si="62"/>
        <v>109132.47546379658</v>
      </c>
      <c r="O101" s="65">
        <f t="shared" si="62"/>
        <v>109326.87436646555</v>
      </c>
      <c r="P101" s="65">
        <f t="shared" si="62"/>
        <v>84951.494727251236</v>
      </c>
      <c r="Q101" s="65">
        <f t="shared" si="62"/>
        <v>88877.975283697975</v>
      </c>
      <c r="R101" s="65">
        <f t="shared" si="62"/>
        <v>89048.759898279357</v>
      </c>
      <c r="S101" s="65">
        <f t="shared" si="62"/>
        <v>90698.764540172968</v>
      </c>
      <c r="T101" s="65">
        <f t="shared" si="62"/>
        <v>89420.329399683527</v>
      </c>
      <c r="U101" s="65">
        <f t="shared" si="62"/>
        <v>84359.026956205576</v>
      </c>
      <c r="V101" s="65">
        <f t="shared" si="62"/>
        <v>76154.088964158349</v>
      </c>
      <c r="W101" s="65">
        <f t="shared" si="62"/>
        <v>81303.964738294017</v>
      </c>
      <c r="DA101" s="109"/>
    </row>
    <row r="102" spans="1:105" ht="12" customHeight="1" x14ac:dyDescent="0.25">
      <c r="A102" s="61" t="s">
        <v>31</v>
      </c>
      <c r="B102" s="65">
        <f t="shared" si="59"/>
        <v>1244.653744678877</v>
      </c>
      <c r="C102" s="65">
        <f t="shared" ref="C102:W102" si="63">C50*11630*1000/C$8</f>
        <v>1385.2844449325046</v>
      </c>
      <c r="D102" s="65">
        <f t="shared" si="63"/>
        <v>1491.2352403414316</v>
      </c>
      <c r="E102" s="65">
        <f t="shared" si="63"/>
        <v>1732.8765675666514</v>
      </c>
      <c r="F102" s="65">
        <f t="shared" si="63"/>
        <v>1708.0555206777728</v>
      </c>
      <c r="G102" s="65">
        <f t="shared" si="63"/>
        <v>1841.7771503305537</v>
      </c>
      <c r="H102" s="65">
        <f t="shared" si="63"/>
        <v>2162.477089790118</v>
      </c>
      <c r="I102" s="65">
        <f t="shared" si="63"/>
        <v>2166.5974933928951</v>
      </c>
      <c r="J102" s="65">
        <f t="shared" si="63"/>
        <v>2295.7230698289623</v>
      </c>
      <c r="K102" s="65">
        <f t="shared" si="63"/>
        <v>2474.0004339841348</v>
      </c>
      <c r="L102" s="65">
        <f t="shared" si="63"/>
        <v>2646.0209890500309</v>
      </c>
      <c r="M102" s="65">
        <f t="shared" si="63"/>
        <v>2609.9526450093713</v>
      </c>
      <c r="N102" s="65">
        <f t="shared" si="63"/>
        <v>2639.4005789715902</v>
      </c>
      <c r="O102" s="65">
        <f t="shared" si="63"/>
        <v>2665.1992005952739</v>
      </c>
      <c r="P102" s="65">
        <f t="shared" si="63"/>
        <v>2641.2930085295402</v>
      </c>
      <c r="Q102" s="65">
        <f t="shared" si="63"/>
        <v>2709.5486440999466</v>
      </c>
      <c r="R102" s="65">
        <f t="shared" si="63"/>
        <v>2636.4144617426241</v>
      </c>
      <c r="S102" s="65">
        <f t="shared" si="63"/>
        <v>2578.5237030764079</v>
      </c>
      <c r="T102" s="65">
        <f t="shared" si="63"/>
        <v>2842.3241040256516</v>
      </c>
      <c r="U102" s="65">
        <f t="shared" si="63"/>
        <v>2848.9512619223724</v>
      </c>
      <c r="V102" s="65">
        <f t="shared" si="63"/>
        <v>2798.8333678519693</v>
      </c>
      <c r="W102" s="65">
        <f t="shared" si="63"/>
        <v>2520.6341244483383</v>
      </c>
      <c r="DA102" s="109"/>
    </row>
    <row r="103" spans="1:105" ht="12" customHeight="1" x14ac:dyDescent="0.25">
      <c r="A103" s="61" t="s">
        <v>35</v>
      </c>
      <c r="B103" s="65">
        <f t="shared" si="59"/>
        <v>22665.563995818309</v>
      </c>
      <c r="C103" s="65">
        <f t="shared" ref="C103:W103" si="64">C51*11630*1000/C$8</f>
        <v>22297.302337435911</v>
      </c>
      <c r="D103" s="65">
        <f t="shared" si="64"/>
        <v>22213.646294921971</v>
      </c>
      <c r="E103" s="65">
        <f t="shared" si="64"/>
        <v>21925.880608306448</v>
      </c>
      <c r="F103" s="65">
        <f t="shared" si="64"/>
        <v>21928.803535643765</v>
      </c>
      <c r="G103" s="65">
        <f t="shared" si="64"/>
        <v>21480.242250873689</v>
      </c>
      <c r="H103" s="65">
        <f t="shared" si="64"/>
        <v>20815.234651100491</v>
      </c>
      <c r="I103" s="65">
        <f t="shared" si="64"/>
        <v>20037.773520214094</v>
      </c>
      <c r="J103" s="65">
        <f t="shared" si="64"/>
        <v>19565.168958908263</v>
      </c>
      <c r="K103" s="65">
        <f t="shared" si="64"/>
        <v>19601.012794971579</v>
      </c>
      <c r="L103" s="65">
        <f t="shared" si="64"/>
        <v>19318.906973756621</v>
      </c>
      <c r="M103" s="65">
        <f t="shared" si="64"/>
        <v>18990.276105831068</v>
      </c>
      <c r="N103" s="65">
        <f t="shared" si="64"/>
        <v>18898.194968565462</v>
      </c>
      <c r="O103" s="65">
        <f t="shared" si="64"/>
        <v>18761.402577484761</v>
      </c>
      <c r="P103" s="65">
        <f t="shared" si="64"/>
        <v>18605.010691794392</v>
      </c>
      <c r="Q103" s="65">
        <f t="shared" si="64"/>
        <v>18283.429944919564</v>
      </c>
      <c r="R103" s="65">
        <f t="shared" si="64"/>
        <v>18057.396449248463</v>
      </c>
      <c r="S103" s="65">
        <f t="shared" si="64"/>
        <v>17842.401548339691</v>
      </c>
      <c r="T103" s="65">
        <f t="shared" si="64"/>
        <v>17562.928492211737</v>
      </c>
      <c r="U103" s="65">
        <f t="shared" si="64"/>
        <v>17260.707816270056</v>
      </c>
      <c r="V103" s="65">
        <f t="shared" si="64"/>
        <v>16508.436664643887</v>
      </c>
      <c r="W103" s="65">
        <f t="shared" si="64"/>
        <v>16380.006148040764</v>
      </c>
      <c r="DA103" s="109"/>
    </row>
    <row r="104" spans="1:105" ht="12" customHeight="1" x14ac:dyDescent="0.25">
      <c r="A104" s="66" t="s">
        <v>34</v>
      </c>
      <c r="B104" s="67">
        <f t="shared" si="59"/>
        <v>18802.15126130616</v>
      </c>
      <c r="C104" s="67">
        <f t="shared" ref="C104:W104" si="65">C52*11630*1000/C$8</f>
        <v>18676.126092408547</v>
      </c>
      <c r="D104" s="67">
        <f t="shared" si="65"/>
        <v>18707.01706529838</v>
      </c>
      <c r="E104" s="67">
        <f t="shared" si="65"/>
        <v>18818.310738741948</v>
      </c>
      <c r="F104" s="67">
        <f t="shared" si="65"/>
        <v>19055.561470319553</v>
      </c>
      <c r="G104" s="67">
        <f t="shared" si="65"/>
        <v>19022.834682479493</v>
      </c>
      <c r="H104" s="67">
        <f t="shared" si="65"/>
        <v>18780.245377361032</v>
      </c>
      <c r="I104" s="67">
        <f t="shared" si="65"/>
        <v>18462.35242513589</v>
      </c>
      <c r="J104" s="67">
        <f t="shared" si="65"/>
        <v>18385.589559571403</v>
      </c>
      <c r="K104" s="67">
        <f t="shared" si="65"/>
        <v>18603.281298650927</v>
      </c>
      <c r="L104" s="67">
        <f t="shared" si="65"/>
        <v>18509.118489388366</v>
      </c>
      <c r="M104" s="67">
        <f t="shared" si="65"/>
        <v>18241.021594550381</v>
      </c>
      <c r="N104" s="67">
        <f t="shared" si="65"/>
        <v>18204.564925547817</v>
      </c>
      <c r="O104" s="67">
        <f t="shared" si="65"/>
        <v>18340.704229918247</v>
      </c>
      <c r="P104" s="67">
        <f t="shared" si="65"/>
        <v>18349.219620298703</v>
      </c>
      <c r="Q104" s="67">
        <f t="shared" si="65"/>
        <v>18135.895684753312</v>
      </c>
      <c r="R104" s="67">
        <f t="shared" si="65"/>
        <v>17998.748165026329</v>
      </c>
      <c r="S104" s="67">
        <f t="shared" si="65"/>
        <v>17943.836529536668</v>
      </c>
      <c r="T104" s="67">
        <f t="shared" si="65"/>
        <v>17830.203066167967</v>
      </c>
      <c r="U104" s="67">
        <f t="shared" si="65"/>
        <v>17690.314985184741</v>
      </c>
      <c r="V104" s="67">
        <f t="shared" si="65"/>
        <v>17235.913877353472</v>
      </c>
      <c r="W104" s="67">
        <f t="shared" si="65"/>
        <v>17181.554998892392</v>
      </c>
      <c r="DA104" s="110"/>
    </row>
    <row r="105" spans="1:105" ht="12" customHeight="1" x14ac:dyDescent="0.25">
      <c r="A105" s="78" t="s">
        <v>33</v>
      </c>
      <c r="B105" s="68">
        <f t="shared" si="59"/>
        <v>36949.994624654319</v>
      </c>
      <c r="C105" s="68">
        <f t="shared" ref="C105:W105" si="66">C53*11630*1000/C$8</f>
        <v>37823.680912899545</v>
      </c>
      <c r="D105" s="68">
        <f t="shared" si="66"/>
        <v>38826.713737824502</v>
      </c>
      <c r="E105" s="68">
        <f t="shared" si="66"/>
        <v>39970.167319371569</v>
      </c>
      <c r="F105" s="68">
        <f t="shared" si="66"/>
        <v>41426.539518901125</v>
      </c>
      <c r="G105" s="68">
        <f t="shared" si="66"/>
        <v>42314.535890419596</v>
      </c>
      <c r="H105" s="68">
        <f t="shared" si="66"/>
        <v>42704.566524417191</v>
      </c>
      <c r="I105" s="68">
        <f t="shared" si="66"/>
        <v>42871.613447374373</v>
      </c>
      <c r="J105" s="68">
        <f t="shared" si="66"/>
        <v>43300.082953443161</v>
      </c>
      <c r="K105" s="68">
        <f t="shared" si="66"/>
        <v>44227.401392252861</v>
      </c>
      <c r="L105" s="68">
        <f t="shared" si="66"/>
        <v>44787.415689000176</v>
      </c>
      <c r="M105" s="68">
        <f t="shared" si="66"/>
        <v>45214.997406892995</v>
      </c>
      <c r="N105" s="68">
        <f t="shared" si="66"/>
        <v>45447.094242307641</v>
      </c>
      <c r="O105" s="68">
        <f t="shared" si="66"/>
        <v>45799.873805918782</v>
      </c>
      <c r="P105" s="68">
        <f t="shared" si="66"/>
        <v>46773.546102013315</v>
      </c>
      <c r="Q105" s="68">
        <f t="shared" si="66"/>
        <v>48155.366182711681</v>
      </c>
      <c r="R105" s="68">
        <f t="shared" si="66"/>
        <v>47824.401087949096</v>
      </c>
      <c r="S105" s="68">
        <f t="shared" si="66"/>
        <v>47986.644592799639</v>
      </c>
      <c r="T105" s="68">
        <f t="shared" si="66"/>
        <v>47284.248959773009</v>
      </c>
      <c r="U105" s="68">
        <f t="shared" si="66"/>
        <v>46766.283506192922</v>
      </c>
      <c r="V105" s="68">
        <f t="shared" si="66"/>
        <v>45662.95641835397</v>
      </c>
      <c r="W105" s="68">
        <f t="shared" si="66"/>
        <v>45156.645998662134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97899.683508480302</v>
      </c>
      <c r="C107" s="85">
        <f t="shared" ref="C107:W107" si="68">SUM(C108:C111)</f>
        <v>103108.0120242194</v>
      </c>
      <c r="D107" s="85">
        <f t="shared" si="68"/>
        <v>102857.95774446243</v>
      </c>
      <c r="E107" s="85">
        <f t="shared" si="68"/>
        <v>107985.2048551933</v>
      </c>
      <c r="F107" s="85">
        <f t="shared" si="68"/>
        <v>117135.03777442136</v>
      </c>
      <c r="G107" s="85">
        <f t="shared" si="68"/>
        <v>109543.30539398885</v>
      </c>
      <c r="H107" s="85">
        <f t="shared" si="68"/>
        <v>111065.67124232181</v>
      </c>
      <c r="I107" s="85">
        <f t="shared" si="68"/>
        <v>104280.716380445</v>
      </c>
      <c r="J107" s="85">
        <f t="shared" si="68"/>
        <v>108827.50122861493</v>
      </c>
      <c r="K107" s="85">
        <f t="shared" si="68"/>
        <v>115024.40206323714</v>
      </c>
      <c r="L107" s="85">
        <f t="shared" si="68"/>
        <v>125184.66107777653</v>
      </c>
      <c r="M107" s="85">
        <f t="shared" si="68"/>
        <v>109352.35094795203</v>
      </c>
      <c r="N107" s="85">
        <f t="shared" si="68"/>
        <v>115588.59061718418</v>
      </c>
      <c r="O107" s="85">
        <f t="shared" si="68"/>
        <v>118134.17264491934</v>
      </c>
      <c r="P107" s="85">
        <f t="shared" si="68"/>
        <v>101056.17803917744</v>
      </c>
      <c r="Q107" s="85">
        <f t="shared" si="68"/>
        <v>105056.00036109323</v>
      </c>
      <c r="R107" s="85">
        <f t="shared" si="68"/>
        <v>106141.34365996601</v>
      </c>
      <c r="S107" s="85">
        <f t="shared" si="68"/>
        <v>108794.19444060579</v>
      </c>
      <c r="T107" s="85">
        <f t="shared" si="68"/>
        <v>110343.10238233455</v>
      </c>
      <c r="U107" s="85">
        <f t="shared" si="68"/>
        <v>107858.82810756474</v>
      </c>
      <c r="V107" s="85">
        <f t="shared" si="68"/>
        <v>102050.57526942373</v>
      </c>
      <c r="W107" s="85">
        <f t="shared" si="68"/>
        <v>106619.32933650409</v>
      </c>
      <c r="DA107" s="117"/>
    </row>
    <row r="108" spans="1:105" ht="12" customHeight="1" x14ac:dyDescent="0.25">
      <c r="A108" s="61" t="s">
        <v>32</v>
      </c>
      <c r="B108" s="65">
        <v>66795.64391428954</v>
      </c>
      <c r="C108" s="65">
        <v>71847.944517932425</v>
      </c>
      <c r="D108" s="65">
        <v>71203.434502242235</v>
      </c>
      <c r="E108" s="65">
        <v>75612.410722325323</v>
      </c>
      <c r="F108" s="65">
        <v>84358.733198289192</v>
      </c>
      <c r="G108" s="65">
        <v>76395.422007803951</v>
      </c>
      <c r="H108" s="65">
        <v>77334.147972574632</v>
      </c>
      <c r="I108" s="65">
        <v>70835.897836816861</v>
      </c>
      <c r="J108" s="65">
        <v>74985.067315075663</v>
      </c>
      <c r="K108" s="65">
        <v>80190.515302585613</v>
      </c>
      <c r="L108" s="65">
        <v>89758.804603667406</v>
      </c>
      <c r="M108" s="65">
        <v>74071.870666152739</v>
      </c>
      <c r="N108" s="65">
        <v>79933.241996086552</v>
      </c>
      <c r="O108" s="65">
        <v>81963.682099534402</v>
      </c>
      <c r="P108" s="65">
        <v>64649.45293287417</v>
      </c>
      <c r="Q108" s="65">
        <v>68312.632742568501</v>
      </c>
      <c r="R108" s="65">
        <v>69394.608537179374</v>
      </c>
      <c r="S108" s="65">
        <v>71918.252501460112</v>
      </c>
      <c r="T108" s="65">
        <v>72115.410869645857</v>
      </c>
      <c r="U108" s="65">
        <v>69328.792837328641</v>
      </c>
      <c r="V108" s="65">
        <v>64047.54397754353</v>
      </c>
      <c r="W108" s="65">
        <v>69450.981163848395</v>
      </c>
      <c r="DA108" s="109"/>
    </row>
    <row r="109" spans="1:105" ht="12" customHeight="1" x14ac:dyDescent="0.25">
      <c r="A109" s="61" t="s">
        <v>31</v>
      </c>
      <c r="B109" s="65">
        <v>2415.5451636056705</v>
      </c>
      <c r="C109" s="65">
        <v>2868.4590189611095</v>
      </c>
      <c r="D109" s="65">
        <v>3274.0482226822432</v>
      </c>
      <c r="E109" s="65">
        <v>3997.9286613512368</v>
      </c>
      <c r="F109" s="65">
        <v>4143.1023856863012</v>
      </c>
      <c r="G109" s="65">
        <v>4712.4886747466408</v>
      </c>
      <c r="H109" s="65">
        <v>5809.1165749587353</v>
      </c>
      <c r="I109" s="65">
        <v>6117.3664049132522</v>
      </c>
      <c r="J109" s="65">
        <v>6770.5563255387142</v>
      </c>
      <c r="K109" s="65">
        <v>7434.9113530470449</v>
      </c>
      <c r="L109" s="65">
        <v>8129.7697945071041</v>
      </c>
      <c r="M109" s="65">
        <v>8256.8496100013654</v>
      </c>
      <c r="N109" s="65">
        <v>8583.1569807736814</v>
      </c>
      <c r="O109" s="65">
        <v>8914.2993800464428</v>
      </c>
      <c r="P109" s="65">
        <v>9116.834013581074</v>
      </c>
      <c r="Q109" s="65">
        <v>9656.8550567761358</v>
      </c>
      <c r="R109" s="65">
        <v>9710.522311755376</v>
      </c>
      <c r="S109" s="65">
        <v>9805.2055203797026</v>
      </c>
      <c r="T109" s="65">
        <v>11157.746022273794</v>
      </c>
      <c r="U109" s="65">
        <v>11472.885821412821</v>
      </c>
      <c r="V109" s="65">
        <v>11467.443663856451</v>
      </c>
      <c r="W109" s="65">
        <v>10504.187766159072</v>
      </c>
      <c r="DA109" s="109"/>
    </row>
    <row r="110" spans="1:105" ht="12" customHeight="1" x14ac:dyDescent="0.25">
      <c r="A110" s="61" t="s">
        <v>35</v>
      </c>
      <c r="B110" s="65">
        <v>15343.2670672888</v>
      </c>
      <c r="C110" s="65">
        <v>15152.485780769615</v>
      </c>
      <c r="D110" s="65">
        <v>15115.402891802632</v>
      </c>
      <c r="E110" s="65">
        <v>15020.842127416472</v>
      </c>
      <c r="F110" s="65">
        <v>15098.121340423104</v>
      </c>
      <c r="G110" s="65">
        <v>14876.638960291966</v>
      </c>
      <c r="H110" s="65">
        <v>14509.362203318406</v>
      </c>
      <c r="I110" s="65">
        <v>14083.592301753548</v>
      </c>
      <c r="J110" s="65">
        <v>13854.938244615038</v>
      </c>
      <c r="K110" s="65">
        <v>13979.417962964882</v>
      </c>
      <c r="L110" s="65">
        <v>13896.270228983656</v>
      </c>
      <c r="M110" s="65">
        <v>13797.314433195786</v>
      </c>
      <c r="N110" s="65">
        <v>13842.065613691317</v>
      </c>
      <c r="O110" s="65">
        <v>13897.986336367338</v>
      </c>
      <c r="P110" s="65">
        <v>13884.580840832488</v>
      </c>
      <c r="Q110" s="65">
        <v>13780.311156363032</v>
      </c>
      <c r="R110" s="65">
        <v>13755.800556224654</v>
      </c>
      <c r="S110" s="65">
        <v>13772.608241802864</v>
      </c>
      <c r="T110" s="65">
        <v>13776.882674329065</v>
      </c>
      <c r="U110" s="65">
        <v>13770.81947115854</v>
      </c>
      <c r="V110" s="65">
        <v>13457.62297691713</v>
      </c>
      <c r="W110" s="65">
        <v>13581.113242265124</v>
      </c>
      <c r="DA110" s="109"/>
    </row>
    <row r="111" spans="1:105" ht="12" customHeight="1" x14ac:dyDescent="0.25">
      <c r="A111" s="74" t="s">
        <v>34</v>
      </c>
      <c r="B111" s="68">
        <v>13345.227363296286</v>
      </c>
      <c r="C111" s="68">
        <v>13239.122706556251</v>
      </c>
      <c r="D111" s="68">
        <v>13265.072127735319</v>
      </c>
      <c r="E111" s="68">
        <v>13354.02334410026</v>
      </c>
      <c r="F111" s="68">
        <v>13535.08085002275</v>
      </c>
      <c r="G111" s="68">
        <v>13558.755751146291</v>
      </c>
      <c r="H111" s="68">
        <v>13413.044491470035</v>
      </c>
      <c r="I111" s="68">
        <v>13243.859836961339</v>
      </c>
      <c r="J111" s="68">
        <v>13216.939343385513</v>
      </c>
      <c r="K111" s="68">
        <v>13419.557444639597</v>
      </c>
      <c r="L111" s="68">
        <v>13399.816450618366</v>
      </c>
      <c r="M111" s="68">
        <v>13226.316238602123</v>
      </c>
      <c r="N111" s="68">
        <v>13230.126026632634</v>
      </c>
      <c r="O111" s="68">
        <v>13358.204828971151</v>
      </c>
      <c r="P111" s="68">
        <v>13405.310251889696</v>
      </c>
      <c r="Q111" s="68">
        <v>13306.201405385547</v>
      </c>
      <c r="R111" s="68">
        <v>13280.412254806599</v>
      </c>
      <c r="S111" s="68">
        <v>13298.128176963099</v>
      </c>
      <c r="T111" s="68">
        <v>13293.062816085834</v>
      </c>
      <c r="U111" s="68">
        <v>13286.329977664733</v>
      </c>
      <c r="V111" s="68">
        <v>13077.964651106615</v>
      </c>
      <c r="W111" s="68">
        <v>13083.047164231495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22166.218303804068</v>
      </c>
      <c r="C113" s="82">
        <f t="shared" ref="C113:W113" si="70">C81*1000000/C$8</f>
        <v>23348.378731492081</v>
      </c>
      <c r="D113" s="82">
        <f t="shared" si="70"/>
        <v>21996.380370289884</v>
      </c>
      <c r="E113" s="82">
        <f t="shared" si="70"/>
        <v>23328.719822684037</v>
      </c>
      <c r="F113" s="82">
        <f t="shared" si="70"/>
        <v>25534.596050151325</v>
      </c>
      <c r="G113" s="82">
        <f t="shared" si="70"/>
        <v>23225.52962210885</v>
      </c>
      <c r="H113" s="82">
        <f t="shared" si="70"/>
        <v>22754.148141210979</v>
      </c>
      <c r="I113" s="82">
        <f t="shared" si="70"/>
        <v>19853.690857334404</v>
      </c>
      <c r="J113" s="82">
        <f t="shared" si="70"/>
        <v>21046.060305872874</v>
      </c>
      <c r="K113" s="82">
        <f t="shared" si="70"/>
        <v>21724.589460269137</v>
      </c>
      <c r="L113" s="82">
        <f t="shared" si="70"/>
        <v>24551.252020956555</v>
      </c>
      <c r="M113" s="82">
        <f t="shared" si="70"/>
        <v>19585.364422706309</v>
      </c>
      <c r="N113" s="82">
        <f t="shared" si="70"/>
        <v>21679.136740680347</v>
      </c>
      <c r="O113" s="82">
        <f t="shared" si="70"/>
        <v>21807.559516607311</v>
      </c>
      <c r="P113" s="82">
        <f t="shared" si="70"/>
        <v>17482.758107495742</v>
      </c>
      <c r="Q113" s="82">
        <f t="shared" si="70"/>
        <v>18508.289029792842</v>
      </c>
      <c r="R113" s="82">
        <f t="shared" si="70"/>
        <v>18446.657715069967</v>
      </c>
      <c r="S113" s="82">
        <f t="shared" si="70"/>
        <v>18215.339174347137</v>
      </c>
      <c r="T113" s="82">
        <f t="shared" si="70"/>
        <v>17781.120827030314</v>
      </c>
      <c r="U113" s="82">
        <f t="shared" si="70"/>
        <v>16725.462680842989</v>
      </c>
      <c r="V113" s="82">
        <f t="shared" si="70"/>
        <v>14929.370267082108</v>
      </c>
      <c r="W113" s="82">
        <f t="shared" si="70"/>
        <v>15936.734906239897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22166.218303804068</v>
      </c>
      <c r="C114" s="64">
        <f t="shared" ref="C114:W114" si="72">C82*1000000/C$8</f>
        <v>23348.378731492081</v>
      </c>
      <c r="D114" s="64">
        <f t="shared" si="72"/>
        <v>21996.380370289884</v>
      </c>
      <c r="E114" s="64">
        <f t="shared" si="72"/>
        <v>23328.719822684037</v>
      </c>
      <c r="F114" s="64">
        <f t="shared" si="72"/>
        <v>25534.596050151325</v>
      </c>
      <c r="G114" s="64">
        <f t="shared" si="72"/>
        <v>23225.52962210885</v>
      </c>
      <c r="H114" s="64">
        <f t="shared" si="72"/>
        <v>22754.148141210979</v>
      </c>
      <c r="I114" s="64">
        <f t="shared" si="72"/>
        <v>19853.690857334404</v>
      </c>
      <c r="J114" s="64">
        <f t="shared" si="72"/>
        <v>21046.060305872874</v>
      </c>
      <c r="K114" s="64">
        <f t="shared" si="72"/>
        <v>21724.589460269137</v>
      </c>
      <c r="L114" s="64">
        <f t="shared" si="72"/>
        <v>24551.252020956555</v>
      </c>
      <c r="M114" s="64">
        <f t="shared" si="72"/>
        <v>19585.364422706309</v>
      </c>
      <c r="N114" s="64">
        <f t="shared" si="72"/>
        <v>21679.136740680347</v>
      </c>
      <c r="O114" s="64">
        <f t="shared" si="72"/>
        <v>21807.559516607311</v>
      </c>
      <c r="P114" s="64">
        <f t="shared" si="72"/>
        <v>17482.758107495742</v>
      </c>
      <c r="Q114" s="64">
        <f t="shared" si="72"/>
        <v>18508.289029792842</v>
      </c>
      <c r="R114" s="64">
        <f t="shared" si="72"/>
        <v>18446.657715069967</v>
      </c>
      <c r="S114" s="64">
        <f t="shared" si="72"/>
        <v>18215.339174347137</v>
      </c>
      <c r="T114" s="64">
        <f t="shared" si="72"/>
        <v>17781.120827030314</v>
      </c>
      <c r="U114" s="64">
        <f t="shared" si="72"/>
        <v>16725.462680842989</v>
      </c>
      <c r="V114" s="64">
        <f t="shared" si="72"/>
        <v>14929.370267082108</v>
      </c>
      <c r="W114" s="64">
        <f t="shared" si="72"/>
        <v>15936.734906239897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18721.627359976454</v>
      </c>
      <c r="C115" s="65">
        <f t="shared" ref="C115:W115" si="74">C83*1000000/C$8</f>
        <v>19869.186092133616</v>
      </c>
      <c r="D115" s="65">
        <f t="shared" si="74"/>
        <v>18409.025394223721</v>
      </c>
      <c r="E115" s="65">
        <f t="shared" si="74"/>
        <v>19786.719857232543</v>
      </c>
      <c r="F115" s="65">
        <f t="shared" si="74"/>
        <v>21954.898576177013</v>
      </c>
      <c r="G115" s="65">
        <f t="shared" si="74"/>
        <v>19696.807757465293</v>
      </c>
      <c r="H115" s="65">
        <f t="shared" si="74"/>
        <v>19269.357145402093</v>
      </c>
      <c r="I115" s="65">
        <f t="shared" si="74"/>
        <v>16528.283974904116</v>
      </c>
      <c r="J115" s="65">
        <f t="shared" si="74"/>
        <v>17762.367313047165</v>
      </c>
      <c r="K115" s="65">
        <f t="shared" si="74"/>
        <v>18401.955776429993</v>
      </c>
      <c r="L115" s="65">
        <f t="shared" si="74"/>
        <v>21264.621722560452</v>
      </c>
      <c r="M115" s="65">
        <f t="shared" si="74"/>
        <v>16379.763255573605</v>
      </c>
      <c r="N115" s="65">
        <f t="shared" si="74"/>
        <v>18370.886037658634</v>
      </c>
      <c r="O115" s="65">
        <f t="shared" si="74"/>
        <v>18496.50500743997</v>
      </c>
      <c r="P115" s="65">
        <f t="shared" si="74"/>
        <v>14344.27323375951</v>
      </c>
      <c r="Q115" s="65">
        <f t="shared" si="74"/>
        <v>15428.227965347509</v>
      </c>
      <c r="R115" s="65">
        <f t="shared" si="74"/>
        <v>15404.684247785757</v>
      </c>
      <c r="S115" s="65">
        <f t="shared" si="74"/>
        <v>15115.682170023743</v>
      </c>
      <c r="T115" s="65">
        <f t="shared" si="74"/>
        <v>14738.261029400932</v>
      </c>
      <c r="U115" s="65">
        <f t="shared" si="74"/>
        <v>13766.129810427998</v>
      </c>
      <c r="V115" s="65">
        <f t="shared" si="74"/>
        <v>12320.009354998467</v>
      </c>
      <c r="W115" s="65">
        <f t="shared" si="74"/>
        <v>13300.782382060912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1.2336513728945477</v>
      </c>
      <c r="C116" s="65">
        <f t="shared" ref="C116:W116" si="76">C84*1000000/C$8</f>
        <v>1.3998404099966066</v>
      </c>
      <c r="D116" s="65">
        <f t="shared" si="76"/>
        <v>1.6989611751737852</v>
      </c>
      <c r="E116" s="65">
        <f t="shared" si="76"/>
        <v>2.0347506742779959</v>
      </c>
      <c r="F116" s="65">
        <f t="shared" si="76"/>
        <v>2.5196418490700356</v>
      </c>
      <c r="G116" s="65">
        <f t="shared" si="76"/>
        <v>2.9751956482105797</v>
      </c>
      <c r="H116" s="65">
        <f t="shared" si="76"/>
        <v>4.045387648191543</v>
      </c>
      <c r="I116" s="65">
        <f t="shared" si="76"/>
        <v>4.8428831704550088</v>
      </c>
      <c r="J116" s="65">
        <f t="shared" si="76"/>
        <v>5.8470189184007202</v>
      </c>
      <c r="K116" s="65">
        <f t="shared" si="76"/>
        <v>6.7032673564328205</v>
      </c>
      <c r="L116" s="65">
        <f t="shared" si="76"/>
        <v>7.5864716127402083</v>
      </c>
      <c r="M116" s="65">
        <f t="shared" si="76"/>
        <v>8.1708808603032601</v>
      </c>
      <c r="N116" s="65">
        <f t="shared" si="76"/>
        <v>9.32456167532394</v>
      </c>
      <c r="O116" s="65">
        <f t="shared" si="76"/>
        <v>11.399447630921554</v>
      </c>
      <c r="P116" s="65">
        <f t="shared" si="76"/>
        <v>14.986997595922199</v>
      </c>
      <c r="Q116" s="65">
        <f t="shared" si="76"/>
        <v>20.368983084480409</v>
      </c>
      <c r="R116" s="65">
        <f t="shared" si="76"/>
        <v>25.71902147364445</v>
      </c>
      <c r="S116" s="65">
        <f t="shared" si="76"/>
        <v>30.53744122240316</v>
      </c>
      <c r="T116" s="65">
        <f t="shared" si="76"/>
        <v>34.683255059154433</v>
      </c>
      <c r="U116" s="65">
        <f t="shared" si="76"/>
        <v>38.060702334519902</v>
      </c>
      <c r="V116" s="65">
        <f t="shared" si="76"/>
        <v>40.732545267656867</v>
      </c>
      <c r="W116" s="65">
        <f t="shared" si="76"/>
        <v>43.011202765329337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1806.305172937633</v>
      </c>
      <c r="C117" s="65">
        <f t="shared" ref="C117:W117" si="78">C85*1000000/C$8</f>
        <v>1803.1433725523486</v>
      </c>
      <c r="D117" s="65">
        <f t="shared" si="78"/>
        <v>1883.2833426661946</v>
      </c>
      <c r="E117" s="65">
        <f t="shared" si="78"/>
        <v>1814.1224030085534</v>
      </c>
      <c r="F117" s="65">
        <f t="shared" si="78"/>
        <v>1811.8030917686481</v>
      </c>
      <c r="G117" s="65">
        <f t="shared" si="78"/>
        <v>1783.4155785875753</v>
      </c>
      <c r="H117" s="65">
        <f t="shared" si="78"/>
        <v>1745.7227386372729</v>
      </c>
      <c r="I117" s="65">
        <f t="shared" si="78"/>
        <v>1664.4029788648738</v>
      </c>
      <c r="J117" s="65">
        <f t="shared" si="78"/>
        <v>1627.7655664221886</v>
      </c>
      <c r="K117" s="65">
        <f t="shared" si="78"/>
        <v>1649.7900527479933</v>
      </c>
      <c r="L117" s="65">
        <f t="shared" si="78"/>
        <v>1638.5574004214618</v>
      </c>
      <c r="M117" s="65">
        <f t="shared" si="78"/>
        <v>1611.0509105576593</v>
      </c>
      <c r="N117" s="65">
        <f t="shared" si="78"/>
        <v>1726.443682986411</v>
      </c>
      <c r="O117" s="65">
        <f t="shared" si="78"/>
        <v>1728.6718276429763</v>
      </c>
      <c r="P117" s="65">
        <f t="shared" si="78"/>
        <v>1598.4715146974468</v>
      </c>
      <c r="Q117" s="65">
        <f t="shared" si="78"/>
        <v>1543.9030634960548</v>
      </c>
      <c r="R117" s="65">
        <f t="shared" si="78"/>
        <v>1548.5338198823856</v>
      </c>
      <c r="S117" s="65">
        <f t="shared" si="78"/>
        <v>1605.9234411146283</v>
      </c>
      <c r="T117" s="65">
        <f t="shared" si="78"/>
        <v>1549.9921583543264</v>
      </c>
      <c r="U117" s="65">
        <f t="shared" si="78"/>
        <v>1476.4660658418245</v>
      </c>
      <c r="V117" s="65">
        <f t="shared" si="78"/>
        <v>1229.55051390313</v>
      </c>
      <c r="W117" s="65">
        <f t="shared" si="78"/>
        <v>1234.6954744295699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1637.0521195170877</v>
      </c>
      <c r="C118" s="67">
        <f t="shared" ref="C118:W118" si="80">C86*1000000/C$8</f>
        <v>1674.6494263961156</v>
      </c>
      <c r="D118" s="67">
        <f t="shared" si="80"/>
        <v>1702.372672224798</v>
      </c>
      <c r="E118" s="67">
        <f t="shared" si="80"/>
        <v>1725.8428117686617</v>
      </c>
      <c r="F118" s="67">
        <f t="shared" si="80"/>
        <v>1765.3747403565937</v>
      </c>
      <c r="G118" s="67">
        <f t="shared" si="80"/>
        <v>1742.3310904077698</v>
      </c>
      <c r="H118" s="67">
        <f t="shared" si="80"/>
        <v>1735.0228695234259</v>
      </c>
      <c r="I118" s="67">
        <f t="shared" si="80"/>
        <v>1656.1610203949613</v>
      </c>
      <c r="J118" s="67">
        <f t="shared" si="80"/>
        <v>1650.0804074851201</v>
      </c>
      <c r="K118" s="67">
        <f t="shared" si="80"/>
        <v>1666.140363734723</v>
      </c>
      <c r="L118" s="67">
        <f t="shared" si="80"/>
        <v>1640.4864263618967</v>
      </c>
      <c r="M118" s="67">
        <f t="shared" si="80"/>
        <v>1586.37937571474</v>
      </c>
      <c r="N118" s="67">
        <f t="shared" si="80"/>
        <v>1572.4824583599745</v>
      </c>
      <c r="O118" s="67">
        <f t="shared" si="80"/>
        <v>1570.983233893437</v>
      </c>
      <c r="P118" s="67">
        <f t="shared" si="80"/>
        <v>1525.0263614428629</v>
      </c>
      <c r="Q118" s="67">
        <f t="shared" si="80"/>
        <v>1515.7890178647974</v>
      </c>
      <c r="R118" s="67">
        <f t="shared" si="80"/>
        <v>1467.7206259281813</v>
      </c>
      <c r="S118" s="67">
        <f t="shared" si="80"/>
        <v>1463.1961219863615</v>
      </c>
      <c r="T118" s="67">
        <f t="shared" si="80"/>
        <v>1458.1843842159017</v>
      </c>
      <c r="U118" s="67">
        <f t="shared" si="80"/>
        <v>1444.8061022386494</v>
      </c>
      <c r="V118" s="67">
        <f t="shared" si="80"/>
        <v>1339.0778529128547</v>
      </c>
      <c r="W118" s="67">
        <f t="shared" si="80"/>
        <v>1358.245846984086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0.63187242269133281</v>
      </c>
      <c r="C121" s="86">
        <f t="shared" ref="C121:W121" si="84">IF(C107=0,"",C107/C100)</f>
        <v>0.63698878177927831</v>
      </c>
      <c r="D121" s="86">
        <f t="shared" si="84"/>
        <v>0.65235884787853216</v>
      </c>
      <c r="E121" s="86">
        <f t="shared" si="84"/>
        <v>0.65744480040511499</v>
      </c>
      <c r="F121" s="86">
        <f t="shared" si="84"/>
        <v>0.66150233946182924</v>
      </c>
      <c r="G121" s="86">
        <f t="shared" si="84"/>
        <v>0.67424773536416283</v>
      </c>
      <c r="H121" s="86">
        <f t="shared" si="84"/>
        <v>0.69050008954262487</v>
      </c>
      <c r="I121" s="86">
        <f t="shared" si="84"/>
        <v>0.71102244333794118</v>
      </c>
      <c r="J121" s="86">
        <f t="shared" si="84"/>
        <v>0.71994174614963247</v>
      </c>
      <c r="K121" s="86">
        <f t="shared" si="84"/>
        <v>0.7341021428184632</v>
      </c>
      <c r="L121" s="86">
        <f t="shared" si="84"/>
        <v>0.74153796837607566</v>
      </c>
      <c r="M121" s="86">
        <f t="shared" si="84"/>
        <v>0.76761973341013134</v>
      </c>
      <c r="N121" s="86">
        <f t="shared" si="84"/>
        <v>0.77641560558502665</v>
      </c>
      <c r="O121" s="86">
        <f t="shared" si="84"/>
        <v>0.79234596781855904</v>
      </c>
      <c r="P121" s="86">
        <f t="shared" si="84"/>
        <v>0.81138978373880521</v>
      </c>
      <c r="Q121" s="86">
        <f t="shared" si="84"/>
        <v>0.82070608505935139</v>
      </c>
      <c r="R121" s="86">
        <f t="shared" si="84"/>
        <v>0.83090846808402707</v>
      </c>
      <c r="S121" s="86">
        <f t="shared" si="84"/>
        <v>0.84295073551541289</v>
      </c>
      <c r="T121" s="86">
        <f t="shared" si="84"/>
        <v>0.86437995997334671</v>
      </c>
      <c r="U121" s="86">
        <f t="shared" si="84"/>
        <v>0.88293803327905718</v>
      </c>
      <c r="V121" s="86">
        <f t="shared" si="84"/>
        <v>0.90552834746510114</v>
      </c>
      <c r="W121" s="86">
        <f t="shared" si="84"/>
        <v>0.90827853409393433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0.59520209392800061</v>
      </c>
      <c r="C122" s="75">
        <f t="shared" ref="C122:W122" si="86">IF(C108=0,"",C108/C101)</f>
        <v>0.60119200272914441</v>
      </c>
      <c r="D122" s="75">
        <f t="shared" si="86"/>
        <v>0.61776937130454679</v>
      </c>
      <c r="E122" s="75">
        <f t="shared" si="86"/>
        <v>0.6209303437490048</v>
      </c>
      <c r="F122" s="75">
        <f t="shared" si="86"/>
        <v>0.62775396608480583</v>
      </c>
      <c r="G122" s="75">
        <f t="shared" si="86"/>
        <v>0.63597881805085565</v>
      </c>
      <c r="H122" s="75">
        <f t="shared" si="86"/>
        <v>0.64937454032504938</v>
      </c>
      <c r="I122" s="75">
        <f t="shared" si="86"/>
        <v>0.66828638015823327</v>
      </c>
      <c r="J122" s="75">
        <f t="shared" si="86"/>
        <v>0.67605850916001309</v>
      </c>
      <c r="K122" s="75">
        <f t="shared" si="86"/>
        <v>0.69124453647904371</v>
      </c>
      <c r="L122" s="75">
        <f t="shared" si="86"/>
        <v>0.6993635537485704</v>
      </c>
      <c r="M122" s="75">
        <f t="shared" si="86"/>
        <v>0.72184140631211013</v>
      </c>
      <c r="N122" s="75">
        <f t="shared" si="86"/>
        <v>0.73244230607234295</v>
      </c>
      <c r="O122" s="75">
        <f t="shared" si="86"/>
        <v>0.74971211401133397</v>
      </c>
      <c r="P122" s="75">
        <f t="shared" si="86"/>
        <v>0.76101607323614917</v>
      </c>
      <c r="Q122" s="75">
        <f t="shared" si="86"/>
        <v>0.76861148697992931</v>
      </c>
      <c r="R122" s="75">
        <f t="shared" si="86"/>
        <v>0.77928775893621682</v>
      </c>
      <c r="S122" s="75">
        <f t="shared" si="86"/>
        <v>0.7929353047538541</v>
      </c>
      <c r="T122" s="75">
        <f t="shared" si="86"/>
        <v>0.80647668548960949</v>
      </c>
      <c r="U122" s="75">
        <f t="shared" si="86"/>
        <v>0.82183016256600749</v>
      </c>
      <c r="V122" s="75">
        <f t="shared" si="86"/>
        <v>0.84102567371907344</v>
      </c>
      <c r="W122" s="75">
        <f t="shared" si="86"/>
        <v>0.85421395361716124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1.9407366698831454</v>
      </c>
      <c r="C123" s="76">
        <f t="shared" ref="C123:W123" si="88">IF(C109=0,"",C109/C102)</f>
        <v>2.070664280866064</v>
      </c>
      <c r="D123" s="76">
        <f t="shared" si="88"/>
        <v>2.1955276633166347</v>
      </c>
      <c r="E123" s="76">
        <f t="shared" si="88"/>
        <v>2.307105270033877</v>
      </c>
      <c r="F123" s="76">
        <f t="shared" si="88"/>
        <v>2.4256251249035969</v>
      </c>
      <c r="G123" s="76">
        <f t="shared" si="88"/>
        <v>2.5586638828160426</v>
      </c>
      <c r="H123" s="76">
        <f t="shared" si="88"/>
        <v>2.6863251418411775</v>
      </c>
      <c r="I123" s="76">
        <f t="shared" si="88"/>
        <v>2.8234900222899486</v>
      </c>
      <c r="J123" s="76">
        <f t="shared" si="88"/>
        <v>2.9492042897156319</v>
      </c>
      <c r="K123" s="76">
        <f t="shared" si="88"/>
        <v>3.0052182897453457</v>
      </c>
      <c r="L123" s="76">
        <f t="shared" si="88"/>
        <v>3.0724509851397048</v>
      </c>
      <c r="M123" s="76">
        <f t="shared" si="88"/>
        <v>3.163601311230579</v>
      </c>
      <c r="N123" s="76">
        <f t="shared" si="88"/>
        <v>3.2519341888293449</v>
      </c>
      <c r="O123" s="76">
        <f t="shared" si="88"/>
        <v>3.3447028567528569</v>
      </c>
      <c r="P123" s="76">
        <f t="shared" si="88"/>
        <v>3.4516556792979944</v>
      </c>
      <c r="Q123" s="76">
        <f t="shared" si="88"/>
        <v>3.5640087428598033</v>
      </c>
      <c r="R123" s="76">
        <f t="shared" si="88"/>
        <v>3.6832305590286021</v>
      </c>
      <c r="S123" s="76">
        <f t="shared" si="88"/>
        <v>3.802643159215958</v>
      </c>
      <c r="T123" s="76">
        <f t="shared" si="88"/>
        <v>3.9255713331462836</v>
      </c>
      <c r="U123" s="76">
        <f t="shared" si="88"/>
        <v>4.0270558414787763</v>
      </c>
      <c r="V123" s="76">
        <f t="shared" si="88"/>
        <v>4.0972227198568136</v>
      </c>
      <c r="W123" s="76">
        <f t="shared" si="88"/>
        <v>4.1672798381470777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0.67694177255503374</v>
      </c>
      <c r="C124" s="76">
        <f t="shared" ref="C124:W124" si="90">IF(C110=0,"",C110/C103)</f>
        <v>0.67956587534490431</v>
      </c>
      <c r="D124" s="76">
        <f t="shared" si="90"/>
        <v>0.68045572938009757</v>
      </c>
      <c r="E124" s="76">
        <f t="shared" si="90"/>
        <v>0.6850736075670294</v>
      </c>
      <c r="F124" s="76">
        <f t="shared" si="90"/>
        <v>0.6885063891371066</v>
      </c>
      <c r="G124" s="76">
        <f t="shared" si="90"/>
        <v>0.69257314636136713</v>
      </c>
      <c r="H124" s="76">
        <f t="shared" si="90"/>
        <v>0.69705494300307125</v>
      </c>
      <c r="I124" s="76">
        <f t="shared" si="90"/>
        <v>0.70285215508329946</v>
      </c>
      <c r="J124" s="76">
        <f t="shared" si="90"/>
        <v>0.70814304101916348</v>
      </c>
      <c r="K124" s="76">
        <f t="shared" si="90"/>
        <v>0.71319875708418223</v>
      </c>
      <c r="L124" s="76">
        <f t="shared" si="90"/>
        <v>0.71930934021581883</v>
      </c>
      <c r="M124" s="76">
        <f t="shared" si="90"/>
        <v>0.72654627854300891</v>
      </c>
      <c r="N124" s="76">
        <f t="shared" si="90"/>
        <v>0.73245437655372281</v>
      </c>
      <c r="O124" s="76">
        <f t="shared" si="90"/>
        <v>0.74077544463792244</v>
      </c>
      <c r="P124" s="76">
        <f t="shared" si="90"/>
        <v>0.74628179853485299</v>
      </c>
      <c r="Q124" s="76">
        <f t="shared" si="90"/>
        <v>0.75370492286608293</v>
      </c>
      <c r="R124" s="76">
        <f t="shared" si="90"/>
        <v>0.76178205395701781</v>
      </c>
      <c r="S124" s="76">
        <f t="shared" si="90"/>
        <v>0.77190327795780733</v>
      </c>
      <c r="T124" s="76">
        <f t="shared" si="90"/>
        <v>0.78442969692886977</v>
      </c>
      <c r="U124" s="76">
        <f t="shared" si="90"/>
        <v>0.79781313824095179</v>
      </c>
      <c r="V124" s="76">
        <f t="shared" si="90"/>
        <v>0.81519669307871634</v>
      </c>
      <c r="W124" s="76">
        <f t="shared" si="90"/>
        <v>0.82912748136480896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0.70977130105106978</v>
      </c>
      <c r="C125" s="56">
        <f t="shared" ref="C125:W125" si="92">IF(C111=0,"",C111/C104)</f>
        <v>0.70887948823271629</v>
      </c>
      <c r="D125" s="56">
        <f t="shared" si="92"/>
        <v>0.70909606173087325</v>
      </c>
      <c r="E125" s="56">
        <f t="shared" si="92"/>
        <v>0.70962922918515958</v>
      </c>
      <c r="F125" s="56">
        <f t="shared" si="92"/>
        <v>0.7102955675750956</v>
      </c>
      <c r="G125" s="56">
        <f t="shared" si="92"/>
        <v>0.71276210814333807</v>
      </c>
      <c r="H125" s="56">
        <f t="shared" si="92"/>
        <v>0.7142102896929674</v>
      </c>
      <c r="I125" s="56">
        <f t="shared" si="92"/>
        <v>0.71734411368565665</v>
      </c>
      <c r="J125" s="56">
        <f t="shared" si="92"/>
        <v>0.7188749265048654</v>
      </c>
      <c r="K125" s="56">
        <f t="shared" si="92"/>
        <v>0.72135432611088646</v>
      </c>
      <c r="L125" s="56">
        <f t="shared" si="92"/>
        <v>0.72395757033489949</v>
      </c>
      <c r="M125" s="56">
        <f t="shared" si="92"/>
        <v>0.72508637578465274</v>
      </c>
      <c r="N125" s="56">
        <f t="shared" si="92"/>
        <v>0.72674771853876141</v>
      </c>
      <c r="O125" s="56">
        <f t="shared" si="92"/>
        <v>0.72833652740447119</v>
      </c>
      <c r="P125" s="56">
        <f t="shared" si="92"/>
        <v>0.73056568776691511</v>
      </c>
      <c r="Q125" s="56">
        <f t="shared" si="92"/>
        <v>0.73369419612244213</v>
      </c>
      <c r="R125" s="56">
        <f t="shared" si="92"/>
        <v>0.73785199576334937</v>
      </c>
      <c r="S125" s="56">
        <f t="shared" si="92"/>
        <v>0.74109726507336127</v>
      </c>
      <c r="T125" s="56">
        <f t="shared" si="92"/>
        <v>0.74553625478942753</v>
      </c>
      <c r="U125" s="56">
        <f t="shared" si="92"/>
        <v>0.75105106883578665</v>
      </c>
      <c r="V125" s="56">
        <f t="shared" si="92"/>
        <v>0.75876247376067185</v>
      </c>
      <c r="W125" s="56">
        <f t="shared" si="92"/>
        <v>0.7614588531174793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213.20648102765173</v>
      </c>
      <c r="C129" s="82">
        <f t="shared" ref="C129:W129" si="94">IF(C99=0,0,C99/C$26)</f>
        <v>221.87949177592279</v>
      </c>
      <c r="D129" s="82">
        <f t="shared" si="94"/>
        <v>218.33059860338187</v>
      </c>
      <c r="E129" s="82">
        <f t="shared" si="94"/>
        <v>226.91112191371468</v>
      </c>
      <c r="F129" s="82">
        <f t="shared" si="94"/>
        <v>242.77866701553782</v>
      </c>
      <c r="G129" s="82">
        <f t="shared" si="94"/>
        <v>227.53553190408707</v>
      </c>
      <c r="H129" s="82">
        <f t="shared" si="94"/>
        <v>226.16969993509554</v>
      </c>
      <c r="I129" s="82">
        <f t="shared" si="94"/>
        <v>210.59406459330015</v>
      </c>
      <c r="J129" s="82">
        <f t="shared" si="94"/>
        <v>216.0684671245038</v>
      </c>
      <c r="K129" s="82">
        <f t="shared" si="94"/>
        <v>223.23843508012214</v>
      </c>
      <c r="L129" s="82">
        <f t="shared" si="94"/>
        <v>237.33890774106038</v>
      </c>
      <c r="M129" s="82">
        <f t="shared" si="94"/>
        <v>208.5237852566905</v>
      </c>
      <c r="N129" s="82">
        <f t="shared" si="94"/>
        <v>215.91303353243228</v>
      </c>
      <c r="O129" s="82">
        <f t="shared" si="94"/>
        <v>216.54894908931399</v>
      </c>
      <c r="P129" s="82">
        <f t="shared" si="94"/>
        <v>190.35618238876353</v>
      </c>
      <c r="Q129" s="82">
        <f t="shared" si="94"/>
        <v>195.73579526686947</v>
      </c>
      <c r="R129" s="82">
        <f t="shared" si="94"/>
        <v>195.07302229138435</v>
      </c>
      <c r="S129" s="82">
        <f t="shared" si="94"/>
        <v>196.72241212658378</v>
      </c>
      <c r="T129" s="82">
        <f t="shared" si="94"/>
        <v>194.37781557984653</v>
      </c>
      <c r="U129" s="82">
        <f t="shared" si="94"/>
        <v>187.69476058419519</v>
      </c>
      <c r="V129" s="82">
        <f t="shared" si="94"/>
        <v>175.95581032484628</v>
      </c>
      <c r="W129" s="82">
        <f t="shared" si="94"/>
        <v>180.60311778704184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172.15093144470245</v>
      </c>
      <c r="C130" s="64">
        <f t="shared" ref="C130:W130" si="96">IF(C100=0,0,C100/C$26)</f>
        <v>179.85317965047886</v>
      </c>
      <c r="D130" s="64">
        <f t="shared" si="96"/>
        <v>175.18980556135466</v>
      </c>
      <c r="E130" s="64">
        <f t="shared" si="96"/>
        <v>182.49982489219076</v>
      </c>
      <c r="F130" s="64">
        <f t="shared" si="96"/>
        <v>196.74917866120319</v>
      </c>
      <c r="G130" s="64">
        <f t="shared" si="96"/>
        <v>180.51938091473198</v>
      </c>
      <c r="H130" s="64">
        <f t="shared" si="96"/>
        <v>178.72018157463199</v>
      </c>
      <c r="I130" s="64">
        <f t="shared" si="96"/>
        <v>162.95893854066199</v>
      </c>
      <c r="J130" s="64">
        <f t="shared" si="96"/>
        <v>167.95726384290026</v>
      </c>
      <c r="K130" s="64">
        <f t="shared" si="96"/>
        <v>174.09687797761896</v>
      </c>
      <c r="L130" s="64">
        <f t="shared" si="96"/>
        <v>187.5751125310602</v>
      </c>
      <c r="M130" s="64">
        <f t="shared" si="96"/>
        <v>158.28489924903161</v>
      </c>
      <c r="N130" s="64">
        <f t="shared" si="96"/>
        <v>165.41626215209047</v>
      </c>
      <c r="O130" s="64">
        <f t="shared" si="96"/>
        <v>165.66020041607089</v>
      </c>
      <c r="P130" s="64">
        <f t="shared" si="96"/>
        <v>138.38557560874872</v>
      </c>
      <c r="Q130" s="64">
        <f t="shared" si="96"/>
        <v>142.22983284163425</v>
      </c>
      <c r="R130" s="64">
        <f t="shared" si="96"/>
        <v>141.93479886032978</v>
      </c>
      <c r="S130" s="64">
        <f t="shared" si="96"/>
        <v>143.40391813458416</v>
      </c>
      <c r="T130" s="64">
        <f t="shared" si="96"/>
        <v>141.83976118009878</v>
      </c>
      <c r="U130" s="64">
        <f t="shared" si="96"/>
        <v>135.73222335509195</v>
      </c>
      <c r="V130" s="64">
        <f t="shared" si="96"/>
        <v>125.21919208223075</v>
      </c>
      <c r="W130" s="64">
        <f t="shared" si="96"/>
        <v>130.42906667741724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124.69274366492095</v>
      </c>
      <c r="C131" s="65">
        <f t="shared" ref="C131:W131" si="98">IF(C101=0,0,C101/C$26)</f>
        <v>132.78794312294889</v>
      </c>
      <c r="D131" s="65">
        <f t="shared" si="98"/>
        <v>128.06547378295269</v>
      </c>
      <c r="E131" s="65">
        <f t="shared" si="98"/>
        <v>135.30308276484072</v>
      </c>
      <c r="F131" s="65">
        <f t="shared" si="98"/>
        <v>149.31315585382421</v>
      </c>
      <c r="G131" s="65">
        <f t="shared" si="98"/>
        <v>133.46954304397227</v>
      </c>
      <c r="H131" s="65">
        <f t="shared" si="98"/>
        <v>132.32245144324128</v>
      </c>
      <c r="I131" s="65">
        <f t="shared" si="98"/>
        <v>117.77369027539214</v>
      </c>
      <c r="J131" s="65">
        <f t="shared" si="98"/>
        <v>123.23895096700177</v>
      </c>
      <c r="K131" s="65">
        <f t="shared" si="98"/>
        <v>128.89877294694492</v>
      </c>
      <c r="L131" s="65">
        <f t="shared" si="98"/>
        <v>142.60394980639907</v>
      </c>
      <c r="M131" s="65">
        <f t="shared" si="98"/>
        <v>114.01684330970849</v>
      </c>
      <c r="N131" s="65">
        <f t="shared" si="98"/>
        <v>121.25830607088507</v>
      </c>
      <c r="O131" s="65">
        <f t="shared" si="98"/>
        <v>121.47430485162839</v>
      </c>
      <c r="P131" s="65">
        <f t="shared" si="98"/>
        <v>94.390549696945811</v>
      </c>
      <c r="Q131" s="65">
        <f t="shared" si="98"/>
        <v>98.753305870775534</v>
      </c>
      <c r="R131" s="65">
        <f t="shared" si="98"/>
        <v>98.943066553643732</v>
      </c>
      <c r="S131" s="65">
        <f t="shared" si="98"/>
        <v>100.77640504463663</v>
      </c>
      <c r="T131" s="65">
        <f t="shared" si="98"/>
        <v>99.355921555203921</v>
      </c>
      <c r="U131" s="65">
        <f t="shared" si="98"/>
        <v>93.732252173561747</v>
      </c>
      <c r="V131" s="65">
        <f t="shared" si="98"/>
        <v>84.615654404620386</v>
      </c>
      <c r="W131" s="65">
        <f t="shared" si="98"/>
        <v>90.337738598104465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1.3829486051987523</v>
      </c>
      <c r="C132" s="65">
        <f t="shared" ref="C132:W132" si="100">IF(C102=0,0,C102/C$26)</f>
        <v>1.539204938813894</v>
      </c>
      <c r="D132" s="65">
        <f t="shared" si="100"/>
        <v>1.6569280448238131</v>
      </c>
      <c r="E132" s="65">
        <f t="shared" si="100"/>
        <v>1.9254184084073906</v>
      </c>
      <c r="F132" s="65">
        <f t="shared" si="100"/>
        <v>1.8978394674197478</v>
      </c>
      <c r="G132" s="65">
        <f t="shared" si="100"/>
        <v>2.0464190559228372</v>
      </c>
      <c r="H132" s="65">
        <f t="shared" si="100"/>
        <v>2.4027523219890199</v>
      </c>
      <c r="I132" s="65">
        <f t="shared" si="100"/>
        <v>2.4073305482143277</v>
      </c>
      <c r="J132" s="65">
        <f t="shared" si="100"/>
        <v>2.5508034109210693</v>
      </c>
      <c r="K132" s="65">
        <f t="shared" si="100"/>
        <v>2.7488893710934827</v>
      </c>
      <c r="L132" s="65">
        <f t="shared" si="100"/>
        <v>2.9400233211667008</v>
      </c>
      <c r="M132" s="65">
        <f t="shared" si="100"/>
        <v>2.8999473833437457</v>
      </c>
      <c r="N132" s="65">
        <f t="shared" si="100"/>
        <v>2.9326673099684331</v>
      </c>
      <c r="O132" s="65">
        <f t="shared" si="100"/>
        <v>2.9613324451058598</v>
      </c>
      <c r="P132" s="65">
        <f t="shared" si="100"/>
        <v>2.9347700094772668</v>
      </c>
      <c r="Q132" s="65">
        <f t="shared" si="100"/>
        <v>3.0106096045554964</v>
      </c>
      <c r="R132" s="65">
        <f t="shared" si="100"/>
        <v>2.9293494019362489</v>
      </c>
      <c r="S132" s="65">
        <f t="shared" si="100"/>
        <v>2.8650263367515643</v>
      </c>
      <c r="T132" s="65">
        <f t="shared" si="100"/>
        <v>3.1581378933618351</v>
      </c>
      <c r="U132" s="65">
        <f t="shared" si="100"/>
        <v>3.1655014021359693</v>
      </c>
      <c r="V132" s="65">
        <f t="shared" si="100"/>
        <v>3.1098148531688548</v>
      </c>
      <c r="W132" s="65">
        <f t="shared" si="100"/>
        <v>2.800704582720376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25.183959995353678</v>
      </c>
      <c r="C133" s="65">
        <f t="shared" ref="C133:W133" si="102">IF(C103=0,0,C103/C$26)</f>
        <v>24.774780374928788</v>
      </c>
      <c r="D133" s="65">
        <f t="shared" si="102"/>
        <v>24.68182921657997</v>
      </c>
      <c r="E133" s="65">
        <f t="shared" si="102"/>
        <v>24.362089564784945</v>
      </c>
      <c r="F133" s="65">
        <f t="shared" si="102"/>
        <v>24.365337261826408</v>
      </c>
      <c r="G133" s="65">
        <f t="shared" si="102"/>
        <v>23.866935834304098</v>
      </c>
      <c r="H133" s="65">
        <f t="shared" si="102"/>
        <v>23.128038501222765</v>
      </c>
      <c r="I133" s="65">
        <f t="shared" si="102"/>
        <v>22.264192800237883</v>
      </c>
      <c r="J133" s="65">
        <f t="shared" si="102"/>
        <v>21.739076621009183</v>
      </c>
      <c r="K133" s="65">
        <f t="shared" si="102"/>
        <v>21.778903105523973</v>
      </c>
      <c r="L133" s="65">
        <f t="shared" si="102"/>
        <v>21.465452193062912</v>
      </c>
      <c r="M133" s="65">
        <f t="shared" si="102"/>
        <v>21.100306784256741</v>
      </c>
      <c r="N133" s="65">
        <f t="shared" si="102"/>
        <v>20.997994409517176</v>
      </c>
      <c r="O133" s="65">
        <f t="shared" si="102"/>
        <v>20.846002863871956</v>
      </c>
      <c r="P133" s="65">
        <f t="shared" si="102"/>
        <v>20.672234101993769</v>
      </c>
      <c r="Q133" s="65">
        <f t="shared" si="102"/>
        <v>20.314922161021741</v>
      </c>
      <c r="R133" s="65">
        <f t="shared" si="102"/>
        <v>20.063773832498292</v>
      </c>
      <c r="S133" s="65">
        <f t="shared" si="102"/>
        <v>19.824890609266323</v>
      </c>
      <c r="T133" s="65">
        <f t="shared" si="102"/>
        <v>19.514364991346373</v>
      </c>
      <c r="U133" s="65">
        <f t="shared" si="102"/>
        <v>19.178564240300062</v>
      </c>
      <c r="V133" s="65">
        <f t="shared" si="102"/>
        <v>18.342707405159874</v>
      </c>
      <c r="W133" s="65">
        <f t="shared" si="102"/>
        <v>18.200006831156404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20.891279179229066</v>
      </c>
      <c r="C134" s="67">
        <f t="shared" ref="C134:W134" si="104">IF(C104=0,0,C104/C$26)</f>
        <v>20.751251213787274</v>
      </c>
      <c r="D134" s="67">
        <f t="shared" si="104"/>
        <v>20.785574516998203</v>
      </c>
      <c r="E134" s="67">
        <f t="shared" si="104"/>
        <v>20.909234154157723</v>
      </c>
      <c r="F134" s="67">
        <f t="shared" si="104"/>
        <v>21.172846078132839</v>
      </c>
      <c r="G134" s="67">
        <f t="shared" si="104"/>
        <v>21.136482980532772</v>
      </c>
      <c r="H134" s="67">
        <f t="shared" si="104"/>
        <v>20.866939308178921</v>
      </c>
      <c r="I134" s="67">
        <f t="shared" si="104"/>
        <v>20.513724916817655</v>
      </c>
      <c r="J134" s="67">
        <f t="shared" si="104"/>
        <v>20.428432843968224</v>
      </c>
      <c r="K134" s="67">
        <f t="shared" si="104"/>
        <v>20.670312554056583</v>
      </c>
      <c r="L134" s="67">
        <f t="shared" si="104"/>
        <v>20.565687210431516</v>
      </c>
      <c r="M134" s="67">
        <f t="shared" si="104"/>
        <v>20.267801771722645</v>
      </c>
      <c r="N134" s="67">
        <f t="shared" si="104"/>
        <v>20.227294361719792</v>
      </c>
      <c r="O134" s="67">
        <f t="shared" si="104"/>
        <v>20.37856025546472</v>
      </c>
      <c r="P134" s="67">
        <f t="shared" si="104"/>
        <v>20.388021800331892</v>
      </c>
      <c r="Q134" s="67">
        <f t="shared" si="104"/>
        <v>20.150995205281461</v>
      </c>
      <c r="R134" s="67">
        <f t="shared" si="104"/>
        <v>19.998609072251476</v>
      </c>
      <c r="S134" s="67">
        <f t="shared" si="104"/>
        <v>19.937596143929632</v>
      </c>
      <c r="T134" s="67">
        <f t="shared" si="104"/>
        <v>19.811336740186629</v>
      </c>
      <c r="U134" s="67">
        <f t="shared" si="104"/>
        <v>19.655905539094157</v>
      </c>
      <c r="V134" s="67">
        <f t="shared" si="104"/>
        <v>19.151015419281634</v>
      </c>
      <c r="W134" s="67">
        <f t="shared" si="104"/>
        <v>19.090616665435991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41.05554958294924</v>
      </c>
      <c r="C135" s="68">
        <f t="shared" ref="C135:W135" si="106">IF(C105=0,0,C105/C$26)</f>
        <v>42.026312125443937</v>
      </c>
      <c r="D135" s="68">
        <f t="shared" si="106"/>
        <v>43.140793042027234</v>
      </c>
      <c r="E135" s="68">
        <f t="shared" si="106"/>
        <v>44.411297021523971</v>
      </c>
      <c r="F135" s="68">
        <f t="shared" si="106"/>
        <v>46.029488354334589</v>
      </c>
      <c r="G135" s="68">
        <f t="shared" si="106"/>
        <v>47.016150989355104</v>
      </c>
      <c r="H135" s="68">
        <f t="shared" si="106"/>
        <v>47.449518360463536</v>
      </c>
      <c r="I135" s="68">
        <f t="shared" si="106"/>
        <v>47.635126052638192</v>
      </c>
      <c r="J135" s="68">
        <f t="shared" si="106"/>
        <v>48.111203281603515</v>
      </c>
      <c r="K135" s="68">
        <f t="shared" si="106"/>
        <v>49.141557102503171</v>
      </c>
      <c r="L135" s="68">
        <f t="shared" si="106"/>
        <v>49.763795210000197</v>
      </c>
      <c r="M135" s="68">
        <f t="shared" si="106"/>
        <v>50.238886007658884</v>
      </c>
      <c r="N135" s="68">
        <f t="shared" si="106"/>
        <v>50.496771380341819</v>
      </c>
      <c r="O135" s="68">
        <f t="shared" si="106"/>
        <v>50.888748673243093</v>
      </c>
      <c r="P135" s="68">
        <f t="shared" si="106"/>
        <v>51.970606780014798</v>
      </c>
      <c r="Q135" s="68">
        <f t="shared" si="106"/>
        <v>53.505962425235211</v>
      </c>
      <c r="R135" s="68">
        <f t="shared" si="106"/>
        <v>53.138223431054548</v>
      </c>
      <c r="S135" s="68">
        <f t="shared" si="106"/>
        <v>53.318493991999603</v>
      </c>
      <c r="T135" s="68">
        <f t="shared" si="106"/>
        <v>52.538054399747786</v>
      </c>
      <c r="U135" s="68">
        <f t="shared" si="106"/>
        <v>51.962537229103248</v>
      </c>
      <c r="V135" s="68">
        <f t="shared" si="106"/>
        <v>50.736618242615521</v>
      </c>
      <c r="W135" s="68">
        <f t="shared" si="106"/>
        <v>50.174051109624592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108.77742612053368</v>
      </c>
      <c r="C137" s="85">
        <f t="shared" ref="C137:W137" si="108">IF(C107=0,0,C107/C$26)</f>
        <v>114.56445780468822</v>
      </c>
      <c r="D137" s="85">
        <f t="shared" si="108"/>
        <v>114.28661971606938</v>
      </c>
      <c r="E137" s="85">
        <f t="shared" si="108"/>
        <v>119.98356095021479</v>
      </c>
      <c r="F137" s="85">
        <f t="shared" si="108"/>
        <v>130.1500419715793</v>
      </c>
      <c r="G137" s="85">
        <f t="shared" si="108"/>
        <v>121.71478377109872</v>
      </c>
      <c r="H137" s="85">
        <f t="shared" si="108"/>
        <v>123.40630138035755</v>
      </c>
      <c r="I137" s="85">
        <f t="shared" si="108"/>
        <v>115.86746264493888</v>
      </c>
      <c r="J137" s="85">
        <f t="shared" si="108"/>
        <v>120.91944580957214</v>
      </c>
      <c r="K137" s="85">
        <f t="shared" si="108"/>
        <v>127.80489118137459</v>
      </c>
      <c r="L137" s="85">
        <f t="shared" si="108"/>
        <v>139.09406786419615</v>
      </c>
      <c r="M137" s="85">
        <f t="shared" si="108"/>
        <v>121.50261216439114</v>
      </c>
      <c r="N137" s="85">
        <f t="shared" si="108"/>
        <v>128.43176735242685</v>
      </c>
      <c r="O137" s="85">
        <f t="shared" si="108"/>
        <v>131.26019182768815</v>
      </c>
      <c r="P137" s="85">
        <f t="shared" si="108"/>
        <v>112.28464226575271</v>
      </c>
      <c r="Q137" s="85">
        <f t="shared" si="108"/>
        <v>116.72888929010361</v>
      </c>
      <c r="R137" s="85">
        <f t="shared" si="108"/>
        <v>117.93482628885111</v>
      </c>
      <c r="S137" s="85">
        <f t="shared" si="108"/>
        <v>120.88243826733977</v>
      </c>
      <c r="T137" s="85">
        <f t="shared" si="108"/>
        <v>122.60344709148283</v>
      </c>
      <c r="U137" s="85">
        <f t="shared" si="108"/>
        <v>119.8431423417386</v>
      </c>
      <c r="V137" s="85">
        <f t="shared" si="108"/>
        <v>113.38952807713748</v>
      </c>
      <c r="W137" s="85">
        <f t="shared" si="108"/>
        <v>118.46592148500454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74.217382126988383</v>
      </c>
      <c r="C138" s="65">
        <f t="shared" ref="C138:W138" si="110">IF(C108=0,0,C108/C$26)</f>
        <v>79.831049464369357</v>
      </c>
      <c r="D138" s="65">
        <f t="shared" si="110"/>
        <v>79.114927224713611</v>
      </c>
      <c r="E138" s="65">
        <f t="shared" si="110"/>
        <v>84.013789691472596</v>
      </c>
      <c r="F138" s="65">
        <f t="shared" si="110"/>
        <v>93.731925775876888</v>
      </c>
      <c r="G138" s="65">
        <f t="shared" si="110"/>
        <v>84.883802230893281</v>
      </c>
      <c r="H138" s="65">
        <f t="shared" si="110"/>
        <v>85.926831080638465</v>
      </c>
      <c r="I138" s="65">
        <f t="shared" si="110"/>
        <v>78.706553152018728</v>
      </c>
      <c r="J138" s="65">
        <f t="shared" si="110"/>
        <v>83.316741461195178</v>
      </c>
      <c r="K138" s="65">
        <f t="shared" si="110"/>
        <v>89.100572558428453</v>
      </c>
      <c r="L138" s="65">
        <f t="shared" si="110"/>
        <v>99.732005115186013</v>
      </c>
      <c r="M138" s="65">
        <f t="shared" si="110"/>
        <v>82.302078517947493</v>
      </c>
      <c r="N138" s="65">
        <f t="shared" si="110"/>
        <v>88.81471332898505</v>
      </c>
      <c r="O138" s="65">
        <f t="shared" si="110"/>
        <v>91.07075788837156</v>
      </c>
      <c r="P138" s="65">
        <f t="shared" si="110"/>
        <v>71.832725480971305</v>
      </c>
      <c r="Q138" s="65">
        <f t="shared" si="110"/>
        <v>75.902925269520566</v>
      </c>
      <c r="R138" s="65">
        <f t="shared" si="110"/>
        <v>77.105120596865973</v>
      </c>
      <c r="S138" s="65">
        <f t="shared" si="110"/>
        <v>79.909169446066798</v>
      </c>
      <c r="T138" s="65">
        <f t="shared" si="110"/>
        <v>80.128234299606504</v>
      </c>
      <c r="U138" s="65">
        <f t="shared" si="110"/>
        <v>77.031992041476272</v>
      </c>
      <c r="V138" s="65">
        <f t="shared" si="110"/>
        <v>71.163937752826143</v>
      </c>
      <c r="W138" s="65">
        <f t="shared" si="110"/>
        <v>77.167756848720444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2.6839390706729671</v>
      </c>
      <c r="C139" s="65">
        <f t="shared" ref="C139:W139" si="112">IF(C109=0,0,C109/C$26)</f>
        <v>3.1871766877345662</v>
      </c>
      <c r="D139" s="65">
        <f t="shared" si="112"/>
        <v>3.6378313585358262</v>
      </c>
      <c r="E139" s="65">
        <f t="shared" si="112"/>
        <v>4.4421429570569302</v>
      </c>
      <c r="F139" s="65">
        <f t="shared" si="112"/>
        <v>4.6034470952070023</v>
      </c>
      <c r="G139" s="65">
        <f t="shared" si="112"/>
        <v>5.2360985274962673</v>
      </c>
      <c r="H139" s="65">
        <f t="shared" si="112"/>
        <v>6.4545739721763722</v>
      </c>
      <c r="I139" s="65">
        <f t="shared" si="112"/>
        <v>6.7970737832369466</v>
      </c>
      <c r="J139" s="65">
        <f t="shared" si="112"/>
        <v>7.5228403617096822</v>
      </c>
      <c r="K139" s="65">
        <f t="shared" si="112"/>
        <v>8.2610126144967158</v>
      </c>
      <c r="L139" s="65">
        <f t="shared" si="112"/>
        <v>9.0330775494523383</v>
      </c>
      <c r="M139" s="65">
        <f t="shared" si="112"/>
        <v>9.1742773444459615</v>
      </c>
      <c r="N139" s="65">
        <f t="shared" si="112"/>
        <v>9.536841089748533</v>
      </c>
      <c r="O139" s="65">
        <f t="shared" si="112"/>
        <v>9.9047770889404916</v>
      </c>
      <c r="P139" s="65">
        <f t="shared" si="112"/>
        <v>10.129815570645638</v>
      </c>
      <c r="Q139" s="65">
        <f t="shared" si="112"/>
        <v>10.729838951973486</v>
      </c>
      <c r="R139" s="65">
        <f t="shared" si="112"/>
        <v>10.78946923528375</v>
      </c>
      <c r="S139" s="65">
        <f t="shared" si="112"/>
        <v>10.894672800421892</v>
      </c>
      <c r="T139" s="65">
        <f t="shared" si="112"/>
        <v>12.397495580304215</v>
      </c>
      <c r="U139" s="65">
        <f t="shared" si="112"/>
        <v>12.747650912680912</v>
      </c>
      <c r="V139" s="65">
        <f t="shared" si="112"/>
        <v>12.741604070951613</v>
      </c>
      <c r="W139" s="65">
        <f t="shared" si="112"/>
        <v>11.671319740176747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17.048074519209777</v>
      </c>
      <c r="C140" s="65">
        <f t="shared" ref="C140:W140" si="114">IF(C110=0,0,C110/C$26)</f>
        <v>16.83609531196624</v>
      </c>
      <c r="D140" s="65">
        <f t="shared" si="114"/>
        <v>16.794892102002926</v>
      </c>
      <c r="E140" s="65">
        <f t="shared" si="114"/>
        <v>16.689824586018304</v>
      </c>
      <c r="F140" s="65">
        <f t="shared" si="114"/>
        <v>16.775690378247894</v>
      </c>
      <c r="G140" s="65">
        <f t="shared" si="114"/>
        <v>16.529598844768852</v>
      </c>
      <c r="H140" s="65">
        <f t="shared" si="114"/>
        <v>16.121513559242672</v>
      </c>
      <c r="I140" s="65">
        <f t="shared" si="114"/>
        <v>15.648435890837275</v>
      </c>
      <c r="J140" s="65">
        <f t="shared" si="114"/>
        <v>15.394375827350041</v>
      </c>
      <c r="K140" s="65">
        <f t="shared" si="114"/>
        <v>15.532686625516535</v>
      </c>
      <c r="L140" s="65">
        <f t="shared" si="114"/>
        <v>15.440300254426285</v>
      </c>
      <c r="M140" s="65">
        <f t="shared" si="114"/>
        <v>15.33034937021754</v>
      </c>
      <c r="N140" s="65">
        <f t="shared" si="114"/>
        <v>15.380072904101461</v>
      </c>
      <c r="O140" s="65">
        <f t="shared" si="114"/>
        <v>15.442207040408153</v>
      </c>
      <c r="P140" s="65">
        <f t="shared" si="114"/>
        <v>15.427312045369431</v>
      </c>
      <c r="Q140" s="65">
        <f t="shared" si="114"/>
        <v>15.311456840403372</v>
      </c>
      <c r="R140" s="65">
        <f t="shared" si="114"/>
        <v>15.284222840249615</v>
      </c>
      <c r="S140" s="65">
        <f t="shared" si="114"/>
        <v>15.302898046447627</v>
      </c>
      <c r="T140" s="65">
        <f t="shared" si="114"/>
        <v>15.307647415921183</v>
      </c>
      <c r="U140" s="65">
        <f t="shared" si="114"/>
        <v>15.300910523509488</v>
      </c>
      <c r="V140" s="65">
        <f t="shared" si="114"/>
        <v>14.95291441879681</v>
      </c>
      <c r="W140" s="65">
        <f t="shared" si="114"/>
        <v>15.090125824739028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14.82803040366254</v>
      </c>
      <c r="C141" s="68">
        <f t="shared" ref="C141:W141" si="116">IF(C111=0,0,C111/C$26)</f>
        <v>14.710136340618057</v>
      </c>
      <c r="D141" s="68">
        <f t="shared" si="116"/>
        <v>14.738969030817023</v>
      </c>
      <c r="E141" s="68">
        <f t="shared" si="116"/>
        <v>14.837803715666958</v>
      </c>
      <c r="F141" s="68">
        <f t="shared" si="116"/>
        <v>15.038978722247503</v>
      </c>
      <c r="G141" s="68">
        <f t="shared" si="116"/>
        <v>15.065284167940323</v>
      </c>
      <c r="H141" s="68">
        <f t="shared" si="116"/>
        <v>14.903382768300037</v>
      </c>
      <c r="I141" s="68">
        <f t="shared" si="116"/>
        <v>14.715399818845933</v>
      </c>
      <c r="J141" s="68">
        <f t="shared" si="116"/>
        <v>14.685488159317236</v>
      </c>
      <c r="K141" s="68">
        <f t="shared" si="116"/>
        <v>14.910619382932884</v>
      </c>
      <c r="L141" s="68">
        <f t="shared" si="116"/>
        <v>14.888684945131518</v>
      </c>
      <c r="M141" s="68">
        <f t="shared" si="116"/>
        <v>14.695906931780137</v>
      </c>
      <c r="N141" s="68">
        <f t="shared" si="116"/>
        <v>14.700140029591813</v>
      </c>
      <c r="O141" s="68">
        <f t="shared" si="116"/>
        <v>14.842449809967945</v>
      </c>
      <c r="P141" s="68">
        <f t="shared" si="116"/>
        <v>14.894789168766328</v>
      </c>
      <c r="Q141" s="68">
        <f t="shared" si="116"/>
        <v>14.784668228206165</v>
      </c>
      <c r="R141" s="68">
        <f t="shared" si="116"/>
        <v>14.756013616451776</v>
      </c>
      <c r="S141" s="68">
        <f t="shared" si="116"/>
        <v>14.775697974403442</v>
      </c>
      <c r="T141" s="68">
        <f t="shared" si="116"/>
        <v>14.770069795650926</v>
      </c>
      <c r="U141" s="68">
        <f t="shared" si="116"/>
        <v>14.762588864071926</v>
      </c>
      <c r="V141" s="68">
        <f t="shared" si="116"/>
        <v>14.531071834562905</v>
      </c>
      <c r="W141" s="68">
        <f t="shared" si="116"/>
        <v>14.536719071368328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24.629131448671185</v>
      </c>
      <c r="C143" s="82">
        <f t="shared" ref="C143:W143" si="118">IF(C113=0,0,C113/C$26)</f>
        <v>25.9426430349912</v>
      </c>
      <c r="D143" s="82">
        <f t="shared" si="118"/>
        <v>24.44042263365543</v>
      </c>
      <c r="E143" s="82">
        <f t="shared" si="118"/>
        <v>25.920799802982266</v>
      </c>
      <c r="F143" s="82">
        <f t="shared" si="118"/>
        <v>28.371773389057033</v>
      </c>
      <c r="G143" s="82">
        <f t="shared" si="118"/>
        <v>25.806144024565388</v>
      </c>
      <c r="H143" s="82">
        <f t="shared" si="118"/>
        <v>25.282386823567752</v>
      </c>
      <c r="I143" s="82">
        <f t="shared" si="118"/>
        <v>22.059656508149338</v>
      </c>
      <c r="J143" s="82">
        <f t="shared" si="118"/>
        <v>23.38451145096986</v>
      </c>
      <c r="K143" s="82">
        <f t="shared" si="118"/>
        <v>24.138432733632371</v>
      </c>
      <c r="L143" s="82">
        <f t="shared" si="118"/>
        <v>27.279168912173951</v>
      </c>
      <c r="M143" s="82">
        <f t="shared" si="118"/>
        <v>21.761516025229231</v>
      </c>
      <c r="N143" s="82">
        <f t="shared" si="118"/>
        <v>24.087929711867048</v>
      </c>
      <c r="O143" s="82">
        <f t="shared" si="118"/>
        <v>24.230621685119235</v>
      </c>
      <c r="P143" s="82">
        <f t="shared" si="118"/>
        <v>19.42528678610638</v>
      </c>
      <c r="Q143" s="82">
        <f t="shared" si="118"/>
        <v>20.564765588658716</v>
      </c>
      <c r="R143" s="82">
        <f t="shared" si="118"/>
        <v>20.496286350077742</v>
      </c>
      <c r="S143" s="82">
        <f t="shared" si="118"/>
        <v>20.239265749274598</v>
      </c>
      <c r="T143" s="82">
        <f t="shared" si="118"/>
        <v>19.756800918922572</v>
      </c>
      <c r="U143" s="82">
        <f t="shared" si="118"/>
        <v>18.583847423158876</v>
      </c>
      <c r="V143" s="82">
        <f t="shared" si="118"/>
        <v>16.588189185646787</v>
      </c>
      <c r="W143" s="82">
        <f t="shared" si="118"/>
        <v>17.707483229155443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24.629131448671185</v>
      </c>
      <c r="C144" s="64">
        <f t="shared" ref="C144:W144" si="120">IF(C114=0,0,C114/C$26)</f>
        <v>25.9426430349912</v>
      </c>
      <c r="D144" s="64">
        <f t="shared" si="120"/>
        <v>24.44042263365543</v>
      </c>
      <c r="E144" s="64">
        <f t="shared" si="120"/>
        <v>25.920799802982266</v>
      </c>
      <c r="F144" s="64">
        <f t="shared" si="120"/>
        <v>28.371773389057033</v>
      </c>
      <c r="G144" s="64">
        <f t="shared" si="120"/>
        <v>25.806144024565388</v>
      </c>
      <c r="H144" s="64">
        <f t="shared" si="120"/>
        <v>25.282386823567752</v>
      </c>
      <c r="I144" s="64">
        <f t="shared" si="120"/>
        <v>22.059656508149338</v>
      </c>
      <c r="J144" s="64">
        <f t="shared" si="120"/>
        <v>23.38451145096986</v>
      </c>
      <c r="K144" s="64">
        <f t="shared" si="120"/>
        <v>24.138432733632371</v>
      </c>
      <c r="L144" s="64">
        <f t="shared" si="120"/>
        <v>27.279168912173951</v>
      </c>
      <c r="M144" s="64">
        <f t="shared" si="120"/>
        <v>21.761516025229231</v>
      </c>
      <c r="N144" s="64">
        <f t="shared" si="120"/>
        <v>24.087929711867048</v>
      </c>
      <c r="O144" s="64">
        <f t="shared" si="120"/>
        <v>24.230621685119235</v>
      </c>
      <c r="P144" s="64">
        <f t="shared" si="120"/>
        <v>19.42528678610638</v>
      </c>
      <c r="Q144" s="64">
        <f t="shared" si="120"/>
        <v>20.564765588658716</v>
      </c>
      <c r="R144" s="64">
        <f t="shared" si="120"/>
        <v>20.496286350077742</v>
      </c>
      <c r="S144" s="64">
        <f t="shared" si="120"/>
        <v>20.239265749274598</v>
      </c>
      <c r="T144" s="64">
        <f t="shared" si="120"/>
        <v>19.756800918922572</v>
      </c>
      <c r="U144" s="64">
        <f t="shared" si="120"/>
        <v>18.583847423158876</v>
      </c>
      <c r="V144" s="64">
        <f t="shared" si="120"/>
        <v>16.588189185646787</v>
      </c>
      <c r="W144" s="64">
        <f t="shared" si="120"/>
        <v>17.707483229155443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20.801808177751614</v>
      </c>
      <c r="C145" s="65">
        <f t="shared" ref="C145:W145" si="122">IF(C115=0,0,C115/C$26)</f>
        <v>22.076873435704016</v>
      </c>
      <c r="D145" s="65">
        <f t="shared" si="122"/>
        <v>20.45447266024858</v>
      </c>
      <c r="E145" s="65">
        <f t="shared" si="122"/>
        <v>21.985244285813941</v>
      </c>
      <c r="F145" s="65">
        <f t="shared" si="122"/>
        <v>24.394331751307796</v>
      </c>
      <c r="G145" s="65">
        <f t="shared" si="122"/>
        <v>21.885341952739214</v>
      </c>
      <c r="H145" s="65">
        <f t="shared" si="122"/>
        <v>21.410396828224545</v>
      </c>
      <c r="I145" s="65">
        <f t="shared" si="122"/>
        <v>18.364759972115685</v>
      </c>
      <c r="J145" s="65">
        <f t="shared" si="122"/>
        <v>19.735963681163518</v>
      </c>
      <c r="K145" s="65">
        <f t="shared" si="122"/>
        <v>20.446617529366655</v>
      </c>
      <c r="L145" s="65">
        <f t="shared" si="122"/>
        <v>23.627357469511615</v>
      </c>
      <c r="M145" s="65">
        <f t="shared" si="122"/>
        <v>18.199736950637341</v>
      </c>
      <c r="N145" s="65">
        <f t="shared" si="122"/>
        <v>20.41209559739848</v>
      </c>
      <c r="O145" s="65">
        <f t="shared" si="122"/>
        <v>20.551672230488855</v>
      </c>
      <c r="P145" s="65">
        <f t="shared" si="122"/>
        <v>15.9380813708439</v>
      </c>
      <c r="Q145" s="65">
        <f t="shared" si="122"/>
        <v>17.142475517052791</v>
      </c>
      <c r="R145" s="65">
        <f t="shared" si="122"/>
        <v>17.116315830873063</v>
      </c>
      <c r="S145" s="65">
        <f t="shared" si="122"/>
        <v>16.795202411137492</v>
      </c>
      <c r="T145" s="65">
        <f t="shared" si="122"/>
        <v>16.375845588223257</v>
      </c>
      <c r="U145" s="65">
        <f t="shared" si="122"/>
        <v>15.295699789364441</v>
      </c>
      <c r="V145" s="65">
        <f t="shared" si="122"/>
        <v>13.688899283331629</v>
      </c>
      <c r="W145" s="65">
        <f t="shared" si="122"/>
        <v>14.77864709117879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1.3707237476606087E-3</v>
      </c>
      <c r="C146" s="65">
        <f t="shared" ref="C146:W146" si="124">IF(C116=0,0,C116/C$26)</f>
        <v>1.555378233329563E-3</v>
      </c>
      <c r="D146" s="65">
        <f t="shared" si="124"/>
        <v>1.8877346390819838E-3</v>
      </c>
      <c r="E146" s="65">
        <f t="shared" si="124"/>
        <v>2.2608340825311067E-3</v>
      </c>
      <c r="F146" s="65">
        <f t="shared" si="124"/>
        <v>2.7996020545222621E-3</v>
      </c>
      <c r="G146" s="65">
        <f t="shared" si="124"/>
        <v>3.3057729424561997E-3</v>
      </c>
      <c r="H146" s="65">
        <f t="shared" si="124"/>
        <v>4.4948751646572693E-3</v>
      </c>
      <c r="I146" s="65">
        <f t="shared" si="124"/>
        <v>5.3809813005055657E-3</v>
      </c>
      <c r="J146" s="65">
        <f t="shared" si="124"/>
        <v>6.4966876871119109E-3</v>
      </c>
      <c r="K146" s="65">
        <f t="shared" si="124"/>
        <v>7.4480748404809104E-3</v>
      </c>
      <c r="L146" s="65">
        <f t="shared" si="124"/>
        <v>8.4294129030446762E-3</v>
      </c>
      <c r="M146" s="65">
        <f t="shared" si="124"/>
        <v>9.0787565114480665E-3</v>
      </c>
      <c r="N146" s="65">
        <f t="shared" si="124"/>
        <v>1.0360624083693265E-2</v>
      </c>
      <c r="O146" s="65">
        <f t="shared" si="124"/>
        <v>1.2666052923246171E-2</v>
      </c>
      <c r="P146" s="65">
        <f t="shared" si="124"/>
        <v>1.6652219551024666E-2</v>
      </c>
      <c r="Q146" s="65">
        <f t="shared" si="124"/>
        <v>2.2632203427200456E-2</v>
      </c>
      <c r="R146" s="65">
        <f t="shared" si="124"/>
        <v>2.8576690526271611E-2</v>
      </c>
      <c r="S146" s="65">
        <f t="shared" si="124"/>
        <v>3.3930490247114621E-2</v>
      </c>
      <c r="T146" s="65">
        <f t="shared" si="124"/>
        <v>3.8536950065727146E-2</v>
      </c>
      <c r="U146" s="65">
        <f t="shared" si="124"/>
        <v>4.2289669260577673E-2</v>
      </c>
      <c r="V146" s="65">
        <f t="shared" si="124"/>
        <v>4.525838363072985E-2</v>
      </c>
      <c r="W146" s="65">
        <f t="shared" si="124"/>
        <v>4.7790225294810376E-2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2.0070057477084813</v>
      </c>
      <c r="C147" s="65">
        <f t="shared" ref="C147:W147" si="126">IF(C117=0,0,C117/C$26)</f>
        <v>2.0034926361692764</v>
      </c>
      <c r="D147" s="65">
        <f t="shared" si="126"/>
        <v>2.092537047406883</v>
      </c>
      <c r="E147" s="65">
        <f t="shared" si="126"/>
        <v>2.0156915588983928</v>
      </c>
      <c r="F147" s="65">
        <f t="shared" si="126"/>
        <v>2.0131145464096094</v>
      </c>
      <c r="G147" s="65">
        <f t="shared" si="126"/>
        <v>1.9815728650973059</v>
      </c>
      <c r="H147" s="65">
        <f t="shared" si="126"/>
        <v>1.9396919318191919</v>
      </c>
      <c r="I147" s="65">
        <f t="shared" si="126"/>
        <v>1.8493366431831932</v>
      </c>
      <c r="J147" s="65">
        <f t="shared" si="126"/>
        <v>1.8086284071357652</v>
      </c>
      <c r="K147" s="65">
        <f t="shared" si="126"/>
        <v>1.8331000586088813</v>
      </c>
      <c r="L147" s="65">
        <f t="shared" si="126"/>
        <v>1.8206193338016243</v>
      </c>
      <c r="M147" s="65">
        <f t="shared" si="126"/>
        <v>1.7900565672862883</v>
      </c>
      <c r="N147" s="65">
        <f t="shared" si="126"/>
        <v>1.9182707588737897</v>
      </c>
      <c r="O147" s="65">
        <f t="shared" si="126"/>
        <v>1.9207464751588625</v>
      </c>
      <c r="P147" s="65">
        <f t="shared" si="126"/>
        <v>1.7760794607749408</v>
      </c>
      <c r="Q147" s="65">
        <f t="shared" si="126"/>
        <v>1.7154478483289499</v>
      </c>
      <c r="R147" s="65">
        <f t="shared" si="126"/>
        <v>1.7205931332026507</v>
      </c>
      <c r="S147" s="65">
        <f t="shared" si="126"/>
        <v>1.7843593790162537</v>
      </c>
      <c r="T147" s="65">
        <f t="shared" si="126"/>
        <v>1.722213509282585</v>
      </c>
      <c r="U147" s="65">
        <f t="shared" si="126"/>
        <v>1.6405178509353606</v>
      </c>
      <c r="V147" s="65">
        <f t="shared" si="126"/>
        <v>1.3661672376701444</v>
      </c>
      <c r="W147" s="65">
        <f t="shared" si="126"/>
        <v>1.3718838604772998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1.8189467994634307</v>
      </c>
      <c r="C148" s="67">
        <f t="shared" ref="C148:W148" si="128">IF(C118=0,0,C118/C$26)</f>
        <v>1.8607215848845728</v>
      </c>
      <c r="D148" s="67">
        <f t="shared" si="128"/>
        <v>1.8915251913608868</v>
      </c>
      <c r="E148" s="67">
        <f t="shared" si="128"/>
        <v>1.9176031241874021</v>
      </c>
      <c r="F148" s="67">
        <f t="shared" si="128"/>
        <v>1.9615274892851045</v>
      </c>
      <c r="G148" s="67">
        <f t="shared" si="128"/>
        <v>1.9359234337864109</v>
      </c>
      <c r="H148" s="67">
        <f t="shared" si="128"/>
        <v>1.9278031883593618</v>
      </c>
      <c r="I148" s="67">
        <f t="shared" si="128"/>
        <v>1.8401789115499569</v>
      </c>
      <c r="J148" s="67">
        <f t="shared" si="128"/>
        <v>1.8334226749834668</v>
      </c>
      <c r="K148" s="67">
        <f t="shared" si="128"/>
        <v>1.8512670708163586</v>
      </c>
      <c r="L148" s="67">
        <f t="shared" si="128"/>
        <v>1.822762695957663</v>
      </c>
      <c r="M148" s="67">
        <f t="shared" si="128"/>
        <v>1.7626437507941557</v>
      </c>
      <c r="N148" s="67">
        <f t="shared" si="128"/>
        <v>1.7472027315110825</v>
      </c>
      <c r="O148" s="67">
        <f t="shared" si="128"/>
        <v>1.7455369265482634</v>
      </c>
      <c r="P148" s="67">
        <f t="shared" si="128"/>
        <v>1.6944737349365144</v>
      </c>
      <c r="Q148" s="67">
        <f t="shared" si="128"/>
        <v>1.6842100198497751</v>
      </c>
      <c r="R148" s="67">
        <f t="shared" si="128"/>
        <v>1.630800695475757</v>
      </c>
      <c r="S148" s="67">
        <f t="shared" si="128"/>
        <v>1.6257734688737351</v>
      </c>
      <c r="T148" s="67">
        <f t="shared" si="128"/>
        <v>1.6202048713510018</v>
      </c>
      <c r="U148" s="67">
        <f t="shared" si="128"/>
        <v>1.6053401135984993</v>
      </c>
      <c r="V148" s="67">
        <f t="shared" si="128"/>
        <v>1.487864281014283</v>
      </c>
      <c r="W148" s="67">
        <f t="shared" si="128"/>
        <v>1.5091620522045401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11496.173658956126</v>
      </c>
      <c r="C153" s="82">
        <f t="shared" ref="C153:W153" si="132">IF(C99=0,0,C99/C$23)</f>
        <v>11863.67703649561</v>
      </c>
      <c r="D153" s="82">
        <f t="shared" si="132"/>
        <v>11624.392987753476</v>
      </c>
      <c r="E153" s="82">
        <f t="shared" si="132"/>
        <v>12101.950351007834</v>
      </c>
      <c r="F153" s="82">
        <f t="shared" si="132"/>
        <v>12996.893751977903</v>
      </c>
      <c r="G153" s="82">
        <f t="shared" si="132"/>
        <v>12224.751909607834</v>
      </c>
      <c r="H153" s="82">
        <f t="shared" si="132"/>
        <v>12122.501723380423</v>
      </c>
      <c r="I153" s="82">
        <f t="shared" si="132"/>
        <v>11260.261985001283</v>
      </c>
      <c r="J153" s="82">
        <f t="shared" si="132"/>
        <v>11541.352901636752</v>
      </c>
      <c r="K153" s="82">
        <f t="shared" si="132"/>
        <v>11940.577147272306</v>
      </c>
      <c r="L153" s="82">
        <f t="shared" si="132"/>
        <v>12849.666668303957</v>
      </c>
      <c r="M153" s="82">
        <f t="shared" si="132"/>
        <v>11301.15956633377</v>
      </c>
      <c r="N153" s="82">
        <f t="shared" si="132"/>
        <v>11726.330012845916</v>
      </c>
      <c r="O153" s="82">
        <f t="shared" si="132"/>
        <v>11822.140191492157</v>
      </c>
      <c r="P153" s="82">
        <f t="shared" si="132"/>
        <v>10382.119389152369</v>
      </c>
      <c r="Q153" s="82">
        <f t="shared" si="132"/>
        <v>10706.024772683204</v>
      </c>
      <c r="R153" s="82">
        <f t="shared" si="132"/>
        <v>10532.845828346512</v>
      </c>
      <c r="S153" s="82">
        <f t="shared" si="132"/>
        <v>10423.997708977533</v>
      </c>
      <c r="T153" s="82">
        <f t="shared" si="132"/>
        <v>10086.010678426053</v>
      </c>
      <c r="U153" s="82">
        <f t="shared" si="132"/>
        <v>9584.1703038021642</v>
      </c>
      <c r="V153" s="82">
        <f t="shared" si="132"/>
        <v>9094.191121480957</v>
      </c>
      <c r="W153" s="82">
        <f t="shared" si="132"/>
        <v>9191.2091437965792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9282.4429815652475</v>
      </c>
      <c r="C154" s="64">
        <f t="shared" ref="C154:W154" si="134">IF(C100=0,0,C100/C$23)</f>
        <v>9616.5716816899876</v>
      </c>
      <c r="D154" s="64">
        <f t="shared" si="134"/>
        <v>9327.4839180593062</v>
      </c>
      <c r="E154" s="64">
        <f t="shared" si="134"/>
        <v>9733.3431754515805</v>
      </c>
      <c r="F154" s="64">
        <f t="shared" si="134"/>
        <v>10532.754802072126</v>
      </c>
      <c r="G154" s="64">
        <f t="shared" si="134"/>
        <v>9698.7254170431133</v>
      </c>
      <c r="H154" s="64">
        <f t="shared" si="134"/>
        <v>9579.2482802208888</v>
      </c>
      <c r="I154" s="64">
        <f t="shared" si="134"/>
        <v>8713.2576329216936</v>
      </c>
      <c r="J154" s="64">
        <f t="shared" si="134"/>
        <v>8971.4805691070269</v>
      </c>
      <c r="K154" s="64">
        <f t="shared" si="134"/>
        <v>9312.0936000331076</v>
      </c>
      <c r="L154" s="64">
        <f t="shared" si="134"/>
        <v>10155.425818017879</v>
      </c>
      <c r="M154" s="64">
        <f t="shared" si="134"/>
        <v>8578.4118159584232</v>
      </c>
      <c r="N154" s="64">
        <f t="shared" si="134"/>
        <v>8983.8285709393294</v>
      </c>
      <c r="O154" s="64">
        <f t="shared" si="134"/>
        <v>9043.9511330148543</v>
      </c>
      <c r="P154" s="64">
        <f t="shared" si="134"/>
        <v>7547.6170496651548</v>
      </c>
      <c r="Q154" s="64">
        <f t="shared" si="134"/>
        <v>7779.4463283582381</v>
      </c>
      <c r="R154" s="64">
        <f t="shared" si="134"/>
        <v>7663.6806899938683</v>
      </c>
      <c r="S154" s="64">
        <f t="shared" si="134"/>
        <v>7598.7382318768541</v>
      </c>
      <c r="T154" s="64">
        <f t="shared" si="134"/>
        <v>7359.8797353508508</v>
      </c>
      <c r="U154" s="64">
        <f t="shared" si="134"/>
        <v>6930.8314217187326</v>
      </c>
      <c r="V154" s="64">
        <f t="shared" si="134"/>
        <v>6471.893498548704</v>
      </c>
      <c r="W154" s="64">
        <f t="shared" si="134"/>
        <v>6637.7637604013962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6723.479644118871</v>
      </c>
      <c r="C155" s="65">
        <f t="shared" ref="C155:W155" si="136">IF(C101=0,0,C101/C$23)</f>
        <v>7100.0400214643141</v>
      </c>
      <c r="D155" s="65">
        <f t="shared" si="136"/>
        <v>6818.4826356850499</v>
      </c>
      <c r="E155" s="65">
        <f t="shared" si="136"/>
        <v>7216.178634827148</v>
      </c>
      <c r="F155" s="65">
        <f t="shared" si="136"/>
        <v>7993.3185491972072</v>
      </c>
      <c r="G155" s="65">
        <f t="shared" si="136"/>
        <v>7170.8890367464264</v>
      </c>
      <c r="H155" s="65">
        <f t="shared" si="136"/>
        <v>7092.3697830564452</v>
      </c>
      <c r="I155" s="65">
        <f t="shared" si="136"/>
        <v>6297.245888683532</v>
      </c>
      <c r="J155" s="65">
        <f t="shared" si="136"/>
        <v>6582.8403527206347</v>
      </c>
      <c r="K155" s="65">
        <f t="shared" si="136"/>
        <v>6894.5374124725749</v>
      </c>
      <c r="L155" s="65">
        <f t="shared" si="136"/>
        <v>7720.6608812532395</v>
      </c>
      <c r="M155" s="65">
        <f t="shared" si="136"/>
        <v>6179.2593008348358</v>
      </c>
      <c r="N155" s="65">
        <f t="shared" si="136"/>
        <v>6585.5909229874733</v>
      </c>
      <c r="O155" s="65">
        <f t="shared" si="136"/>
        <v>6631.6935162206837</v>
      </c>
      <c r="P155" s="65">
        <f t="shared" si="136"/>
        <v>5148.1067957121313</v>
      </c>
      <c r="Q155" s="65">
        <f t="shared" si="136"/>
        <v>5401.4409454101378</v>
      </c>
      <c r="R155" s="65">
        <f t="shared" si="136"/>
        <v>5342.3689936821447</v>
      </c>
      <c r="S155" s="65">
        <f t="shared" si="136"/>
        <v>5339.9762840866842</v>
      </c>
      <c r="T155" s="65">
        <f t="shared" si="136"/>
        <v>5155.4488498663231</v>
      </c>
      <c r="U155" s="65">
        <f t="shared" si="136"/>
        <v>4786.2064183052717</v>
      </c>
      <c r="V155" s="65">
        <f t="shared" si="136"/>
        <v>4373.3192533065167</v>
      </c>
      <c r="W155" s="65">
        <f t="shared" si="136"/>
        <v>4597.4458204639996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74.569109016503333</v>
      </c>
      <c r="C156" s="65">
        <f t="shared" ref="C156:W156" si="138">IF(C102=0,0,C102/C$23)</f>
        <v>82.29976615192777</v>
      </c>
      <c r="D156" s="65">
        <f t="shared" si="138"/>
        <v>88.218430529982825</v>
      </c>
      <c r="E156" s="65">
        <f t="shared" si="138"/>
        <v>102.68918414815883</v>
      </c>
      <c r="F156" s="65">
        <f t="shared" si="138"/>
        <v>101.59878633317551</v>
      </c>
      <c r="G156" s="65">
        <f t="shared" si="138"/>
        <v>109.94751040596137</v>
      </c>
      <c r="H156" s="65">
        <f t="shared" si="138"/>
        <v>128.78546141471188</v>
      </c>
      <c r="I156" s="65">
        <f t="shared" si="138"/>
        <v>128.7176479058873</v>
      </c>
      <c r="J156" s="65">
        <f t="shared" si="138"/>
        <v>136.25182211884226</v>
      </c>
      <c r="K156" s="65">
        <f t="shared" si="138"/>
        <v>147.03259137736751</v>
      </c>
      <c r="L156" s="65">
        <f t="shared" si="138"/>
        <v>159.17457459292203</v>
      </c>
      <c r="M156" s="65">
        <f t="shared" si="138"/>
        <v>157.16561097716905</v>
      </c>
      <c r="N156" s="65">
        <f t="shared" si="138"/>
        <v>159.27442698548026</v>
      </c>
      <c r="O156" s="65">
        <f t="shared" si="138"/>
        <v>161.66916287003733</v>
      </c>
      <c r="P156" s="65">
        <f t="shared" si="138"/>
        <v>160.06379323089098</v>
      </c>
      <c r="Q156" s="65">
        <f t="shared" si="138"/>
        <v>164.6692214027789</v>
      </c>
      <c r="R156" s="65">
        <f t="shared" si="138"/>
        <v>158.16838876810849</v>
      </c>
      <c r="S156" s="65">
        <f t="shared" si="138"/>
        <v>151.81304279271205</v>
      </c>
      <c r="T156" s="65">
        <f t="shared" si="138"/>
        <v>163.87164564726189</v>
      </c>
      <c r="U156" s="65">
        <f t="shared" si="138"/>
        <v>161.63852651276582</v>
      </c>
      <c r="V156" s="65">
        <f t="shared" si="138"/>
        <v>160.72927955561968</v>
      </c>
      <c r="W156" s="65">
        <f t="shared" si="138"/>
        <v>142.53276402529229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1357.9285964071642</v>
      </c>
      <c r="C157" s="65">
        <f t="shared" ref="C157:W157" si="140">IF(C103=0,0,C103/C$23)</f>
        <v>1324.6830099786603</v>
      </c>
      <c r="D157" s="65">
        <f t="shared" si="140"/>
        <v>1314.1139368712238</v>
      </c>
      <c r="E157" s="65">
        <f t="shared" si="140"/>
        <v>1299.3140039735258</v>
      </c>
      <c r="F157" s="65">
        <f t="shared" si="140"/>
        <v>1304.3720171789184</v>
      </c>
      <c r="G157" s="65">
        <f t="shared" si="140"/>
        <v>1282.2936575017445</v>
      </c>
      <c r="H157" s="65">
        <f t="shared" si="140"/>
        <v>1239.643005539381</v>
      </c>
      <c r="I157" s="65">
        <f t="shared" si="140"/>
        <v>1190.4449648161342</v>
      </c>
      <c r="J157" s="65">
        <f t="shared" si="140"/>
        <v>1161.1983848351847</v>
      </c>
      <c r="K157" s="65">
        <f t="shared" si="140"/>
        <v>1164.9099431338618</v>
      </c>
      <c r="L157" s="65">
        <f t="shared" si="140"/>
        <v>1162.1520811337002</v>
      </c>
      <c r="M157" s="65">
        <f t="shared" si="140"/>
        <v>1143.5526818868234</v>
      </c>
      <c r="N157" s="65">
        <f t="shared" si="140"/>
        <v>1140.4101365511403</v>
      </c>
      <c r="O157" s="65">
        <f t="shared" si="140"/>
        <v>1138.0538641510429</v>
      </c>
      <c r="P157" s="65">
        <f t="shared" si="140"/>
        <v>1127.4737694050075</v>
      </c>
      <c r="Q157" s="65">
        <f t="shared" si="140"/>
        <v>1111.1511801635334</v>
      </c>
      <c r="R157" s="65">
        <f t="shared" si="140"/>
        <v>1083.3309190076106</v>
      </c>
      <c r="S157" s="65">
        <f t="shared" si="140"/>
        <v>1050.4884118579614</v>
      </c>
      <c r="T157" s="65">
        <f t="shared" si="140"/>
        <v>1012.5748820578368</v>
      </c>
      <c r="U157" s="65">
        <f t="shared" si="140"/>
        <v>979.30611003386582</v>
      </c>
      <c r="V157" s="65">
        <f t="shared" si="140"/>
        <v>948.03397807644228</v>
      </c>
      <c r="W157" s="65">
        <f t="shared" si="140"/>
        <v>926.23024039337599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1126.4656320227107</v>
      </c>
      <c r="C158" s="67">
        <f t="shared" ref="C158:W158" si="142">IF(C104=0,0,C104/C$23)</f>
        <v>1109.5488840950852</v>
      </c>
      <c r="D158" s="67">
        <f t="shared" si="142"/>
        <v>1106.6689149730505</v>
      </c>
      <c r="E158" s="67">
        <f t="shared" si="142"/>
        <v>1115.1613525027481</v>
      </c>
      <c r="F158" s="67">
        <f t="shared" si="142"/>
        <v>1133.4654493628263</v>
      </c>
      <c r="G158" s="67">
        <f t="shared" si="142"/>
        <v>1135.5952123889808</v>
      </c>
      <c r="H158" s="67">
        <f t="shared" si="142"/>
        <v>1118.4500302103513</v>
      </c>
      <c r="I158" s="67">
        <f t="shared" si="142"/>
        <v>1096.8491315161414</v>
      </c>
      <c r="J158" s="67">
        <f t="shared" si="142"/>
        <v>1091.1900094323662</v>
      </c>
      <c r="K158" s="67">
        <f t="shared" si="142"/>
        <v>1105.6136530493047</v>
      </c>
      <c r="L158" s="67">
        <f t="shared" si="142"/>
        <v>1113.4382810380173</v>
      </c>
      <c r="M158" s="67">
        <f t="shared" si="142"/>
        <v>1098.4342222595963</v>
      </c>
      <c r="N158" s="67">
        <f t="shared" si="142"/>
        <v>1098.5530844152363</v>
      </c>
      <c r="O158" s="67">
        <f t="shared" si="142"/>
        <v>1112.534589773092</v>
      </c>
      <c r="P158" s="67">
        <f t="shared" si="142"/>
        <v>1111.9726913171253</v>
      </c>
      <c r="Q158" s="67">
        <f t="shared" si="142"/>
        <v>1102.1849813817869</v>
      </c>
      <c r="R158" s="67">
        <f t="shared" si="142"/>
        <v>1079.8123885360028</v>
      </c>
      <c r="S158" s="67">
        <f t="shared" si="142"/>
        <v>1056.4604931394956</v>
      </c>
      <c r="T158" s="67">
        <f t="shared" si="142"/>
        <v>1027.9843577794286</v>
      </c>
      <c r="U158" s="67">
        <f t="shared" si="142"/>
        <v>1003.680366866829</v>
      </c>
      <c r="V158" s="67">
        <f t="shared" si="142"/>
        <v>989.81098761012527</v>
      </c>
      <c r="W158" s="67">
        <f t="shared" si="142"/>
        <v>971.55493551872792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2213.7306773908754</v>
      </c>
      <c r="C159" s="68">
        <f t="shared" ref="C159:W159" si="144">IF(C105=0,0,C105/C$23)</f>
        <v>2247.1053548056229</v>
      </c>
      <c r="D159" s="68">
        <f t="shared" si="144"/>
        <v>2296.9090696941707</v>
      </c>
      <c r="E159" s="68">
        <f t="shared" si="144"/>
        <v>2368.6071755562566</v>
      </c>
      <c r="F159" s="68">
        <f t="shared" si="144"/>
        <v>2464.1389499057736</v>
      </c>
      <c r="G159" s="68">
        <f t="shared" si="144"/>
        <v>2526.0264925647202</v>
      </c>
      <c r="H159" s="68">
        <f t="shared" si="144"/>
        <v>2543.2534431595336</v>
      </c>
      <c r="I159" s="68">
        <f t="shared" si="144"/>
        <v>2547.0043520795916</v>
      </c>
      <c r="J159" s="68">
        <f t="shared" si="144"/>
        <v>2569.8723325297228</v>
      </c>
      <c r="K159" s="68">
        <f t="shared" si="144"/>
        <v>2628.483547239196</v>
      </c>
      <c r="L159" s="68">
        <f t="shared" si="144"/>
        <v>2694.2408502860785</v>
      </c>
      <c r="M159" s="68">
        <f t="shared" si="144"/>
        <v>2722.7477503753471</v>
      </c>
      <c r="N159" s="68">
        <f t="shared" si="144"/>
        <v>2742.5014419065878</v>
      </c>
      <c r="O159" s="68">
        <f t="shared" si="144"/>
        <v>2778.1890584773014</v>
      </c>
      <c r="P159" s="68">
        <f t="shared" si="144"/>
        <v>2834.5023394872146</v>
      </c>
      <c r="Q159" s="68">
        <f t="shared" si="144"/>
        <v>2926.5784443249659</v>
      </c>
      <c r="R159" s="68">
        <f t="shared" si="144"/>
        <v>2869.1651383526419</v>
      </c>
      <c r="S159" s="68">
        <f t="shared" si="144"/>
        <v>2825.2594771006784</v>
      </c>
      <c r="T159" s="68">
        <f t="shared" si="144"/>
        <v>2726.130943075204</v>
      </c>
      <c r="U159" s="68">
        <f t="shared" si="144"/>
        <v>2653.3388820834311</v>
      </c>
      <c r="V159" s="68">
        <f t="shared" si="144"/>
        <v>2622.2976229322535</v>
      </c>
      <c r="W159" s="68">
        <f t="shared" si="144"/>
        <v>2553.4453833951834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5865.3197352557918</v>
      </c>
      <c r="C161" s="85">
        <f t="shared" ref="C161:W161" si="146">IF(C107=0,0,C107/C$23)</f>
        <v>6125.6482804128109</v>
      </c>
      <c r="D161" s="85">
        <f t="shared" si="146"/>
        <v>6084.8666623907047</v>
      </c>
      <c r="E161" s="85">
        <f t="shared" si="146"/>
        <v>6399.1358612592521</v>
      </c>
      <c r="F161" s="85">
        <f t="shared" si="146"/>
        <v>6967.4419425485275</v>
      </c>
      <c r="G161" s="85">
        <f t="shared" si="146"/>
        <v>6539.3436483601654</v>
      </c>
      <c r="H161" s="85">
        <f t="shared" si="146"/>
        <v>6614.4717952435585</v>
      </c>
      <c r="I161" s="85">
        <f t="shared" si="146"/>
        <v>6195.3217315929487</v>
      </c>
      <c r="J161" s="85">
        <f t="shared" si="146"/>
        <v>6458.9433864704124</v>
      </c>
      <c r="K161" s="85">
        <f t="shared" si="146"/>
        <v>6836.0278659104015</v>
      </c>
      <c r="L161" s="85">
        <f t="shared" si="146"/>
        <v>7530.6338290869244</v>
      </c>
      <c r="M161" s="85">
        <f t="shared" si="146"/>
        <v>6584.9581912483254</v>
      </c>
      <c r="N161" s="85">
        <f t="shared" si="146"/>
        <v>6975.1847003779239</v>
      </c>
      <c r="O161" s="85">
        <f t="shared" si="146"/>
        <v>7165.9382133924082</v>
      </c>
      <c r="P161" s="85">
        <f t="shared" si="146"/>
        <v>6124.059365671128</v>
      </c>
      <c r="Q161" s="85">
        <f t="shared" si="146"/>
        <v>6384.6389400762355</v>
      </c>
      <c r="R161" s="85">
        <f t="shared" si="146"/>
        <v>6367.8171820079442</v>
      </c>
      <c r="S161" s="85">
        <f t="shared" si="146"/>
        <v>6405.3619815496813</v>
      </c>
      <c r="T161" s="85">
        <f t="shared" si="146"/>
        <v>6361.7325510512137</v>
      </c>
      <c r="U161" s="85">
        <f t="shared" si="146"/>
        <v>6119.4946644810298</v>
      </c>
      <c r="V161" s="85">
        <f t="shared" si="146"/>
        <v>5860.4830247109394</v>
      </c>
      <c r="W161" s="85">
        <f t="shared" si="146"/>
        <v>6028.9383379592209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4001.8291626618397</v>
      </c>
      <c r="C162" s="65">
        <f t="shared" ref="C162:W162" si="148">IF(C108=0,0,C108/C$23)</f>
        <v>4268.4872799612085</v>
      </c>
      <c r="D162" s="65">
        <f t="shared" si="148"/>
        <v>4212.2497310981225</v>
      </c>
      <c r="E162" s="65">
        <f t="shared" si="148"/>
        <v>4480.7442802774449</v>
      </c>
      <c r="F162" s="65">
        <f t="shared" si="148"/>
        <v>5017.8374214377936</v>
      </c>
      <c r="G162" s="65">
        <f t="shared" si="148"/>
        <v>4560.5335339638314</v>
      </c>
      <c r="H162" s="65">
        <f t="shared" si="148"/>
        <v>4605.6043676875488</v>
      </c>
      <c r="I162" s="65">
        <f t="shared" si="148"/>
        <v>4208.3636599146339</v>
      </c>
      <c r="J162" s="65">
        <f t="shared" si="148"/>
        <v>4450.3852348986875</v>
      </c>
      <c r="K162" s="65">
        <f t="shared" si="148"/>
        <v>4765.8113179220309</v>
      </c>
      <c r="L162" s="65">
        <f t="shared" si="148"/>
        <v>5399.5488312008347</v>
      </c>
      <c r="M162" s="65">
        <f t="shared" si="148"/>
        <v>4460.4452236818042</v>
      </c>
      <c r="N162" s="65">
        <f t="shared" si="148"/>
        <v>4823.5654024820342</v>
      </c>
      <c r="O162" s="65">
        <f t="shared" si="148"/>
        <v>4971.8609655210657</v>
      </c>
      <c r="P162" s="65">
        <f t="shared" si="148"/>
        <v>3917.7920182731809</v>
      </c>
      <c r="Q162" s="65">
        <f t="shared" si="148"/>
        <v>4151.609556885961</v>
      </c>
      <c r="R162" s="65">
        <f t="shared" si="148"/>
        <v>4163.2427604968907</v>
      </c>
      <c r="S162" s="65">
        <f t="shared" si="148"/>
        <v>4234.255722200629</v>
      </c>
      <c r="T162" s="65">
        <f t="shared" si="148"/>
        <v>4157.7493006514114</v>
      </c>
      <c r="U162" s="65">
        <f t="shared" si="148"/>
        <v>3933.4487988302899</v>
      </c>
      <c r="V162" s="65">
        <f t="shared" si="148"/>
        <v>3678.0737714007087</v>
      </c>
      <c r="W162" s="65">
        <f t="shared" si="148"/>
        <v>3927.2023708392467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144.7190043088419</v>
      </c>
      <c r="C163" s="65">
        <f t="shared" ref="C163:W163" si="150">IF(C109=0,0,C109/C$23)</f>
        <v>170.41518609442676</v>
      </c>
      <c r="D163" s="65">
        <f t="shared" si="150"/>
        <v>193.68600464295406</v>
      </c>
      <c r="E163" s="65">
        <f t="shared" si="150"/>
        <v>236.91475792369647</v>
      </c>
      <c r="F163" s="65">
        <f t="shared" si="150"/>
        <v>246.4405687894627</v>
      </c>
      <c r="G163" s="65">
        <f t="shared" si="150"/>
        <v>281.31872388127437</v>
      </c>
      <c r="H163" s="65">
        <f t="shared" si="150"/>
        <v>345.95962290195735</v>
      </c>
      <c r="I163" s="65">
        <f t="shared" si="150"/>
        <v>363.43299455490347</v>
      </c>
      <c r="J163" s="65">
        <f t="shared" si="150"/>
        <v>401.83445827446076</v>
      </c>
      <c r="K163" s="65">
        <f t="shared" si="150"/>
        <v>441.86503279591864</v>
      </c>
      <c r="L163" s="65">
        <f t="shared" si="150"/>
        <v>489.0560785172168</v>
      </c>
      <c r="M163" s="65">
        <f t="shared" si="150"/>
        <v>497.20933296772716</v>
      </c>
      <c r="N163" s="65">
        <f t="shared" si="150"/>
        <v>517.9499545202865</v>
      </c>
      <c r="O163" s="65">
        <f t="shared" si="150"/>
        <v>540.73531090025676</v>
      </c>
      <c r="P163" s="65">
        <f t="shared" si="150"/>
        <v>552.48510095538472</v>
      </c>
      <c r="Q163" s="65">
        <f t="shared" si="150"/>
        <v>586.88254475942074</v>
      </c>
      <c r="R163" s="65">
        <f t="shared" si="150"/>
        <v>582.57064298301339</v>
      </c>
      <c r="S163" s="65">
        <f t="shared" si="150"/>
        <v>577.29082865546604</v>
      </c>
      <c r="T163" s="65">
        <f t="shared" si="150"/>
        <v>643.2898344683972</v>
      </c>
      <c r="U163" s="65">
        <f t="shared" si="150"/>
        <v>650.92737240125564</v>
      </c>
      <c r="V163" s="65">
        <f t="shared" si="150"/>
        <v>658.54365594150215</v>
      </c>
      <c r="W163" s="65">
        <f t="shared" si="150"/>
        <v>593.97391379797568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919.2385910550347</v>
      </c>
      <c r="C164" s="65">
        <f t="shared" ref="C164:W164" si="152">IF(C110=0,0,C110/C$23)</f>
        <v>900.20936923067086</v>
      </c>
      <c r="D164" s="65">
        <f t="shared" si="152"/>
        <v>894.19635740226011</v>
      </c>
      <c r="E164" s="65">
        <f t="shared" si="152"/>
        <v>890.12573206450486</v>
      </c>
      <c r="F164" s="65">
        <f t="shared" si="152"/>
        <v>898.06846763934107</v>
      </c>
      <c r="G164" s="65">
        <f t="shared" si="152"/>
        <v>888.08215293520846</v>
      </c>
      <c r="H164" s="65">
        <f t="shared" si="152"/>
        <v>864.09928457040905</v>
      </c>
      <c r="I164" s="65">
        <f t="shared" si="152"/>
        <v>836.70680902908259</v>
      </c>
      <c r="J164" s="65">
        <f t="shared" si="152"/>
        <v>822.29455546372844</v>
      </c>
      <c r="K164" s="65">
        <f t="shared" si="152"/>
        <v>830.81232355807572</v>
      </c>
      <c r="L164" s="65">
        <f t="shared" si="152"/>
        <v>835.94684671072264</v>
      </c>
      <c r="M164" s="65">
        <f t="shared" si="152"/>
        <v>830.84394534274884</v>
      </c>
      <c r="N164" s="65">
        <f t="shared" si="152"/>
        <v>835.29839558311141</v>
      </c>
      <c r="O164" s="65">
        <f t="shared" si="152"/>
        <v>843.04235723839452</v>
      </c>
      <c r="P164" s="65">
        <f t="shared" si="152"/>
        <v>841.41315243243912</v>
      </c>
      <c r="Q164" s="65">
        <f t="shared" si="152"/>
        <v>837.48011453771301</v>
      </c>
      <c r="R164" s="65">
        <f t="shared" si="152"/>
        <v>825.26205259676146</v>
      </c>
      <c r="S164" s="65">
        <f t="shared" si="152"/>
        <v>810.87544856985153</v>
      </c>
      <c r="T164" s="65">
        <f t="shared" si="152"/>
        <v>794.29380785041508</v>
      </c>
      <c r="U164" s="65">
        <f t="shared" si="152"/>
        <v>781.30328094465733</v>
      </c>
      <c r="V164" s="65">
        <f t="shared" si="152"/>
        <v>772.83416385417593</v>
      </c>
      <c r="W164" s="65">
        <f t="shared" si="152"/>
        <v>767.96294638128131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799.53297723007495</v>
      </c>
      <c r="C165" s="68">
        <f t="shared" ref="C165:W165" si="154">IF(C111=0,0,C111/C$23)</f>
        <v>786.53644512650544</v>
      </c>
      <c r="D165" s="68">
        <f t="shared" si="154"/>
        <v>784.73456924736865</v>
      </c>
      <c r="E165" s="68">
        <f t="shared" si="154"/>
        <v>791.35109099360523</v>
      </c>
      <c r="F165" s="68">
        <f t="shared" si="154"/>
        <v>805.09548468192952</v>
      </c>
      <c r="G165" s="68">
        <f t="shared" si="154"/>
        <v>809.40923757985161</v>
      </c>
      <c r="H165" s="68">
        <f t="shared" si="154"/>
        <v>798.80852008364309</v>
      </c>
      <c r="I165" s="68">
        <f t="shared" si="154"/>
        <v>786.8182680943288</v>
      </c>
      <c r="J165" s="68">
        <f t="shared" si="154"/>
        <v>784.42913783353561</v>
      </c>
      <c r="K165" s="68">
        <f t="shared" si="154"/>
        <v>797.53919163437661</v>
      </c>
      <c r="L165" s="68">
        <f t="shared" si="154"/>
        <v>806.08207265814997</v>
      </c>
      <c r="M165" s="68">
        <f t="shared" si="154"/>
        <v>796.4596892560445</v>
      </c>
      <c r="N165" s="68">
        <f t="shared" si="154"/>
        <v>798.3709477924923</v>
      </c>
      <c r="O165" s="68">
        <f t="shared" si="154"/>
        <v>810.29957973269165</v>
      </c>
      <c r="P165" s="68">
        <f t="shared" si="154"/>
        <v>812.36909401012315</v>
      </c>
      <c r="Q165" s="68">
        <f t="shared" si="154"/>
        <v>808.66672389313896</v>
      </c>
      <c r="R165" s="68">
        <f t="shared" si="154"/>
        <v>796.74172593127901</v>
      </c>
      <c r="S165" s="68">
        <f t="shared" si="154"/>
        <v>782.93998212373469</v>
      </c>
      <c r="T165" s="68">
        <f t="shared" si="154"/>
        <v>766.39960808099011</v>
      </c>
      <c r="U165" s="68">
        <f t="shared" si="154"/>
        <v>753.81521230482645</v>
      </c>
      <c r="V165" s="68">
        <f t="shared" si="154"/>
        <v>751.03143351455242</v>
      </c>
      <c r="W165" s="68">
        <f t="shared" si="154"/>
        <v>739.79910694071714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1328.0120324600255</v>
      </c>
      <c r="C167" s="82">
        <f t="shared" ref="C167:W167" si="156">IF(C113=0,0,C113/C$23)</f>
        <v>1387.1274716594878</v>
      </c>
      <c r="D167" s="82">
        <f t="shared" si="156"/>
        <v>1301.2609285998394</v>
      </c>
      <c r="E167" s="82">
        <f t="shared" si="156"/>
        <v>1382.4453805018416</v>
      </c>
      <c r="F167" s="82">
        <f t="shared" si="156"/>
        <v>1518.8522485345413</v>
      </c>
      <c r="G167" s="82">
        <f t="shared" si="156"/>
        <v>1386.4810731051095</v>
      </c>
      <c r="H167" s="82">
        <f t="shared" si="156"/>
        <v>1355.1142258570601</v>
      </c>
      <c r="I167" s="82">
        <f t="shared" si="156"/>
        <v>1179.5086060977364</v>
      </c>
      <c r="J167" s="82">
        <f t="shared" si="156"/>
        <v>1249.0897106818111</v>
      </c>
      <c r="K167" s="82">
        <f t="shared" si="156"/>
        <v>1291.116461046385</v>
      </c>
      <c r="L167" s="82">
        <f t="shared" si="156"/>
        <v>1476.9100896521595</v>
      </c>
      <c r="M167" s="82">
        <f t="shared" si="156"/>
        <v>1179.3875921814263</v>
      </c>
      <c r="N167" s="82">
        <f t="shared" si="156"/>
        <v>1308.2258560605178</v>
      </c>
      <c r="O167" s="82">
        <f t="shared" si="156"/>
        <v>1322.8316632021249</v>
      </c>
      <c r="P167" s="82">
        <f t="shared" si="156"/>
        <v>1059.4646522696023</v>
      </c>
      <c r="Q167" s="82">
        <f t="shared" si="156"/>
        <v>1124.8166925034029</v>
      </c>
      <c r="R167" s="82">
        <f t="shared" si="156"/>
        <v>1106.6841618752462</v>
      </c>
      <c r="S167" s="82">
        <f t="shared" si="156"/>
        <v>1072.4454703517547</v>
      </c>
      <c r="T167" s="82">
        <f t="shared" si="156"/>
        <v>1025.154565326081</v>
      </c>
      <c r="U167" s="82">
        <f t="shared" si="156"/>
        <v>948.93836167330642</v>
      </c>
      <c r="V167" s="82">
        <f t="shared" si="156"/>
        <v>857.35255081970672</v>
      </c>
      <c r="W167" s="82">
        <f t="shared" si="156"/>
        <v>901.16485121452047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1328.0120324600255</v>
      </c>
      <c r="C168" s="64">
        <f t="shared" ref="C168:W168" si="158">IF(C114=0,0,C114/C$23)</f>
        <v>1387.1274716594878</v>
      </c>
      <c r="D168" s="64">
        <f t="shared" si="158"/>
        <v>1301.2609285998394</v>
      </c>
      <c r="E168" s="64">
        <f t="shared" si="158"/>
        <v>1382.4453805018416</v>
      </c>
      <c r="F168" s="64">
        <f t="shared" si="158"/>
        <v>1518.8522485345413</v>
      </c>
      <c r="G168" s="64">
        <f t="shared" si="158"/>
        <v>1386.4810731051095</v>
      </c>
      <c r="H168" s="64">
        <f t="shared" si="158"/>
        <v>1355.1142258570601</v>
      </c>
      <c r="I168" s="64">
        <f t="shared" si="158"/>
        <v>1179.5086060977364</v>
      </c>
      <c r="J168" s="64">
        <f t="shared" si="158"/>
        <v>1249.0897106818111</v>
      </c>
      <c r="K168" s="64">
        <f t="shared" si="158"/>
        <v>1291.116461046385</v>
      </c>
      <c r="L168" s="64">
        <f t="shared" si="158"/>
        <v>1476.9100896521595</v>
      </c>
      <c r="M168" s="64">
        <f t="shared" si="158"/>
        <v>1179.3875921814263</v>
      </c>
      <c r="N168" s="64">
        <f t="shared" si="158"/>
        <v>1308.2258560605178</v>
      </c>
      <c r="O168" s="64">
        <f t="shared" si="158"/>
        <v>1322.8316632021249</v>
      </c>
      <c r="P168" s="64">
        <f t="shared" si="158"/>
        <v>1059.4646522696023</v>
      </c>
      <c r="Q168" s="64">
        <f t="shared" si="158"/>
        <v>1124.8166925034029</v>
      </c>
      <c r="R168" s="64">
        <f t="shared" si="158"/>
        <v>1106.6841618752462</v>
      </c>
      <c r="S168" s="64">
        <f t="shared" si="158"/>
        <v>1072.4454703517547</v>
      </c>
      <c r="T168" s="64">
        <f t="shared" si="158"/>
        <v>1025.154565326081</v>
      </c>
      <c r="U168" s="64">
        <f t="shared" si="158"/>
        <v>948.93836167330642</v>
      </c>
      <c r="V168" s="64">
        <f t="shared" si="158"/>
        <v>857.35255081970672</v>
      </c>
      <c r="W168" s="64">
        <f t="shared" si="158"/>
        <v>901.16485121452047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1121.6413219667131</v>
      </c>
      <c r="C169" s="65">
        <f t="shared" ref="C169:W169" si="160">IF(C115=0,0,C115/C$23)</f>
        <v>1180.4285935596465</v>
      </c>
      <c r="D169" s="65">
        <f t="shared" si="160"/>
        <v>1089.0403364483141</v>
      </c>
      <c r="E169" s="65">
        <f t="shared" si="160"/>
        <v>1172.5486726158479</v>
      </c>
      <c r="F169" s="65">
        <f t="shared" si="160"/>
        <v>1305.9242058609591</v>
      </c>
      <c r="G169" s="65">
        <f t="shared" si="160"/>
        <v>1175.8289951037025</v>
      </c>
      <c r="H169" s="65">
        <f t="shared" si="160"/>
        <v>1147.5788866629518</v>
      </c>
      <c r="I169" s="65">
        <f t="shared" si="160"/>
        <v>981.94604381203612</v>
      </c>
      <c r="J169" s="65">
        <f t="shared" si="160"/>
        <v>1054.20159049373</v>
      </c>
      <c r="K169" s="65">
        <f t="shared" si="160"/>
        <v>1093.6486538375318</v>
      </c>
      <c r="L169" s="65">
        <f t="shared" si="160"/>
        <v>1279.1988916849705</v>
      </c>
      <c r="M169" s="65">
        <f t="shared" si="160"/>
        <v>986.35333658108038</v>
      </c>
      <c r="N169" s="65">
        <f t="shared" si="160"/>
        <v>1108.5897192625923</v>
      </c>
      <c r="O169" s="65">
        <f t="shared" si="160"/>
        <v>1121.9853585076812</v>
      </c>
      <c r="P169" s="65">
        <f t="shared" si="160"/>
        <v>869.27076152528559</v>
      </c>
      <c r="Q169" s="65">
        <f t="shared" si="160"/>
        <v>937.63007068000854</v>
      </c>
      <c r="R169" s="65">
        <f t="shared" si="160"/>
        <v>924.18476772549172</v>
      </c>
      <c r="S169" s="65">
        <f t="shared" si="160"/>
        <v>889.9502073147512</v>
      </c>
      <c r="T169" s="65">
        <f t="shared" si="160"/>
        <v>849.7212142155629</v>
      </c>
      <c r="U169" s="65">
        <f t="shared" si="160"/>
        <v>781.0372076493851</v>
      </c>
      <c r="V169" s="65">
        <f t="shared" si="160"/>
        <v>707.50415172702435</v>
      </c>
      <c r="W169" s="65">
        <f t="shared" si="160"/>
        <v>752.11124781108958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7.3909940099418342E-2</v>
      </c>
      <c r="C170" s="65">
        <f t="shared" ref="C170:W170" si="162">IF(C116=0,0,C116/C$23)</f>
        <v>8.3164536217940885E-2</v>
      </c>
      <c r="D170" s="65">
        <f t="shared" si="162"/>
        <v>0.10050707249306304</v>
      </c>
      <c r="E170" s="65">
        <f t="shared" si="162"/>
        <v>0.12057805535447451</v>
      </c>
      <c r="F170" s="65">
        <f t="shared" si="162"/>
        <v>0.14987367258308648</v>
      </c>
      <c r="G170" s="65">
        <f t="shared" si="162"/>
        <v>0.1776085420718215</v>
      </c>
      <c r="H170" s="65">
        <f t="shared" si="162"/>
        <v>0.24092144944957036</v>
      </c>
      <c r="I170" s="65">
        <f t="shared" si="162"/>
        <v>0.28771589216960886</v>
      </c>
      <c r="J170" s="65">
        <f t="shared" si="162"/>
        <v>0.34702224848696328</v>
      </c>
      <c r="K170" s="65">
        <f t="shared" si="162"/>
        <v>0.39838261811636921</v>
      </c>
      <c r="L170" s="65">
        <f t="shared" si="162"/>
        <v>0.456373323044857</v>
      </c>
      <c r="M170" s="65">
        <f t="shared" si="162"/>
        <v>0.49203248384095016</v>
      </c>
      <c r="N170" s="65">
        <f t="shared" si="162"/>
        <v>0.56268996436557062</v>
      </c>
      <c r="O170" s="65">
        <f t="shared" si="162"/>
        <v>0.69148270615580865</v>
      </c>
      <c r="P170" s="65">
        <f t="shared" si="162"/>
        <v>0.9082202075267114</v>
      </c>
      <c r="Q170" s="65">
        <f t="shared" si="162"/>
        <v>1.2378979032509443</v>
      </c>
      <c r="R170" s="65">
        <f t="shared" si="162"/>
        <v>1.5429805314032037</v>
      </c>
      <c r="S170" s="65">
        <f t="shared" si="162"/>
        <v>1.797920983059214</v>
      </c>
      <c r="T170" s="65">
        <f t="shared" si="162"/>
        <v>1.999631947284807</v>
      </c>
      <c r="U170" s="65">
        <f t="shared" si="162"/>
        <v>2.1594177217484507</v>
      </c>
      <c r="V170" s="65">
        <f t="shared" si="162"/>
        <v>2.3391577114009241</v>
      </c>
      <c r="W170" s="65">
        <f t="shared" si="162"/>
        <v>2.4321283103855453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108.21850489238813</v>
      </c>
      <c r="C171" s="65">
        <f t="shared" ref="C171:W171" si="164">IF(C117=0,0,C117/C$23)</f>
        <v>107.12477025372726</v>
      </c>
      <c r="D171" s="65">
        <f t="shared" si="164"/>
        <v>111.41119538942242</v>
      </c>
      <c r="E171" s="65">
        <f t="shared" si="164"/>
        <v>107.50376166228612</v>
      </c>
      <c r="F171" s="65">
        <f t="shared" si="164"/>
        <v>107.769913196584</v>
      </c>
      <c r="G171" s="65">
        <f t="shared" si="164"/>
        <v>106.46353325087084</v>
      </c>
      <c r="H171" s="65">
        <f t="shared" si="164"/>
        <v>103.96582209311461</v>
      </c>
      <c r="I171" s="65">
        <f t="shared" si="164"/>
        <v>98.88225074586498</v>
      </c>
      <c r="J171" s="65">
        <f t="shared" si="164"/>
        <v>96.608352863682384</v>
      </c>
      <c r="K171" s="65">
        <f t="shared" si="164"/>
        <v>98.048853731808535</v>
      </c>
      <c r="L171" s="65">
        <f t="shared" si="164"/>
        <v>98.56939088446471</v>
      </c>
      <c r="M171" s="65">
        <f t="shared" si="164"/>
        <v>97.013944355381184</v>
      </c>
      <c r="N171" s="65">
        <f t="shared" si="164"/>
        <v>104.18211260584957</v>
      </c>
      <c r="O171" s="65">
        <f t="shared" si="164"/>
        <v>104.86005218283007</v>
      </c>
      <c r="P171" s="65">
        <f t="shared" si="164"/>
        <v>96.868243389794173</v>
      </c>
      <c r="Q171" s="65">
        <f t="shared" si="164"/>
        <v>93.828658858313759</v>
      </c>
      <c r="R171" s="65">
        <f t="shared" si="164"/>
        <v>92.902350065940453</v>
      </c>
      <c r="S171" s="65">
        <f t="shared" si="164"/>
        <v>94.550274560935492</v>
      </c>
      <c r="T171" s="65">
        <f t="shared" si="164"/>
        <v>89.363406998564614</v>
      </c>
      <c r="U171" s="65">
        <f t="shared" si="164"/>
        <v>83.769000375154747</v>
      </c>
      <c r="V171" s="65">
        <f t="shared" si="164"/>
        <v>70.609694220047047</v>
      </c>
      <c r="W171" s="65">
        <f t="shared" si="164"/>
        <v>69.817573678402013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98.078295660824722</v>
      </c>
      <c r="C172" s="67">
        <f t="shared" ref="C172:W172" si="166">IF(C118=0,0,C118/C$23)</f>
        <v>99.490943309895798</v>
      </c>
      <c r="D172" s="67">
        <f t="shared" si="166"/>
        <v>100.70888968961017</v>
      </c>
      <c r="E172" s="67">
        <f t="shared" si="166"/>
        <v>102.27236816835295</v>
      </c>
      <c r="F172" s="67">
        <f t="shared" si="166"/>
        <v>105.00825580441496</v>
      </c>
      <c r="G172" s="67">
        <f t="shared" si="166"/>
        <v>104.01093620846424</v>
      </c>
      <c r="H172" s="67">
        <f t="shared" si="166"/>
        <v>103.32859565154452</v>
      </c>
      <c r="I172" s="67">
        <f t="shared" si="166"/>
        <v>98.392595647665914</v>
      </c>
      <c r="J172" s="67">
        <f t="shared" si="166"/>
        <v>97.932745075911754</v>
      </c>
      <c r="K172" s="67">
        <f t="shared" si="166"/>
        <v>99.020570858928536</v>
      </c>
      <c r="L172" s="67">
        <f t="shared" si="166"/>
        <v>98.68543375967927</v>
      </c>
      <c r="M172" s="67">
        <f t="shared" si="166"/>
        <v>95.528278761123616</v>
      </c>
      <c r="N172" s="67">
        <f t="shared" si="166"/>
        <v>94.891334227709933</v>
      </c>
      <c r="O172" s="67">
        <f t="shared" si="166"/>
        <v>95.29476980545752</v>
      </c>
      <c r="P172" s="67">
        <f t="shared" si="166"/>
        <v>92.417427146995905</v>
      </c>
      <c r="Q172" s="67">
        <f t="shared" si="166"/>
        <v>92.12006506182955</v>
      </c>
      <c r="R172" s="67">
        <f t="shared" si="166"/>
        <v>88.054063552410867</v>
      </c>
      <c r="S172" s="67">
        <f t="shared" si="166"/>
        <v>86.14706749300862</v>
      </c>
      <c r="T172" s="67">
        <f t="shared" si="166"/>
        <v>84.070312164668763</v>
      </c>
      <c r="U172" s="67">
        <f t="shared" si="166"/>
        <v>81.972735927018164</v>
      </c>
      <c r="V172" s="67">
        <f t="shared" si="166"/>
        <v>76.899547161234466</v>
      </c>
      <c r="W172" s="67">
        <f t="shared" si="166"/>
        <v>76.803901414643335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388765.91218783642</v>
      </c>
      <c r="C3" s="125">
        <f t="shared" si="0"/>
        <v>394779.53288229252</v>
      </c>
      <c r="D3" s="125">
        <f t="shared" si="0"/>
        <v>398133.05198638496</v>
      </c>
      <c r="E3" s="125">
        <f t="shared" si="0"/>
        <v>399585.97263702797</v>
      </c>
      <c r="F3" s="125">
        <f t="shared" si="0"/>
        <v>397935.47243665368</v>
      </c>
      <c r="G3" s="125">
        <f t="shared" si="0"/>
        <v>403965.70387661085</v>
      </c>
      <c r="H3" s="125">
        <f t="shared" si="0"/>
        <v>414261.80828934553</v>
      </c>
      <c r="I3" s="125">
        <f t="shared" si="0"/>
        <v>427277.02148747316</v>
      </c>
      <c r="J3" s="125">
        <f t="shared" si="0"/>
        <v>434859.54982328694</v>
      </c>
      <c r="K3" s="125">
        <f t="shared" si="0"/>
        <v>433133.92804567562</v>
      </c>
      <c r="L3" s="125">
        <f t="shared" si="0"/>
        <v>437576.21741488867</v>
      </c>
      <c r="M3" s="125">
        <f t="shared" si="0"/>
        <v>443263.23874691897</v>
      </c>
      <c r="N3" s="125">
        <f t="shared" si="0"/>
        <v>444621.39903230278</v>
      </c>
      <c r="O3" s="125">
        <f t="shared" si="0"/>
        <v>443480.26574480854</v>
      </c>
      <c r="P3" s="125">
        <f t="shared" si="0"/>
        <v>443595.98222024302</v>
      </c>
      <c r="Q3" s="125">
        <f t="shared" si="0"/>
        <v>450150.59079536982</v>
      </c>
      <c r="R3" s="125">
        <f t="shared" si="0"/>
        <v>452112.89615237596</v>
      </c>
      <c r="S3" s="125">
        <f t="shared" si="0"/>
        <v>455111.12400772492</v>
      </c>
      <c r="T3" s="125">
        <f t="shared" si="0"/>
        <v>457946.53731876245</v>
      </c>
      <c r="U3" s="125">
        <f t="shared" si="0"/>
        <v>460640.80291483249</v>
      </c>
      <c r="V3" s="125">
        <f t="shared" si="0"/>
        <v>463265.55666666676</v>
      </c>
      <c r="W3" s="125">
        <f t="shared" si="0"/>
        <v>465885.71955534973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388765.91218783642</v>
      </c>
      <c r="C4" s="140">
        <f t="shared" si="1"/>
        <v>394779.53288229252</v>
      </c>
      <c r="D4" s="140">
        <f t="shared" si="1"/>
        <v>398133.05198638496</v>
      </c>
      <c r="E4" s="140">
        <f t="shared" si="1"/>
        <v>399585.97263702797</v>
      </c>
      <c r="F4" s="140">
        <f t="shared" si="1"/>
        <v>397935.47243665368</v>
      </c>
      <c r="G4" s="140">
        <f t="shared" si="1"/>
        <v>403965.70387661085</v>
      </c>
      <c r="H4" s="140">
        <f t="shared" si="1"/>
        <v>414261.80828934553</v>
      </c>
      <c r="I4" s="140">
        <f t="shared" si="1"/>
        <v>427277.02148747316</v>
      </c>
      <c r="J4" s="140">
        <f t="shared" si="1"/>
        <v>434859.54982328694</v>
      </c>
      <c r="K4" s="140">
        <f t="shared" si="1"/>
        <v>433133.92804567562</v>
      </c>
      <c r="L4" s="140">
        <f t="shared" si="1"/>
        <v>437576.21741488867</v>
      </c>
      <c r="M4" s="140">
        <f t="shared" si="1"/>
        <v>443263.23874691897</v>
      </c>
      <c r="N4" s="140">
        <f t="shared" si="1"/>
        <v>444621.39903230278</v>
      </c>
      <c r="O4" s="140">
        <f t="shared" si="1"/>
        <v>443480.26574480854</v>
      </c>
      <c r="P4" s="140">
        <f t="shared" si="1"/>
        <v>443595.98222024302</v>
      </c>
      <c r="Q4" s="140">
        <f t="shared" si="1"/>
        <v>450150.59079536982</v>
      </c>
      <c r="R4" s="140">
        <f t="shared" ref="R4:W4" si="2">SUM(R5:R14)</f>
        <v>452112.89615237596</v>
      </c>
      <c r="S4" s="140">
        <f t="shared" si="2"/>
        <v>455111.12400772492</v>
      </c>
      <c r="T4" s="140">
        <f t="shared" si="2"/>
        <v>457946.53731876245</v>
      </c>
      <c r="U4" s="140">
        <f t="shared" si="2"/>
        <v>460640.80291483249</v>
      </c>
      <c r="V4" s="140">
        <f t="shared" si="2"/>
        <v>463265.55666666676</v>
      </c>
      <c r="W4" s="140">
        <f t="shared" si="2"/>
        <v>465885.71955534973</v>
      </c>
      <c r="DA4" s="170" t="s">
        <v>245</v>
      </c>
    </row>
    <row r="5" spans="1:105" ht="12" customHeight="1" x14ac:dyDescent="0.25">
      <c r="A5" s="132" t="s">
        <v>29</v>
      </c>
      <c r="B5" s="141">
        <v>47.823332441217204</v>
      </c>
      <c r="C5" s="141">
        <v>46.98498686170128</v>
      </c>
      <c r="D5" s="141">
        <v>55.658934153277606</v>
      </c>
      <c r="E5" s="141">
        <v>68.817182009161385</v>
      </c>
      <c r="F5" s="141">
        <v>68.593934424521905</v>
      </c>
      <c r="G5" s="141">
        <v>102.06140875046393</v>
      </c>
      <c r="H5" s="141">
        <v>152.10476495434193</v>
      </c>
      <c r="I5" s="141">
        <v>248.0869031359658</v>
      </c>
      <c r="J5" s="141">
        <v>320.78102859743069</v>
      </c>
      <c r="K5" s="141">
        <v>366.77386999245647</v>
      </c>
      <c r="L5" s="141">
        <v>377.26794433252849</v>
      </c>
      <c r="M5" s="141">
        <v>380.672690002237</v>
      </c>
      <c r="N5" s="141">
        <v>387.17196453019068</v>
      </c>
      <c r="O5" s="141">
        <v>400.41706347148079</v>
      </c>
      <c r="P5" s="141">
        <v>422.87966792662064</v>
      </c>
      <c r="Q5" s="141">
        <v>488.61772865796866</v>
      </c>
      <c r="R5" s="141">
        <v>602.90265707463141</v>
      </c>
      <c r="S5" s="141">
        <v>637.98791338326737</v>
      </c>
      <c r="T5" s="141">
        <v>608.60805154705429</v>
      </c>
      <c r="U5" s="141">
        <v>532.54848725471231</v>
      </c>
      <c r="V5" s="141">
        <v>497.36320369413426</v>
      </c>
      <c r="W5" s="141">
        <v>429.55643381633104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20549.674276866997</v>
      </c>
      <c r="C7" s="141">
        <v>19836.050105297414</v>
      </c>
      <c r="D7" s="141">
        <v>19359.945835271268</v>
      </c>
      <c r="E7" s="141">
        <v>18740.78567640976</v>
      </c>
      <c r="F7" s="141">
        <v>18554.528417389356</v>
      </c>
      <c r="G7" s="141">
        <v>18623.455564150783</v>
      </c>
      <c r="H7" s="141">
        <v>19074.18446316299</v>
      </c>
      <c r="I7" s="141">
        <v>19924.451727855416</v>
      </c>
      <c r="J7" s="141">
        <v>19700.185313341473</v>
      </c>
      <c r="K7" s="141">
        <v>19585.681317097667</v>
      </c>
      <c r="L7" s="141">
        <v>20074.508199684322</v>
      </c>
      <c r="M7" s="141">
        <v>21110.87769288136</v>
      </c>
      <c r="N7" s="141">
        <v>21789.883019065968</v>
      </c>
      <c r="O7" s="141">
        <v>22498.28528181104</v>
      </c>
      <c r="P7" s="141">
        <v>22490.692032104485</v>
      </c>
      <c r="Q7" s="141">
        <v>22810.591923331682</v>
      </c>
      <c r="R7" s="141">
        <v>22168.448423897411</v>
      </c>
      <c r="S7" s="141">
        <v>22263.801372671722</v>
      </c>
      <c r="T7" s="141">
        <v>22375.209783815779</v>
      </c>
      <c r="U7" s="141">
        <v>23429.329691568328</v>
      </c>
      <c r="V7" s="141">
        <v>23819.397889482265</v>
      </c>
      <c r="W7" s="141">
        <v>23811.081795165297</v>
      </c>
      <c r="DA7" s="171" t="s">
        <v>248</v>
      </c>
    </row>
    <row r="8" spans="1:105" ht="12" customHeight="1" x14ac:dyDescent="0.25">
      <c r="A8" s="132" t="s">
        <v>73</v>
      </c>
      <c r="B8" s="141">
        <v>147.40824575991809</v>
      </c>
      <c r="C8" s="141">
        <v>149.47084356126868</v>
      </c>
      <c r="D8" s="141">
        <v>156.27085462476373</v>
      </c>
      <c r="E8" s="141">
        <v>165.80220487290458</v>
      </c>
      <c r="F8" s="141">
        <v>171.05130887753123</v>
      </c>
      <c r="G8" s="141">
        <v>184.96405491304387</v>
      </c>
      <c r="H8" s="141">
        <v>204.71989529112236</v>
      </c>
      <c r="I8" s="141">
        <v>238.66164980695225</v>
      </c>
      <c r="J8" s="141">
        <v>262.45479785077561</v>
      </c>
      <c r="K8" s="141">
        <v>293.09491707010767</v>
      </c>
      <c r="L8" s="141">
        <v>326.0068944671109</v>
      </c>
      <c r="M8" s="141">
        <v>383.58545203746871</v>
      </c>
      <c r="N8" s="141">
        <v>455.12568872363698</v>
      </c>
      <c r="O8" s="141">
        <v>584.21159572096224</v>
      </c>
      <c r="P8" s="141">
        <v>806.31530606791057</v>
      </c>
      <c r="Q8" s="141">
        <v>988.30256668609218</v>
      </c>
      <c r="R8" s="141">
        <v>1101.3606102467509</v>
      </c>
      <c r="S8" s="141">
        <v>1151.6447191450886</v>
      </c>
      <c r="T8" s="141">
        <v>1223.1562008612409</v>
      </c>
      <c r="U8" s="141">
        <v>1336.3001904463831</v>
      </c>
      <c r="V8" s="141">
        <v>1491.060450484847</v>
      </c>
      <c r="W8" s="141">
        <v>1603.7365471392814</v>
      </c>
      <c r="DA8" s="171" t="s">
        <v>249</v>
      </c>
    </row>
    <row r="9" spans="1:105" ht="12" customHeight="1" x14ac:dyDescent="0.25">
      <c r="A9" s="132" t="s">
        <v>78</v>
      </c>
      <c r="B9" s="141">
        <v>273379.85052715952</v>
      </c>
      <c r="C9" s="141">
        <v>274887.76000606222</v>
      </c>
      <c r="D9" s="141">
        <v>275058.43658084597</v>
      </c>
      <c r="E9" s="141">
        <v>275075.73005989561</v>
      </c>
      <c r="F9" s="141">
        <v>273902.66074339586</v>
      </c>
      <c r="G9" s="141">
        <v>275426.62728772138</v>
      </c>
      <c r="H9" s="141">
        <v>280292.27828863333</v>
      </c>
      <c r="I9" s="141">
        <v>287512.69570988487</v>
      </c>
      <c r="J9" s="141">
        <v>294688.30833822931</v>
      </c>
      <c r="K9" s="141">
        <v>294375.04275950987</v>
      </c>
      <c r="L9" s="141">
        <v>303505.08453300491</v>
      </c>
      <c r="M9" s="141">
        <v>309843.25226176571</v>
      </c>
      <c r="N9" s="141">
        <v>318867.2709885306</v>
      </c>
      <c r="O9" s="141">
        <v>321162.94002435089</v>
      </c>
      <c r="P9" s="141">
        <v>323608.22021514934</v>
      </c>
      <c r="Q9" s="141">
        <v>331027.08160074556</v>
      </c>
      <c r="R9" s="141">
        <v>330462.12843884854</v>
      </c>
      <c r="S9" s="141">
        <v>325967.39513347711</v>
      </c>
      <c r="T9" s="141">
        <v>320799.39069862932</v>
      </c>
      <c r="U9" s="141">
        <v>316380.49087792297</v>
      </c>
      <c r="V9" s="141">
        <v>314779.34194736037</v>
      </c>
      <c r="W9" s="141">
        <v>315183.58404827293</v>
      </c>
      <c r="DA9" s="171" t="s">
        <v>250</v>
      </c>
    </row>
    <row r="10" spans="1:105" ht="12" customHeight="1" x14ac:dyDescent="0.25">
      <c r="A10" s="132" t="s">
        <v>128</v>
      </c>
      <c r="B10" s="141">
        <v>7005.6706309826723</v>
      </c>
      <c r="C10" s="141">
        <v>7578.6748966875039</v>
      </c>
      <c r="D10" s="141">
        <v>7536.6851722319188</v>
      </c>
      <c r="E10" s="141">
        <v>7435.6153410860952</v>
      </c>
      <c r="F10" s="141">
        <v>7525.3616921719404</v>
      </c>
      <c r="G10" s="141">
        <v>8095.26371814705</v>
      </c>
      <c r="H10" s="141">
        <v>9121.7233418258929</v>
      </c>
      <c r="I10" s="141">
        <v>10104.581330846675</v>
      </c>
      <c r="J10" s="141">
        <v>10680.98756512145</v>
      </c>
      <c r="K10" s="141">
        <v>10505.928528157214</v>
      </c>
      <c r="L10" s="141">
        <v>10238.456084128478</v>
      </c>
      <c r="M10" s="141">
        <v>10154.221561352526</v>
      </c>
      <c r="N10" s="141">
        <v>10073.793522487562</v>
      </c>
      <c r="O10" s="141">
        <v>10154.460790100087</v>
      </c>
      <c r="P10" s="141">
        <v>10656.796501014544</v>
      </c>
      <c r="Q10" s="141">
        <v>10785.22499139488</v>
      </c>
      <c r="R10" s="141">
        <v>11325.664601487759</v>
      </c>
      <c r="S10" s="141">
        <v>12647.602187697606</v>
      </c>
      <c r="T10" s="141">
        <v>14211.334972817502</v>
      </c>
      <c r="U10" s="141">
        <v>15162.361056827371</v>
      </c>
      <c r="V10" s="141">
        <v>15860.901195624505</v>
      </c>
      <c r="W10" s="141">
        <v>16338.3649407142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34263.709896730645</v>
      </c>
      <c r="C12" s="141">
        <v>36993.386287627618</v>
      </c>
      <c r="D12" s="141">
        <v>38474.659606912523</v>
      </c>
      <c r="E12" s="141">
        <v>37595.687015056574</v>
      </c>
      <c r="F12" s="141">
        <v>34555.765667317617</v>
      </c>
      <c r="G12" s="141">
        <v>33411.129578384112</v>
      </c>
      <c r="H12" s="141">
        <v>33505.003248625646</v>
      </c>
      <c r="I12" s="141">
        <v>34552.74463701935</v>
      </c>
      <c r="J12" s="141">
        <v>34533.779098889034</v>
      </c>
      <c r="K12" s="141">
        <v>34285.864053521633</v>
      </c>
      <c r="L12" s="141">
        <v>31735.364801279949</v>
      </c>
      <c r="M12" s="141">
        <v>28042.510675245445</v>
      </c>
      <c r="N12" s="141">
        <v>20944.803360782949</v>
      </c>
      <c r="O12" s="141">
        <v>17613.198939183963</v>
      </c>
      <c r="P12" s="141">
        <v>16807.332289395777</v>
      </c>
      <c r="Q12" s="141">
        <v>17557.671663937948</v>
      </c>
      <c r="R12" s="141">
        <v>19131.10696419968</v>
      </c>
      <c r="S12" s="141">
        <v>22093.891317813868</v>
      </c>
      <c r="T12" s="141">
        <v>24247.575854102874</v>
      </c>
      <c r="U12" s="141">
        <v>26988.390341391936</v>
      </c>
      <c r="V12" s="141">
        <v>27982.415239181915</v>
      </c>
      <c r="W12" s="141">
        <v>27312.24931017659</v>
      </c>
      <c r="DA12" s="171" t="s">
        <v>253</v>
      </c>
    </row>
    <row r="13" spans="1:105" ht="12" customHeight="1" x14ac:dyDescent="0.25">
      <c r="A13" s="132" t="s">
        <v>77</v>
      </c>
      <c r="B13" s="141">
        <v>1342.1190695885691</v>
      </c>
      <c r="C13" s="141">
        <v>1501.5372439676739</v>
      </c>
      <c r="D13" s="141">
        <v>1806.7288996495515</v>
      </c>
      <c r="E13" s="141">
        <v>2210.466253816985</v>
      </c>
      <c r="F13" s="141">
        <v>2848.5164328454289</v>
      </c>
      <c r="G13" s="141">
        <v>3851.3277911933869</v>
      </c>
      <c r="H13" s="141">
        <v>5035.5120383124458</v>
      </c>
      <c r="I13" s="141">
        <v>6536.1548845458092</v>
      </c>
      <c r="J13" s="141">
        <v>7887.8015243650516</v>
      </c>
      <c r="K13" s="141">
        <v>9388.9613511080643</v>
      </c>
      <c r="L13" s="141">
        <v>10941.251770384011</v>
      </c>
      <c r="M13" s="141">
        <v>13141.836933676579</v>
      </c>
      <c r="N13" s="141">
        <v>15340.333208778347</v>
      </c>
      <c r="O13" s="141">
        <v>18021.32842455335</v>
      </c>
      <c r="P13" s="141">
        <v>21588.235240349888</v>
      </c>
      <c r="Q13" s="141">
        <v>24212.812241361116</v>
      </c>
      <c r="R13" s="141">
        <v>26713.22074804168</v>
      </c>
      <c r="S13" s="141">
        <v>29152.710912965624</v>
      </c>
      <c r="T13" s="141">
        <v>32668.95940681615</v>
      </c>
      <c r="U13" s="141">
        <v>36759.883859314796</v>
      </c>
      <c r="V13" s="141">
        <v>41614.118643962465</v>
      </c>
      <c r="W13" s="141">
        <v>43564.278568601374</v>
      </c>
      <c r="DA13" s="171" t="s">
        <v>254</v>
      </c>
    </row>
    <row r="14" spans="1:105" ht="12" customHeight="1" x14ac:dyDescent="0.25">
      <c r="A14" s="60" t="s">
        <v>76</v>
      </c>
      <c r="B14" s="142">
        <v>52029.656208306886</v>
      </c>
      <c r="C14" s="142">
        <v>53785.668512227072</v>
      </c>
      <c r="D14" s="142">
        <v>55684.666102695614</v>
      </c>
      <c r="E14" s="142">
        <v>58293.068903880907</v>
      </c>
      <c r="F14" s="142">
        <v>60308.994240231434</v>
      </c>
      <c r="G14" s="142">
        <v>64270.874473350676</v>
      </c>
      <c r="H14" s="142">
        <v>66876.282248539734</v>
      </c>
      <c r="I14" s="142">
        <v>68159.644644378102</v>
      </c>
      <c r="J14" s="142">
        <v>66785.252156892428</v>
      </c>
      <c r="K14" s="142">
        <v>64332.58124921858</v>
      </c>
      <c r="L14" s="142">
        <v>60378.277187607338</v>
      </c>
      <c r="M14" s="142">
        <v>60206.281479957623</v>
      </c>
      <c r="N14" s="142">
        <v>56763.017279403524</v>
      </c>
      <c r="O14" s="142">
        <v>53045.423625616771</v>
      </c>
      <c r="P14" s="142">
        <v>47215.510968234441</v>
      </c>
      <c r="Q14" s="142">
        <v>42280.288079254533</v>
      </c>
      <c r="R14" s="142">
        <v>40608.063708579495</v>
      </c>
      <c r="S14" s="142">
        <v>41196.090450570562</v>
      </c>
      <c r="T14" s="142">
        <v>41812.30235017254</v>
      </c>
      <c r="U14" s="142">
        <v>40051.498410105996</v>
      </c>
      <c r="V14" s="142">
        <v>37220.958096876289</v>
      </c>
      <c r="W14" s="142">
        <v>37642.8679114638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335394.13690994098</v>
      </c>
      <c r="C15" s="144">
        <f t="shared" si="3"/>
        <v>339492.32712609775</v>
      </c>
      <c r="D15" s="144">
        <f t="shared" si="3"/>
        <v>340641.65698403976</v>
      </c>
      <c r="E15" s="144">
        <f t="shared" si="3"/>
        <v>339082.43747933011</v>
      </c>
      <c r="F15" s="144">
        <f t="shared" si="3"/>
        <v>334777.96176357684</v>
      </c>
      <c r="G15" s="144">
        <f t="shared" si="3"/>
        <v>335843.50161206682</v>
      </c>
      <c r="H15" s="144">
        <f t="shared" si="3"/>
        <v>342350.01400249335</v>
      </c>
      <c r="I15" s="144">
        <f t="shared" si="3"/>
        <v>352581.22195854923</v>
      </c>
      <c r="J15" s="144">
        <f t="shared" si="3"/>
        <v>360186.49614202947</v>
      </c>
      <c r="K15" s="144">
        <f t="shared" si="3"/>
        <v>359412.38544534898</v>
      </c>
      <c r="L15" s="144">
        <f t="shared" si="3"/>
        <v>366256.68845689727</v>
      </c>
      <c r="M15" s="144">
        <f t="shared" si="3"/>
        <v>369915.12033328478</v>
      </c>
      <c r="N15" s="144">
        <f t="shared" si="3"/>
        <v>372518.04854412092</v>
      </c>
      <c r="O15" s="144">
        <f t="shared" si="3"/>
        <v>372413.51369463844</v>
      </c>
      <c r="P15" s="144">
        <f t="shared" si="3"/>
        <v>374792.23601165868</v>
      </c>
      <c r="Q15" s="144">
        <f t="shared" si="3"/>
        <v>383657.49047475419</v>
      </c>
      <c r="R15" s="144">
        <f t="shared" ref="R15:W15" si="4">SUM(R5:R12)</f>
        <v>384791.61169575475</v>
      </c>
      <c r="S15" s="144">
        <f t="shared" si="4"/>
        <v>384762.32264418871</v>
      </c>
      <c r="T15" s="144">
        <f t="shared" si="4"/>
        <v>383465.27556177374</v>
      </c>
      <c r="U15" s="144">
        <f t="shared" si="4"/>
        <v>383829.42064541171</v>
      </c>
      <c r="V15" s="144">
        <f t="shared" si="4"/>
        <v>384430.479925828</v>
      </c>
      <c r="W15" s="144">
        <f t="shared" si="4"/>
        <v>384678.5730752846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37088.305276241845</v>
      </c>
      <c r="C16" s="140">
        <f t="shared" si="5"/>
        <v>43689.356731996311</v>
      </c>
      <c r="D16" s="140">
        <f t="shared" si="5"/>
        <v>50735.144173179942</v>
      </c>
      <c r="E16" s="140">
        <f t="shared" si="5"/>
        <v>56572.299010927265</v>
      </c>
      <c r="F16" s="140">
        <f t="shared" si="5"/>
        <v>63810.475133157692</v>
      </c>
      <c r="G16" s="140">
        <f t="shared" si="5"/>
        <v>74526.673584038654</v>
      </c>
      <c r="H16" s="140">
        <f t="shared" si="5"/>
        <v>85966.439145641692</v>
      </c>
      <c r="I16" s="140">
        <f t="shared" si="5"/>
        <v>101896.68884683063</v>
      </c>
      <c r="J16" s="140">
        <f t="shared" si="5"/>
        <v>113971.52960628796</v>
      </c>
      <c r="K16" s="140">
        <f t="shared" si="5"/>
        <v>123710.83063921449</v>
      </c>
      <c r="L16" s="140">
        <f t="shared" si="5"/>
        <v>131728.2525056435</v>
      </c>
      <c r="M16" s="140">
        <f t="shared" si="5"/>
        <v>139571.42633918845</v>
      </c>
      <c r="N16" s="140">
        <f t="shared" si="5"/>
        <v>144220.48391037455</v>
      </c>
      <c r="O16" s="140">
        <f t="shared" si="5"/>
        <v>147840.72827682778</v>
      </c>
      <c r="P16" s="140">
        <f t="shared" si="5"/>
        <v>152281.53024809921</v>
      </c>
      <c r="Q16" s="140">
        <f t="shared" si="5"/>
        <v>156484.20618979991</v>
      </c>
      <c r="R16" s="140">
        <f t="shared" ref="R16:W16" si="6">SUM(R17:R18)</f>
        <v>161817.77557578252</v>
      </c>
      <c r="S16" s="140">
        <f t="shared" si="6"/>
        <v>167327.45394802006</v>
      </c>
      <c r="T16" s="140">
        <f t="shared" si="6"/>
        <v>172736.35814191905</v>
      </c>
      <c r="U16" s="140">
        <f t="shared" si="6"/>
        <v>180477.09025135808</v>
      </c>
      <c r="V16" s="140">
        <f t="shared" si="6"/>
        <v>176087.60719153332</v>
      </c>
      <c r="W16" s="140">
        <f t="shared" si="6"/>
        <v>182590.61488137508</v>
      </c>
      <c r="DA16" s="170" t="s">
        <v>256</v>
      </c>
    </row>
    <row r="17" spans="1:105" ht="12.95" customHeight="1" x14ac:dyDescent="0.25">
      <c r="A17" s="132" t="s">
        <v>73</v>
      </c>
      <c r="B17" s="141">
        <v>122.89187683107383</v>
      </c>
      <c r="C17" s="141">
        <v>139.52171072745031</v>
      </c>
      <c r="D17" s="141">
        <v>174.17877854093857</v>
      </c>
      <c r="E17" s="141">
        <v>191.47092034487918</v>
      </c>
      <c r="F17" s="141">
        <v>260.44236608288242</v>
      </c>
      <c r="G17" s="141">
        <v>317.81740532881065</v>
      </c>
      <c r="H17" s="141">
        <v>406.52824184339943</v>
      </c>
      <c r="I17" s="141">
        <v>550.85348446106332</v>
      </c>
      <c r="J17" s="141">
        <v>674.11449517089238</v>
      </c>
      <c r="K17" s="141">
        <v>765.24156411756371</v>
      </c>
      <c r="L17" s="141">
        <v>844.28090714146003</v>
      </c>
      <c r="M17" s="141">
        <v>953.84717649279912</v>
      </c>
      <c r="N17" s="141">
        <v>1086.2050351001581</v>
      </c>
      <c r="O17" s="141">
        <v>1324.1402058823896</v>
      </c>
      <c r="P17" s="141">
        <v>1792.2425783448321</v>
      </c>
      <c r="Q17" s="141">
        <v>2445.5252236818656</v>
      </c>
      <c r="R17" s="141">
        <v>3174.5718073357789</v>
      </c>
      <c r="S17" s="141">
        <v>3721.0011488731216</v>
      </c>
      <c r="T17" s="141">
        <v>4085.3577001036774</v>
      </c>
      <c r="U17" s="141">
        <v>4636.2508085873924</v>
      </c>
      <c r="V17" s="141">
        <v>4912.1137529497037</v>
      </c>
      <c r="W17" s="141">
        <v>4919.4130878841715</v>
      </c>
      <c r="DA17" s="171" t="s">
        <v>257</v>
      </c>
    </row>
    <row r="18" spans="1:105" ht="12" customHeight="1" x14ac:dyDescent="0.25">
      <c r="A18" s="132" t="s">
        <v>72</v>
      </c>
      <c r="B18" s="141">
        <v>36965.413399410769</v>
      </c>
      <c r="C18" s="141">
        <v>43549.83502126886</v>
      </c>
      <c r="D18" s="141">
        <v>50560.965394639003</v>
      </c>
      <c r="E18" s="141">
        <v>56380.828090582385</v>
      </c>
      <c r="F18" s="141">
        <v>63550.032767074808</v>
      </c>
      <c r="G18" s="141">
        <v>74208.856178709844</v>
      </c>
      <c r="H18" s="141">
        <v>85559.9109037983</v>
      </c>
      <c r="I18" s="141">
        <v>101345.83536236956</v>
      </c>
      <c r="J18" s="141">
        <v>113297.41511111706</v>
      </c>
      <c r="K18" s="141">
        <v>122945.58907509693</v>
      </c>
      <c r="L18" s="141">
        <v>130883.97159850203</v>
      </c>
      <c r="M18" s="141">
        <v>138617.57916269565</v>
      </c>
      <c r="N18" s="141">
        <v>143134.27887527438</v>
      </c>
      <c r="O18" s="141">
        <v>146516.58807094538</v>
      </c>
      <c r="P18" s="141">
        <v>150489.28766975438</v>
      </c>
      <c r="Q18" s="141">
        <v>154038.68096611803</v>
      </c>
      <c r="R18" s="141">
        <v>158643.20376844675</v>
      </c>
      <c r="S18" s="141">
        <v>163606.45279914694</v>
      </c>
      <c r="T18" s="141">
        <v>168651.00044181535</v>
      </c>
      <c r="U18" s="141">
        <v>175840.8394427707</v>
      </c>
      <c r="V18" s="141">
        <v>171175.49343858362</v>
      </c>
      <c r="W18" s="141">
        <v>177671.20179349091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388765.91218783642</v>
      </c>
      <c r="C19" s="140">
        <f t="shared" si="7"/>
        <v>394779.53288229241</v>
      </c>
      <c r="D19" s="140">
        <f t="shared" si="7"/>
        <v>398133.05198638479</v>
      </c>
      <c r="E19" s="140">
        <f t="shared" si="7"/>
        <v>399585.97263702808</v>
      </c>
      <c r="F19" s="140">
        <f t="shared" si="7"/>
        <v>397935.4724366538</v>
      </c>
      <c r="G19" s="140">
        <f t="shared" si="7"/>
        <v>403965.70387661085</v>
      </c>
      <c r="H19" s="140">
        <f t="shared" si="7"/>
        <v>414261.80828934553</v>
      </c>
      <c r="I19" s="140">
        <f t="shared" si="7"/>
        <v>427277.02148747304</v>
      </c>
      <c r="J19" s="140">
        <f t="shared" si="7"/>
        <v>434859.54982328706</v>
      </c>
      <c r="K19" s="140">
        <f t="shared" si="7"/>
        <v>433133.92804567562</v>
      </c>
      <c r="L19" s="140">
        <f t="shared" si="7"/>
        <v>437576.21741488867</v>
      </c>
      <c r="M19" s="140">
        <f t="shared" si="7"/>
        <v>443263.23874691891</v>
      </c>
      <c r="N19" s="140">
        <f t="shared" si="7"/>
        <v>444621.39903230278</v>
      </c>
      <c r="O19" s="140">
        <f t="shared" si="7"/>
        <v>443480.26574480836</v>
      </c>
      <c r="P19" s="140">
        <f t="shared" si="7"/>
        <v>443595.98222024285</v>
      </c>
      <c r="Q19" s="140">
        <f t="shared" si="7"/>
        <v>450150.59079536982</v>
      </c>
      <c r="R19" s="140">
        <f t="shared" ref="R19:W19" si="8">SUM(R20:R26)</f>
        <v>452112.8961523762</v>
      </c>
      <c r="S19" s="140">
        <f t="shared" si="8"/>
        <v>455111.12400772481</v>
      </c>
      <c r="T19" s="140">
        <f t="shared" si="8"/>
        <v>457946.53731876245</v>
      </c>
      <c r="U19" s="140">
        <f t="shared" si="8"/>
        <v>460640.80291483219</v>
      </c>
      <c r="V19" s="140">
        <f t="shared" si="8"/>
        <v>463265.55666666664</v>
      </c>
      <c r="W19" s="140">
        <f t="shared" si="8"/>
        <v>465885.71955534973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15349.097193883657</v>
      </c>
      <c r="C22" s="141">
        <v>15206.785951353007</v>
      </c>
      <c r="D22" s="141">
        <v>14991.784080958083</v>
      </c>
      <c r="E22" s="141">
        <v>14843.992890243966</v>
      </c>
      <c r="F22" s="141">
        <v>14795.861531555734</v>
      </c>
      <c r="G22" s="141">
        <v>14920.348741667285</v>
      </c>
      <c r="H22" s="141">
        <v>15177.640435170264</v>
      </c>
      <c r="I22" s="141">
        <v>15512.758050234866</v>
      </c>
      <c r="J22" s="141">
        <v>15806.980605055955</v>
      </c>
      <c r="K22" s="141">
        <v>15946.350543147606</v>
      </c>
      <c r="L22" s="141">
        <v>16078.589282166735</v>
      </c>
      <c r="M22" s="141">
        <v>16292.598487435089</v>
      </c>
      <c r="N22" s="141">
        <v>16610.174176485321</v>
      </c>
      <c r="O22" s="141">
        <v>16911.525042866135</v>
      </c>
      <c r="P22" s="141">
        <v>17216.734180465963</v>
      </c>
      <c r="Q22" s="141">
        <v>17536.653353578746</v>
      </c>
      <c r="R22" s="141">
        <v>17846.628860674929</v>
      </c>
      <c r="S22" s="141">
        <v>18152.337311564756</v>
      </c>
      <c r="T22" s="141">
        <v>18488.258016194835</v>
      </c>
      <c r="U22" s="141">
        <v>18852.984185185269</v>
      </c>
      <c r="V22" s="141">
        <v>19154.880957613583</v>
      </c>
      <c r="W22" s="141">
        <v>19512.742962838685</v>
      </c>
      <c r="DA22" s="171" t="s">
        <v>262</v>
      </c>
    </row>
    <row r="23" spans="1:105" ht="12" customHeight="1" x14ac:dyDescent="0.25">
      <c r="A23" s="132" t="s">
        <v>153</v>
      </c>
      <c r="B23" s="141">
        <v>114610.81621278367</v>
      </c>
      <c r="C23" s="141">
        <v>119100.47759696226</v>
      </c>
      <c r="D23" s="141">
        <v>123345.03617240814</v>
      </c>
      <c r="E23" s="141">
        <v>124987.4755426559</v>
      </c>
      <c r="F23" s="141">
        <v>126587.78837035938</v>
      </c>
      <c r="G23" s="141">
        <v>129104.74064781974</v>
      </c>
      <c r="H23" s="141">
        <v>133021.4212228072</v>
      </c>
      <c r="I23" s="141">
        <v>136682.71817932953</v>
      </c>
      <c r="J23" s="141">
        <v>140005.19159984114</v>
      </c>
      <c r="K23" s="141">
        <v>142983.14039107927</v>
      </c>
      <c r="L23" s="141">
        <v>147468.9452297379</v>
      </c>
      <c r="M23" s="141">
        <v>153020.34479713603</v>
      </c>
      <c r="N23" s="141">
        <v>159214.43802053362</v>
      </c>
      <c r="O23" s="141">
        <v>160619.51714621513</v>
      </c>
      <c r="P23" s="141">
        <v>157399.83935643095</v>
      </c>
      <c r="Q23" s="141">
        <v>156279.29013945581</v>
      </c>
      <c r="R23" s="141">
        <v>158411.45851819383</v>
      </c>
      <c r="S23" s="141">
        <v>162783.82029588323</v>
      </c>
      <c r="T23" s="141">
        <v>161163.68874556475</v>
      </c>
      <c r="U23" s="141">
        <v>154880.13001144229</v>
      </c>
      <c r="V23" s="141">
        <v>142060.77295410147</v>
      </c>
      <c r="W23" s="141">
        <v>136405.60134387191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30694.899184433132</v>
      </c>
      <c r="C25" s="141">
        <v>30467.912479339382</v>
      </c>
      <c r="D25" s="141">
        <v>29786.040094453387</v>
      </c>
      <c r="E25" s="141">
        <v>28985.924387418931</v>
      </c>
      <c r="F25" s="141">
        <v>28251.922060042529</v>
      </c>
      <c r="G25" s="141">
        <v>28022.294224669633</v>
      </c>
      <c r="H25" s="141">
        <v>28216.080357329203</v>
      </c>
      <c r="I25" s="141">
        <v>28719.859456396993</v>
      </c>
      <c r="J25" s="141">
        <v>29193.250977244908</v>
      </c>
      <c r="K25" s="141">
        <v>29638.379356816153</v>
      </c>
      <c r="L25" s="141">
        <v>29907.754630875952</v>
      </c>
      <c r="M25" s="141">
        <v>29871.945084553201</v>
      </c>
      <c r="N25" s="141">
        <v>29263.979110226861</v>
      </c>
      <c r="O25" s="141">
        <v>28124.719424388444</v>
      </c>
      <c r="P25" s="141">
        <v>26961.890593852499</v>
      </c>
      <c r="Q25" s="141">
        <v>26414.211992964912</v>
      </c>
      <c r="R25" s="141">
        <v>26363.601210194316</v>
      </c>
      <c r="S25" s="141">
        <v>26391.547442158208</v>
      </c>
      <c r="T25" s="141">
        <v>26416.128612412173</v>
      </c>
      <c r="U25" s="141">
        <v>26125.538522304003</v>
      </c>
      <c r="V25" s="141">
        <v>25733.246302345236</v>
      </c>
      <c r="W25" s="141">
        <v>25373.503223118329</v>
      </c>
      <c r="DA25" s="171" t="s">
        <v>265</v>
      </c>
    </row>
    <row r="26" spans="1:105" ht="12" customHeight="1" x14ac:dyDescent="0.25">
      <c r="A26" s="132" t="s">
        <v>24</v>
      </c>
      <c r="B26" s="142">
        <v>228111.09959673596</v>
      </c>
      <c r="C26" s="142">
        <v>230004.35685463779</v>
      </c>
      <c r="D26" s="142">
        <v>230010.19163856521</v>
      </c>
      <c r="E26" s="142">
        <v>230768.57981670927</v>
      </c>
      <c r="F26" s="142">
        <v>228299.90047469619</v>
      </c>
      <c r="G26" s="142">
        <v>231918.32026245416</v>
      </c>
      <c r="H26" s="142">
        <v>237846.66627403887</v>
      </c>
      <c r="I26" s="142">
        <v>246361.68580151166</v>
      </c>
      <c r="J26" s="142">
        <v>249854.12664114509</v>
      </c>
      <c r="K26" s="142">
        <v>244566.05775463261</v>
      </c>
      <c r="L26" s="142">
        <v>244120.92827210811</v>
      </c>
      <c r="M26" s="142">
        <v>244078.35037779459</v>
      </c>
      <c r="N26" s="142">
        <v>239532.80772505701</v>
      </c>
      <c r="O26" s="142">
        <v>237824.50413133865</v>
      </c>
      <c r="P26" s="142">
        <v>242017.51808949347</v>
      </c>
      <c r="Q26" s="142">
        <v>249920.43530937037</v>
      </c>
      <c r="R26" s="142">
        <v>249491.2075633131</v>
      </c>
      <c r="S26" s="142">
        <v>247783.41895811856</v>
      </c>
      <c r="T26" s="142">
        <v>251878.4619445907</v>
      </c>
      <c r="U26" s="142">
        <v>260782.15019590061</v>
      </c>
      <c r="V26" s="142">
        <v>276316.65645260632</v>
      </c>
      <c r="W26" s="142">
        <v>284593.87202552083</v>
      </c>
      <c r="DA26" s="172" t="s">
        <v>266</v>
      </c>
    </row>
    <row r="27" spans="1:105" ht="12" customHeight="1" x14ac:dyDescent="0.25">
      <c r="A27" s="145" t="s">
        <v>26</v>
      </c>
      <c r="B27" s="151">
        <v>3567.1056238125757</v>
      </c>
      <c r="C27" s="151">
        <v>3637.5461367212383</v>
      </c>
      <c r="D27" s="151">
        <v>4322.716981492159</v>
      </c>
      <c r="E27" s="151">
        <v>4622.7267345648452</v>
      </c>
      <c r="F27" s="151">
        <v>4976.8661761063204</v>
      </c>
      <c r="G27" s="151">
        <v>5461.3062620896008</v>
      </c>
      <c r="H27" s="151">
        <v>5768.1632451738778</v>
      </c>
      <c r="I27" s="151">
        <v>6751.6460762887555</v>
      </c>
      <c r="J27" s="151">
        <v>6545.727731744114</v>
      </c>
      <c r="K27" s="151">
        <v>7327.2205580882382</v>
      </c>
      <c r="L27" s="151">
        <v>6874.7583803766674</v>
      </c>
      <c r="M27" s="151">
        <v>7802.1115899402457</v>
      </c>
      <c r="N27" s="151">
        <v>7696.3013285117686</v>
      </c>
      <c r="O27" s="151">
        <v>8059.8500017196293</v>
      </c>
      <c r="P27" s="151">
        <v>8540.3492591768245</v>
      </c>
      <c r="Q27" s="151">
        <v>8732.2337681029258</v>
      </c>
      <c r="R27" s="151">
        <v>9125.2482462826629</v>
      </c>
      <c r="S27" s="151">
        <v>9128.4569983497022</v>
      </c>
      <c r="T27" s="151">
        <v>8864.0012804595572</v>
      </c>
      <c r="U27" s="151">
        <v>8777.0425022437685</v>
      </c>
      <c r="V27" s="151">
        <v>8869.0094647429305</v>
      </c>
      <c r="W27" s="151">
        <v>8688.6100459161535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388765.91218783642</v>
      </c>
      <c r="C29" s="140">
        <f t="shared" si="9"/>
        <v>394779.53288229241</v>
      </c>
      <c r="D29" s="140">
        <f t="shared" si="9"/>
        <v>398133.0519863849</v>
      </c>
      <c r="E29" s="140">
        <f t="shared" si="9"/>
        <v>399585.97263702797</v>
      </c>
      <c r="F29" s="140">
        <f t="shared" si="9"/>
        <v>397935.47243665368</v>
      </c>
      <c r="G29" s="140">
        <f t="shared" si="9"/>
        <v>403965.70387661073</v>
      </c>
      <c r="H29" s="140">
        <f t="shared" si="9"/>
        <v>414261.80828934547</v>
      </c>
      <c r="I29" s="140">
        <f t="shared" si="9"/>
        <v>427277.02148747304</v>
      </c>
      <c r="J29" s="140">
        <f t="shared" si="9"/>
        <v>434859.54982328706</v>
      </c>
      <c r="K29" s="140">
        <f t="shared" si="9"/>
        <v>433133.92804567551</v>
      </c>
      <c r="L29" s="140">
        <f t="shared" si="9"/>
        <v>437576.21741488861</v>
      </c>
      <c r="M29" s="140">
        <f t="shared" si="9"/>
        <v>443263.23874691909</v>
      </c>
      <c r="N29" s="140">
        <f t="shared" si="9"/>
        <v>444621.39903230278</v>
      </c>
      <c r="O29" s="140">
        <f t="shared" si="9"/>
        <v>443480.26574480848</v>
      </c>
      <c r="P29" s="140">
        <f t="shared" si="9"/>
        <v>443595.98222024296</v>
      </c>
      <c r="Q29" s="140">
        <f t="shared" si="9"/>
        <v>450150.59079536982</v>
      </c>
      <c r="R29" s="140">
        <f t="shared" ref="R29:W29" si="10">SUM(R30:R33)</f>
        <v>452112.89615237608</v>
      </c>
      <c r="S29" s="140">
        <f t="shared" si="10"/>
        <v>455111.12400772434</v>
      </c>
      <c r="T29" s="140">
        <f t="shared" si="10"/>
        <v>457946.53731876251</v>
      </c>
      <c r="U29" s="140">
        <f t="shared" si="10"/>
        <v>460640.80291483179</v>
      </c>
      <c r="V29" s="140">
        <f t="shared" si="10"/>
        <v>463265.55666666676</v>
      </c>
      <c r="W29" s="140">
        <f t="shared" si="10"/>
        <v>465885.71955534979</v>
      </c>
      <c r="DA29" s="170" t="s">
        <v>268</v>
      </c>
    </row>
    <row r="30" spans="1:105" ht="12" customHeight="1" x14ac:dyDescent="0.25">
      <c r="A30" s="132" t="s">
        <v>52</v>
      </c>
      <c r="B30" s="141">
        <v>23275.384046113362</v>
      </c>
      <c r="C30" s="141">
        <v>25648.959664189515</v>
      </c>
      <c r="D30" s="141">
        <v>27307.654091624205</v>
      </c>
      <c r="E30" s="141">
        <v>27933.392306428414</v>
      </c>
      <c r="F30" s="141">
        <v>29718.804294624486</v>
      </c>
      <c r="G30" s="141">
        <v>29662.090000844473</v>
      </c>
      <c r="H30" s="141">
        <v>29130.559667269998</v>
      </c>
      <c r="I30" s="141">
        <v>23550.331114644876</v>
      </c>
      <c r="J30" s="141">
        <v>21620.821252418951</v>
      </c>
      <c r="K30" s="141">
        <v>22398.976048938821</v>
      </c>
      <c r="L30" s="141">
        <v>23913.978411976728</v>
      </c>
      <c r="M30" s="141">
        <v>21703.880182755791</v>
      </c>
      <c r="N30" s="141">
        <v>19908.682111295515</v>
      </c>
      <c r="O30" s="141">
        <v>17916.028225813039</v>
      </c>
      <c r="P30" s="141">
        <v>19543.853396993487</v>
      </c>
      <c r="Q30" s="141">
        <v>21214.105602480959</v>
      </c>
      <c r="R30" s="141">
        <v>26331.144697035947</v>
      </c>
      <c r="S30" s="141">
        <v>35289.273658149839</v>
      </c>
      <c r="T30" s="141">
        <v>44302.46973088169</v>
      </c>
      <c r="U30" s="141">
        <v>47979.104060440492</v>
      </c>
      <c r="V30" s="141">
        <v>47973.303126393301</v>
      </c>
      <c r="W30" s="141">
        <v>47498.107247803295</v>
      </c>
      <c r="DA30" s="171" t="s">
        <v>269</v>
      </c>
    </row>
    <row r="31" spans="1:105" ht="12" customHeight="1" x14ac:dyDescent="0.25">
      <c r="A31" s="132" t="s">
        <v>153</v>
      </c>
      <c r="B31" s="141">
        <v>120036.71514014844</v>
      </c>
      <c r="C31" s="141">
        <v>121158.66234701894</v>
      </c>
      <c r="D31" s="141">
        <v>122589.10725115416</v>
      </c>
      <c r="E31" s="141">
        <v>124208.64556529206</v>
      </c>
      <c r="F31" s="141">
        <v>123835.84681268159</v>
      </c>
      <c r="G31" s="141">
        <v>125413.7476886247</v>
      </c>
      <c r="H31" s="141">
        <v>128542.81297934895</v>
      </c>
      <c r="I31" s="141">
        <v>136380.04136479515</v>
      </c>
      <c r="J31" s="141">
        <v>139892.74565542623</v>
      </c>
      <c r="K31" s="141">
        <v>138842.79528662705</v>
      </c>
      <c r="L31" s="141">
        <v>136648.52354874008</v>
      </c>
      <c r="M31" s="141">
        <v>138202.91905375326</v>
      </c>
      <c r="N31" s="141">
        <v>138776.62496488789</v>
      </c>
      <c r="O31" s="141">
        <v>139278.10108387342</v>
      </c>
      <c r="P31" s="141">
        <v>139698.6638970951</v>
      </c>
      <c r="Q31" s="141">
        <v>132138.20035293538</v>
      </c>
      <c r="R31" s="141">
        <v>124792.96272213728</v>
      </c>
      <c r="S31" s="141">
        <v>114231.16999725155</v>
      </c>
      <c r="T31" s="141">
        <v>103056.41635097718</v>
      </c>
      <c r="U31" s="141">
        <v>94263.148220102099</v>
      </c>
      <c r="V31" s="141">
        <v>92362.455300164773</v>
      </c>
      <c r="W31" s="141">
        <v>92880.014202038146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245453.81300157463</v>
      </c>
      <c r="C33" s="153">
        <v>247971.91087108396</v>
      </c>
      <c r="D33" s="153">
        <v>248236.29064360651</v>
      </c>
      <c r="E33" s="153">
        <v>247443.93476530749</v>
      </c>
      <c r="F33" s="153">
        <v>244380.82132934764</v>
      </c>
      <c r="G33" s="153">
        <v>248889.8661871416</v>
      </c>
      <c r="H33" s="153">
        <v>256588.43564272649</v>
      </c>
      <c r="I33" s="153">
        <v>267346.64900803304</v>
      </c>
      <c r="J33" s="153">
        <v>273345.98291544191</v>
      </c>
      <c r="K33" s="153">
        <v>271892.15671010967</v>
      </c>
      <c r="L33" s="153">
        <v>277013.71545417182</v>
      </c>
      <c r="M33" s="153">
        <v>283356.43951041007</v>
      </c>
      <c r="N33" s="153">
        <v>285936.0919561194</v>
      </c>
      <c r="O33" s="153">
        <v>286286.13643512205</v>
      </c>
      <c r="P33" s="153">
        <v>284353.46492615441</v>
      </c>
      <c r="Q33" s="153">
        <v>296798.28483995347</v>
      </c>
      <c r="R33" s="153">
        <v>300988.78873320285</v>
      </c>
      <c r="S33" s="153">
        <v>305590.68035232299</v>
      </c>
      <c r="T33" s="153">
        <v>310587.65123690362</v>
      </c>
      <c r="U33" s="153">
        <v>318398.55063428916</v>
      </c>
      <c r="V33" s="153">
        <v>322929.79824010871</v>
      </c>
      <c r="W33" s="153">
        <v>325507.59810550831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5179.1721846411774</v>
      </c>
      <c r="C3" s="126">
        <f t="shared" si="0"/>
        <v>5494.593192160788</v>
      </c>
      <c r="D3" s="126">
        <f t="shared" si="0"/>
        <v>5397.58957597069</v>
      </c>
      <c r="E3" s="126">
        <f t="shared" si="0"/>
        <v>5643.330441278591</v>
      </c>
      <c r="F3" s="126">
        <f t="shared" si="0"/>
        <v>6058.8245594034861</v>
      </c>
      <c r="G3" s="126">
        <f t="shared" si="0"/>
        <v>5643.2738518599099</v>
      </c>
      <c r="H3" s="126">
        <f t="shared" si="0"/>
        <v>5729.4282921080403</v>
      </c>
      <c r="I3" s="126">
        <f t="shared" si="0"/>
        <v>5388.2845138411722</v>
      </c>
      <c r="J3" s="126">
        <f t="shared" si="0"/>
        <v>5652.10989938497</v>
      </c>
      <c r="K3" s="126">
        <f t="shared" si="0"/>
        <v>5835.4718965641705</v>
      </c>
      <c r="L3" s="126">
        <f t="shared" si="0"/>
        <v>6351.7254858350861</v>
      </c>
      <c r="M3" s="126">
        <f t="shared" si="0"/>
        <v>5429.5519670911399</v>
      </c>
      <c r="N3" s="126">
        <f t="shared" si="0"/>
        <v>5691.5605254239881</v>
      </c>
      <c r="O3" s="126">
        <f t="shared" si="0"/>
        <v>5685.3247406252458</v>
      </c>
      <c r="P3" s="126">
        <f t="shared" si="0"/>
        <v>4750.5207913627628</v>
      </c>
      <c r="Q3" s="126">
        <f t="shared" si="0"/>
        <v>4954.6310364702904</v>
      </c>
      <c r="R3" s="126">
        <f t="shared" ref="R3:W3" si="1">SUM(R4,R16,R19,R29)</f>
        <v>4965.9069372135673</v>
      </c>
      <c r="S3" s="126">
        <f t="shared" si="1"/>
        <v>5050.5800973695686</v>
      </c>
      <c r="T3" s="126">
        <f t="shared" si="1"/>
        <v>5026.6143368780577</v>
      </c>
      <c r="U3" s="126">
        <f t="shared" si="1"/>
        <v>4838.4712220923811</v>
      </c>
      <c r="V3" s="126">
        <f t="shared" si="1"/>
        <v>4489.1457311085469</v>
      </c>
      <c r="W3" s="126">
        <f t="shared" si="1"/>
        <v>4702.3676373127346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3751.3894592164529</v>
      </c>
      <c r="C4" s="131">
        <f t="shared" si="2"/>
        <v>4056.7296597274608</v>
      </c>
      <c r="D4" s="131">
        <f t="shared" si="2"/>
        <v>3945.6911554738072</v>
      </c>
      <c r="E4" s="131">
        <f t="shared" si="2"/>
        <v>4183.8944569767373</v>
      </c>
      <c r="F4" s="131">
        <f t="shared" si="2"/>
        <v>4598.0482454109479</v>
      </c>
      <c r="G4" s="131">
        <f t="shared" si="2"/>
        <v>4172.4338875032736</v>
      </c>
      <c r="H4" s="131">
        <f t="shared" si="2"/>
        <v>4242.0055211470881</v>
      </c>
      <c r="I4" s="131">
        <f t="shared" si="2"/>
        <v>3894.2211892873574</v>
      </c>
      <c r="J4" s="131">
        <f t="shared" si="2"/>
        <v>4147.2460244526301</v>
      </c>
      <c r="K4" s="131">
        <f t="shared" si="2"/>
        <v>4320.4977353482482</v>
      </c>
      <c r="L4" s="131">
        <f t="shared" si="2"/>
        <v>4828.8983018259732</v>
      </c>
      <c r="M4" s="131">
        <f t="shared" si="2"/>
        <v>3911.0513941053496</v>
      </c>
      <c r="N4" s="131">
        <f t="shared" si="2"/>
        <v>4172.1955219752108</v>
      </c>
      <c r="O4" s="131">
        <f t="shared" si="2"/>
        <v>4168.9003694831827</v>
      </c>
      <c r="P4" s="131">
        <f t="shared" si="2"/>
        <v>3240.2529445066893</v>
      </c>
      <c r="Q4" s="131">
        <f t="shared" si="2"/>
        <v>3440.1094654043768</v>
      </c>
      <c r="R4" s="131">
        <f t="shared" ref="R4:W4" si="3">SUM(R5:R15)</f>
        <v>3461.7448612543976</v>
      </c>
      <c r="S4" s="131">
        <f t="shared" si="3"/>
        <v>3549.2705654333686</v>
      </c>
      <c r="T4" s="131">
        <f t="shared" si="3"/>
        <v>3521.0430107040593</v>
      </c>
      <c r="U4" s="131">
        <f t="shared" si="3"/>
        <v>3341.2906199673685</v>
      </c>
      <c r="V4" s="131">
        <f t="shared" si="3"/>
        <v>3033.4966824096023</v>
      </c>
      <c r="W4" s="131">
        <f t="shared" si="3"/>
        <v>3256.9523744456487</v>
      </c>
      <c r="DA4" s="156" t="s">
        <v>213</v>
      </c>
    </row>
    <row r="5" spans="1:105" ht="12" customHeight="1" x14ac:dyDescent="0.25">
      <c r="A5" s="132" t="s">
        <v>29</v>
      </c>
      <c r="B5" s="133">
        <v>0.47773000859845233</v>
      </c>
      <c r="C5" s="133">
        <v>0.47773000859845244</v>
      </c>
      <c r="D5" s="133">
        <v>0.47773000859845222</v>
      </c>
      <c r="E5" s="133">
        <v>0.95537403267411847</v>
      </c>
      <c r="F5" s="133">
        <v>0.47773000859845233</v>
      </c>
      <c r="G5" s="133">
        <v>0.9553740326741188</v>
      </c>
      <c r="H5" s="133">
        <v>0.95537403267411869</v>
      </c>
      <c r="I5" s="133">
        <v>2.3884780739466889</v>
      </c>
      <c r="J5" s="133">
        <v>3.3438521066208082</v>
      </c>
      <c r="K5" s="133">
        <v>3.8214961306964739</v>
      </c>
      <c r="L5" s="133">
        <v>3.8214961306964743</v>
      </c>
      <c r="M5" s="133">
        <v>3.8214961306964756</v>
      </c>
      <c r="N5" s="133">
        <v>3.8214961306964774</v>
      </c>
      <c r="O5" s="133">
        <v>2.3884780739466884</v>
      </c>
      <c r="P5" s="133">
        <v>0.95537403267411836</v>
      </c>
      <c r="Q5" s="133">
        <v>4.7675838349097148</v>
      </c>
      <c r="R5" s="133">
        <v>5.6080825451418743</v>
      </c>
      <c r="S5" s="133">
        <v>5.6158211521926118</v>
      </c>
      <c r="T5" s="133">
        <v>5.331556319862421</v>
      </c>
      <c r="U5" s="133">
        <v>3.7436801375752373</v>
      </c>
      <c r="V5" s="133">
        <v>4.347463456577823</v>
      </c>
      <c r="W5" s="133">
        <v>2.8107480653482342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237.76206561303226</v>
      </c>
      <c r="C7" s="133">
        <v>229.18276383260581</v>
      </c>
      <c r="D7" s="133">
        <v>233.14581073075763</v>
      </c>
      <c r="E7" s="133">
        <v>237.93292768686274</v>
      </c>
      <c r="F7" s="133">
        <v>226.80337506876978</v>
      </c>
      <c r="G7" s="133">
        <v>232.21460182617409</v>
      </c>
      <c r="H7" s="133">
        <v>224.27055480851104</v>
      </c>
      <c r="I7" s="133">
        <v>232.73058420119733</v>
      </c>
      <c r="J7" s="133">
        <v>228.02443402569784</v>
      </c>
      <c r="K7" s="133">
        <v>218.81084139942109</v>
      </c>
      <c r="L7" s="133">
        <v>256.41832864948162</v>
      </c>
      <c r="M7" s="133">
        <v>238.83572349826107</v>
      </c>
      <c r="N7" s="133">
        <v>235.02654575909131</v>
      </c>
      <c r="O7" s="133">
        <v>238.07166014812233</v>
      </c>
      <c r="P7" s="133">
        <v>226.57387674292724</v>
      </c>
      <c r="Q7" s="133">
        <v>206.24417641806784</v>
      </c>
      <c r="R7" s="133">
        <v>200.41870476630987</v>
      </c>
      <c r="S7" s="133">
        <v>199.11416246519428</v>
      </c>
      <c r="T7" s="133">
        <v>201.71444918591035</v>
      </c>
      <c r="U7" s="133">
        <v>212.28117392727466</v>
      </c>
      <c r="V7" s="133">
        <v>197.43540926251401</v>
      </c>
      <c r="W7" s="133">
        <v>197.02571280825043</v>
      </c>
      <c r="DA7" s="157" t="s">
        <v>276</v>
      </c>
    </row>
    <row r="8" spans="1:105" ht="12" customHeight="1" x14ac:dyDescent="0.25">
      <c r="A8" s="132" t="s">
        <v>73</v>
      </c>
      <c r="B8" s="133">
        <v>0.79884301574130323</v>
      </c>
      <c r="C8" s="133">
        <v>0.87527222899594237</v>
      </c>
      <c r="D8" s="133">
        <v>0.83945152946717116</v>
      </c>
      <c r="E8" s="133">
        <v>0.99370124651071812</v>
      </c>
      <c r="F8" s="133">
        <v>1.0389572724918525</v>
      </c>
      <c r="G8" s="133">
        <v>0.96038880098940138</v>
      </c>
      <c r="H8" s="133">
        <v>0.96640810695548784</v>
      </c>
      <c r="I8" s="133">
        <v>1.1274739372365103</v>
      </c>
      <c r="J8" s="133">
        <v>1.2017268202612033</v>
      </c>
      <c r="K8" s="133">
        <v>1.2900159142336065</v>
      </c>
      <c r="L8" s="133">
        <v>1.401477106257303</v>
      </c>
      <c r="M8" s="133">
        <v>1.5877912176887816</v>
      </c>
      <c r="N8" s="133">
        <v>1.5637953960398288</v>
      </c>
      <c r="O8" s="133">
        <v>1.611654120738885</v>
      </c>
      <c r="P8" s="133">
        <v>2.325466866211038</v>
      </c>
      <c r="Q8" s="133">
        <v>2.9291396939618068</v>
      </c>
      <c r="R8" s="133">
        <v>3.0862951577464552</v>
      </c>
      <c r="S8" s="133">
        <v>3.0811196118178756</v>
      </c>
      <c r="T8" s="133">
        <v>3.198841310603215</v>
      </c>
      <c r="U8" s="133">
        <v>3.3134185202505542</v>
      </c>
      <c r="V8" s="133">
        <v>3.4566679379139691</v>
      </c>
      <c r="W8" s="133">
        <v>4.0550067115481552</v>
      </c>
      <c r="DA8" s="157" t="s">
        <v>277</v>
      </c>
    </row>
    <row r="9" spans="1:105" ht="12" customHeight="1" x14ac:dyDescent="0.25">
      <c r="A9" s="132" t="s">
        <v>78</v>
      </c>
      <c r="B9" s="133">
        <v>2781.2066529962917</v>
      </c>
      <c r="C9" s="133">
        <v>3022.1193012764334</v>
      </c>
      <c r="D9" s="133">
        <v>2797.0075280579085</v>
      </c>
      <c r="E9" s="133">
        <v>3034.1495454108872</v>
      </c>
      <c r="F9" s="133">
        <v>3395.4529413372052</v>
      </c>
      <c r="G9" s="133">
        <v>3049.8269947099916</v>
      </c>
      <c r="H9" s="133">
        <v>3060.2872459525802</v>
      </c>
      <c r="I9" s="133">
        <v>2652.3551165314962</v>
      </c>
      <c r="J9" s="133">
        <v>2928.9636980865571</v>
      </c>
      <c r="K9" s="133">
        <v>3044.4642713776143</v>
      </c>
      <c r="L9" s="133">
        <v>3563.3981870554289</v>
      </c>
      <c r="M9" s="133">
        <v>2728.3862268129333</v>
      </c>
      <c r="N9" s="133">
        <v>3133.5829859009996</v>
      </c>
      <c r="O9" s="133">
        <v>3147.8818109064277</v>
      </c>
      <c r="P9" s="133">
        <v>2383.7668915190111</v>
      </c>
      <c r="Q9" s="133">
        <v>2651.1181064351613</v>
      </c>
      <c r="R9" s="133">
        <v>2669.1493991775546</v>
      </c>
      <c r="S9" s="133">
        <v>2640.1043426997235</v>
      </c>
      <c r="T9" s="133">
        <v>2580.8370902667475</v>
      </c>
      <c r="U9" s="133">
        <v>2398.7549262957627</v>
      </c>
      <c r="V9" s="133">
        <v>2149.9084178774824</v>
      </c>
      <c r="W9" s="133">
        <v>2356.6510220964828</v>
      </c>
      <c r="DA9" s="157" t="s">
        <v>278</v>
      </c>
    </row>
    <row r="10" spans="1:105" ht="12" customHeight="1" x14ac:dyDescent="0.25">
      <c r="A10" s="132" t="s">
        <v>128</v>
      </c>
      <c r="B10" s="133">
        <v>74.734823731728284</v>
      </c>
      <c r="C10" s="133">
        <v>95.968271711092001</v>
      </c>
      <c r="D10" s="133">
        <v>93.149957007738635</v>
      </c>
      <c r="E10" s="133">
        <v>89.208942390369742</v>
      </c>
      <c r="F10" s="133">
        <v>97.903009458297461</v>
      </c>
      <c r="G10" s="133">
        <v>95.299570077386051</v>
      </c>
      <c r="H10" s="133">
        <v>109.74961306964747</v>
      </c>
      <c r="I10" s="133">
        <v>114.26388650042995</v>
      </c>
      <c r="J10" s="133">
        <v>134.37472055030094</v>
      </c>
      <c r="K10" s="133">
        <v>125.56130696474638</v>
      </c>
      <c r="L10" s="133">
        <v>131.9623387790198</v>
      </c>
      <c r="M10" s="133">
        <v>119.11246775580395</v>
      </c>
      <c r="N10" s="133">
        <v>116.17463456577806</v>
      </c>
      <c r="O10" s="133">
        <v>112.63972484952708</v>
      </c>
      <c r="P10" s="133">
        <v>112.16190885640577</v>
      </c>
      <c r="Q10" s="133">
        <v>104.8627687016337</v>
      </c>
      <c r="R10" s="133">
        <v>104.46139294926914</v>
      </c>
      <c r="S10" s="133">
        <v>136.21564918314689</v>
      </c>
      <c r="T10" s="133">
        <v>148.63241616509018</v>
      </c>
      <c r="U10" s="133">
        <v>163.93301805674977</v>
      </c>
      <c r="V10" s="133">
        <v>168.29561478933792</v>
      </c>
      <c r="W10" s="133">
        <v>158.69002579535692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235.92166315979506</v>
      </c>
      <c r="C12" s="133">
        <v>225.86520369600046</v>
      </c>
      <c r="D12" s="133">
        <v>343.24442677187886</v>
      </c>
      <c r="E12" s="133">
        <v>281.64601385041465</v>
      </c>
      <c r="F12" s="133">
        <v>284.82954800829089</v>
      </c>
      <c r="G12" s="133">
        <v>198.76404768307597</v>
      </c>
      <c r="H12" s="133">
        <v>234.25125887221273</v>
      </c>
      <c r="I12" s="133">
        <v>277.07737237144585</v>
      </c>
      <c r="J12" s="133">
        <v>247.46928297764737</v>
      </c>
      <c r="K12" s="133">
        <v>300.50878512779229</v>
      </c>
      <c r="L12" s="133">
        <v>266.44548067242044</v>
      </c>
      <c r="M12" s="133">
        <v>237.6641661260592</v>
      </c>
      <c r="N12" s="133">
        <v>125.04078663621378</v>
      </c>
      <c r="O12" s="133">
        <v>112.44034663047917</v>
      </c>
      <c r="P12" s="133">
        <v>112.48784745961649</v>
      </c>
      <c r="Q12" s="133">
        <v>107.07476120080386</v>
      </c>
      <c r="R12" s="133">
        <v>114.18869832093745</v>
      </c>
      <c r="S12" s="133">
        <v>163.28857463626122</v>
      </c>
      <c r="T12" s="133">
        <v>149.0983417310525</v>
      </c>
      <c r="U12" s="133">
        <v>183.05887110630206</v>
      </c>
      <c r="V12" s="133">
        <v>183.35882820511722</v>
      </c>
      <c r="W12" s="133">
        <v>162.97615612169409</v>
      </c>
      <c r="DA12" s="157" t="s">
        <v>281</v>
      </c>
    </row>
    <row r="13" spans="1:105" ht="12" customHeight="1" x14ac:dyDescent="0.25">
      <c r="A13" s="132" t="s">
        <v>77</v>
      </c>
      <c r="B13" s="133">
        <v>4.9509172187821857</v>
      </c>
      <c r="C13" s="133">
        <v>5.8485733710493824</v>
      </c>
      <c r="D13" s="133">
        <v>7.0667027429817209</v>
      </c>
      <c r="E13" s="133">
        <v>7.9250140633087591</v>
      </c>
      <c r="F13" s="133">
        <v>10.853283373947912</v>
      </c>
      <c r="G13" s="133">
        <v>13.799640721625368</v>
      </c>
      <c r="H13" s="133">
        <v>16.147228926860272</v>
      </c>
      <c r="I13" s="133">
        <v>20.269539939641433</v>
      </c>
      <c r="J13" s="133">
        <v>24.921673357560373</v>
      </c>
      <c r="K13" s="133">
        <v>29.393576693640281</v>
      </c>
      <c r="L13" s="133">
        <v>34.230879482710407</v>
      </c>
      <c r="M13" s="133">
        <v>38.008713179759354</v>
      </c>
      <c r="N13" s="133">
        <v>41.595752171202662</v>
      </c>
      <c r="O13" s="133">
        <v>45.21519897584735</v>
      </c>
      <c r="P13" s="133">
        <v>48.131891173778648</v>
      </c>
      <c r="Q13" s="133">
        <v>51.815521364063621</v>
      </c>
      <c r="R13" s="133">
        <v>55.54701260572832</v>
      </c>
      <c r="S13" s="133">
        <v>59.916860561116891</v>
      </c>
      <c r="T13" s="133">
        <v>64.932468290674237</v>
      </c>
      <c r="U13" s="133">
        <v>69.155049128243775</v>
      </c>
      <c r="V13" s="133">
        <v>73.830431891082185</v>
      </c>
      <c r="W13" s="133">
        <v>79.399558610566174</v>
      </c>
      <c r="DA13" s="157" t="s">
        <v>282</v>
      </c>
    </row>
    <row r="14" spans="1:105" ht="12" customHeight="1" x14ac:dyDescent="0.25">
      <c r="A14" s="60" t="s">
        <v>76</v>
      </c>
      <c r="B14" s="65">
        <v>380.97227092424254</v>
      </c>
      <c r="C14" s="65">
        <v>439.4957731462647</v>
      </c>
      <c r="D14" s="65">
        <v>436.10650926870591</v>
      </c>
      <c r="E14" s="65">
        <v>494.2462683510019</v>
      </c>
      <c r="F14" s="65">
        <v>540.13851892943887</v>
      </c>
      <c r="G14" s="65">
        <v>544.08378340987304</v>
      </c>
      <c r="H14" s="65">
        <v>558.4967726917389</v>
      </c>
      <c r="I14" s="65">
        <v>561.13036995607138</v>
      </c>
      <c r="J14" s="65">
        <v>542.82086742984313</v>
      </c>
      <c r="K14" s="65">
        <v>558.91989453419251</v>
      </c>
      <c r="L14" s="65">
        <v>526.88499740288228</v>
      </c>
      <c r="M14" s="65">
        <v>508.5478435846847</v>
      </c>
      <c r="N14" s="65">
        <v>475.3945589011617</v>
      </c>
      <c r="O14" s="65">
        <v>467.87662667057754</v>
      </c>
      <c r="P14" s="65">
        <v>322.30307497768962</v>
      </c>
      <c r="Q14" s="65">
        <v>276.746261310612</v>
      </c>
      <c r="R14" s="65">
        <v>274.43553320348366</v>
      </c>
      <c r="S14" s="65">
        <v>306.87898674583101</v>
      </c>
      <c r="T14" s="65">
        <v>332.67615106788992</v>
      </c>
      <c r="U14" s="65">
        <v>273.99720306738658</v>
      </c>
      <c r="V14" s="65">
        <v>222.69609732716182</v>
      </c>
      <c r="W14" s="65">
        <v>262.01520381541309</v>
      </c>
      <c r="DA14" s="109" t="s">
        <v>283</v>
      </c>
    </row>
    <row r="15" spans="1:105" ht="12" customHeight="1" x14ac:dyDescent="0.25">
      <c r="A15" s="134" t="s">
        <v>80</v>
      </c>
      <c r="B15" s="135">
        <v>34.564492548240942</v>
      </c>
      <c r="C15" s="135">
        <v>36.896770456420533</v>
      </c>
      <c r="D15" s="135">
        <v>34.653039355770701</v>
      </c>
      <c r="E15" s="135">
        <v>36.836669944707744</v>
      </c>
      <c r="F15" s="135">
        <v>40.550881953907009</v>
      </c>
      <c r="G15" s="135">
        <v>36.52948624148376</v>
      </c>
      <c r="H15" s="135">
        <v>36.881064685907297</v>
      </c>
      <c r="I15" s="135">
        <v>32.878367775891391</v>
      </c>
      <c r="J15" s="135">
        <v>36.125769098141149</v>
      </c>
      <c r="K15" s="135">
        <v>37.727547205911051</v>
      </c>
      <c r="L15" s="135">
        <v>44.335116547075877</v>
      </c>
      <c r="M15" s="135">
        <v>35.086965799462405</v>
      </c>
      <c r="N15" s="135">
        <v>39.994966514027553</v>
      </c>
      <c r="O15" s="135">
        <v>40.774869107516096</v>
      </c>
      <c r="P15" s="135">
        <v>31.546612878375665</v>
      </c>
      <c r="Q15" s="135">
        <v>34.551146445163155</v>
      </c>
      <c r="R15" s="135">
        <v>34.849742528225562</v>
      </c>
      <c r="S15" s="135">
        <v>35.055048378084415</v>
      </c>
      <c r="T15" s="135">
        <v>34.621696366229202</v>
      </c>
      <c r="U15" s="135">
        <v>33.053279727822741</v>
      </c>
      <c r="V15" s="135">
        <v>30.167751662415164</v>
      </c>
      <c r="W15" s="135">
        <v>33.328940420988786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41.606100465012041</v>
      </c>
      <c r="C16" s="131">
        <f t="shared" si="4"/>
        <v>47.023383153874462</v>
      </c>
      <c r="D16" s="131">
        <f t="shared" si="4"/>
        <v>51.049874244779396</v>
      </c>
      <c r="E16" s="131">
        <f t="shared" si="4"/>
        <v>59.538535572745921</v>
      </c>
      <c r="F16" s="131">
        <f t="shared" si="4"/>
        <v>58.443325930261764</v>
      </c>
      <c r="G16" s="131">
        <f t="shared" si="4"/>
        <v>63.973757774474677</v>
      </c>
      <c r="H16" s="131">
        <f t="shared" si="4"/>
        <v>77.027658607113992</v>
      </c>
      <c r="I16" s="131">
        <f t="shared" si="4"/>
        <v>79.599082006804935</v>
      </c>
      <c r="J16" s="131">
        <f t="shared" si="4"/>
        <v>85.839819489660982</v>
      </c>
      <c r="K16" s="131">
        <f t="shared" si="4"/>
        <v>92.13873825952318</v>
      </c>
      <c r="L16" s="131">
        <f t="shared" si="4"/>
        <v>99.555963507215367</v>
      </c>
      <c r="M16" s="131">
        <f t="shared" si="4"/>
        <v>99.475155838602021</v>
      </c>
      <c r="N16" s="131">
        <f t="shared" si="4"/>
        <v>100.90575907386231</v>
      </c>
      <c r="O16" s="131">
        <f t="shared" si="4"/>
        <v>101.63054597960817</v>
      </c>
      <c r="P16" s="131">
        <f t="shared" si="4"/>
        <v>100.74522497421512</v>
      </c>
      <c r="Q16" s="131">
        <f t="shared" si="4"/>
        <v>104.87574573778016</v>
      </c>
      <c r="R16" s="131">
        <f t="shared" ref="R16:W16" si="5">SUM(R17:R18)</f>
        <v>102.48985191371156</v>
      </c>
      <c r="S16" s="131">
        <f t="shared" si="5"/>
        <v>100.90411184760656</v>
      </c>
      <c r="T16" s="131">
        <f t="shared" si="5"/>
        <v>111.92024775375762</v>
      </c>
      <c r="U16" s="131">
        <f t="shared" si="5"/>
        <v>112.84120350448372</v>
      </c>
      <c r="V16" s="131">
        <f t="shared" si="5"/>
        <v>111.48779863931075</v>
      </c>
      <c r="W16" s="131">
        <f t="shared" si="5"/>
        <v>100.97398476391946</v>
      </c>
      <c r="DA16" s="156" t="s">
        <v>214</v>
      </c>
    </row>
    <row r="17" spans="1:105" ht="12.95" customHeight="1" x14ac:dyDescent="0.25">
      <c r="A17" s="132" t="s">
        <v>73</v>
      </c>
      <c r="B17" s="133">
        <v>0.20648293317932051</v>
      </c>
      <c r="C17" s="133">
        <v>0.23784804202489551</v>
      </c>
      <c r="D17" s="133">
        <v>0.29116633428911665</v>
      </c>
      <c r="E17" s="133">
        <v>0.34953711136939875</v>
      </c>
      <c r="F17" s="133">
        <v>0.43075329572712873</v>
      </c>
      <c r="G17" s="133">
        <v>0.51652831459209836</v>
      </c>
      <c r="H17" s="133">
        <v>0.72003341959614064</v>
      </c>
      <c r="I17" s="133">
        <v>0.88958040716861386</v>
      </c>
      <c r="J17" s="133">
        <v>1.0925342940301539</v>
      </c>
      <c r="K17" s="133">
        <v>1.2478204002879951</v>
      </c>
      <c r="L17" s="133">
        <v>1.4258434232538355</v>
      </c>
      <c r="M17" s="133">
        <v>1.5597409493180565</v>
      </c>
      <c r="N17" s="133">
        <v>1.7837612001951211</v>
      </c>
      <c r="O17" s="133">
        <v>2.1766060030381849</v>
      </c>
      <c r="P17" s="133">
        <v>2.8749521606152588</v>
      </c>
      <c r="Q17" s="133">
        <v>3.9481783942718458</v>
      </c>
      <c r="R17" s="133">
        <v>5.0086579787199197</v>
      </c>
      <c r="S17" s="133">
        <v>5.9870768548354505</v>
      </c>
      <c r="T17" s="133">
        <v>6.8443927978259005</v>
      </c>
      <c r="U17" s="133">
        <v>7.567021971815703</v>
      </c>
      <c r="V17" s="133">
        <v>8.1586358054967238</v>
      </c>
      <c r="W17" s="133">
        <v>8.632507434623955</v>
      </c>
      <c r="DA17" s="157" t="s">
        <v>285</v>
      </c>
    </row>
    <row r="18" spans="1:105" ht="12" customHeight="1" x14ac:dyDescent="0.25">
      <c r="A18" s="132" t="s">
        <v>72</v>
      </c>
      <c r="B18" s="133">
        <v>41.399617531832718</v>
      </c>
      <c r="C18" s="133">
        <v>46.785535111849569</v>
      </c>
      <c r="D18" s="133">
        <v>50.75870791049028</v>
      </c>
      <c r="E18" s="133">
        <v>59.188998461376521</v>
      </c>
      <c r="F18" s="133">
        <v>58.012572634534635</v>
      </c>
      <c r="G18" s="133">
        <v>63.457229459882576</v>
      </c>
      <c r="H18" s="133">
        <v>76.307625187517857</v>
      </c>
      <c r="I18" s="133">
        <v>78.709501599636326</v>
      </c>
      <c r="J18" s="133">
        <v>84.747285195630823</v>
      </c>
      <c r="K18" s="133">
        <v>90.890917859235188</v>
      </c>
      <c r="L18" s="133">
        <v>98.130120083961529</v>
      </c>
      <c r="M18" s="133">
        <v>97.915414889283966</v>
      </c>
      <c r="N18" s="133">
        <v>99.121997873667198</v>
      </c>
      <c r="O18" s="133">
        <v>99.453939976569984</v>
      </c>
      <c r="P18" s="133">
        <v>97.870272813599854</v>
      </c>
      <c r="Q18" s="133">
        <v>100.92756734350831</v>
      </c>
      <c r="R18" s="133">
        <v>97.481193934991637</v>
      </c>
      <c r="S18" s="133">
        <v>94.917034992771107</v>
      </c>
      <c r="T18" s="133">
        <v>105.07585495593172</v>
      </c>
      <c r="U18" s="133">
        <v>105.27418153266801</v>
      </c>
      <c r="V18" s="133">
        <v>103.32916283381402</v>
      </c>
      <c r="W18" s="133">
        <v>92.3414773292955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757.66110594033421</v>
      </c>
      <c r="C19" s="131">
        <f t="shared" si="6"/>
        <v>756.88036124748032</v>
      </c>
      <c r="D19" s="131">
        <f t="shared" si="6"/>
        <v>760.44598410518824</v>
      </c>
      <c r="E19" s="131">
        <f t="shared" si="6"/>
        <v>753.33399215765144</v>
      </c>
      <c r="F19" s="131">
        <f t="shared" si="6"/>
        <v>750.32233834281737</v>
      </c>
      <c r="G19" s="131">
        <f t="shared" si="6"/>
        <v>746.11188136838427</v>
      </c>
      <c r="H19" s="131">
        <f t="shared" si="6"/>
        <v>741.4408208539927</v>
      </c>
      <c r="I19" s="131">
        <f t="shared" si="6"/>
        <v>736.17198512103494</v>
      </c>
      <c r="J19" s="131">
        <f t="shared" si="6"/>
        <v>731.56496695506451</v>
      </c>
      <c r="K19" s="131">
        <f t="shared" si="6"/>
        <v>729.99687580048032</v>
      </c>
      <c r="L19" s="131">
        <f t="shared" si="6"/>
        <v>726.86966794209252</v>
      </c>
      <c r="M19" s="131">
        <f t="shared" si="6"/>
        <v>723.79116864736943</v>
      </c>
      <c r="N19" s="131">
        <f t="shared" si="6"/>
        <v>722.4885542655893</v>
      </c>
      <c r="O19" s="131">
        <f t="shared" si="6"/>
        <v>715.41803962237952</v>
      </c>
      <c r="P19" s="131">
        <f t="shared" si="6"/>
        <v>709.63955219644492</v>
      </c>
      <c r="Q19" s="131">
        <f t="shared" si="6"/>
        <v>707.67814200097098</v>
      </c>
      <c r="R19" s="131">
        <f t="shared" ref="R19:W19" si="7">SUM(R20:R27)</f>
        <v>701.97607959083018</v>
      </c>
      <c r="S19" s="131">
        <f t="shared" si="7"/>
        <v>698.21800719364069</v>
      </c>
      <c r="T19" s="131">
        <f t="shared" si="7"/>
        <v>691.56339537277722</v>
      </c>
      <c r="U19" s="131">
        <f t="shared" si="7"/>
        <v>683.66176331598945</v>
      </c>
      <c r="V19" s="131">
        <f t="shared" si="7"/>
        <v>657.59158221347025</v>
      </c>
      <c r="W19" s="131">
        <f t="shared" si="7"/>
        <v>656.16603186595228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35.573188041309969</v>
      </c>
      <c r="C22" s="133">
        <v>34.646470905141385</v>
      </c>
      <c r="D22" s="133">
        <v>33.84808436812456</v>
      </c>
      <c r="E22" s="133">
        <v>33.14050309559638</v>
      </c>
      <c r="F22" s="133">
        <v>32.939187270009192</v>
      </c>
      <c r="G22" s="133">
        <v>32.720393874599722</v>
      </c>
      <c r="H22" s="133">
        <v>32.257046223303213</v>
      </c>
      <c r="I22" s="133">
        <v>32.061075300092384</v>
      </c>
      <c r="J22" s="133">
        <v>32.34383768539405</v>
      </c>
      <c r="K22" s="133">
        <v>32.302142263519649</v>
      </c>
      <c r="L22" s="133">
        <v>31.861464987663926</v>
      </c>
      <c r="M22" s="133">
        <v>31.845875813862559</v>
      </c>
      <c r="N22" s="133">
        <v>32.538114602043656</v>
      </c>
      <c r="O22" s="133">
        <v>32.583713884551891</v>
      </c>
      <c r="P22" s="133">
        <v>32.738676997399523</v>
      </c>
      <c r="Q22" s="133">
        <v>32.930200194142053</v>
      </c>
      <c r="R22" s="133">
        <v>32.902619395341063</v>
      </c>
      <c r="S22" s="133">
        <v>32.594006064470328</v>
      </c>
      <c r="T22" s="133">
        <v>32.742214614605722</v>
      </c>
      <c r="U22" s="133">
        <v>32.687957629044988</v>
      </c>
      <c r="V22" s="133">
        <v>31.185055053909089</v>
      </c>
      <c r="W22" s="133">
        <v>32.090366297510528</v>
      </c>
      <c r="DA22" s="157" t="s">
        <v>289</v>
      </c>
    </row>
    <row r="23" spans="1:105" ht="12" customHeight="1" x14ac:dyDescent="0.25">
      <c r="A23" s="132" t="s">
        <v>153</v>
      </c>
      <c r="B23" s="133">
        <v>255.23572342494111</v>
      </c>
      <c r="C23" s="133">
        <v>260.41843402416197</v>
      </c>
      <c r="D23" s="133">
        <v>277.89082954544199</v>
      </c>
      <c r="E23" s="133">
        <v>267.74143932803628</v>
      </c>
      <c r="F23" s="133">
        <v>266.13274985292333</v>
      </c>
      <c r="G23" s="133">
        <v>266.30607752984804</v>
      </c>
      <c r="H23" s="133">
        <v>267.94534467174697</v>
      </c>
      <c r="I23" s="133">
        <v>263.20050705303186</v>
      </c>
      <c r="J23" s="133">
        <v>261.30928221848177</v>
      </c>
      <c r="K23" s="133">
        <v>264.31406723957849</v>
      </c>
      <c r="L23" s="133">
        <v>265.75183188091165</v>
      </c>
      <c r="M23" s="133">
        <v>265.21293728684026</v>
      </c>
      <c r="N23" s="133">
        <v>287.05066844521281</v>
      </c>
      <c r="O23" s="133">
        <v>286.76620909315966</v>
      </c>
      <c r="P23" s="133">
        <v>262.94613646550914</v>
      </c>
      <c r="Q23" s="133">
        <v>255.47987123562606</v>
      </c>
      <c r="R23" s="133">
        <v>257.8158107452972</v>
      </c>
      <c r="S23" s="133">
        <v>271.48438713342597</v>
      </c>
      <c r="T23" s="133">
        <v>264.01544905555255</v>
      </c>
      <c r="U23" s="133">
        <v>251.70813807630634</v>
      </c>
      <c r="V23" s="133">
        <v>206.33302909097989</v>
      </c>
      <c r="W23" s="133">
        <v>206.78596646979349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46.489686797212656</v>
      </c>
      <c r="C25" s="133">
        <v>45.36815829884047</v>
      </c>
      <c r="D25" s="133">
        <v>44.545770992523508</v>
      </c>
      <c r="E25" s="133">
        <v>42.587262159903432</v>
      </c>
      <c r="F25" s="133">
        <v>40.860735740634198</v>
      </c>
      <c r="G25" s="133">
        <v>40.081868052091501</v>
      </c>
      <c r="H25" s="133">
        <v>39.418388591243861</v>
      </c>
      <c r="I25" s="133">
        <v>39.178517568364946</v>
      </c>
      <c r="J25" s="133">
        <v>38.883081596729241</v>
      </c>
      <c r="K25" s="133">
        <v>39.774963797401263</v>
      </c>
      <c r="L25" s="133">
        <v>39.754949250193263</v>
      </c>
      <c r="M25" s="133">
        <v>39.612016161128928</v>
      </c>
      <c r="N25" s="133">
        <v>39.094123080037271</v>
      </c>
      <c r="O25" s="133">
        <v>36.886136602539047</v>
      </c>
      <c r="P25" s="133">
        <v>34.18738899782106</v>
      </c>
      <c r="Q25" s="133">
        <v>33.773820054570166</v>
      </c>
      <c r="R25" s="133">
        <v>34.178799529449464</v>
      </c>
      <c r="S25" s="133">
        <v>33.863360015501385</v>
      </c>
      <c r="T25" s="133">
        <v>34.303291974880281</v>
      </c>
      <c r="U25" s="133">
        <v>33.498480570396083</v>
      </c>
      <c r="V25" s="133">
        <v>32.119331726094813</v>
      </c>
      <c r="W25" s="133">
        <v>31.506818942794311</v>
      </c>
      <c r="DA25" s="157" t="s">
        <v>292</v>
      </c>
    </row>
    <row r="26" spans="1:105" ht="12" customHeight="1" x14ac:dyDescent="0.25">
      <c r="A26" s="132" t="s">
        <v>24</v>
      </c>
      <c r="B26" s="65">
        <v>418.18899090988856</v>
      </c>
      <c r="C26" s="65">
        <v>414.01109853524366</v>
      </c>
      <c r="D26" s="65">
        <v>401.41460960322536</v>
      </c>
      <c r="E26" s="65">
        <v>406.87923297394332</v>
      </c>
      <c r="F26" s="65">
        <v>407.16524587477949</v>
      </c>
      <c r="G26" s="65">
        <v>403.56416100040906</v>
      </c>
      <c r="H26" s="65">
        <v>398.21350654396684</v>
      </c>
      <c r="I26" s="65">
        <v>397.91038906884927</v>
      </c>
      <c r="J26" s="65">
        <v>394.99230801679823</v>
      </c>
      <c r="K26" s="65">
        <v>389.18704385853636</v>
      </c>
      <c r="L26" s="65">
        <v>384.74836937276484</v>
      </c>
      <c r="M26" s="65">
        <v>382.15232562801407</v>
      </c>
      <c r="N26" s="65">
        <v>358.69438416581056</v>
      </c>
      <c r="O26" s="65">
        <v>353.90347617282538</v>
      </c>
      <c r="P26" s="65">
        <v>374.36941336426202</v>
      </c>
      <c r="Q26" s="65">
        <v>380.07241044784513</v>
      </c>
      <c r="R26" s="65">
        <v>371.60928844180876</v>
      </c>
      <c r="S26" s="65">
        <v>354.83059619864372</v>
      </c>
      <c r="T26" s="65">
        <v>354.98507085413593</v>
      </c>
      <c r="U26" s="65">
        <v>360.13038566448961</v>
      </c>
      <c r="V26" s="65">
        <v>382.34126866406859</v>
      </c>
      <c r="W26" s="65">
        <v>380.21778987210502</v>
      </c>
      <c r="DA26" s="109" t="s">
        <v>293</v>
      </c>
    </row>
    <row r="27" spans="1:105" ht="12" customHeight="1" x14ac:dyDescent="0.25">
      <c r="A27" s="145" t="s">
        <v>26</v>
      </c>
      <c r="B27" s="146">
        <v>2.1735167669819431</v>
      </c>
      <c r="C27" s="146">
        <v>2.4361994840928629</v>
      </c>
      <c r="D27" s="146">
        <v>2.7466895958727426</v>
      </c>
      <c r="E27" s="146">
        <v>2.9855546001719691</v>
      </c>
      <c r="F27" s="146">
        <v>3.2244196044711941</v>
      </c>
      <c r="G27" s="146">
        <v>3.4393809114359408</v>
      </c>
      <c r="H27" s="146">
        <v>3.6065348237317263</v>
      </c>
      <c r="I27" s="146">
        <v>3.8214961306964748</v>
      </c>
      <c r="J27" s="146">
        <v>4.0364574376612188</v>
      </c>
      <c r="K27" s="146">
        <v>4.4186586414445399</v>
      </c>
      <c r="L27" s="146">
        <v>4.7530524505588998</v>
      </c>
      <c r="M27" s="146">
        <v>4.9680137575236447</v>
      </c>
      <c r="N27" s="146">
        <v>5.1112639724849522</v>
      </c>
      <c r="O27" s="146">
        <v>5.2785038693035231</v>
      </c>
      <c r="P27" s="146">
        <v>5.3979363714531381</v>
      </c>
      <c r="Q27" s="146">
        <v>5.4218400687876178</v>
      </c>
      <c r="R27" s="146">
        <v>5.4695614789337919</v>
      </c>
      <c r="S27" s="146">
        <v>5.445657781599313</v>
      </c>
      <c r="T27" s="146">
        <v>5.5173688736027531</v>
      </c>
      <c r="U27" s="146">
        <v>5.636801375752361</v>
      </c>
      <c r="V27" s="146">
        <v>5.612897678417883</v>
      </c>
      <c r="W27" s="146">
        <v>5.5650902837489191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628.51551901937819</v>
      </c>
      <c r="C29" s="131">
        <f t="shared" si="8"/>
        <v>633.95978803197261</v>
      </c>
      <c r="D29" s="131">
        <f t="shared" si="8"/>
        <v>640.40256214691567</v>
      </c>
      <c r="E29" s="131">
        <f t="shared" si="8"/>
        <v>646.56345657145584</v>
      </c>
      <c r="F29" s="131">
        <f t="shared" si="8"/>
        <v>652.01064971945902</v>
      </c>
      <c r="G29" s="131">
        <f t="shared" si="8"/>
        <v>660.75432521377752</v>
      </c>
      <c r="H29" s="131">
        <f t="shared" si="8"/>
        <v>668.95429149984557</v>
      </c>
      <c r="I29" s="131">
        <f t="shared" si="8"/>
        <v>678.29225742597498</v>
      </c>
      <c r="J29" s="131">
        <f t="shared" si="8"/>
        <v>687.45908848761383</v>
      </c>
      <c r="K29" s="131">
        <f t="shared" si="8"/>
        <v>692.8385471559186</v>
      </c>
      <c r="L29" s="131">
        <f t="shared" si="8"/>
        <v>696.40155255980551</v>
      </c>
      <c r="M29" s="131">
        <f t="shared" si="8"/>
        <v>695.23424849981848</v>
      </c>
      <c r="N29" s="131">
        <f t="shared" si="8"/>
        <v>695.97069010932591</v>
      </c>
      <c r="O29" s="131">
        <f t="shared" si="8"/>
        <v>699.37578554007519</v>
      </c>
      <c r="P29" s="131">
        <f t="shared" si="8"/>
        <v>699.88306968541326</v>
      </c>
      <c r="Q29" s="131">
        <f t="shared" si="8"/>
        <v>701.96768332716215</v>
      </c>
      <c r="R29" s="131">
        <f t="shared" ref="R29:W29" si="9">SUM(R30:R33)</f>
        <v>699.69614445462753</v>
      </c>
      <c r="S29" s="131">
        <f t="shared" si="9"/>
        <v>702.18741289495279</v>
      </c>
      <c r="T29" s="131">
        <f t="shared" si="9"/>
        <v>702.08768304746354</v>
      </c>
      <c r="U29" s="131">
        <f t="shared" si="9"/>
        <v>700.67763530453874</v>
      </c>
      <c r="V29" s="131">
        <f t="shared" si="9"/>
        <v>686.5696678461635</v>
      </c>
      <c r="W29" s="131">
        <f t="shared" si="9"/>
        <v>688.27524623721411</v>
      </c>
      <c r="DA29" s="156" t="s">
        <v>216</v>
      </c>
    </row>
    <row r="30" spans="1:105" ht="12" customHeight="1" x14ac:dyDescent="0.25">
      <c r="A30" s="132" t="s">
        <v>52</v>
      </c>
      <c r="B30" s="133">
        <v>42.099999999999987</v>
      </c>
      <c r="C30" s="133">
        <v>48.576956147893377</v>
      </c>
      <c r="D30" s="133">
        <v>55.053912295786766</v>
      </c>
      <c r="E30" s="133">
        <v>50.735941530524499</v>
      </c>
      <c r="F30" s="133">
        <v>57.212897678417882</v>
      </c>
      <c r="G30" s="133">
        <v>56.133361994840918</v>
      </c>
      <c r="H30" s="133">
        <v>71.246173688735993</v>
      </c>
      <c r="I30" s="133">
        <v>35.623129836629396</v>
      </c>
      <c r="J30" s="133">
        <v>29.146173688736031</v>
      </c>
      <c r="K30" s="133">
        <v>46.417970765262218</v>
      </c>
      <c r="L30" s="133">
        <v>56.133361994840932</v>
      </c>
      <c r="M30" s="133">
        <v>31.30515907136715</v>
      </c>
      <c r="N30" s="133">
        <v>42.1</v>
      </c>
      <c r="O30" s="133">
        <v>39.941014617368879</v>
      </c>
      <c r="P30" s="133">
        <v>6.4769561478933699</v>
      </c>
      <c r="Q30" s="133">
        <v>48.352708512467721</v>
      </c>
      <c r="R30" s="133">
        <v>47.395098882201218</v>
      </c>
      <c r="S30" s="133">
        <v>56.952880481513283</v>
      </c>
      <c r="T30" s="133">
        <v>86.482459157351485</v>
      </c>
      <c r="U30" s="133">
        <v>116.33912295786756</v>
      </c>
      <c r="V30" s="133">
        <v>86.732932072227058</v>
      </c>
      <c r="W30" s="133">
        <v>79.277901977643964</v>
      </c>
      <c r="DA30" s="157" t="s">
        <v>295</v>
      </c>
    </row>
    <row r="31" spans="1:105" ht="12" customHeight="1" x14ac:dyDescent="0.25">
      <c r="A31" s="132" t="s">
        <v>153</v>
      </c>
      <c r="B31" s="133">
        <v>226.11755988264073</v>
      </c>
      <c r="C31" s="133">
        <v>229.30684004317303</v>
      </c>
      <c r="D31" s="133">
        <v>229.14307956298828</v>
      </c>
      <c r="E31" s="133">
        <v>238.84832204507072</v>
      </c>
      <c r="F31" s="133">
        <v>236.86961973778332</v>
      </c>
      <c r="G31" s="133">
        <v>238.755444866419</v>
      </c>
      <c r="H31" s="133">
        <v>227.94390851979907</v>
      </c>
      <c r="I31" s="133">
        <v>263.75819051474633</v>
      </c>
      <c r="J31" s="133">
        <v>275.2367998532402</v>
      </c>
      <c r="K31" s="133">
        <v>257.45011913535257</v>
      </c>
      <c r="L31" s="133">
        <v>244.62627188410599</v>
      </c>
      <c r="M31" s="133">
        <v>267.20790390518772</v>
      </c>
      <c r="N31" s="133">
        <v>252.95799799994373</v>
      </c>
      <c r="O31" s="133">
        <v>254.53190560320513</v>
      </c>
      <c r="P31" s="133">
        <v>285.14579632485106</v>
      </c>
      <c r="Q31" s="133">
        <v>238.80475583169061</v>
      </c>
      <c r="R31" s="133">
        <v>231.89736058642274</v>
      </c>
      <c r="S31" s="133">
        <v>222.05227404413469</v>
      </c>
      <c r="T31" s="133">
        <v>189.30259286333987</v>
      </c>
      <c r="U31" s="133">
        <v>154.59364044970692</v>
      </c>
      <c r="V31" s="133">
        <v>169.14436708692824</v>
      </c>
      <c r="W31" s="133">
        <v>182.3773029625294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360.29795913673752</v>
      </c>
      <c r="C33" s="68">
        <v>356.07599184090623</v>
      </c>
      <c r="D33" s="68">
        <v>356.20557028814062</v>
      </c>
      <c r="E33" s="68">
        <v>356.97919299586061</v>
      </c>
      <c r="F33" s="68">
        <v>357.92813230325788</v>
      </c>
      <c r="G33" s="68">
        <v>365.86551835251765</v>
      </c>
      <c r="H33" s="68">
        <v>369.76420929131052</v>
      </c>
      <c r="I33" s="68">
        <v>378.91093707459925</v>
      </c>
      <c r="J33" s="68">
        <v>383.07611494563753</v>
      </c>
      <c r="K33" s="68">
        <v>388.97045725530376</v>
      </c>
      <c r="L33" s="68">
        <v>395.64191868085857</v>
      </c>
      <c r="M33" s="68">
        <v>396.72118552326361</v>
      </c>
      <c r="N33" s="68">
        <v>400.91269210938219</v>
      </c>
      <c r="O33" s="68">
        <v>404.90286531950119</v>
      </c>
      <c r="P33" s="68">
        <v>408.26031721266884</v>
      </c>
      <c r="Q33" s="68">
        <v>414.81021898300378</v>
      </c>
      <c r="R33" s="68">
        <v>420.40368498600361</v>
      </c>
      <c r="S33" s="68">
        <v>423.18225836930475</v>
      </c>
      <c r="T33" s="68">
        <v>426.30263102677219</v>
      </c>
      <c r="U33" s="68">
        <v>429.74487189696424</v>
      </c>
      <c r="V33" s="68">
        <v>430.69236868700818</v>
      </c>
      <c r="W33" s="68">
        <v>426.62004129704081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3272.5760758447836</v>
      </c>
      <c r="C3" s="126">
        <f t="shared" si="0"/>
        <v>3499.9942238472167</v>
      </c>
      <c r="D3" s="126">
        <f t="shared" si="0"/>
        <v>3521.1653171014132</v>
      </c>
      <c r="E3" s="126">
        <f t="shared" si="0"/>
        <v>3710.178255586512</v>
      </c>
      <c r="F3" s="126">
        <f t="shared" si="0"/>
        <v>4007.9266204341898</v>
      </c>
      <c r="G3" s="126">
        <f t="shared" si="0"/>
        <v>3804.9646146563418</v>
      </c>
      <c r="H3" s="126">
        <f t="shared" si="0"/>
        <v>3956.1707487286494</v>
      </c>
      <c r="I3" s="126">
        <f t="shared" si="0"/>
        <v>3831.1912204313398</v>
      </c>
      <c r="J3" s="126">
        <f t="shared" si="0"/>
        <v>4069.1898703928368</v>
      </c>
      <c r="K3" s="126">
        <f t="shared" si="0"/>
        <v>4283.832423624679</v>
      </c>
      <c r="L3" s="126">
        <f t="shared" si="0"/>
        <v>4710.0456124486918</v>
      </c>
      <c r="M3" s="126">
        <f t="shared" si="0"/>
        <v>4167.8312335149549</v>
      </c>
      <c r="N3" s="126">
        <f t="shared" si="0"/>
        <v>4419.0164120708978</v>
      </c>
      <c r="O3" s="126">
        <f t="shared" si="0"/>
        <v>4504.7441339735087</v>
      </c>
      <c r="P3" s="126">
        <f t="shared" si="0"/>
        <v>3854.5240375505291</v>
      </c>
      <c r="Q3" s="126">
        <f t="shared" si="0"/>
        <v>4066.2958408550903</v>
      </c>
      <c r="R3" s="126">
        <f t="shared" ref="R3:W3" si="1">SUM(R4,R16,R19,R29)</f>
        <v>4126.2141258479669</v>
      </c>
      <c r="S3" s="126">
        <f t="shared" si="1"/>
        <v>4257.3902078571837</v>
      </c>
      <c r="T3" s="126">
        <f t="shared" si="1"/>
        <v>4344.9046993121065</v>
      </c>
      <c r="U3" s="126">
        <f t="shared" si="1"/>
        <v>4272.0702649115665</v>
      </c>
      <c r="V3" s="126">
        <f t="shared" si="1"/>
        <v>4065.0487154207353</v>
      </c>
      <c r="W3" s="126">
        <f t="shared" si="1"/>
        <v>4271.0595843891679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2232.834861265063</v>
      </c>
      <c r="C4" s="131">
        <f t="shared" si="2"/>
        <v>2438.8734286622725</v>
      </c>
      <c r="D4" s="131">
        <f t="shared" si="2"/>
        <v>2437.5271444789641</v>
      </c>
      <c r="E4" s="131">
        <f t="shared" si="2"/>
        <v>2597.9070233801212</v>
      </c>
      <c r="F4" s="131">
        <f t="shared" si="2"/>
        <v>2886.4430223060035</v>
      </c>
      <c r="G4" s="131">
        <f t="shared" si="2"/>
        <v>2653.5795721696695</v>
      </c>
      <c r="H4" s="131">
        <f t="shared" si="2"/>
        <v>2754.6503853512113</v>
      </c>
      <c r="I4" s="131">
        <f t="shared" si="2"/>
        <v>2602.4549821243377</v>
      </c>
      <c r="J4" s="131">
        <f t="shared" si="2"/>
        <v>2803.7809644112353</v>
      </c>
      <c r="K4" s="131">
        <f t="shared" si="2"/>
        <v>2986.5204544295584</v>
      </c>
      <c r="L4" s="131">
        <f t="shared" si="2"/>
        <v>3377.155477055449</v>
      </c>
      <c r="M4" s="131">
        <f t="shared" si="2"/>
        <v>2823.1588384799452</v>
      </c>
      <c r="N4" s="131">
        <f t="shared" si="2"/>
        <v>3055.8925095002255</v>
      </c>
      <c r="O4" s="131">
        <f t="shared" si="2"/>
        <v>3125.4751091078688</v>
      </c>
      <c r="P4" s="131">
        <f t="shared" si="2"/>
        <v>2465.8845721203511</v>
      </c>
      <c r="Q4" s="131">
        <f t="shared" si="2"/>
        <v>2644.1076515781888</v>
      </c>
      <c r="R4" s="131">
        <f t="shared" ref="R4:W4" si="3">SUM(R5:R15)</f>
        <v>2697.6953949359036</v>
      </c>
      <c r="S4" s="131">
        <f t="shared" si="3"/>
        <v>2814.341937455793</v>
      </c>
      <c r="T4" s="131">
        <f t="shared" si="3"/>
        <v>2839.6390967389652</v>
      </c>
      <c r="U4" s="131">
        <f t="shared" si="3"/>
        <v>2745.973413388062</v>
      </c>
      <c r="V4" s="131">
        <f t="shared" si="3"/>
        <v>2551.24859104811</v>
      </c>
      <c r="W4" s="131">
        <f t="shared" si="3"/>
        <v>2782.1341645180187</v>
      </c>
      <c r="DA4" s="156" t="s">
        <v>301</v>
      </c>
    </row>
    <row r="5" spans="1:105" ht="12" customHeight="1" x14ac:dyDescent="0.25">
      <c r="A5" s="132" t="s">
        <v>29</v>
      </c>
      <c r="B5" s="133">
        <v>0.27780825430814876</v>
      </c>
      <c r="C5" s="133">
        <v>0.27997123235318516</v>
      </c>
      <c r="D5" s="133">
        <v>0.28826446324420785</v>
      </c>
      <c r="E5" s="133">
        <v>0.593616541096321</v>
      </c>
      <c r="F5" s="133">
        <v>0.29935690108371116</v>
      </c>
      <c r="G5" s="133">
        <v>0.62113697650143995</v>
      </c>
      <c r="H5" s="133">
        <v>0.63785789431833151</v>
      </c>
      <c r="I5" s="133">
        <v>1.6307798902709933</v>
      </c>
      <c r="J5" s="133">
        <v>2.3083229094829942</v>
      </c>
      <c r="K5" s="133">
        <v>2.6564283526105119</v>
      </c>
      <c r="L5" s="133">
        <v>2.6663269400373988</v>
      </c>
      <c r="M5" s="133">
        <v>2.6753932001186929</v>
      </c>
      <c r="N5" s="133">
        <v>2.6866804753032132</v>
      </c>
      <c r="O5" s="133">
        <v>1.6876276859292887</v>
      </c>
      <c r="P5" s="133">
        <v>0.67812650013288123</v>
      </c>
      <c r="Q5" s="133">
        <v>3.4144831879118787</v>
      </c>
      <c r="R5" s="133">
        <v>4.0684379036717173</v>
      </c>
      <c r="S5" s="133">
        <v>4.1019493925333315</v>
      </c>
      <c r="T5" s="133">
        <v>3.9054124922235052</v>
      </c>
      <c r="U5" s="133">
        <v>2.7501241429266536</v>
      </c>
      <c r="V5" s="133">
        <v>3.2015115689386113</v>
      </c>
      <c r="W5" s="133">
        <v>2.0790101600138615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119.67248771473783</v>
      </c>
      <c r="C7" s="133">
        <v>115.98734710798126</v>
      </c>
      <c r="D7" s="133">
        <v>118.91185283485243</v>
      </c>
      <c r="E7" s="133">
        <v>122.30574772811769</v>
      </c>
      <c r="F7" s="133">
        <v>117.95532329825321</v>
      </c>
      <c r="G7" s="133">
        <v>122.49811063198713</v>
      </c>
      <c r="H7" s="133">
        <v>120.35919450315389</v>
      </c>
      <c r="I7" s="133">
        <v>127.3732203194615</v>
      </c>
      <c r="J7" s="133">
        <v>126.6763541671301</v>
      </c>
      <c r="K7" s="133">
        <v>123.65692866927802</v>
      </c>
      <c r="L7" s="133">
        <v>148.0018206347215</v>
      </c>
      <c r="M7" s="133">
        <v>141.31296919223504</v>
      </c>
      <c r="N7" s="133">
        <v>142.7130762437946</v>
      </c>
      <c r="O7" s="133">
        <v>148.27000664471365</v>
      </c>
      <c r="P7" s="133">
        <v>141.88844881890239</v>
      </c>
      <c r="Q7" s="133">
        <v>130.40077812131386</v>
      </c>
      <c r="R7" s="133">
        <v>127.57323452441153</v>
      </c>
      <c r="S7" s="133">
        <v>128.59434860019462</v>
      </c>
      <c r="T7" s="133">
        <v>132.3618887243446</v>
      </c>
      <c r="U7" s="133">
        <v>142.31779818913293</v>
      </c>
      <c r="V7" s="133">
        <v>134.86141216921175</v>
      </c>
      <c r="W7" s="133">
        <v>136.91747061183801</v>
      </c>
      <c r="DA7" s="157" t="s">
        <v>304</v>
      </c>
    </row>
    <row r="8" spans="1:105" ht="12" customHeight="1" x14ac:dyDescent="0.25">
      <c r="A8" s="132" t="s">
        <v>73</v>
      </c>
      <c r="B8" s="133">
        <v>0.83219099370117278</v>
      </c>
      <c r="C8" s="133">
        <v>0.92815490545202439</v>
      </c>
      <c r="D8" s="133">
        <v>0.91511605217215741</v>
      </c>
      <c r="E8" s="133">
        <v>1.1209806926878068</v>
      </c>
      <c r="F8" s="133">
        <v>1.2086317829406441</v>
      </c>
      <c r="G8" s="133">
        <v>1.1680259945384748</v>
      </c>
      <c r="H8" s="133">
        <v>1.2371032132138051</v>
      </c>
      <c r="I8" s="133">
        <v>1.5368687020527623</v>
      </c>
      <c r="J8" s="133">
        <v>1.7208917679825799</v>
      </c>
      <c r="K8" s="133">
        <v>1.9496844746882522</v>
      </c>
      <c r="L8" s="133">
        <v>2.2325746221520055</v>
      </c>
      <c r="M8" s="133">
        <v>2.6953775531635422</v>
      </c>
      <c r="N8" s="133">
        <v>2.8303894080401522</v>
      </c>
      <c r="O8" s="133">
        <v>3.1306247857863458</v>
      </c>
      <c r="P8" s="133">
        <v>4.8015363828948576</v>
      </c>
      <c r="Q8" s="133">
        <v>6.2873444137688308</v>
      </c>
      <c r="R8" s="133">
        <v>6.7960903638515688</v>
      </c>
      <c r="S8" s="133">
        <v>6.9081895129434274</v>
      </c>
      <c r="T8" s="133">
        <v>7.3135799726818105</v>
      </c>
      <c r="U8" s="133">
        <v>7.7379697298607075</v>
      </c>
      <c r="V8" s="133">
        <v>8.2457124466606917</v>
      </c>
      <c r="W8" s="133">
        <v>9.8380954102420368</v>
      </c>
      <c r="DA8" s="157" t="s">
        <v>305</v>
      </c>
    </row>
    <row r="9" spans="1:105" ht="12" customHeight="1" x14ac:dyDescent="0.25">
      <c r="A9" s="132" t="s">
        <v>78</v>
      </c>
      <c r="B9" s="133">
        <v>1538.7448456287825</v>
      </c>
      <c r="C9" s="133">
        <v>1694.1745127859929</v>
      </c>
      <c r="D9" s="133">
        <v>1589.1478138706098</v>
      </c>
      <c r="E9" s="133">
        <v>1748.8516504790207</v>
      </c>
      <c r="F9" s="133">
        <v>1986.3792380914069</v>
      </c>
      <c r="G9" s="133">
        <v>1815.303881909741</v>
      </c>
      <c r="H9" s="133">
        <v>1858.0348588479426</v>
      </c>
      <c r="I9" s="133">
        <v>1645.5341712704524</v>
      </c>
      <c r="J9" s="133">
        <v>1858.2649030522366</v>
      </c>
      <c r="K9" s="133">
        <v>1972.0128644741776</v>
      </c>
      <c r="L9" s="133">
        <v>2367.5140614612069</v>
      </c>
      <c r="M9" s="133">
        <v>1860.1468715093986</v>
      </c>
      <c r="N9" s="133">
        <v>2199.1544660019044</v>
      </c>
      <c r="O9" s="133">
        <v>2265.4101819234684</v>
      </c>
      <c r="P9" s="133">
        <v>1727.3586521350012</v>
      </c>
      <c r="Q9" s="133">
        <v>1941.3906800516845</v>
      </c>
      <c r="R9" s="133">
        <v>1975.5314899962657</v>
      </c>
      <c r="S9" s="133">
        <v>1978.4726623977724</v>
      </c>
      <c r="T9" s="133">
        <v>1957.9772554413905</v>
      </c>
      <c r="U9" s="133">
        <v>1843.2713585929048</v>
      </c>
      <c r="V9" s="133">
        <v>1675.1008462620903</v>
      </c>
      <c r="W9" s="133">
        <v>1863.1535684376911</v>
      </c>
      <c r="DA9" s="157" t="s">
        <v>306</v>
      </c>
    </row>
    <row r="10" spans="1:105" ht="12" customHeight="1" x14ac:dyDescent="0.25">
      <c r="A10" s="132" t="s">
        <v>128</v>
      </c>
      <c r="B10" s="133">
        <v>37.13399000104566</v>
      </c>
      <c r="C10" s="133">
        <v>48.678286088578353</v>
      </c>
      <c r="D10" s="133">
        <v>47.706534858399088</v>
      </c>
      <c r="E10" s="133">
        <v>46.10379075048214</v>
      </c>
      <c r="F10" s="133">
        <v>51.201545477036873</v>
      </c>
      <c r="G10" s="133">
        <v>50.677495302623392</v>
      </c>
      <c r="H10" s="133">
        <v>59.422118803087827</v>
      </c>
      <c r="I10" s="133">
        <v>62.769531834628836</v>
      </c>
      <c r="J10" s="133">
        <v>74.620193134883067</v>
      </c>
      <c r="K10" s="133">
        <v>70.267273590720407</v>
      </c>
      <c r="L10" s="133">
        <v>74.431294030044583</v>
      </c>
      <c r="M10" s="133">
        <v>67.772152253966112</v>
      </c>
      <c r="N10" s="133">
        <v>66.701901262104357</v>
      </c>
      <c r="O10" s="133">
        <v>65.162245355714475</v>
      </c>
      <c r="P10" s="133">
        <v>64.907918471843118</v>
      </c>
      <c r="Q10" s="133">
        <v>60.701480441995471</v>
      </c>
      <c r="R10" s="133">
        <v>60.498357821198965</v>
      </c>
      <c r="S10" s="133">
        <v>78.946836412748922</v>
      </c>
      <c r="T10" s="133">
        <v>86.201336021358628</v>
      </c>
      <c r="U10" s="133">
        <v>95.126448865169806</v>
      </c>
      <c r="V10" s="133">
        <v>97.708036318922467</v>
      </c>
      <c r="W10" s="133">
        <v>92.175864537235483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202.97856239422472</v>
      </c>
      <c r="C12" s="133">
        <v>195.22260628085942</v>
      </c>
      <c r="D12" s="133">
        <v>297.6947533788441</v>
      </c>
      <c r="E12" s="133">
        <v>244.72851273895793</v>
      </c>
      <c r="F12" s="133">
        <v>247.67881074510359</v>
      </c>
      <c r="G12" s="133">
        <v>173.16425976809745</v>
      </c>
      <c r="H12" s="133">
        <v>204.76075959806093</v>
      </c>
      <c r="I12" s="133">
        <v>243.19751591085156</v>
      </c>
      <c r="J12" s="133">
        <v>217.98367548931267</v>
      </c>
      <c r="K12" s="133">
        <v>265.68871479115387</v>
      </c>
      <c r="L12" s="133">
        <v>236.21434107831882</v>
      </c>
      <c r="M12" s="133">
        <v>211.28883560920551</v>
      </c>
      <c r="N12" s="133">
        <v>111.56403118428047</v>
      </c>
      <c r="O12" s="133">
        <v>100.68307403741076</v>
      </c>
      <c r="P12" s="133">
        <v>100.74503658542932</v>
      </c>
      <c r="Q12" s="133">
        <v>96.279143367618133</v>
      </c>
      <c r="R12" s="133">
        <v>103.35345932281689</v>
      </c>
      <c r="S12" s="133">
        <v>149.12386304863239</v>
      </c>
      <c r="T12" s="133">
        <v>136.98432990057429</v>
      </c>
      <c r="U12" s="133">
        <v>169.08614023918162</v>
      </c>
      <c r="V12" s="133">
        <v>170.01497514240904</v>
      </c>
      <c r="W12" s="133">
        <v>151.63190944561276</v>
      </c>
      <c r="DA12" s="157" t="s">
        <v>309</v>
      </c>
    </row>
    <row r="13" spans="1:105" ht="12" customHeight="1" x14ac:dyDescent="0.25">
      <c r="A13" s="132" t="s">
        <v>77</v>
      </c>
      <c r="B13" s="133">
        <v>7.4057893612006476</v>
      </c>
      <c r="C13" s="133">
        <v>8.9214000669062834</v>
      </c>
      <c r="D13" s="133">
        <v>11.153462983819294</v>
      </c>
      <c r="E13" s="133">
        <v>13.024303834672512</v>
      </c>
      <c r="F13" s="133">
        <v>18.74749536392904</v>
      </c>
      <c r="G13" s="133">
        <v>25.201289856537166</v>
      </c>
      <c r="H13" s="133">
        <v>30.977823588443744</v>
      </c>
      <c r="I13" s="133">
        <v>40.783790918591308</v>
      </c>
      <c r="J13" s="133">
        <v>52.083591814826086</v>
      </c>
      <c r="K13" s="133">
        <v>63.813013894148689</v>
      </c>
      <c r="L13" s="133">
        <v>77.02557732365139</v>
      </c>
      <c r="M13" s="133">
        <v>89.278082992178014</v>
      </c>
      <c r="N13" s="133">
        <v>101.76148833976981</v>
      </c>
      <c r="O13" s="133">
        <v>115.55289211131578</v>
      </c>
      <c r="P13" s="133">
        <v>128.67121288667343</v>
      </c>
      <c r="Q13" s="133">
        <v>143.11501225904601</v>
      </c>
      <c r="R13" s="133">
        <v>158.33859315198785</v>
      </c>
      <c r="S13" s="133">
        <v>176.08368575887346</v>
      </c>
      <c r="T13" s="133">
        <v>197.26416127090025</v>
      </c>
      <c r="U13" s="133">
        <v>216.69885561424852</v>
      </c>
      <c r="V13" s="133">
        <v>238.1060477434709</v>
      </c>
      <c r="W13" s="133">
        <v>261.06358943035883</v>
      </c>
      <c r="DA13" s="157" t="s">
        <v>310</v>
      </c>
    </row>
    <row r="14" spans="1:105" ht="12" customHeight="1" x14ac:dyDescent="0.25">
      <c r="A14" s="60" t="s">
        <v>76</v>
      </c>
      <c r="B14" s="65">
        <v>291.22469436882091</v>
      </c>
      <c r="C14" s="65">
        <v>337.78437973772878</v>
      </c>
      <c r="D14" s="65">
        <v>337.05630668125292</v>
      </c>
      <c r="E14" s="65">
        <v>384.34175067037813</v>
      </c>
      <c r="F14" s="65">
        <v>422.42173869234347</v>
      </c>
      <c r="G14" s="65">
        <v>428.41588548815974</v>
      </c>
      <c r="H14" s="65">
        <v>442.33960421708275</v>
      </c>
      <c r="I14" s="65">
        <v>446.75073550213665</v>
      </c>
      <c r="J14" s="65">
        <v>433.9972629772401</v>
      </c>
      <c r="K14" s="65">
        <v>448.74799897686978</v>
      </c>
      <c r="L14" s="65">
        <v>424.73436441824072</v>
      </c>
      <c r="M14" s="65">
        <v>412.90219037021785</v>
      </c>
      <c r="N14" s="65">
        <v>388.48551007100059</v>
      </c>
      <c r="O14" s="65">
        <v>384.80358745601427</v>
      </c>
      <c r="P14" s="65">
        <v>265.2870274610986</v>
      </c>
      <c r="Q14" s="65">
        <v>227.96758328968681</v>
      </c>
      <c r="R14" s="65">
        <v>226.68598932347334</v>
      </c>
      <c r="S14" s="65">
        <v>257.0553539540104</v>
      </c>
      <c r="T14" s="65">
        <v>283.00943654926232</v>
      </c>
      <c r="U14" s="65">
        <v>235.93143828681357</v>
      </c>
      <c r="V14" s="65">
        <v>193.84229773399167</v>
      </c>
      <c r="W14" s="65">
        <v>231.94571606403812</v>
      </c>
      <c r="DA14" s="109" t="s">
        <v>311</v>
      </c>
    </row>
    <row r="15" spans="1:105" ht="12" customHeight="1" x14ac:dyDescent="0.25">
      <c r="A15" s="134" t="s">
        <v>80</v>
      </c>
      <c r="B15" s="135">
        <v>34.564492548240942</v>
      </c>
      <c r="C15" s="135">
        <v>36.896770456420533</v>
      </c>
      <c r="D15" s="135">
        <v>34.653039355770701</v>
      </c>
      <c r="E15" s="135">
        <v>36.836669944707744</v>
      </c>
      <c r="F15" s="135">
        <v>40.550881953907009</v>
      </c>
      <c r="G15" s="135">
        <v>36.52948624148376</v>
      </c>
      <c r="H15" s="135">
        <v>36.881064685907297</v>
      </c>
      <c r="I15" s="135">
        <v>32.878367775891391</v>
      </c>
      <c r="J15" s="135">
        <v>36.125769098141149</v>
      </c>
      <c r="K15" s="135">
        <v>37.727547205911051</v>
      </c>
      <c r="L15" s="135">
        <v>44.335116547075877</v>
      </c>
      <c r="M15" s="135">
        <v>35.086965799462405</v>
      </c>
      <c r="N15" s="135">
        <v>39.994966514027553</v>
      </c>
      <c r="O15" s="135">
        <v>40.774869107516096</v>
      </c>
      <c r="P15" s="135">
        <v>31.546612878375665</v>
      </c>
      <c r="Q15" s="135">
        <v>34.551146445163155</v>
      </c>
      <c r="R15" s="135">
        <v>34.849742528225562</v>
      </c>
      <c r="S15" s="135">
        <v>35.055048378084415</v>
      </c>
      <c r="T15" s="135">
        <v>34.621696366229202</v>
      </c>
      <c r="U15" s="135">
        <v>33.053279727822741</v>
      </c>
      <c r="V15" s="135">
        <v>30.167751662415164</v>
      </c>
      <c r="W15" s="135">
        <v>33.328940420988786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80.746484863291045</v>
      </c>
      <c r="C16" s="131">
        <f t="shared" si="4"/>
        <v>97.369639862206839</v>
      </c>
      <c r="D16" s="131">
        <f t="shared" si="4"/>
        <v>112.08141111324855</v>
      </c>
      <c r="E16" s="131">
        <f t="shared" si="4"/>
        <v>137.36166918998154</v>
      </c>
      <c r="F16" s="131">
        <f t="shared" si="4"/>
        <v>141.76159975937276</v>
      </c>
      <c r="G16" s="131">
        <f t="shared" si="4"/>
        <v>163.68734346557042</v>
      </c>
      <c r="H16" s="131">
        <f t="shared" si="4"/>
        <v>206.92133593344926</v>
      </c>
      <c r="I16" s="131">
        <f t="shared" si="4"/>
        <v>224.74721382965313</v>
      </c>
      <c r="J16" s="131">
        <f t="shared" si="4"/>
        <v>253.15916386732354</v>
      </c>
      <c r="K16" s="131">
        <f t="shared" si="4"/>
        <v>276.89702141157829</v>
      </c>
      <c r="L16" s="131">
        <f t="shared" si="4"/>
        <v>305.88081815427643</v>
      </c>
      <c r="M16" s="131">
        <f t="shared" si="4"/>
        <v>314.69973344586759</v>
      </c>
      <c r="N16" s="131">
        <f t="shared" si="4"/>
        <v>328.13888778206967</v>
      </c>
      <c r="O16" s="131">
        <f t="shared" si="4"/>
        <v>339.92397747134811</v>
      </c>
      <c r="P16" s="131">
        <f t="shared" si="4"/>
        <v>347.73782794440388</v>
      </c>
      <c r="Q16" s="131">
        <f t="shared" si="4"/>
        <v>373.77807472339055</v>
      </c>
      <c r="R16" s="131">
        <f t="shared" ref="R16:W16" si="5">SUM(R17:R18)</f>
        <v>377.49375455889833</v>
      </c>
      <c r="S16" s="131">
        <f t="shared" si="5"/>
        <v>383.70233065406319</v>
      </c>
      <c r="T16" s="131">
        <f t="shared" si="5"/>
        <v>439.35091618078064</v>
      </c>
      <c r="U16" s="131">
        <f t="shared" si="5"/>
        <v>454.41782773222695</v>
      </c>
      <c r="V16" s="131">
        <f t="shared" si="5"/>
        <v>456.7903415718057</v>
      </c>
      <c r="W16" s="131">
        <f t="shared" si="5"/>
        <v>420.78685088405177</v>
      </c>
      <c r="DA16" s="156" t="s">
        <v>313</v>
      </c>
    </row>
    <row r="17" spans="1:105" ht="12.95" customHeight="1" x14ac:dyDescent="0.25">
      <c r="A17" s="132" t="s">
        <v>73</v>
      </c>
      <c r="B17" s="133">
        <v>0.2675529927413075</v>
      </c>
      <c r="C17" s="133">
        <v>0.31094948531245892</v>
      </c>
      <c r="D17" s="133">
        <v>0.38478658654628739</v>
      </c>
      <c r="E17" s="133">
        <v>0.46490530784157508</v>
      </c>
      <c r="F17" s="133">
        <v>0.57859970556151885</v>
      </c>
      <c r="G17" s="133">
        <v>0.69804113030277748</v>
      </c>
      <c r="H17" s="133">
        <v>0.97851401831546236</v>
      </c>
      <c r="I17" s="133">
        <v>1.2149834309892955</v>
      </c>
      <c r="J17" s="133">
        <v>1.4973763105171434</v>
      </c>
      <c r="K17" s="133">
        <v>1.7128097809297529</v>
      </c>
      <c r="L17" s="133">
        <v>1.9604704867669194</v>
      </c>
      <c r="M17" s="133">
        <v>2.1506943181380276</v>
      </c>
      <c r="N17" s="133">
        <v>2.4713970705341985</v>
      </c>
      <c r="O17" s="133">
        <v>3.0445394660446077</v>
      </c>
      <c r="P17" s="133">
        <v>4.0926200382778806</v>
      </c>
      <c r="Q17" s="133">
        <v>5.7298930262224541</v>
      </c>
      <c r="R17" s="133">
        <v>7.4063099736084173</v>
      </c>
      <c r="S17" s="133">
        <v>8.9811888317389919</v>
      </c>
      <c r="T17" s="133">
        <v>10.391576444645366</v>
      </c>
      <c r="U17" s="133">
        <v>11.673959834143186</v>
      </c>
      <c r="V17" s="133">
        <v>12.742974883160283</v>
      </c>
      <c r="W17" s="133">
        <v>13.641722162736524</v>
      </c>
      <c r="DA17" s="157" t="s">
        <v>314</v>
      </c>
    </row>
    <row r="18" spans="1:105" ht="12" customHeight="1" x14ac:dyDescent="0.25">
      <c r="A18" s="132" t="s">
        <v>72</v>
      </c>
      <c r="B18" s="133">
        <v>80.478931870549744</v>
      </c>
      <c r="C18" s="133">
        <v>97.058690376894376</v>
      </c>
      <c r="D18" s="133">
        <v>111.69662452670227</v>
      </c>
      <c r="E18" s="133">
        <v>136.89676388213996</v>
      </c>
      <c r="F18" s="133">
        <v>141.18300005381124</v>
      </c>
      <c r="G18" s="133">
        <v>162.98930233526764</v>
      </c>
      <c r="H18" s="133">
        <v>205.94282191513381</v>
      </c>
      <c r="I18" s="133">
        <v>223.53223039866384</v>
      </c>
      <c r="J18" s="133">
        <v>251.66178755680639</v>
      </c>
      <c r="K18" s="133">
        <v>275.18421163064852</v>
      </c>
      <c r="L18" s="133">
        <v>303.92034766750953</v>
      </c>
      <c r="M18" s="133">
        <v>312.54903912772954</v>
      </c>
      <c r="N18" s="133">
        <v>325.66749071153549</v>
      </c>
      <c r="O18" s="133">
        <v>336.87943800530348</v>
      </c>
      <c r="P18" s="133">
        <v>343.64520790612602</v>
      </c>
      <c r="Q18" s="133">
        <v>368.0481816971681</v>
      </c>
      <c r="R18" s="133">
        <v>370.08744458528992</v>
      </c>
      <c r="S18" s="133">
        <v>374.72114182232417</v>
      </c>
      <c r="T18" s="133">
        <v>428.95933973613529</v>
      </c>
      <c r="U18" s="133">
        <v>442.74386789808375</v>
      </c>
      <c r="V18" s="133">
        <v>444.04736668864541</v>
      </c>
      <c r="W18" s="133">
        <v>407.14512872131525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512.89245205125701</v>
      </c>
      <c r="C19" s="131">
        <f t="shared" si="6"/>
        <v>514.35006522251138</v>
      </c>
      <c r="D19" s="131">
        <f t="shared" si="6"/>
        <v>517.44982676846178</v>
      </c>
      <c r="E19" s="131">
        <f t="shared" si="6"/>
        <v>516.0892357103146</v>
      </c>
      <c r="F19" s="131">
        <f t="shared" si="6"/>
        <v>516.60172386132353</v>
      </c>
      <c r="G19" s="131">
        <f t="shared" si="6"/>
        <v>516.7370532169009</v>
      </c>
      <c r="H19" s="131">
        <f t="shared" si="6"/>
        <v>516.82498912053018</v>
      </c>
      <c r="I19" s="131">
        <f t="shared" si="6"/>
        <v>517.42006625427007</v>
      </c>
      <c r="J19" s="131">
        <f t="shared" si="6"/>
        <v>518.05264040264285</v>
      </c>
      <c r="K19" s="131">
        <f t="shared" si="6"/>
        <v>520.63286449623854</v>
      </c>
      <c r="L19" s="131">
        <f t="shared" si="6"/>
        <v>522.84414127031789</v>
      </c>
      <c r="M19" s="131">
        <f t="shared" si="6"/>
        <v>525.86778002304152</v>
      </c>
      <c r="N19" s="131">
        <f t="shared" si="6"/>
        <v>529.18990358180281</v>
      </c>
      <c r="O19" s="131">
        <f t="shared" si="6"/>
        <v>529.96411640325903</v>
      </c>
      <c r="P19" s="131">
        <f t="shared" si="6"/>
        <v>529.59108132463064</v>
      </c>
      <c r="Q19" s="131">
        <f t="shared" si="6"/>
        <v>533.38049943085514</v>
      </c>
      <c r="R19" s="131">
        <f t="shared" ref="R19:W19" si="7">SUM(R20:R27)</f>
        <v>534.75277973939762</v>
      </c>
      <c r="S19" s="131">
        <f t="shared" si="7"/>
        <v>538.95676848193921</v>
      </c>
      <c r="T19" s="131">
        <f t="shared" si="7"/>
        <v>542.48286463936756</v>
      </c>
      <c r="U19" s="131">
        <f t="shared" si="7"/>
        <v>545.43433688647269</v>
      </c>
      <c r="V19" s="131">
        <f t="shared" si="7"/>
        <v>536.06648321682189</v>
      </c>
      <c r="W19" s="131">
        <f t="shared" si="7"/>
        <v>544.0452893581579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20.313376655324721</v>
      </c>
      <c r="C22" s="133">
        <v>19.830284603191341</v>
      </c>
      <c r="D22" s="133">
        <v>19.420591306214874</v>
      </c>
      <c r="E22" s="133">
        <v>19.070027686314713</v>
      </c>
      <c r="F22" s="133">
        <v>19.020052943049521</v>
      </c>
      <c r="G22" s="133">
        <v>18.973591871598384</v>
      </c>
      <c r="H22" s="133">
        <v>18.796313859035411</v>
      </c>
      <c r="I22" s="133">
        <v>18.783457156005994</v>
      </c>
      <c r="J22" s="133">
        <v>19.059002014967774</v>
      </c>
      <c r="K22" s="133">
        <v>19.150331833351881</v>
      </c>
      <c r="L22" s="133">
        <v>19.019737344487528</v>
      </c>
      <c r="M22" s="133">
        <v>19.180881574543289</v>
      </c>
      <c r="N22" s="133">
        <v>19.844412184482756</v>
      </c>
      <c r="O22" s="133">
        <v>20.170097921261974</v>
      </c>
      <c r="P22" s="133">
        <v>20.436116334991812</v>
      </c>
      <c r="Q22" s="133">
        <v>20.803911529803809</v>
      </c>
      <c r="R22" s="133">
        <v>21.112845475306205</v>
      </c>
      <c r="S22" s="133">
        <v>21.333718580729165</v>
      </c>
      <c r="T22" s="133">
        <v>21.901375155598153</v>
      </c>
      <c r="U22" s="133">
        <v>22.387177089624807</v>
      </c>
      <c r="V22" s="133">
        <v>21.881531719120499</v>
      </c>
      <c r="W22" s="133">
        <v>23.086086154244612</v>
      </c>
      <c r="DA22" s="157" t="s">
        <v>319</v>
      </c>
    </row>
    <row r="23" spans="1:105" ht="12" customHeight="1" x14ac:dyDescent="0.25">
      <c r="A23" s="132" t="s">
        <v>153</v>
      </c>
      <c r="B23" s="133">
        <v>148.89904489513373</v>
      </c>
      <c r="C23" s="133">
        <v>153.56145421617467</v>
      </c>
      <c r="D23" s="133">
        <v>165.63823594918313</v>
      </c>
      <c r="E23" s="133">
        <v>161.08969094301852</v>
      </c>
      <c r="F23" s="133">
        <v>161.71438703803767</v>
      </c>
      <c r="G23" s="133">
        <v>163.61890730157452</v>
      </c>
      <c r="H23" s="133">
        <v>166.68297325954265</v>
      </c>
      <c r="I23" s="133">
        <v>165.82016831831203</v>
      </c>
      <c r="J23" s="133">
        <v>166.79512426126274</v>
      </c>
      <c r="K23" s="133">
        <v>171.03220226971345</v>
      </c>
      <c r="L23" s="133">
        <v>174.61337415919573</v>
      </c>
      <c r="M23" s="133">
        <v>177.28489927648647</v>
      </c>
      <c r="N23" s="133">
        <v>195.72508563994234</v>
      </c>
      <c r="O23" s="133">
        <v>199.013997257146</v>
      </c>
      <c r="P23" s="133">
        <v>183.35262674472364</v>
      </c>
      <c r="Q23" s="133">
        <v>179.82453494509539</v>
      </c>
      <c r="R23" s="133">
        <v>184.36710669211911</v>
      </c>
      <c r="S23" s="133">
        <v>198.41372535185604</v>
      </c>
      <c r="T23" s="133">
        <v>196.18370531895903</v>
      </c>
      <c r="U23" s="133">
        <v>189.46876482668799</v>
      </c>
      <c r="V23" s="133">
        <v>156.60360589518021</v>
      </c>
      <c r="W23" s="133">
        <v>159.53946999809492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40.5971956962645</v>
      </c>
      <c r="C25" s="133">
        <v>39.706074854245074</v>
      </c>
      <c r="D25" s="133">
        <v>39.061776683007018</v>
      </c>
      <c r="E25" s="133">
        <v>37.419397577676762</v>
      </c>
      <c r="F25" s="133">
        <v>35.984202400728904</v>
      </c>
      <c r="G25" s="133">
        <v>35.403423449476463</v>
      </c>
      <c r="H25" s="133">
        <v>34.940482354288825</v>
      </c>
      <c r="I25" s="133">
        <v>34.86325470023634</v>
      </c>
      <c r="J25" s="133">
        <v>34.737331269455552</v>
      </c>
      <c r="K25" s="133">
        <v>35.677924214118072</v>
      </c>
      <c r="L25" s="133">
        <v>35.805636803930561</v>
      </c>
      <c r="M25" s="133">
        <v>35.826909885332896</v>
      </c>
      <c r="N25" s="133">
        <v>35.514760213157743</v>
      </c>
      <c r="O25" s="133">
        <v>33.640655266259905</v>
      </c>
      <c r="P25" s="133">
        <v>31.188202778544948</v>
      </c>
      <c r="Q25" s="133">
        <v>30.845523844864989</v>
      </c>
      <c r="R25" s="133">
        <v>31.284958923794882</v>
      </c>
      <c r="S25" s="133">
        <v>31.091960383252299</v>
      </c>
      <c r="T25" s="133">
        <v>31.598304103199467</v>
      </c>
      <c r="U25" s="133">
        <v>30.957736182493278</v>
      </c>
      <c r="V25" s="133">
        <v>29.789901856918299</v>
      </c>
      <c r="W25" s="133">
        <v>29.340955938085994</v>
      </c>
      <c r="DA25" s="157" t="s">
        <v>322</v>
      </c>
    </row>
    <row r="26" spans="1:105" ht="12" customHeight="1" x14ac:dyDescent="0.25">
      <c r="A26" s="132" t="s">
        <v>24</v>
      </c>
      <c r="B26" s="65">
        <v>300.90931803755211</v>
      </c>
      <c r="C26" s="65">
        <v>298.81605206480748</v>
      </c>
      <c r="D26" s="65">
        <v>290.58253323418393</v>
      </c>
      <c r="E26" s="65">
        <v>295.52456490313256</v>
      </c>
      <c r="F26" s="65">
        <v>296.65866187503627</v>
      </c>
      <c r="G26" s="65">
        <v>295.30174968281557</v>
      </c>
      <c r="H26" s="65">
        <v>292.79868482393158</v>
      </c>
      <c r="I26" s="65">
        <v>294.13168994901918</v>
      </c>
      <c r="J26" s="65">
        <v>293.42472541929567</v>
      </c>
      <c r="K26" s="65">
        <v>290.35374753761062</v>
      </c>
      <c r="L26" s="65">
        <v>288.65234051214514</v>
      </c>
      <c r="M26" s="65">
        <v>288.60707552915517</v>
      </c>
      <c r="N26" s="65">
        <v>272.99438157173495</v>
      </c>
      <c r="O26" s="65">
        <v>271.86086208928759</v>
      </c>
      <c r="P26" s="65">
        <v>289.21619909491704</v>
      </c>
      <c r="Q26" s="65">
        <v>296.48468904230327</v>
      </c>
      <c r="R26" s="65">
        <v>292.51830716924366</v>
      </c>
      <c r="S26" s="65">
        <v>282.67170638450244</v>
      </c>
      <c r="T26" s="65">
        <v>287.28211118800817</v>
      </c>
      <c r="U26" s="65">
        <v>296.98385741191424</v>
      </c>
      <c r="V26" s="65">
        <v>322.17854606718504</v>
      </c>
      <c r="W26" s="65">
        <v>326.51368698398346</v>
      </c>
      <c r="DA26" s="109" t="s">
        <v>323</v>
      </c>
    </row>
    <row r="27" spans="1:105" ht="12" customHeight="1" x14ac:dyDescent="0.25">
      <c r="A27" s="145" t="s">
        <v>26</v>
      </c>
      <c r="B27" s="146">
        <v>2.1735167669819431</v>
      </c>
      <c r="C27" s="146">
        <v>2.4361994840928629</v>
      </c>
      <c r="D27" s="146">
        <v>2.7466895958727426</v>
      </c>
      <c r="E27" s="146">
        <v>2.9855546001719691</v>
      </c>
      <c r="F27" s="146">
        <v>3.2244196044711941</v>
      </c>
      <c r="G27" s="146">
        <v>3.4393809114359408</v>
      </c>
      <c r="H27" s="146">
        <v>3.6065348237317263</v>
      </c>
      <c r="I27" s="146">
        <v>3.8214961306964748</v>
      </c>
      <c r="J27" s="146">
        <v>4.0364574376612188</v>
      </c>
      <c r="K27" s="146">
        <v>4.4186586414445399</v>
      </c>
      <c r="L27" s="146">
        <v>4.7530524505588998</v>
      </c>
      <c r="M27" s="146">
        <v>4.9680137575236447</v>
      </c>
      <c r="N27" s="146">
        <v>5.1112639724849522</v>
      </c>
      <c r="O27" s="146">
        <v>5.2785038693035231</v>
      </c>
      <c r="P27" s="146">
        <v>5.3979363714531381</v>
      </c>
      <c r="Q27" s="146">
        <v>5.4218400687876178</v>
      </c>
      <c r="R27" s="146">
        <v>5.4695614789337919</v>
      </c>
      <c r="S27" s="146">
        <v>5.445657781599313</v>
      </c>
      <c r="T27" s="146">
        <v>5.5173688736027531</v>
      </c>
      <c r="U27" s="146">
        <v>5.636801375752361</v>
      </c>
      <c r="V27" s="146">
        <v>5.612897678417883</v>
      </c>
      <c r="W27" s="146">
        <v>5.5650902837489191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446.10227766517244</v>
      </c>
      <c r="C29" s="131">
        <f t="shared" si="8"/>
        <v>449.40109010022587</v>
      </c>
      <c r="D29" s="131">
        <f t="shared" si="8"/>
        <v>454.10693474073867</v>
      </c>
      <c r="E29" s="131">
        <f t="shared" si="8"/>
        <v>458.82032730609455</v>
      </c>
      <c r="F29" s="131">
        <f t="shared" si="8"/>
        <v>463.12027450748985</v>
      </c>
      <c r="G29" s="131">
        <f t="shared" si="8"/>
        <v>470.96064580420085</v>
      </c>
      <c r="H29" s="131">
        <f t="shared" si="8"/>
        <v>477.7740383234584</v>
      </c>
      <c r="I29" s="131">
        <f t="shared" si="8"/>
        <v>486.56895822307933</v>
      </c>
      <c r="J29" s="131">
        <f t="shared" si="8"/>
        <v>494.19710171163507</v>
      </c>
      <c r="K29" s="131">
        <f t="shared" si="8"/>
        <v>499.78208328730335</v>
      </c>
      <c r="L29" s="131">
        <f t="shared" si="8"/>
        <v>504.16517596864855</v>
      </c>
      <c r="M29" s="131">
        <f t="shared" si="8"/>
        <v>504.10488156610029</v>
      </c>
      <c r="N29" s="131">
        <f t="shared" si="8"/>
        <v>505.79511120679996</v>
      </c>
      <c r="O29" s="131">
        <f t="shared" si="8"/>
        <v>509.38093099103276</v>
      </c>
      <c r="P29" s="131">
        <f t="shared" si="8"/>
        <v>511.31055616114384</v>
      </c>
      <c r="Q29" s="131">
        <f t="shared" si="8"/>
        <v>515.02961512265551</v>
      </c>
      <c r="R29" s="131">
        <f t="shared" ref="R29:W29" si="9">SUM(R30:R33)</f>
        <v>516.27219661376762</v>
      </c>
      <c r="S29" s="131">
        <f t="shared" si="9"/>
        <v>520.38917126538831</v>
      </c>
      <c r="T29" s="131">
        <f t="shared" si="9"/>
        <v>523.43182175299273</v>
      </c>
      <c r="U29" s="131">
        <f t="shared" si="9"/>
        <v>526.24468690480489</v>
      </c>
      <c r="V29" s="131">
        <f t="shared" si="9"/>
        <v>520.94329958399794</v>
      </c>
      <c r="W29" s="131">
        <f t="shared" si="9"/>
        <v>524.09327962893963</v>
      </c>
      <c r="DA29" s="156" t="s">
        <v>325</v>
      </c>
    </row>
    <row r="30" spans="1:105" ht="12" customHeight="1" x14ac:dyDescent="0.25">
      <c r="A30" s="132" t="s">
        <v>52</v>
      </c>
      <c r="B30" s="133">
        <v>25.312814407622078</v>
      </c>
      <c r="C30" s="133">
        <v>29.264155133575319</v>
      </c>
      <c r="D30" s="133">
        <v>33.216060513057251</v>
      </c>
      <c r="E30" s="133">
        <v>30.646296448762307</v>
      </c>
      <c r="F30" s="133">
        <v>34.606530890720002</v>
      </c>
      <c r="G30" s="133">
        <v>33.987157233626441</v>
      </c>
      <c r="H30" s="133">
        <v>43.179116108344282</v>
      </c>
      <c r="I30" s="133">
        <v>21.604312372626229</v>
      </c>
      <c r="J30" s="133">
        <v>17.68886239803793</v>
      </c>
      <c r="K30" s="133">
        <v>28.218897226790812</v>
      </c>
      <c r="L30" s="133">
        <v>34.166764943407451</v>
      </c>
      <c r="M30" s="133">
        <v>19.056694375804931</v>
      </c>
      <c r="N30" s="133">
        <v>25.63363272777887</v>
      </c>
      <c r="O30" s="133">
        <v>24.328736871708404</v>
      </c>
      <c r="P30" s="133">
        <v>3.9471991752926279</v>
      </c>
      <c r="Q30" s="133">
        <v>29.476777627115588</v>
      </c>
      <c r="R30" s="133">
        <v>28.910178996466655</v>
      </c>
      <c r="S30" s="133">
        <v>34.774963450122371</v>
      </c>
      <c r="T30" s="133">
        <v>52.86440941635059</v>
      </c>
      <c r="U30" s="133">
        <v>71.164577056341074</v>
      </c>
      <c r="V30" s="133">
        <v>53.079047126462953</v>
      </c>
      <c r="W30" s="133">
        <v>48.548989506705553</v>
      </c>
      <c r="DA30" s="157" t="s">
        <v>326</v>
      </c>
    </row>
    <row r="31" spans="1:105" ht="12" customHeight="1" x14ac:dyDescent="0.25">
      <c r="A31" s="132" t="s">
        <v>153</v>
      </c>
      <c r="B31" s="133">
        <v>136.67124097010122</v>
      </c>
      <c r="C31" s="133">
        <v>138.7656459592379</v>
      </c>
      <c r="D31" s="133">
        <v>138.84419085158933</v>
      </c>
      <c r="E31" s="133">
        <v>144.91911529547349</v>
      </c>
      <c r="F31" s="133">
        <v>143.90047541138924</v>
      </c>
      <c r="G31" s="133">
        <v>145.25729506696607</v>
      </c>
      <c r="H31" s="133">
        <v>138.8987988142934</v>
      </c>
      <c r="I31" s="133">
        <v>161.00852658032454</v>
      </c>
      <c r="J31" s="133">
        <v>168.28320093047211</v>
      </c>
      <c r="K31" s="133">
        <v>157.65045612028089</v>
      </c>
      <c r="L31" s="133">
        <v>149.95621434684529</v>
      </c>
      <c r="M31" s="133">
        <v>163.84990993663419</v>
      </c>
      <c r="N31" s="133">
        <v>155.16958591909795</v>
      </c>
      <c r="O31" s="133">
        <v>156.20697860996714</v>
      </c>
      <c r="P31" s="133">
        <v>175.06444783662175</v>
      </c>
      <c r="Q31" s="133">
        <v>146.65454787011618</v>
      </c>
      <c r="R31" s="133">
        <v>142.46630535725672</v>
      </c>
      <c r="S31" s="133">
        <v>136.48424759908738</v>
      </c>
      <c r="T31" s="133">
        <v>116.43471616283745</v>
      </c>
      <c r="U31" s="133">
        <v>95.201909503313971</v>
      </c>
      <c r="V31" s="133">
        <v>104.396701994064</v>
      </c>
      <c r="W31" s="133">
        <v>112.86721425078449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284.11822228744916</v>
      </c>
      <c r="C33" s="68">
        <v>281.37128900741266</v>
      </c>
      <c r="D33" s="68">
        <v>282.04668337609212</v>
      </c>
      <c r="E33" s="68">
        <v>283.25491556185875</v>
      </c>
      <c r="F33" s="68">
        <v>284.61326820538062</v>
      </c>
      <c r="G33" s="68">
        <v>291.71619350360834</v>
      </c>
      <c r="H33" s="68">
        <v>295.69612340082068</v>
      </c>
      <c r="I33" s="68">
        <v>303.95611927012857</v>
      </c>
      <c r="J33" s="68">
        <v>308.22503838312502</v>
      </c>
      <c r="K33" s="68">
        <v>313.91272994023166</v>
      </c>
      <c r="L33" s="68">
        <v>320.04219667839578</v>
      </c>
      <c r="M33" s="68">
        <v>321.19827725366116</v>
      </c>
      <c r="N33" s="68">
        <v>324.99189255992314</v>
      </c>
      <c r="O33" s="68">
        <v>328.84521550935722</v>
      </c>
      <c r="P33" s="68">
        <v>332.29890914922947</v>
      </c>
      <c r="Q33" s="68">
        <v>338.89828962542373</v>
      </c>
      <c r="R33" s="68">
        <v>344.89571226004432</v>
      </c>
      <c r="S33" s="68">
        <v>349.12996021617863</v>
      </c>
      <c r="T33" s="68">
        <v>354.13269617380473</v>
      </c>
      <c r="U33" s="68">
        <v>359.87820034514988</v>
      </c>
      <c r="V33" s="68">
        <v>363.46755046347096</v>
      </c>
      <c r="W33" s="68">
        <v>362.67707587144952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0.63187242269133281</v>
      </c>
      <c r="C3" s="127">
        <f>IF(SER_hh_tes!C3=0,"",SER_hh_tes!C3/SER_hh_fec!C3)</f>
        <v>0.63698878177927842</v>
      </c>
      <c r="D3" s="127">
        <f>IF(SER_hh_tes!D3=0,"",SER_hh_tes!D3/SER_hh_fec!D3)</f>
        <v>0.65235884787853193</v>
      </c>
      <c r="E3" s="127">
        <f>IF(SER_hh_tes!E3=0,"",SER_hh_tes!E3/SER_hh_fec!E3)</f>
        <v>0.65744480040511488</v>
      </c>
      <c r="F3" s="127">
        <f>IF(SER_hh_tes!F3=0,"",SER_hh_tes!F3/SER_hh_fec!F3)</f>
        <v>0.66150233946182868</v>
      </c>
      <c r="G3" s="127">
        <f>IF(SER_hh_tes!G3=0,"",SER_hh_tes!G3/SER_hh_fec!G3)</f>
        <v>0.67424773536416305</v>
      </c>
      <c r="H3" s="127">
        <f>IF(SER_hh_tes!H3=0,"",SER_hh_tes!H3/SER_hh_fec!H3)</f>
        <v>0.69050008954262476</v>
      </c>
      <c r="I3" s="127">
        <f>IF(SER_hh_tes!I3=0,"",SER_hh_tes!I3/SER_hh_fec!I3)</f>
        <v>0.71102244333794096</v>
      </c>
      <c r="J3" s="127">
        <f>IF(SER_hh_tes!J3=0,"",SER_hh_tes!J3/SER_hh_fec!J3)</f>
        <v>0.71994174614963213</v>
      </c>
      <c r="K3" s="127">
        <f>IF(SER_hh_tes!K3=0,"",SER_hh_tes!K3/SER_hh_fec!K3)</f>
        <v>0.7341021428184632</v>
      </c>
      <c r="L3" s="127">
        <f>IF(SER_hh_tes!L3=0,"",SER_hh_tes!L3/SER_hh_fec!L3)</f>
        <v>0.74153796837607566</v>
      </c>
      <c r="M3" s="127">
        <f>IF(SER_hh_tes!M3=0,"",SER_hh_tes!M3/SER_hh_fec!M3)</f>
        <v>0.76761973341013134</v>
      </c>
      <c r="N3" s="127">
        <f>IF(SER_hh_tes!N3=0,"",SER_hh_tes!N3/SER_hh_fec!N3)</f>
        <v>0.77641560558502654</v>
      </c>
      <c r="O3" s="127">
        <f>IF(SER_hh_tes!O3=0,"",SER_hh_tes!O3/SER_hh_fec!O3)</f>
        <v>0.79234596781855904</v>
      </c>
      <c r="P3" s="127">
        <f>IF(SER_hh_tes!P3=0,"",SER_hh_tes!P3/SER_hh_fec!P3)</f>
        <v>0.81138978373880499</v>
      </c>
      <c r="Q3" s="127">
        <f>IF(SER_hh_tes!Q3=0,"",SER_hh_tes!Q3/SER_hh_fec!Q3)</f>
        <v>0.82070608505935172</v>
      </c>
      <c r="R3" s="127">
        <f>IF(SER_hh_tes!R3=0,"",SER_hh_tes!R3/SER_hh_fec!R3)</f>
        <v>0.83090846808402685</v>
      </c>
      <c r="S3" s="127">
        <f>IF(SER_hh_tes!S3=0,"",SER_hh_tes!S3/SER_hh_fec!S3)</f>
        <v>0.84295073551541289</v>
      </c>
      <c r="T3" s="127">
        <f>IF(SER_hh_tes!T3=0,"",SER_hh_tes!T3/SER_hh_fec!T3)</f>
        <v>0.86437995997334671</v>
      </c>
      <c r="U3" s="127">
        <f>IF(SER_hh_tes!U3=0,"",SER_hh_tes!U3/SER_hh_fec!U3)</f>
        <v>0.88293803327905784</v>
      </c>
      <c r="V3" s="127">
        <f>IF(SER_hh_tes!V3=0,"",SER_hh_tes!V3/SER_hh_fec!V3)</f>
        <v>0.90552834746510102</v>
      </c>
      <c r="W3" s="127">
        <f>IF(SER_hh_tes!W3=0,"",SER_hh_tes!W3/SER_hh_fec!W3)</f>
        <v>0.90827853409393433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0.59520209392800072</v>
      </c>
      <c r="C4" s="136">
        <f>IF(SER_hh_tes!C4=0,"",SER_hh_tes!C4/SER_hh_fec!C4)</f>
        <v>0.60119200272914441</v>
      </c>
      <c r="D4" s="136">
        <f>IF(SER_hh_tes!D4=0,"",SER_hh_tes!D4/SER_hh_fec!D4)</f>
        <v>0.61776937130454668</v>
      </c>
      <c r="E4" s="136">
        <f>IF(SER_hh_tes!E4=0,"",SER_hh_tes!E4/SER_hh_fec!E4)</f>
        <v>0.6209303437490048</v>
      </c>
      <c r="F4" s="136">
        <f>IF(SER_hh_tes!F4=0,"",SER_hh_tes!F4/SER_hh_fec!F4)</f>
        <v>0.62775396608480549</v>
      </c>
      <c r="G4" s="136">
        <f>IF(SER_hh_tes!G4=0,"",SER_hh_tes!G4/SER_hh_fec!G4)</f>
        <v>0.63597881805085588</v>
      </c>
      <c r="H4" s="136">
        <f>IF(SER_hh_tes!H4=0,"",SER_hh_tes!H4/SER_hh_fec!H4)</f>
        <v>0.64937454032504927</v>
      </c>
      <c r="I4" s="136">
        <f>IF(SER_hh_tes!I4=0,"",SER_hh_tes!I4/SER_hh_fec!I4)</f>
        <v>0.66828638015823316</v>
      </c>
      <c r="J4" s="136">
        <f>IF(SER_hh_tes!J4=0,"",SER_hh_tes!J4/SER_hh_fec!J4)</f>
        <v>0.67605850916001287</v>
      </c>
      <c r="K4" s="136">
        <f>IF(SER_hh_tes!K4=0,"",SER_hh_tes!K4/SER_hh_fec!K4)</f>
        <v>0.69124453647904383</v>
      </c>
      <c r="L4" s="136">
        <f>IF(SER_hh_tes!L4=0,"",SER_hh_tes!L4/SER_hh_fec!L4)</f>
        <v>0.69936355374857029</v>
      </c>
      <c r="M4" s="136">
        <f>IF(SER_hh_tes!M4=0,"",SER_hh_tes!M4/SER_hh_fec!M4)</f>
        <v>0.72184140631211036</v>
      </c>
      <c r="N4" s="136">
        <f>IF(SER_hh_tes!N4=0,"",SER_hh_tes!N4/SER_hh_fec!N4)</f>
        <v>0.73244230607234284</v>
      </c>
      <c r="O4" s="136">
        <f>IF(SER_hh_tes!O4=0,"",SER_hh_tes!O4/SER_hh_fec!O4)</f>
        <v>0.74971211401133409</v>
      </c>
      <c r="P4" s="136">
        <f>IF(SER_hh_tes!P4=0,"",SER_hh_tes!P4/SER_hh_fec!P4)</f>
        <v>0.76101607323614928</v>
      </c>
      <c r="Q4" s="136">
        <f>IF(SER_hh_tes!Q4=0,"",SER_hh_tes!Q4/SER_hh_fec!Q4)</f>
        <v>0.76861148697992965</v>
      </c>
      <c r="R4" s="136">
        <f>IF(SER_hh_tes!R4=0,"",SER_hh_tes!R4/SER_hh_fec!R4)</f>
        <v>0.7792877589362166</v>
      </c>
      <c r="S4" s="136">
        <f>IF(SER_hh_tes!S4=0,"",SER_hh_tes!S4/SER_hh_fec!S4)</f>
        <v>0.79293530475385432</v>
      </c>
      <c r="T4" s="136">
        <f>IF(SER_hh_tes!T4=0,"",SER_hh_tes!T4/SER_hh_fec!T4)</f>
        <v>0.80647668548960949</v>
      </c>
      <c r="U4" s="136">
        <f>IF(SER_hh_tes!U4=0,"",SER_hh_tes!U4/SER_hh_fec!U4)</f>
        <v>0.8218301625660086</v>
      </c>
      <c r="V4" s="136">
        <f>IF(SER_hh_tes!V4=0,"",SER_hh_tes!V4/SER_hh_fec!V4)</f>
        <v>0.84102567371907344</v>
      </c>
      <c r="W4" s="136">
        <f>IF(SER_hh_tes!W4=0,"",SER_hh_tes!W4/SER_hh_fec!W4)</f>
        <v>0.85421395361716124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0.58151727818642363</v>
      </c>
      <c r="C5" s="137">
        <f>IF(SER_hh_tes!C5=0,"",SER_hh_tes!C5/SER_hh_fec!C5)</f>
        <v>0.58604489421662032</v>
      </c>
      <c r="D5" s="137">
        <f>IF(SER_hh_tes!D5=0,"",SER_hh_tes!D5/SER_hh_fec!D5)</f>
        <v>0.60340455499102552</v>
      </c>
      <c r="E5" s="137">
        <f>IF(SER_hh_tes!E5=0,"",SER_hh_tes!E5/SER_hh_fec!E5)</f>
        <v>0.62134464701198944</v>
      </c>
      <c r="F5" s="137">
        <f>IF(SER_hh_tes!F5=0,"",SER_hh_tes!F5/SER_hh_fec!F5)</f>
        <v>0.62662360684009366</v>
      </c>
      <c r="G5" s="137">
        <f>IF(SER_hh_tes!G5=0,"",SER_hh_tes!G5/SER_hh_fec!G5)</f>
        <v>0.6501505748098052</v>
      </c>
      <c r="H5" s="137">
        <f>IF(SER_hh_tes!H5=0,"",SER_hh_tes!H5/SER_hh_fec!H5)</f>
        <v>0.66765253450834261</v>
      </c>
      <c r="I5" s="137">
        <f>IF(SER_hh_tes!I5=0,"",SER_hh_tes!I5/SER_hh_fec!I5)</f>
        <v>0.68276946230296132</v>
      </c>
      <c r="J5" s="137">
        <f>IF(SER_hh_tes!J5=0,"",SER_hh_tes!J5/SER_hh_fec!J5)</f>
        <v>0.69031848176315214</v>
      </c>
      <c r="K5" s="137">
        <f>IF(SER_hh_tes!K5=0,"",SER_hh_tes!K5/SER_hh_fec!K5)</f>
        <v>0.69512784044776033</v>
      </c>
      <c r="L5" s="137">
        <f>IF(SER_hh_tes!L5=0,"",SER_hh_tes!L5/SER_hh_fec!L5)</f>
        <v>0.69771807921507856</v>
      </c>
      <c r="M5" s="137">
        <f>IF(SER_hh_tes!M5=0,"",SER_hh_tes!M5/SER_hh_fec!M5)</f>
        <v>0.70009051654622423</v>
      </c>
      <c r="N5" s="137">
        <f>IF(SER_hh_tes!N5=0,"",SER_hh_tes!N5/SER_hh_fec!N5)</f>
        <v>0.70304414381640601</v>
      </c>
      <c r="O5" s="137">
        <f>IF(SER_hh_tes!O5=0,"",SER_hh_tes!O5/SER_hh_fec!O5)</f>
        <v>0.70657030698241907</v>
      </c>
      <c r="P5" s="137">
        <f>IF(SER_hh_tes!P5=0,"",SER_hh_tes!P5/SER_hh_fec!P5)</f>
        <v>0.70980210571014413</v>
      </c>
      <c r="Q5" s="137">
        <f>IF(SER_hh_tes!Q5=0,"",SER_hh_tes!Q5/SER_hh_fec!Q5)</f>
        <v>0.71618734062104639</v>
      </c>
      <c r="R5" s="137">
        <f>IF(SER_hh_tes!R5=0,"",SER_hh_tes!R5/SER_hh_fec!R5)</f>
        <v>0.72545970408300997</v>
      </c>
      <c r="S5" s="137">
        <f>IF(SER_hh_tes!S5=0,"",SER_hh_tes!S5/SER_hh_fec!S5)</f>
        <v>0.7304273553889421</v>
      </c>
      <c r="T5" s="137">
        <f>IF(SER_hh_tes!T5=0,"",SER_hh_tes!T5/SER_hh_fec!T5)</f>
        <v>0.7325089069535109</v>
      </c>
      <c r="U5" s="137">
        <f>IF(SER_hh_tes!U5=0,"",SER_hh_tes!U5/SER_hh_fec!U5)</f>
        <v>0.73460446455446782</v>
      </c>
      <c r="V5" s="137">
        <f>IF(SER_hh_tes!V5=0,"",SER_hh_tes!V5/SER_hh_fec!V5)</f>
        <v>0.73640908104578606</v>
      </c>
      <c r="W5" s="137">
        <f>IF(SER_hh_tes!W5=0,"",SER_hh_tes!W5/SER_hh_fec!W5)</f>
        <v>0.73966435684668352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0.50332876864179765</v>
      </c>
      <c r="C7" s="137">
        <f>IF(SER_hh_tes!C7=0,"",SER_hh_tes!C7/SER_hh_fec!C7)</f>
        <v>0.5060910566236908</v>
      </c>
      <c r="D7" s="137">
        <f>IF(SER_hh_tes!D7=0,"",SER_hh_tes!D7/SER_hh_fec!D7)</f>
        <v>0.51003212308272905</v>
      </c>
      <c r="E7" s="137">
        <f>IF(SER_hh_tes!E7=0,"",SER_hh_tes!E7/SER_hh_fec!E7)</f>
        <v>0.51403455972718948</v>
      </c>
      <c r="F7" s="137">
        <f>IF(SER_hh_tes!F7=0,"",SER_hh_tes!F7/SER_hh_fec!F7)</f>
        <v>0.52007746032212965</v>
      </c>
      <c r="G7" s="137">
        <f>IF(SER_hh_tes!G7=0,"",SER_hh_tes!G7/SER_hh_fec!G7)</f>
        <v>0.52752113634819564</v>
      </c>
      <c r="H7" s="137">
        <f>IF(SER_hh_tes!H7=0,"",SER_hh_tes!H7/SER_hh_fec!H7)</f>
        <v>0.53666962480170521</v>
      </c>
      <c r="I7" s="137">
        <f>IF(SER_hh_tes!I7=0,"",SER_hh_tes!I7/SER_hh_fec!I7)</f>
        <v>0.54729901854818697</v>
      </c>
      <c r="J7" s="137">
        <f>IF(SER_hh_tes!J7=0,"",SER_hh_tes!J7/SER_hh_fec!J7)</f>
        <v>0.55553850931981241</v>
      </c>
      <c r="K7" s="137">
        <f>IF(SER_hh_tes!K7=0,"",SER_hh_tes!K7/SER_hh_fec!K7)</f>
        <v>0.56513163551870138</v>
      </c>
      <c r="L7" s="137">
        <f>IF(SER_hh_tes!L7=0,"",SER_hh_tes!L7/SER_hh_fec!L7)</f>
        <v>0.57718892956765511</v>
      </c>
      <c r="M7" s="137">
        <f>IF(SER_hh_tes!M7=0,"",SER_hh_tes!M7/SER_hh_fec!M7)</f>
        <v>0.59167434051491008</v>
      </c>
      <c r="N7" s="137">
        <f>IF(SER_hh_tes!N7=0,"",SER_hh_tes!N7/SER_hh_fec!N7)</f>
        <v>0.60722109403794511</v>
      </c>
      <c r="O7" s="137">
        <f>IF(SER_hh_tes!O7=0,"",SER_hh_tes!O7/SER_hh_fec!O7)</f>
        <v>0.62279570173309873</v>
      </c>
      <c r="P7" s="137">
        <f>IF(SER_hh_tes!P7=0,"",SER_hh_tes!P7/SER_hh_fec!P7)</f>
        <v>0.62623481073191112</v>
      </c>
      <c r="Q7" s="137">
        <f>IF(SER_hh_tes!Q7=0,"",SER_hh_tes!Q7/SER_hh_fec!Q7)</f>
        <v>0.63226404927421853</v>
      </c>
      <c r="R7" s="137">
        <f>IF(SER_hh_tes!R7=0,"",SER_hh_tes!R7/SER_hh_fec!R7)</f>
        <v>0.6365335744144397</v>
      </c>
      <c r="S7" s="137">
        <f>IF(SER_hh_tes!S7=0,"",SER_hh_tes!S7/SER_hh_fec!S7)</f>
        <v>0.64583225526548504</v>
      </c>
      <c r="T7" s="137">
        <f>IF(SER_hh_tes!T7=0,"",SER_hh_tes!T7/SER_hh_fec!T7)</f>
        <v>0.65618446897848703</v>
      </c>
      <c r="U7" s="137">
        <f>IF(SER_hh_tes!U7=0,"",SER_hh_tes!U7/SER_hh_fec!U7)</f>
        <v>0.67042119447619752</v>
      </c>
      <c r="V7" s="137">
        <f>IF(SER_hh_tes!V7=0,"",SER_hh_tes!V7/SER_hh_fec!V7)</f>
        <v>0.68306598432856258</v>
      </c>
      <c r="W7" s="137">
        <f>IF(SER_hh_tes!W7=0,"",SER_hh_tes!W7/SER_hh_fec!W7)</f>
        <v>0.69492183867944679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1.0417453458348429</v>
      </c>
      <c r="C8" s="137">
        <f>IF(SER_hh_tes!C8=0,"",SER_hh_tes!C8/SER_hh_fec!C8)</f>
        <v>1.0604185471721703</v>
      </c>
      <c r="D8" s="137">
        <f>IF(SER_hh_tes!D8=0,"",SER_hh_tes!D8/SER_hh_fec!D8)</f>
        <v>1.0901356660259027</v>
      </c>
      <c r="E8" s="137">
        <f>IF(SER_hh_tes!E8=0,"",SER_hh_tes!E8/SER_hh_fec!E8)</f>
        <v>1.128086229763742</v>
      </c>
      <c r="F8" s="137">
        <f>IF(SER_hh_tes!F8=0,"",SER_hh_tes!F8/SER_hh_fec!F8)</f>
        <v>1.1633123083510848</v>
      </c>
      <c r="G8" s="137">
        <f>IF(SER_hh_tes!G8=0,"",SER_hh_tes!G8/SER_hh_fec!G8)</f>
        <v>1.2162011815789227</v>
      </c>
      <c r="H8" s="137">
        <f>IF(SER_hh_tes!H8=0,"",SER_hh_tes!H8/SER_hh_fec!H8)</f>
        <v>1.2801043413337025</v>
      </c>
      <c r="I8" s="137">
        <f>IF(SER_hh_tes!I8=0,"",SER_hh_tes!I8/SER_hh_fec!I8)</f>
        <v>1.3631079631159342</v>
      </c>
      <c r="J8" s="137">
        <f>IF(SER_hh_tes!J8=0,"",SER_hh_tes!J8/SER_hh_fec!J8)</f>
        <v>1.4320157784350129</v>
      </c>
      <c r="K8" s="137">
        <f>IF(SER_hh_tes!K8=0,"",SER_hh_tes!K8/SER_hh_fec!K8)</f>
        <v>1.511364668587482</v>
      </c>
      <c r="L8" s="137">
        <f>IF(SER_hh_tes!L8=0,"",SER_hh_tes!L8/SER_hh_fec!L8)</f>
        <v>1.5930154065193254</v>
      </c>
      <c r="M8" s="137">
        <f>IF(SER_hh_tes!M8=0,"",SER_hh_tes!M8/SER_hh_fec!M8)</f>
        <v>1.6975642157077704</v>
      </c>
      <c r="N8" s="137">
        <f>IF(SER_hh_tes!N8=0,"",SER_hh_tes!N8/SER_hh_fec!N8)</f>
        <v>1.8099486769227349</v>
      </c>
      <c r="O8" s="137">
        <f>IF(SER_hh_tes!O8=0,"",SER_hh_tes!O8/SER_hh_fec!O8)</f>
        <v>1.9424917204636114</v>
      </c>
      <c r="P8" s="137">
        <f>IF(SER_hh_tes!P8=0,"",SER_hh_tes!P8/SER_hh_fec!P8)</f>
        <v>2.0647623290879924</v>
      </c>
      <c r="Q8" s="137">
        <f>IF(SER_hh_tes!Q8=0,"",SER_hh_tes!Q8/SER_hh_fec!Q8)</f>
        <v>2.146481585268774</v>
      </c>
      <c r="R8" s="137">
        <f>IF(SER_hh_tes!R8=0,"",SER_hh_tes!R8/SER_hh_fec!R8)</f>
        <v>2.2020221710790371</v>
      </c>
      <c r="S8" s="137">
        <f>IF(SER_hh_tes!S8=0,"",SER_hh_tes!S8/SER_hh_fec!S8)</f>
        <v>2.2421036451965466</v>
      </c>
      <c r="T8" s="137">
        <f>IF(SER_hh_tes!T8=0,"",SER_hh_tes!T8/SER_hh_fec!T8)</f>
        <v>2.2863215966479649</v>
      </c>
      <c r="U8" s="137">
        <f>IF(SER_hh_tes!U8=0,"",SER_hh_tes!U8/SER_hh_fec!U8)</f>
        <v>2.3353432965285585</v>
      </c>
      <c r="V8" s="137">
        <f>IF(SER_hh_tes!V8=0,"",SER_hh_tes!V8/SER_hh_fec!V8)</f>
        <v>2.3854511323516996</v>
      </c>
      <c r="W8" s="137">
        <f>IF(SER_hh_tes!W8=0,"",SER_hh_tes!W8/SER_hh_fec!W8)</f>
        <v>2.4261600806293031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0.55326519659049378</v>
      </c>
      <c r="C9" s="137">
        <f>IF(SER_hh_tes!C9=0,"",SER_hh_tes!C9/SER_hh_fec!C9)</f>
        <v>0.56059153987416555</v>
      </c>
      <c r="D9" s="137">
        <f>IF(SER_hh_tes!D9=0,"",SER_hh_tes!D9/SER_hh_fec!D9)</f>
        <v>0.56816000598111671</v>
      </c>
      <c r="E9" s="137">
        <f>IF(SER_hh_tes!E9=0,"",SER_hh_tes!E9/SER_hh_fec!E9)</f>
        <v>0.57638940477542933</v>
      </c>
      <c r="F9" s="137">
        <f>IF(SER_hh_tes!F9=0,"",SER_hh_tes!F9/SER_hh_fec!F9)</f>
        <v>0.58501156470427373</v>
      </c>
      <c r="G9" s="137">
        <f>IF(SER_hh_tes!G9=0,"",SER_hh_tes!G9/SER_hh_fec!G9)</f>
        <v>0.59521536305450617</v>
      </c>
      <c r="H9" s="137">
        <f>IF(SER_hh_tes!H9=0,"",SER_hh_tes!H9/SER_hh_fec!H9)</f>
        <v>0.60714394091773871</v>
      </c>
      <c r="I9" s="137">
        <f>IF(SER_hh_tes!I9=0,"",SER_hh_tes!I9/SER_hh_fec!I9)</f>
        <v>0.62040492278512438</v>
      </c>
      <c r="J9" s="137">
        <f>IF(SER_hh_tes!J9=0,"",SER_hh_tes!J9/SER_hh_fec!J9)</f>
        <v>0.63444449798616831</v>
      </c>
      <c r="K9" s="137">
        <f>IF(SER_hh_tes!K9=0,"",SER_hh_tes!K9/SER_hh_fec!K9)</f>
        <v>0.64773723344824985</v>
      </c>
      <c r="L9" s="137">
        <f>IF(SER_hh_tes!L9=0,"",SER_hh_tes!L9/SER_hh_fec!L9)</f>
        <v>0.66439784081990949</v>
      </c>
      <c r="M9" s="137">
        <f>IF(SER_hh_tes!M9=0,"",SER_hh_tes!M9/SER_hh_fec!M9)</f>
        <v>0.68177549542986171</v>
      </c>
      <c r="N9" s="137">
        <f>IF(SER_hh_tes!N9=0,"",SER_hh_tes!N9/SER_hh_fec!N9)</f>
        <v>0.70180189128438897</v>
      </c>
      <c r="O9" s="137">
        <f>IF(SER_hh_tes!O9=0,"",SER_hh_tes!O9/SER_hh_fec!O9)</f>
        <v>0.71966176559568706</v>
      </c>
      <c r="P9" s="137">
        <f>IF(SER_hh_tes!P9=0,"",SER_hh_tes!P9/SER_hh_fec!P9)</f>
        <v>0.72463404801896303</v>
      </c>
      <c r="Q9" s="137">
        <f>IF(SER_hh_tes!Q9=0,"",SER_hh_tes!Q9/SER_hh_fec!Q9)</f>
        <v>0.73229128319076842</v>
      </c>
      <c r="R9" s="137">
        <f>IF(SER_hh_tes!R9=0,"",SER_hh_tes!R9/SER_hh_fec!R9)</f>
        <v>0.74013522457940584</v>
      </c>
      <c r="S9" s="137">
        <f>IF(SER_hh_tes!S9=0,"",SER_hh_tes!S9/SER_hh_fec!S9)</f>
        <v>0.74939184425363348</v>
      </c>
      <c r="T9" s="137">
        <f>IF(SER_hh_tes!T9=0,"",SER_hh_tes!T9/SER_hh_fec!T9)</f>
        <v>0.75865976307672323</v>
      </c>
      <c r="U9" s="137">
        <f>IF(SER_hh_tes!U9=0,"",SER_hh_tes!U9/SER_hh_fec!U9)</f>
        <v>0.76842837856693669</v>
      </c>
      <c r="V9" s="137">
        <f>IF(SER_hh_tes!V9=0,"",SER_hh_tes!V9/SER_hh_fec!V9)</f>
        <v>0.77914986160938404</v>
      </c>
      <c r="W9" s="137">
        <f>IF(SER_hh_tes!W9=0,"",SER_hh_tes!W9/SER_hh_fec!W9)</f>
        <v>0.79059374976114405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0.49687666534604558</v>
      </c>
      <c r="C10" s="137">
        <f>IF(SER_hh_tes!C10=0,"",SER_hh_tes!C10/SER_hh_fec!C10)</f>
        <v>0.50723312216272953</v>
      </c>
      <c r="D10" s="137">
        <f>IF(SER_hh_tes!D10=0,"",SER_hh_tes!D10/SER_hh_fec!D10)</f>
        <v>0.51214768520436105</v>
      </c>
      <c r="E10" s="137">
        <f>IF(SER_hh_tes!E10=0,"",SER_hh_tes!E10/SER_hh_fec!E10)</f>
        <v>0.51680683029215158</v>
      </c>
      <c r="F10" s="137">
        <f>IF(SER_hh_tes!F10=0,"",SER_hh_tes!F10/SER_hh_fec!F10)</f>
        <v>0.52298234508150199</v>
      </c>
      <c r="G10" s="137">
        <f>IF(SER_hh_tes!G10=0,"",SER_hh_tes!G10/SER_hh_fec!G10)</f>
        <v>0.53177045039627957</v>
      </c>
      <c r="H10" s="137">
        <f>IF(SER_hh_tes!H10=0,"",SER_hh_tes!H10/SER_hh_fec!H10)</f>
        <v>0.5414335152633144</v>
      </c>
      <c r="I10" s="137">
        <f>IF(SER_hh_tes!I10=0,"",SER_hh_tes!I10/SER_hh_fec!I10)</f>
        <v>0.54933832339400301</v>
      </c>
      <c r="J10" s="137">
        <f>IF(SER_hh_tes!J10=0,"",SER_hh_tes!J10/SER_hh_fec!J10)</f>
        <v>0.55531422003553299</v>
      </c>
      <c r="K10" s="137">
        <f>IF(SER_hh_tes!K10=0,"",SER_hh_tes!K10/SER_hh_fec!K10)</f>
        <v>0.55962521647253338</v>
      </c>
      <c r="L10" s="137">
        <f>IF(SER_hh_tes!L10=0,"",SER_hh_tes!L10/SER_hh_fec!L10)</f>
        <v>0.56403436555247033</v>
      </c>
      <c r="M10" s="137">
        <f>IF(SER_hh_tes!M10=0,"",SER_hh_tes!M10/SER_hh_fec!M10)</f>
        <v>0.56897614104434335</v>
      </c>
      <c r="N10" s="137">
        <f>IF(SER_hh_tes!N10=0,"",SER_hh_tes!N10/SER_hh_fec!N10)</f>
        <v>0.57415202132043508</v>
      </c>
      <c r="O10" s="137">
        <f>IF(SER_hh_tes!O10=0,"",SER_hh_tes!O10/SER_hh_fec!O10)</f>
        <v>0.5785014606770682</v>
      </c>
      <c r="P10" s="137">
        <f>IF(SER_hh_tes!P10=0,"",SER_hh_tes!P10/SER_hh_fec!P10)</f>
        <v>0.57869841137369438</v>
      </c>
      <c r="Q10" s="137">
        <f>IF(SER_hh_tes!Q10=0,"",SER_hh_tes!Q10/SER_hh_fec!Q10)</f>
        <v>0.5788658948602583</v>
      </c>
      <c r="R10" s="137">
        <f>IF(SER_hh_tes!R10=0,"",SER_hh_tes!R10/SER_hh_fec!R10)</f>
        <v>0.57914561651096808</v>
      </c>
      <c r="S10" s="137">
        <f>IF(SER_hh_tes!S10=0,"",SER_hh_tes!S10/SER_hh_fec!S10)</f>
        <v>0.57957244183156975</v>
      </c>
      <c r="T10" s="137">
        <f>IF(SER_hh_tes!T10=0,"",SER_hh_tes!T10/SER_hh_fec!T10)</f>
        <v>0.57996322905504272</v>
      </c>
      <c r="U10" s="137">
        <f>IF(SER_hh_tes!U10=0,"",SER_hh_tes!U10/SER_hh_fec!U10)</f>
        <v>0.58027632256632555</v>
      </c>
      <c r="V10" s="137">
        <f>IF(SER_hh_tes!V10=0,"",SER_hh_tes!V10/SER_hh_fec!V10)</f>
        <v>0.58057386962356305</v>
      </c>
      <c r="W10" s="137">
        <f>IF(SER_hh_tes!W10=0,"",SER_hh_tes!W10/SER_hh_fec!W10)</f>
        <v>0.58085480845597315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0.86036423987373623</v>
      </c>
      <c r="C12" s="137">
        <f>IF(SER_hh_tes!C12=0,"",SER_hh_tes!C12/SER_hh_fec!C12)</f>
        <v>0.8643323676524165</v>
      </c>
      <c r="D12" s="137">
        <f>IF(SER_hh_tes!D12=0,"",SER_hh_tes!D12/SER_hh_fec!D12)</f>
        <v>0.86729668469371191</v>
      </c>
      <c r="E12" s="137">
        <f>IF(SER_hh_tes!E12=0,"",SER_hh_tes!E12/SER_hh_fec!E12)</f>
        <v>0.86892233762958915</v>
      </c>
      <c r="F12" s="137">
        <f>IF(SER_hh_tes!F12=0,"",SER_hh_tes!F12/SER_hh_fec!F12)</f>
        <v>0.86956852783368566</v>
      </c>
      <c r="G12" s="137">
        <f>IF(SER_hh_tes!G12=0,"",SER_hh_tes!G12/SER_hh_fec!G12)</f>
        <v>0.87120513889012408</v>
      </c>
      <c r="H12" s="137">
        <f>IF(SER_hh_tes!H12=0,"",SER_hh_tes!H12/SER_hh_fec!H12)</f>
        <v>0.8741074032381646</v>
      </c>
      <c r="I12" s="137">
        <f>IF(SER_hh_tes!I12=0,"",SER_hh_tes!I12/SER_hh_fec!I12)</f>
        <v>0.87772420327714296</v>
      </c>
      <c r="J12" s="137">
        <f>IF(SER_hh_tes!J12=0,"",SER_hh_tes!J12/SER_hh_fec!J12)</f>
        <v>0.88085144494075263</v>
      </c>
      <c r="K12" s="137">
        <f>IF(SER_hh_tes!K12=0,"",SER_hh_tes!K12/SER_hh_fec!K12)</f>
        <v>0.88412960931630968</v>
      </c>
      <c r="L12" s="137">
        <f>IF(SER_hh_tes!L12=0,"",SER_hh_tes!L12/SER_hh_fec!L12)</f>
        <v>0.88653911667854823</v>
      </c>
      <c r="M12" s="137">
        <f>IF(SER_hh_tes!M12=0,"",SER_hh_tes!M12/SER_hh_fec!M12)</f>
        <v>0.88902268715232413</v>
      </c>
      <c r="N12" s="137">
        <f>IF(SER_hh_tes!N12=0,"",SER_hh_tes!N12/SER_hh_fec!N12)</f>
        <v>0.8922211238870259</v>
      </c>
      <c r="O12" s="137">
        <f>IF(SER_hh_tes!O12=0,"",SER_hh_tes!O12/SER_hh_fec!O12)</f>
        <v>0.89543546471172686</v>
      </c>
      <c r="P12" s="137">
        <f>IF(SER_hh_tes!P12=0,"",SER_hh_tes!P12/SER_hh_fec!P12)</f>
        <v>0.89560818222250294</v>
      </c>
      <c r="Q12" s="137">
        <f>IF(SER_hh_tes!Q12=0,"",SER_hh_tes!Q12/SER_hh_fec!Q12)</f>
        <v>0.89917682082951322</v>
      </c>
      <c r="R12" s="137">
        <f>IF(SER_hh_tes!R12=0,"",SER_hh_tes!R12/SER_hh_fec!R12)</f>
        <v>0.90511110856463961</v>
      </c>
      <c r="S12" s="137">
        <f>IF(SER_hh_tes!S12=0,"",SER_hh_tes!S12/SER_hh_fec!S12)</f>
        <v>0.91325350460568422</v>
      </c>
      <c r="T12" s="137">
        <f>IF(SER_hh_tes!T12=0,"",SER_hh_tes!T12/SER_hh_fec!T12)</f>
        <v>0.91875153211073413</v>
      </c>
      <c r="U12" s="137">
        <f>IF(SER_hh_tes!U12=0,"",SER_hh_tes!U12/SER_hh_fec!U12)</f>
        <v>0.92367083450980914</v>
      </c>
      <c r="V12" s="137">
        <f>IF(SER_hh_tes!V12=0,"",SER_hh_tes!V12/SER_hh_fec!V12)</f>
        <v>0.92722546717095689</v>
      </c>
      <c r="W12" s="137">
        <f>IF(SER_hh_tes!W12=0,"",SER_hh_tes!W12/SER_hh_fec!W12)</f>
        <v>0.93039321244261897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1.4958418882677875</v>
      </c>
      <c r="C13" s="137">
        <f>IF(SER_hh_tes!C13=0,"",SER_hh_tes!C13/SER_hh_fec!C13)</f>
        <v>1.5253976484363669</v>
      </c>
      <c r="D13" s="137">
        <f>IF(SER_hh_tes!D13=0,"",SER_hh_tes!D13/SER_hh_fec!D13)</f>
        <v>1.5783121760564118</v>
      </c>
      <c r="E13" s="137">
        <f>IF(SER_hh_tes!E13=0,"",SER_hh_tes!E13/SER_hh_fec!E13)</f>
        <v>1.6434423624523837</v>
      </c>
      <c r="F13" s="137">
        <f>IF(SER_hh_tes!F13=0,"",SER_hh_tes!F13/SER_hh_fec!F13)</f>
        <v>1.7273570327049874</v>
      </c>
      <c r="G13" s="137">
        <f>IF(SER_hh_tes!G13=0,"",SER_hh_tes!G13/SER_hh_fec!G13)</f>
        <v>1.8262279696198405</v>
      </c>
      <c r="H13" s="137">
        <f>IF(SER_hh_tes!H13=0,"",SER_hh_tes!H13/SER_hh_fec!H13)</f>
        <v>1.9184606676947131</v>
      </c>
      <c r="I13" s="137">
        <f>IF(SER_hh_tes!I13=0,"",SER_hh_tes!I13/SER_hh_fec!I13)</f>
        <v>2.0120728462529067</v>
      </c>
      <c r="J13" s="137">
        <f>IF(SER_hh_tes!J13=0,"",SER_hh_tes!J13/SER_hh_fec!J13)</f>
        <v>2.0898914397746782</v>
      </c>
      <c r="K13" s="137">
        <f>IF(SER_hh_tes!K13=0,"",SER_hh_tes!K13/SER_hh_fec!K13)</f>
        <v>2.1709849930565115</v>
      </c>
      <c r="L13" s="137">
        <f>IF(SER_hh_tes!L13=0,"",SER_hh_tes!L13/SER_hh_fec!L13)</f>
        <v>2.2501781574895281</v>
      </c>
      <c r="M13" s="137">
        <f>IF(SER_hh_tes!M13=0,"",SER_hh_tes!M13/SER_hh_fec!M13)</f>
        <v>2.3488846509994703</v>
      </c>
      <c r="N13" s="137">
        <f>IF(SER_hh_tes!N13=0,"",SER_hh_tes!N13/SER_hh_fec!N13)</f>
        <v>2.4464394325875602</v>
      </c>
      <c r="O13" s="137">
        <f>IF(SER_hh_tes!O13=0,"",SER_hh_tes!O13/SER_hh_fec!O13)</f>
        <v>2.5556205596494399</v>
      </c>
      <c r="P13" s="137">
        <f>IF(SER_hh_tes!P13=0,"",SER_hh_tes!P13/SER_hh_fec!P13)</f>
        <v>2.6733047413846704</v>
      </c>
      <c r="Q13" s="137">
        <f>IF(SER_hh_tes!Q13=0,"",SER_hh_tes!Q13/SER_hh_fec!Q13)</f>
        <v>2.7620104650399728</v>
      </c>
      <c r="R13" s="137">
        <f>IF(SER_hh_tes!R13=0,"",SER_hh_tes!R13/SER_hh_fec!R13)</f>
        <v>2.8505330120248282</v>
      </c>
      <c r="S13" s="137">
        <f>IF(SER_hh_tes!S13=0,"",SER_hh_tes!S13/SER_hh_fec!S13)</f>
        <v>2.9388002660663957</v>
      </c>
      <c r="T13" s="137">
        <f>IF(SER_hh_tes!T13=0,"",SER_hh_tes!T13/SER_hh_fec!T13)</f>
        <v>3.0379895676818407</v>
      </c>
      <c r="U13" s="137">
        <f>IF(SER_hh_tes!U13=0,"",SER_hh_tes!U13/SER_hh_fec!U13)</f>
        <v>3.1335218230037527</v>
      </c>
      <c r="V13" s="137">
        <f>IF(SER_hh_tes!V13=0,"",SER_hh_tes!V13/SER_hh_fec!V13)</f>
        <v>3.2250393454928603</v>
      </c>
      <c r="W13" s="137">
        <f>IF(SER_hh_tes!W13=0,"",SER_hh_tes!W13/SER_hh_fec!W13)</f>
        <v>3.2879728048717078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0.7644249111944732</v>
      </c>
      <c r="C14" s="138">
        <f>IF(SER_hh_tes!C14=0,"",SER_hh_tes!C14/SER_hh_fec!C14)</f>
        <v>0.76857253329103981</v>
      </c>
      <c r="D14" s="138">
        <f>IF(SER_hh_tes!D14=0,"",SER_hh_tes!D14/SER_hh_fec!D14)</f>
        <v>0.77287611974985804</v>
      </c>
      <c r="E14" s="138">
        <f>IF(SER_hh_tes!E14=0,"",SER_hh_tes!E14/SER_hh_fec!E14)</f>
        <v>0.77763207389039468</v>
      </c>
      <c r="F14" s="138">
        <f>IF(SER_hh_tes!F14=0,"",SER_hh_tes!F14/SER_hh_fec!F14)</f>
        <v>0.78206186725877003</v>
      </c>
      <c r="G14" s="138">
        <f>IF(SER_hh_tes!G14=0,"",SER_hh_tes!G14/SER_hh_fec!G14)</f>
        <v>0.78740792971846851</v>
      </c>
      <c r="H14" s="138">
        <f>IF(SER_hh_tes!H14=0,"",SER_hh_tes!H14/SER_hh_fec!H14)</f>
        <v>0.7920181921288042</v>
      </c>
      <c r="I14" s="138">
        <f>IF(SER_hh_tes!I14=0,"",SER_hh_tes!I14/SER_hh_fec!I14)</f>
        <v>0.79616210317953551</v>
      </c>
      <c r="J14" s="138">
        <f>IF(SER_hh_tes!J14=0,"",SER_hh_tes!J14/SER_hh_fec!J14)</f>
        <v>0.79952206891407329</v>
      </c>
      <c r="K14" s="138">
        <f>IF(SER_hh_tes!K14=0,"",SER_hh_tes!K14/SER_hh_fec!K14)</f>
        <v>0.80288428335666828</v>
      </c>
      <c r="L14" s="138">
        <f>IF(SER_hh_tes!L14=0,"",SER_hh_tes!L14/SER_hh_fec!L14)</f>
        <v>0.80612347383553962</v>
      </c>
      <c r="M14" s="138">
        <f>IF(SER_hh_tes!M14=0,"",SER_hh_tes!M14/SER_hh_fec!M14)</f>
        <v>0.81192398233315943</v>
      </c>
      <c r="N14" s="138">
        <f>IF(SER_hh_tes!N14=0,"",SER_hh_tes!N14/SER_hh_fec!N14)</f>
        <v>0.81718543638563146</v>
      </c>
      <c r="O14" s="138">
        <f>IF(SER_hh_tes!O14=0,"",SER_hh_tes!O14/SER_hh_fec!O14)</f>
        <v>0.82244669966586448</v>
      </c>
      <c r="P14" s="138">
        <f>IF(SER_hh_tes!P14=0,"",SER_hh_tes!P14/SER_hh_fec!P14)</f>
        <v>0.82309803429415695</v>
      </c>
      <c r="Q14" s="138">
        <f>IF(SER_hh_tes!Q14=0,"",SER_hh_tes!Q14/SER_hh_fec!Q14)</f>
        <v>0.82374223308412686</v>
      </c>
      <c r="R14" s="138">
        <f>IF(SER_hh_tes!R14=0,"",SER_hh_tes!R14/SER_hh_fec!R14)</f>
        <v>0.82600815819063111</v>
      </c>
      <c r="S14" s="138">
        <f>IF(SER_hh_tes!S14=0,"",SER_hh_tes!S14/SER_hh_fec!S14)</f>
        <v>0.83764403903911977</v>
      </c>
      <c r="T14" s="138">
        <f>IF(SER_hh_tes!T14=0,"",SER_hh_tes!T14/SER_hh_fec!T14)</f>
        <v>0.85070551538125738</v>
      </c>
      <c r="U14" s="138">
        <f>IF(SER_hh_tes!U14=0,"",SER_hh_tes!U14/SER_hh_fec!U14)</f>
        <v>0.86107243302329928</v>
      </c>
      <c r="V14" s="138">
        <f>IF(SER_hh_tes!V14=0,"",SER_hh_tes!V14/SER_hh_fec!V14)</f>
        <v>0.87043419287774426</v>
      </c>
      <c r="W14" s="138">
        <f>IF(SER_hh_tes!W14=0,"",SER_hh_tes!W14/SER_hh_fec!W14)</f>
        <v>0.88523762242225223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1.9407366698831452</v>
      </c>
      <c r="C16" s="136">
        <f>IF(SER_hh_tes!C16=0,"",SER_hh_tes!C16/SER_hh_fec!C16)</f>
        <v>2.0706642808660636</v>
      </c>
      <c r="D16" s="136">
        <f>IF(SER_hh_tes!D16=0,"",SER_hh_tes!D16/SER_hh_fec!D16)</f>
        <v>2.1955276633166347</v>
      </c>
      <c r="E16" s="136">
        <f>IF(SER_hh_tes!E16=0,"",SER_hh_tes!E16/SER_hh_fec!E16)</f>
        <v>2.3071052700338766</v>
      </c>
      <c r="F16" s="136">
        <f>IF(SER_hh_tes!F16=0,"",SER_hh_tes!F16/SER_hh_fec!F16)</f>
        <v>2.4256251249035961</v>
      </c>
      <c r="G16" s="136">
        <f>IF(SER_hh_tes!G16=0,"",SER_hh_tes!G16/SER_hh_fec!G16)</f>
        <v>2.5586638828160435</v>
      </c>
      <c r="H16" s="136">
        <f>IF(SER_hh_tes!H16=0,"",SER_hh_tes!H16/SER_hh_fec!H16)</f>
        <v>2.6863251418411771</v>
      </c>
      <c r="I16" s="136">
        <f>IF(SER_hh_tes!I16=0,"",SER_hh_tes!I16/SER_hh_fec!I16)</f>
        <v>2.8234900222899491</v>
      </c>
      <c r="J16" s="136">
        <f>IF(SER_hh_tes!J16=0,"",SER_hh_tes!J16/SER_hh_fec!J16)</f>
        <v>2.9492042897156305</v>
      </c>
      <c r="K16" s="136">
        <f>IF(SER_hh_tes!K16=0,"",SER_hh_tes!K16/SER_hh_fec!K16)</f>
        <v>3.0052182897453457</v>
      </c>
      <c r="L16" s="136">
        <f>IF(SER_hh_tes!L16=0,"",SER_hh_tes!L16/SER_hh_fec!L16)</f>
        <v>3.0724509851397057</v>
      </c>
      <c r="M16" s="136">
        <f>IF(SER_hh_tes!M16=0,"",SER_hh_tes!M16/SER_hh_fec!M16)</f>
        <v>3.1636013112305794</v>
      </c>
      <c r="N16" s="136">
        <f>IF(SER_hh_tes!N16=0,"",SER_hh_tes!N16/SER_hh_fec!N16)</f>
        <v>3.251934188829344</v>
      </c>
      <c r="O16" s="136">
        <f>IF(SER_hh_tes!O16=0,"",SER_hh_tes!O16/SER_hh_fec!O16)</f>
        <v>3.3447028567528578</v>
      </c>
      <c r="P16" s="136">
        <f>IF(SER_hh_tes!P16=0,"",SER_hh_tes!P16/SER_hh_fec!P16)</f>
        <v>3.4516556792979958</v>
      </c>
      <c r="Q16" s="136">
        <f>IF(SER_hh_tes!Q16=0,"",SER_hh_tes!Q16/SER_hh_fec!Q16)</f>
        <v>3.564008742859806</v>
      </c>
      <c r="R16" s="136">
        <f>IF(SER_hh_tes!R16=0,"",SER_hh_tes!R16/SER_hh_fec!R16)</f>
        <v>3.6832305590286007</v>
      </c>
      <c r="S16" s="136">
        <f>IF(SER_hh_tes!S16=0,"",SER_hh_tes!S16/SER_hh_fec!S16)</f>
        <v>3.8026431592159602</v>
      </c>
      <c r="T16" s="136">
        <f>IF(SER_hh_tes!T16=0,"",SER_hh_tes!T16/SER_hh_fec!T16)</f>
        <v>3.9255713331462836</v>
      </c>
      <c r="U16" s="136">
        <f>IF(SER_hh_tes!U16=0,"",SER_hh_tes!U16/SER_hh_fec!U16)</f>
        <v>4.0270558414787798</v>
      </c>
      <c r="V16" s="136">
        <f>IF(SER_hh_tes!V16=0,"",SER_hh_tes!V16/SER_hh_fec!V16)</f>
        <v>4.0972227198568145</v>
      </c>
      <c r="W16" s="136">
        <f>IF(SER_hh_tes!W16=0,"",SER_hh_tes!W16/SER_hh_fec!W16)</f>
        <v>4.1672798381470777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1.295763231477105</v>
      </c>
      <c r="C17" s="137">
        <f>IF(SER_hh_tes!C17=0,"",SER_hh_tes!C17/SER_hh_fec!C17)</f>
        <v>1.3073451547686563</v>
      </c>
      <c r="D17" s="137">
        <f>IF(SER_hh_tes!D17=0,"",SER_hh_tes!D17/SER_hh_fec!D17)</f>
        <v>1.321535291797195</v>
      </c>
      <c r="E17" s="137">
        <f>IF(SER_hh_tes!E17=0,"",SER_hh_tes!E17/SER_hh_fec!E17)</f>
        <v>1.3300599356108216</v>
      </c>
      <c r="F17" s="137">
        <f>IF(SER_hh_tes!F17=0,"",SER_hh_tes!F17/SER_hh_fec!F17)</f>
        <v>1.3432275766684953</v>
      </c>
      <c r="G17" s="137">
        <f>IF(SER_hh_tes!G17=0,"",SER_hh_tes!G17/SER_hh_fec!G17)</f>
        <v>1.3514092269153135</v>
      </c>
      <c r="H17" s="137">
        <f>IF(SER_hh_tes!H17=0,"",SER_hh_tes!H17/SER_hh_fec!H17)</f>
        <v>1.3589841689074666</v>
      </c>
      <c r="I17" s="137">
        <f>IF(SER_hh_tes!I17=0,"",SER_hh_tes!I17/SER_hh_fec!I17)</f>
        <v>1.3657938295385632</v>
      </c>
      <c r="J17" s="137">
        <f>IF(SER_hh_tes!J17=0,"",SER_hh_tes!J17/SER_hh_fec!J17)</f>
        <v>1.3705531429989288</v>
      </c>
      <c r="K17" s="137">
        <f>IF(SER_hh_tes!K17=0,"",SER_hh_tes!K17/SER_hh_fec!K17)</f>
        <v>1.3726412715599448</v>
      </c>
      <c r="L17" s="137">
        <f>IF(SER_hh_tes!L17=0,"",SER_hh_tes!L17/SER_hh_fec!L17)</f>
        <v>1.3749549598461814</v>
      </c>
      <c r="M17" s="137">
        <f>IF(SER_hh_tes!M17=0,"",SER_hh_tes!M17/SER_hh_fec!M17)</f>
        <v>1.3788791780316758</v>
      </c>
      <c r="N17" s="137">
        <f>IF(SER_hh_tes!N17=0,"",SER_hh_tes!N17/SER_hh_fec!N17)</f>
        <v>1.3854977169947742</v>
      </c>
      <c r="O17" s="137">
        <f>IF(SER_hh_tes!O17=0,"",SER_hh_tes!O17/SER_hh_fec!O17)</f>
        <v>1.3987554301490164</v>
      </c>
      <c r="P17" s="137">
        <f>IF(SER_hh_tes!P17=0,"",SER_hh_tes!P17/SER_hh_fec!P17)</f>
        <v>1.4235437007765837</v>
      </c>
      <c r="Q17" s="137">
        <f>IF(SER_hh_tes!Q17=0,"",SER_hh_tes!Q17/SER_hh_fec!Q17)</f>
        <v>1.4512751081702848</v>
      </c>
      <c r="R17" s="137">
        <f>IF(SER_hh_tes!R17=0,"",SER_hh_tes!R17/SER_hh_fec!R17)</f>
        <v>1.478701481529644</v>
      </c>
      <c r="S17" s="137">
        <f>IF(SER_hh_tes!S17=0,"",SER_hh_tes!S17/SER_hh_fec!S17)</f>
        <v>1.5000957979160319</v>
      </c>
      <c r="T17" s="137">
        <f>IF(SER_hh_tes!T17=0,"",SER_hh_tes!T17/SER_hh_fec!T17)</f>
        <v>1.518261261677766</v>
      </c>
      <c r="U17" s="137">
        <f>IF(SER_hh_tes!U17=0,"",SER_hh_tes!U17/SER_hh_fec!U17)</f>
        <v>1.5427416330525106</v>
      </c>
      <c r="V17" s="137">
        <f>IF(SER_hh_tes!V17=0,"",SER_hh_tes!V17/SER_hh_fec!V17)</f>
        <v>1.5619001983854885</v>
      </c>
      <c r="W17" s="137">
        <f>IF(SER_hh_tes!W17=0,"",SER_hh_tes!W17/SER_hh_fec!W17)</f>
        <v>1.5802734334199595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1.9439535113740705</v>
      </c>
      <c r="C18" s="137">
        <f>IF(SER_hh_tes!C18=0,"",SER_hh_tes!C18/SER_hh_fec!C18)</f>
        <v>2.0745448383748828</v>
      </c>
      <c r="D18" s="137">
        <f>IF(SER_hh_tes!D18=0,"",SER_hh_tes!D18/SER_hh_fec!D18)</f>
        <v>2.2005411312611045</v>
      </c>
      <c r="E18" s="137">
        <f>IF(SER_hh_tes!E18=0,"",SER_hh_tes!E18/SER_hh_fec!E18)</f>
        <v>2.3128751531667029</v>
      </c>
      <c r="F18" s="137">
        <f>IF(SER_hh_tes!F18=0,"",SER_hh_tes!F18/SER_hh_fec!F18)</f>
        <v>2.4336621122326441</v>
      </c>
      <c r="G18" s="137">
        <f>IF(SER_hh_tes!G18=0,"",SER_hh_tes!G18/SER_hh_fec!G18)</f>
        <v>2.5684906782498103</v>
      </c>
      <c r="H18" s="137">
        <f>IF(SER_hh_tes!H18=0,"",SER_hh_tes!H18/SER_hh_fec!H18)</f>
        <v>2.6988498385194308</v>
      </c>
      <c r="I18" s="137">
        <f>IF(SER_hh_tes!I18=0,"",SER_hh_tes!I18/SER_hh_fec!I18)</f>
        <v>2.8399650087442132</v>
      </c>
      <c r="J18" s="137">
        <f>IF(SER_hh_tes!J18=0,"",SER_hh_tes!J18/SER_hh_fec!J18)</f>
        <v>2.9695557441854303</v>
      </c>
      <c r="K18" s="137">
        <f>IF(SER_hh_tes!K18=0,"",SER_hh_tes!K18/SER_hh_fec!K18)</f>
        <v>3.0276315622297103</v>
      </c>
      <c r="L18" s="137">
        <f>IF(SER_hh_tes!L18=0,"",SER_hh_tes!L18/SER_hh_fec!L18)</f>
        <v>3.0971158234339362</v>
      </c>
      <c r="M18" s="137">
        <f>IF(SER_hh_tes!M18=0,"",SER_hh_tes!M18/SER_hh_fec!M18)</f>
        <v>3.1920309941099525</v>
      </c>
      <c r="N18" s="137">
        <f>IF(SER_hh_tes!N18=0,"",SER_hh_tes!N18/SER_hh_fec!N18)</f>
        <v>3.2855218588976047</v>
      </c>
      <c r="O18" s="137">
        <f>IF(SER_hh_tes!O18=0,"",SER_hh_tes!O18/SER_hh_fec!O18)</f>
        <v>3.3872910222025165</v>
      </c>
      <c r="P18" s="137">
        <f>IF(SER_hh_tes!P18=0,"",SER_hh_tes!P18/SER_hh_fec!P18)</f>
        <v>3.5112317359186291</v>
      </c>
      <c r="Q18" s="137">
        <f>IF(SER_hh_tes!Q18=0,"",SER_hh_tes!Q18/SER_hh_fec!Q18)</f>
        <v>3.6466566210251679</v>
      </c>
      <c r="R18" s="137">
        <f>IF(SER_hh_tes!R18=0,"",SER_hh_tes!R18/SER_hh_fec!R18)</f>
        <v>3.7965009418339113</v>
      </c>
      <c r="S18" s="137">
        <f>IF(SER_hh_tes!S18=0,"",SER_hh_tes!S18/SER_hh_fec!S18)</f>
        <v>3.9478808187683376</v>
      </c>
      <c r="T18" s="137">
        <f>IF(SER_hh_tes!T18=0,"",SER_hh_tes!T18/SER_hh_fec!T18)</f>
        <v>4.082377820442562</v>
      </c>
      <c r="U18" s="137">
        <f>IF(SER_hh_tes!U18=0,"",SER_hh_tes!U18/SER_hh_fec!U18)</f>
        <v>4.2056263126652214</v>
      </c>
      <c r="V18" s="137">
        <f>IF(SER_hh_tes!V18=0,"",SER_hh_tes!V18/SER_hh_fec!V18)</f>
        <v>4.2974060227586861</v>
      </c>
      <c r="W18" s="137">
        <f>IF(SER_hh_tes!W18=0,"",SER_hh_tes!W18/SER_hh_fec!W18)</f>
        <v>4.4091251352781606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0.67694177255503374</v>
      </c>
      <c r="C19" s="136">
        <f>IF(SER_hh_tes!C19=0,"",SER_hh_tes!C19/SER_hh_fec!C19)</f>
        <v>0.67956587534490431</v>
      </c>
      <c r="D19" s="136">
        <f>IF(SER_hh_tes!D19=0,"",SER_hh_tes!D19/SER_hh_fec!D19)</f>
        <v>0.68045572938009735</v>
      </c>
      <c r="E19" s="136">
        <f>IF(SER_hh_tes!E19=0,"",SER_hh_tes!E19/SER_hh_fec!E19)</f>
        <v>0.68507360756702951</v>
      </c>
      <c r="F19" s="136">
        <f>IF(SER_hh_tes!F19=0,"",SER_hh_tes!F19/SER_hh_fec!F19)</f>
        <v>0.68850638913710649</v>
      </c>
      <c r="G19" s="136">
        <f>IF(SER_hh_tes!G19=0,"",SER_hh_tes!G19/SER_hh_fec!G19)</f>
        <v>0.69257314636136702</v>
      </c>
      <c r="H19" s="136">
        <f>IF(SER_hh_tes!H19=0,"",SER_hh_tes!H19/SER_hh_fec!H19)</f>
        <v>0.69705494300307114</v>
      </c>
      <c r="I19" s="136">
        <f>IF(SER_hh_tes!I19=0,"",SER_hh_tes!I19/SER_hh_fec!I19)</f>
        <v>0.70285215508329946</v>
      </c>
      <c r="J19" s="136">
        <f>IF(SER_hh_tes!J19=0,"",SER_hh_tes!J19/SER_hh_fec!J19)</f>
        <v>0.70814304101916292</v>
      </c>
      <c r="K19" s="136">
        <f>IF(SER_hh_tes!K19=0,"",SER_hh_tes!K19/SER_hh_fec!K19)</f>
        <v>0.71319875708418201</v>
      </c>
      <c r="L19" s="136">
        <f>IF(SER_hh_tes!L19=0,"",SER_hh_tes!L19/SER_hh_fec!L19)</f>
        <v>0.71930934021581883</v>
      </c>
      <c r="M19" s="136">
        <f>IF(SER_hh_tes!M19=0,"",SER_hh_tes!M19/SER_hh_fec!M19)</f>
        <v>0.72654627854300879</v>
      </c>
      <c r="N19" s="136">
        <f>IF(SER_hh_tes!N19=0,"",SER_hh_tes!N19/SER_hh_fec!N19)</f>
        <v>0.73245437655372292</v>
      </c>
      <c r="O19" s="136">
        <f>IF(SER_hh_tes!O19=0,"",SER_hh_tes!O19/SER_hh_fec!O19)</f>
        <v>0.74077544463792244</v>
      </c>
      <c r="P19" s="136">
        <f>IF(SER_hh_tes!P19=0,"",SER_hh_tes!P19/SER_hh_fec!P19)</f>
        <v>0.74628179853485299</v>
      </c>
      <c r="Q19" s="136">
        <f>IF(SER_hh_tes!Q19=0,"",SER_hh_tes!Q19/SER_hh_fec!Q19)</f>
        <v>0.75370492286608348</v>
      </c>
      <c r="R19" s="136">
        <f>IF(SER_hh_tes!R19=0,"",SER_hh_tes!R19/SER_hh_fec!R19)</f>
        <v>0.76178205395701781</v>
      </c>
      <c r="S19" s="136">
        <f>IF(SER_hh_tes!S19=0,"",SER_hh_tes!S19/SER_hh_fec!S19)</f>
        <v>0.77190327795780744</v>
      </c>
      <c r="T19" s="136">
        <f>IF(SER_hh_tes!T19=0,"",SER_hh_tes!T19/SER_hh_fec!T19)</f>
        <v>0.78442969692886944</v>
      </c>
      <c r="U19" s="136">
        <f>IF(SER_hh_tes!U19=0,"",SER_hh_tes!U19/SER_hh_fec!U19)</f>
        <v>0.79781313824095224</v>
      </c>
      <c r="V19" s="136">
        <f>IF(SER_hh_tes!V19=0,"",SER_hh_tes!V19/SER_hh_fec!V19)</f>
        <v>0.81519669307871656</v>
      </c>
      <c r="W19" s="136">
        <f>IF(SER_hh_tes!W19=0,"",SER_hh_tes!W19/SER_hh_fec!W19)</f>
        <v>0.82912748136480885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0.57103053658658498</v>
      </c>
      <c r="C22" s="137">
        <f>IF(SER_hh_tes!C22=0,"",SER_hh_tes!C22/SER_hh_fec!C22)</f>
        <v>0.57236088078017244</v>
      </c>
      <c r="D22" s="137">
        <f>IF(SER_hh_tes!D22=0,"",SER_hh_tes!D22/SER_hh_fec!D22)</f>
        <v>0.57375747161938784</v>
      </c>
      <c r="E22" s="137">
        <f>IF(SER_hh_tes!E22=0,"",SER_hh_tes!E22/SER_hh_fec!E22)</f>
        <v>0.57542963760404375</v>
      </c>
      <c r="F22" s="137">
        <f>IF(SER_hh_tes!F22=0,"",SER_hh_tes!F22/SER_hh_fec!F22)</f>
        <v>0.57742933324791201</v>
      </c>
      <c r="G22" s="137">
        <f>IF(SER_hh_tes!G22=0,"",SER_hh_tes!G22/SER_hh_fec!G22)</f>
        <v>0.57987052186212396</v>
      </c>
      <c r="H22" s="137">
        <f>IF(SER_hh_tes!H22=0,"",SER_hh_tes!H22/SER_hh_fec!H22)</f>
        <v>0.58270412389639481</v>
      </c>
      <c r="I22" s="137">
        <f>IF(SER_hh_tes!I22=0,"",SER_hh_tes!I22/SER_hh_fec!I22)</f>
        <v>0.58586485263492927</v>
      </c>
      <c r="J22" s="137">
        <f>IF(SER_hh_tes!J22=0,"",SER_hh_tes!J22/SER_hh_fec!J22)</f>
        <v>0.58926223289744339</v>
      </c>
      <c r="K22" s="137">
        <f>IF(SER_hh_tes!K22=0,"",SER_hh_tes!K22/SER_hh_fec!K22)</f>
        <v>0.59285021027782625</v>
      </c>
      <c r="L22" s="137">
        <f>IF(SER_hh_tes!L22=0,"",SER_hh_tes!L22/SER_hh_fec!L22)</f>
        <v>0.59695112424527752</v>
      </c>
      <c r="M22" s="137">
        <f>IF(SER_hh_tes!M22=0,"",SER_hh_tes!M22/SER_hh_fec!M22)</f>
        <v>0.60230347209335722</v>
      </c>
      <c r="N22" s="137">
        <f>IF(SER_hh_tes!N22=0,"",SER_hh_tes!N22/SER_hh_fec!N22)</f>
        <v>0.60988205454400757</v>
      </c>
      <c r="O22" s="137">
        <f>IF(SER_hh_tes!O22=0,"",SER_hh_tes!O22/SER_hh_fec!O22)</f>
        <v>0.61902390846933886</v>
      </c>
      <c r="P22" s="137">
        <f>IF(SER_hh_tes!P22=0,"",SER_hh_tes!P22/SER_hh_fec!P22)</f>
        <v>0.62421937015399498</v>
      </c>
      <c r="Q22" s="137">
        <f>IF(SER_hh_tes!Q22=0,"",SER_hh_tes!Q22/SER_hh_fec!Q22)</f>
        <v>0.63175782130545965</v>
      </c>
      <c r="R22" s="137">
        <f>IF(SER_hh_tes!R22=0,"",SER_hh_tes!R22/SER_hh_fec!R22)</f>
        <v>0.6416767376975383</v>
      </c>
      <c r="S22" s="137">
        <f>IF(SER_hh_tes!S22=0,"",SER_hh_tes!S22/SER_hh_fec!S22)</f>
        <v>0.65452888910100449</v>
      </c>
      <c r="T22" s="137">
        <f>IF(SER_hh_tes!T22=0,"",SER_hh_tes!T22/SER_hh_fec!T22)</f>
        <v>0.66890329238231605</v>
      </c>
      <c r="U22" s="137">
        <f>IF(SER_hh_tes!U22=0,"",SER_hh_tes!U22/SER_hh_fec!U22)</f>
        <v>0.68487537042487501</v>
      </c>
      <c r="V22" s="137">
        <f>IF(SER_hh_tes!V22=0,"",SER_hh_tes!V22/SER_hh_fec!V22)</f>
        <v>0.70166724674028169</v>
      </c>
      <c r="W22" s="137">
        <f>IF(SER_hh_tes!W22=0,"",SER_hh_tes!W22/SER_hh_fec!W22)</f>
        <v>0.71940862064997868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0.58337854473149986</v>
      </c>
      <c r="C23" s="137">
        <f>IF(SER_hh_tes!C23=0,"",SER_hh_tes!C23/SER_hh_fec!C23)</f>
        <v>0.58967198229111162</v>
      </c>
      <c r="D23" s="137">
        <f>IF(SER_hh_tes!D23=0,"",SER_hh_tes!D23/SER_hh_fec!D23)</f>
        <v>0.59605506313441403</v>
      </c>
      <c r="E23" s="137">
        <f>IF(SER_hh_tes!E23=0,"",SER_hh_tes!E23/SER_hh_fec!E23)</f>
        <v>0.60166140641998922</v>
      </c>
      <c r="F23" s="137">
        <f>IF(SER_hh_tes!F23=0,"",SER_hh_tes!F23/SER_hh_fec!F23)</f>
        <v>0.60764557209666292</v>
      </c>
      <c r="G23" s="137">
        <f>IF(SER_hh_tes!G23=0,"",SER_hh_tes!G23/SER_hh_fec!G23)</f>
        <v>0.61440170205366729</v>
      </c>
      <c r="H23" s="137">
        <f>IF(SER_hh_tes!H23=0,"",SER_hh_tes!H23/SER_hh_fec!H23)</f>
        <v>0.62207825802587358</v>
      </c>
      <c r="I23" s="137">
        <f>IF(SER_hh_tes!I23=0,"",SER_hh_tes!I23/SER_hh_fec!I23)</f>
        <v>0.6300146233567141</v>
      </c>
      <c r="J23" s="137">
        <f>IF(SER_hh_tes!J23=0,"",SER_hh_tes!J23/SER_hh_fec!J23)</f>
        <v>0.63830539368978345</v>
      </c>
      <c r="K23" s="137">
        <f>IF(SER_hh_tes!K23=0,"",SER_hh_tes!K23/SER_hh_fec!K23)</f>
        <v>0.64707945383280385</v>
      </c>
      <c r="L23" s="137">
        <f>IF(SER_hh_tes!L23=0,"",SER_hh_tes!L23/SER_hh_fec!L23)</f>
        <v>0.6570542634582599</v>
      </c>
      <c r="M23" s="137">
        <f>IF(SER_hh_tes!M23=0,"",SER_hh_tes!M23/SER_hh_fec!M23)</f>
        <v>0.66846248561677257</v>
      </c>
      <c r="N23" s="137">
        <f>IF(SER_hh_tes!N23=0,"",SER_hh_tes!N23/SER_hh_fec!N23)</f>
        <v>0.68184856248575121</v>
      </c>
      <c r="O23" s="137">
        <f>IF(SER_hh_tes!O23=0,"",SER_hh_tes!O23/SER_hh_fec!O23)</f>
        <v>0.69399389100440967</v>
      </c>
      <c r="P23" s="137">
        <f>IF(SER_hh_tes!P23=0,"",SER_hh_tes!P23/SER_hh_fec!P23)</f>
        <v>0.6973010868664129</v>
      </c>
      <c r="Q23" s="137">
        <f>IF(SER_hh_tes!Q23=0,"",SER_hh_tes!Q23/SER_hh_fec!Q23)</f>
        <v>0.70386967895112706</v>
      </c>
      <c r="R23" s="137">
        <f>IF(SER_hh_tes!R23=0,"",SER_hh_tes!R23/SER_hh_fec!R23)</f>
        <v>0.71511171544967844</v>
      </c>
      <c r="S23" s="137">
        <f>IF(SER_hh_tes!S23=0,"",SER_hh_tes!S23/SER_hh_fec!S23)</f>
        <v>0.73084764633018096</v>
      </c>
      <c r="T23" s="137">
        <f>IF(SER_hh_tes!T23=0,"",SER_hh_tes!T23/SER_hh_fec!T23)</f>
        <v>0.74307661169358019</v>
      </c>
      <c r="U23" s="137">
        <f>IF(SER_hh_tes!U23=0,"",SER_hh_tes!U23/SER_hh_fec!U23)</f>
        <v>0.7527319786905331</v>
      </c>
      <c r="V23" s="137">
        <f>IF(SER_hh_tes!V23=0,"",SER_hh_tes!V23/SER_hh_fec!V23)</f>
        <v>0.75898466951758781</v>
      </c>
      <c r="W23" s="137">
        <f>IF(SER_hh_tes!W23=0,"",SER_hh_tes!W23/SER_hh_fec!W23)</f>
        <v>0.77151981211162046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0.87325164984115466</v>
      </c>
      <c r="C25" s="137">
        <f>IF(SER_hh_tes!C25=0,"",SER_hh_tes!C25/SER_hh_fec!C25)</f>
        <v>0.87519697389302864</v>
      </c>
      <c r="D25" s="137">
        <f>IF(SER_hh_tes!D25=0,"",SER_hh_tes!D25/SER_hh_fec!D25)</f>
        <v>0.87689079822107208</v>
      </c>
      <c r="E25" s="137">
        <f>IF(SER_hh_tes!E25=0,"",SER_hh_tes!E25/SER_hh_fec!E25)</f>
        <v>0.87865234062657604</v>
      </c>
      <c r="F25" s="137">
        <f>IF(SER_hh_tes!F25=0,"",SER_hh_tes!F25/SER_hh_fec!F25)</f>
        <v>0.88065478382818752</v>
      </c>
      <c r="G25" s="137">
        <f>IF(SER_hh_tes!G25=0,"",SER_hh_tes!G25/SER_hh_fec!G25)</f>
        <v>0.88327778045337602</v>
      </c>
      <c r="H25" s="137">
        <f>IF(SER_hh_tes!H25=0,"",SER_hh_tes!H25/SER_hh_fec!H25)</f>
        <v>0.88640057605120548</v>
      </c>
      <c r="I25" s="137">
        <f>IF(SER_hh_tes!I25=0,"",SER_hh_tes!I25/SER_hh_fec!I25)</f>
        <v>0.88985640254002352</v>
      </c>
      <c r="J25" s="137">
        <f>IF(SER_hh_tes!J25=0,"",SER_hh_tes!J25/SER_hh_fec!J25)</f>
        <v>0.89337906984145976</v>
      </c>
      <c r="K25" s="137">
        <f>IF(SER_hh_tes!K25=0,"",SER_hh_tes!K25/SER_hh_fec!K25)</f>
        <v>0.89699451131742136</v>
      </c>
      <c r="L25" s="137">
        <f>IF(SER_hh_tes!L25=0,"",SER_hh_tes!L25/SER_hh_fec!L25)</f>
        <v>0.90065859670935178</v>
      </c>
      <c r="M25" s="137">
        <f>IF(SER_hh_tes!M25=0,"",SER_hh_tes!M25/SER_hh_fec!M25)</f>
        <v>0.90444550309180327</v>
      </c>
      <c r="N25" s="137">
        <f>IF(SER_hh_tes!N25=0,"",SER_hh_tes!N25/SER_hh_fec!N25)</f>
        <v>0.90844243111550271</v>
      </c>
      <c r="O25" s="137">
        <f>IF(SER_hh_tes!O25=0,"",SER_hh_tes!O25/SER_hh_fec!O25)</f>
        <v>0.91201351957104282</v>
      </c>
      <c r="P25" s="137">
        <f>IF(SER_hh_tes!P25=0,"",SER_hh_tes!P25/SER_hh_fec!P25)</f>
        <v>0.91227214750248209</v>
      </c>
      <c r="Q25" s="137">
        <f>IF(SER_hh_tes!Q25=0,"",SER_hh_tes!Q25/SER_hh_fec!Q25)</f>
        <v>0.91329686114944142</v>
      </c>
      <c r="R25" s="137">
        <f>IF(SER_hh_tes!R25=0,"",SER_hh_tes!R25/SER_hh_fec!R25)</f>
        <v>0.91533229237144031</v>
      </c>
      <c r="S25" s="137">
        <f>IF(SER_hh_tes!S25=0,"",SER_hh_tes!S25/SER_hh_fec!S25)</f>
        <v>0.91815934298957802</v>
      </c>
      <c r="T25" s="137">
        <f>IF(SER_hh_tes!T25=0,"",SER_hh_tes!T25/SER_hh_fec!T25)</f>
        <v>0.92114494802243385</v>
      </c>
      <c r="U25" s="137">
        <f>IF(SER_hh_tes!U25=0,"",SER_hh_tes!U25/SER_hh_fec!U25)</f>
        <v>0.92415344383863907</v>
      </c>
      <c r="V25" s="137">
        <f>IF(SER_hh_tes!V25=0,"",SER_hh_tes!V25/SER_hh_fec!V25)</f>
        <v>0.92747576789451047</v>
      </c>
      <c r="W25" s="137">
        <f>IF(SER_hh_tes!W25=0,"",SER_hh_tes!W25/SER_hh_fec!W25)</f>
        <v>0.93125732532247096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0.71955341861783273</v>
      </c>
      <c r="C26" s="138">
        <f>IF(SER_hh_tes!C26=0,"",SER_hh_tes!C26/SER_hh_fec!C26)</f>
        <v>0.72175855459432825</v>
      </c>
      <c r="D26" s="138">
        <f>IF(SER_hh_tes!D26=0,"",SER_hh_tes!D26/SER_hh_fec!D26)</f>
        <v>0.72389625659466561</v>
      </c>
      <c r="E26" s="138">
        <f>IF(SER_hh_tes!E26=0,"",SER_hh_tes!E26/SER_hh_fec!E26)</f>
        <v>0.7263200993157054</v>
      </c>
      <c r="F26" s="138">
        <f>IF(SER_hh_tes!F26=0,"",SER_hh_tes!F26/SER_hh_fec!F26)</f>
        <v>0.72859524451227686</v>
      </c>
      <c r="G26" s="138">
        <f>IF(SER_hh_tes!G26=0,"",SER_hh_tes!G26/SER_hh_fec!G26)</f>
        <v>0.73173432683115847</v>
      </c>
      <c r="H26" s="138">
        <f>IF(SER_hh_tes!H26=0,"",SER_hh_tes!H26/SER_hh_fec!H26)</f>
        <v>0.73528064722135089</v>
      </c>
      <c r="I26" s="138">
        <f>IF(SER_hh_tes!I26=0,"",SER_hh_tes!I26/SER_hh_fec!I26)</f>
        <v>0.73919077769574504</v>
      </c>
      <c r="J26" s="138">
        <f>IF(SER_hh_tes!J26=0,"",SER_hh_tes!J26/SER_hh_fec!J26)</f>
        <v>0.74286187215275312</v>
      </c>
      <c r="K26" s="138">
        <f>IF(SER_hh_tes!K26=0,"",SER_hh_tes!K26/SER_hh_fec!K26)</f>
        <v>0.74605193600213948</v>
      </c>
      <c r="L26" s="138">
        <f>IF(SER_hh_tes!L26=0,"",SER_hh_tes!L26/SER_hh_fec!L26)</f>
        <v>0.75023668321900872</v>
      </c>
      <c r="M26" s="138">
        <f>IF(SER_hh_tes!M26=0,"",SER_hh_tes!M26/SER_hh_fec!M26)</f>
        <v>0.75521475645835645</v>
      </c>
      <c r="N26" s="138">
        <f>IF(SER_hh_tes!N26=0,"",SER_hh_tes!N26/SER_hh_fec!N26)</f>
        <v>0.76107793604468643</v>
      </c>
      <c r="O26" s="138">
        <f>IF(SER_hh_tes!O26=0,"",SER_hh_tes!O26/SER_hh_fec!O26)</f>
        <v>0.76817799313315294</v>
      </c>
      <c r="P26" s="138">
        <f>IF(SER_hh_tes!P26=0,"",SER_hh_tes!P26/SER_hh_fec!P26)</f>
        <v>0.77254227714781076</v>
      </c>
      <c r="Q26" s="138">
        <f>IF(SER_hh_tes!Q26=0,"",SER_hh_tes!Q26/SER_hh_fec!Q26)</f>
        <v>0.78007421978604241</v>
      </c>
      <c r="R26" s="138">
        <f>IF(SER_hh_tes!R26=0,"",SER_hh_tes!R26/SER_hh_fec!R26)</f>
        <v>0.78716629607348965</v>
      </c>
      <c r="S26" s="138">
        <f>IF(SER_hh_tes!S26=0,"",SER_hh_tes!S26/SER_hh_fec!S26)</f>
        <v>0.79663847879187744</v>
      </c>
      <c r="T26" s="138">
        <f>IF(SER_hh_tes!T26=0,"",SER_hh_tes!T26/SER_hh_fec!T26)</f>
        <v>0.80927941700977324</v>
      </c>
      <c r="U26" s="138">
        <f>IF(SER_hh_tes!U26=0,"",SER_hh_tes!U26/SER_hh_fec!U26)</f>
        <v>0.82465648341208031</v>
      </c>
      <c r="V26" s="138">
        <f>IF(SER_hh_tes!V26=0,"",SER_hh_tes!V26/SER_hh_fec!V26)</f>
        <v>0.84264653719673788</v>
      </c>
      <c r="W26" s="138">
        <f>IF(SER_hh_tes!W26=0,"",SER_hh_tes!W26/SER_hh_fec!W26)</f>
        <v>0.85875436573815722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0.70977130105106978</v>
      </c>
      <c r="C29" s="136">
        <f>IF(SER_hh_tes!C29=0,"",SER_hh_tes!C29/SER_hh_fec!C29)</f>
        <v>0.70887948823271607</v>
      </c>
      <c r="D29" s="136">
        <f>IF(SER_hh_tes!D29=0,"",SER_hh_tes!D29/SER_hh_fec!D29)</f>
        <v>0.70909606173087314</v>
      </c>
      <c r="E29" s="136">
        <f>IF(SER_hh_tes!E29=0,"",SER_hh_tes!E29/SER_hh_fec!E29)</f>
        <v>0.70962922918515947</v>
      </c>
      <c r="F29" s="136">
        <f>IF(SER_hh_tes!F29=0,"",SER_hh_tes!F29/SER_hh_fec!F29)</f>
        <v>0.71029556757509538</v>
      </c>
      <c r="G29" s="136">
        <f>IF(SER_hh_tes!G29=0,"",SER_hh_tes!G29/SER_hh_fec!G29)</f>
        <v>0.71276210814333807</v>
      </c>
      <c r="H29" s="136">
        <f>IF(SER_hh_tes!H29=0,"",SER_hh_tes!H29/SER_hh_fec!H29)</f>
        <v>0.71421028969296729</v>
      </c>
      <c r="I29" s="136">
        <f>IF(SER_hh_tes!I29=0,"",SER_hh_tes!I29/SER_hh_fec!I29)</f>
        <v>0.71734411368565676</v>
      </c>
      <c r="J29" s="136">
        <f>IF(SER_hh_tes!J29=0,"",SER_hh_tes!J29/SER_hh_fec!J29)</f>
        <v>0.71887492650486529</v>
      </c>
      <c r="K29" s="136">
        <f>IF(SER_hh_tes!K29=0,"",SER_hh_tes!K29/SER_hh_fec!K29)</f>
        <v>0.72135432611088657</v>
      </c>
      <c r="L29" s="136">
        <f>IF(SER_hh_tes!L29=0,"",SER_hh_tes!L29/SER_hh_fec!L29)</f>
        <v>0.72395757033489938</v>
      </c>
      <c r="M29" s="136">
        <f>IF(SER_hh_tes!M29=0,"",SER_hh_tes!M29/SER_hh_fec!M29)</f>
        <v>0.72508637578465307</v>
      </c>
      <c r="N29" s="136">
        <f>IF(SER_hh_tes!N29=0,"",SER_hh_tes!N29/SER_hh_fec!N29)</f>
        <v>0.72674771853876141</v>
      </c>
      <c r="O29" s="136">
        <f>IF(SER_hh_tes!O29=0,"",SER_hh_tes!O29/SER_hh_fec!O29)</f>
        <v>0.72833652740447152</v>
      </c>
      <c r="P29" s="136">
        <f>IF(SER_hh_tes!P29=0,"",SER_hh_tes!P29/SER_hh_fec!P29)</f>
        <v>0.73056568776691533</v>
      </c>
      <c r="Q29" s="136">
        <f>IF(SER_hh_tes!Q29=0,"",SER_hh_tes!Q29/SER_hh_fec!Q29)</f>
        <v>0.73369419612244247</v>
      </c>
      <c r="R29" s="136">
        <f>IF(SER_hh_tes!R29=0,"",SER_hh_tes!R29/SER_hh_fec!R29)</f>
        <v>0.73785199576334926</v>
      </c>
      <c r="S29" s="136">
        <f>IF(SER_hh_tes!S29=0,"",SER_hh_tes!S29/SER_hh_fec!S29)</f>
        <v>0.74109726507336082</v>
      </c>
      <c r="T29" s="136">
        <f>IF(SER_hh_tes!T29=0,"",SER_hh_tes!T29/SER_hh_fec!T29)</f>
        <v>0.74553625478942764</v>
      </c>
      <c r="U29" s="136">
        <f>IF(SER_hh_tes!U29=0,"",SER_hh_tes!U29/SER_hh_fec!U29)</f>
        <v>0.75105106883578598</v>
      </c>
      <c r="V29" s="136">
        <f>IF(SER_hh_tes!V29=0,"",SER_hh_tes!V29/SER_hh_fec!V29)</f>
        <v>0.75876247376067207</v>
      </c>
      <c r="W29" s="136">
        <f>IF(SER_hh_tes!W29=0,"",SER_hh_tes!W29/SER_hh_fec!W29)</f>
        <v>0.76145885311747918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0.60125449899339867</v>
      </c>
      <c r="C30" s="137">
        <f>IF(SER_hh_tes!C30=0,"",SER_hh_tes!C30/SER_hh_fec!C30)</f>
        <v>0.60242875334716517</v>
      </c>
      <c r="D30" s="137">
        <f>IF(SER_hh_tes!D30=0,"",SER_hh_tes!D30/SER_hh_fec!D30)</f>
        <v>0.60333696785431268</v>
      </c>
      <c r="E30" s="137">
        <f>IF(SER_hh_tes!E30=0,"",SER_hh_tes!E30/SER_hh_fec!E30)</f>
        <v>0.60403523664431125</v>
      </c>
      <c r="F30" s="137">
        <f>IF(SER_hh_tes!F30=0,"",SER_hh_tes!F30/SER_hh_fec!F30)</f>
        <v>0.60487289221455465</v>
      </c>
      <c r="G30" s="137">
        <f>IF(SER_hh_tes!G30=0,"",SER_hh_tes!G30/SER_hh_fec!G30)</f>
        <v>0.60547161306230191</v>
      </c>
      <c r="H30" s="137">
        <f>IF(SER_hh_tes!H30=0,"",SER_hh_tes!H30/SER_hh_fec!H30)</f>
        <v>0.60605522897254049</v>
      </c>
      <c r="I30" s="137">
        <f>IF(SER_hh_tes!I30=0,"",SER_hh_tes!I30/SER_hh_fec!I30)</f>
        <v>0.60646867559659645</v>
      </c>
      <c r="J30" s="137">
        <f>IF(SER_hh_tes!J30=0,"",SER_hh_tes!J30/SER_hh_fec!J30)</f>
        <v>0.60690170129858423</v>
      </c>
      <c r="K30" s="137">
        <f>IF(SER_hh_tes!K30=0,"",SER_hh_tes!K30/SER_hh_fec!K30)</f>
        <v>0.60793043645735945</v>
      </c>
      <c r="L30" s="137">
        <f>IF(SER_hh_tes!L30=0,"",SER_hh_tes!L30/SER_hh_fec!L30)</f>
        <v>0.60867127371682506</v>
      </c>
      <c r="M30" s="137">
        <f>IF(SER_hh_tes!M30=0,"",SER_hh_tes!M30/SER_hh_fec!M30)</f>
        <v>0.6087397394263645</v>
      </c>
      <c r="N30" s="137">
        <f>IF(SER_hh_tes!N30=0,"",SER_hh_tes!N30/SER_hh_fec!N30)</f>
        <v>0.60887488664557887</v>
      </c>
      <c r="O30" s="137">
        <f>IF(SER_hh_tes!O30=0,"",SER_hh_tes!O30/SER_hh_fec!O30)</f>
        <v>0.60911664625386686</v>
      </c>
      <c r="P30" s="137">
        <f>IF(SER_hh_tes!P30=0,"",SER_hh_tes!P30/SER_hh_fec!P30)</f>
        <v>0.60942193912744869</v>
      </c>
      <c r="Q30" s="137">
        <f>IF(SER_hh_tes!Q30=0,"",SER_hh_tes!Q30/SER_hh_fec!Q30)</f>
        <v>0.60961998890951508</v>
      </c>
      <c r="R30" s="137">
        <f>IF(SER_hh_tes!R30=0,"",SER_hh_tes!R30/SER_hh_fec!R30)</f>
        <v>0.60998245975436927</v>
      </c>
      <c r="S30" s="137">
        <f>IF(SER_hh_tes!S30=0,"",SER_hh_tes!S30/SER_hh_fec!S30)</f>
        <v>0.61059182882611551</v>
      </c>
      <c r="T30" s="137">
        <f>IF(SER_hh_tes!T30=0,"",SER_hh_tes!T30/SER_hh_fec!T30)</f>
        <v>0.61127319842010786</v>
      </c>
      <c r="U30" s="137">
        <f>IF(SER_hh_tes!U30=0,"",SER_hh_tes!U30/SER_hh_fec!U30)</f>
        <v>0.61169944595605608</v>
      </c>
      <c r="V30" s="137">
        <f>IF(SER_hh_tes!V30=0,"",SER_hh_tes!V30/SER_hh_fec!V30)</f>
        <v>0.61198262134458048</v>
      </c>
      <c r="W30" s="137">
        <f>IF(SER_hh_tes!W30=0,"",SER_hh_tes!W30/SER_hh_fec!W30)</f>
        <v>0.61238993837647426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0.60442559631828752</v>
      </c>
      <c r="C31" s="137">
        <f>IF(SER_hh_tes!C31=0,"",SER_hh_tes!C31/SER_hh_fec!C31)</f>
        <v>0.60515266763569564</v>
      </c>
      <c r="D31" s="137">
        <f>IF(SER_hh_tes!D31=0,"",SER_hh_tes!D31/SER_hh_fec!D31)</f>
        <v>0.60592792554061392</v>
      </c>
      <c r="E31" s="137">
        <f>IF(SER_hh_tes!E31=0,"",SER_hh_tes!E31/SER_hh_fec!E31)</f>
        <v>0.60674119062108056</v>
      </c>
      <c r="F31" s="137">
        <f>IF(SER_hh_tes!F31=0,"",SER_hh_tes!F31/SER_hh_fec!F31)</f>
        <v>0.60750920937302255</v>
      </c>
      <c r="G31" s="137">
        <f>IF(SER_hh_tes!G31=0,"",SER_hh_tes!G31/SER_hh_fec!G31)</f>
        <v>0.60839364374804472</v>
      </c>
      <c r="H31" s="137">
        <f>IF(SER_hh_tes!H31=0,"",SER_hh_tes!H31/SER_hh_fec!H31)</f>
        <v>0.60935516863013139</v>
      </c>
      <c r="I31" s="137">
        <f>IF(SER_hh_tes!I31=0,"",SER_hh_tes!I31/SER_hh_fec!I31)</f>
        <v>0.61043991189848112</v>
      </c>
      <c r="J31" s="137">
        <f>IF(SER_hh_tes!J31=0,"",SER_hh_tes!J31/SER_hh_fec!J31)</f>
        <v>0.61141243111459975</v>
      </c>
      <c r="K31" s="137">
        <f>IF(SER_hh_tes!K31=0,"",SER_hh_tes!K31/SER_hh_fec!K31)</f>
        <v>0.61235340131032256</v>
      </c>
      <c r="L31" s="137">
        <f>IF(SER_hh_tes!L31=0,"",SER_hh_tes!L31/SER_hh_fec!L31)</f>
        <v>0.61300126593879689</v>
      </c>
      <c r="M31" s="137">
        <f>IF(SER_hh_tes!M31=0,"",SER_hh_tes!M31/SER_hh_fec!M31)</f>
        <v>0.61319260224717143</v>
      </c>
      <c r="N31" s="137">
        <f>IF(SER_hh_tes!N31=0,"",SER_hh_tes!N31/SER_hh_fec!N31)</f>
        <v>0.61342035889741853</v>
      </c>
      <c r="O31" s="137">
        <f>IF(SER_hh_tes!O31=0,"",SER_hh_tes!O31/SER_hh_fec!O31)</f>
        <v>0.61370293928290987</v>
      </c>
      <c r="P31" s="137">
        <f>IF(SER_hh_tes!P31=0,"",SER_hh_tes!P31/SER_hh_fec!P31)</f>
        <v>0.6139471459617114</v>
      </c>
      <c r="Q31" s="137">
        <f>IF(SER_hh_tes!Q31=0,"",SER_hh_tes!Q31/SER_hh_fec!Q31)</f>
        <v>0.61411904197367906</v>
      </c>
      <c r="R31" s="137">
        <f>IF(SER_hh_tes!R31=0,"",SER_hh_tes!R31/SER_hh_fec!R31)</f>
        <v>0.61435069807171372</v>
      </c>
      <c r="S31" s="137">
        <f>IF(SER_hh_tes!S31=0,"",SER_hh_tes!S31/SER_hh_fec!S31)</f>
        <v>0.61464917748133496</v>
      </c>
      <c r="T31" s="137">
        <f>IF(SER_hh_tes!T31=0,"",SER_hh_tes!T31/SER_hh_fec!T31)</f>
        <v>0.61507195649926072</v>
      </c>
      <c r="U31" s="137">
        <f>IF(SER_hh_tes!U31=0,"",SER_hh_tes!U31/SER_hh_fec!U31)</f>
        <v>0.61582034827807464</v>
      </c>
      <c r="V31" s="137">
        <f>IF(SER_hh_tes!V31=0,"",SER_hh_tes!V31/SER_hh_fec!V31)</f>
        <v>0.61720472157616391</v>
      </c>
      <c r="W31" s="137">
        <f>IF(SER_hh_tes!W31=0,"",SER_hh_tes!W31/SER_hh_fec!W31)</f>
        <v>0.61886656079114066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0.78856461737442918</v>
      </c>
      <c r="C33" s="150">
        <f>IF(SER_hh_tes!C33=0,"",SER_hh_tes!C33/SER_hh_fec!C33)</f>
        <v>0.79020011305094828</v>
      </c>
      <c r="D33" s="150">
        <f>IF(SER_hh_tes!D33=0,"",SER_hh_tes!D33/SER_hh_fec!D33)</f>
        <v>0.79180873883566694</v>
      </c>
      <c r="E33" s="150">
        <f>IF(SER_hh_tes!E33=0,"",SER_hh_tes!E33/SER_hh_fec!E33)</f>
        <v>0.79347738221018183</v>
      </c>
      <c r="F33" s="150">
        <f>IF(SER_hh_tes!F33=0,"",SER_hh_tes!F33/SER_hh_fec!F33)</f>
        <v>0.79516875740920923</v>
      </c>
      <c r="G33" s="150">
        <f>IF(SER_hh_tes!G33=0,"",SER_hh_tes!G33/SER_hh_fec!G33)</f>
        <v>0.79733174860860989</v>
      </c>
      <c r="H33" s="150">
        <f>IF(SER_hh_tes!H33=0,"",SER_hh_tes!H33/SER_hh_fec!H33)</f>
        <v>0.79968833102465864</v>
      </c>
      <c r="I33" s="150">
        <f>IF(SER_hh_tes!I33=0,"",SER_hh_tes!I33/SER_hh_fec!I33)</f>
        <v>0.80218354639440315</v>
      </c>
      <c r="J33" s="150">
        <f>IF(SER_hh_tes!J33=0,"",SER_hh_tes!J33/SER_hh_fec!J33)</f>
        <v>0.80460521123032003</v>
      </c>
      <c r="K33" s="150">
        <f>IF(SER_hh_tes!K33=0,"",SER_hh_tes!K33/SER_hh_fec!K33)</f>
        <v>0.80703488937256906</v>
      </c>
      <c r="L33" s="150">
        <f>IF(SER_hh_tes!L33=0,"",SER_hh_tes!L33/SER_hh_fec!L33)</f>
        <v>0.808918826765056</v>
      </c>
      <c r="M33" s="150">
        <f>IF(SER_hh_tes!M33=0,"",SER_hh_tes!M33/SER_hh_fec!M33)</f>
        <v>0.80963227822081152</v>
      </c>
      <c r="N33" s="150">
        <f>IF(SER_hh_tes!N33=0,"",SER_hh_tes!N33/SER_hh_fec!N33)</f>
        <v>0.81063009217791149</v>
      </c>
      <c r="O33" s="150">
        <f>IF(SER_hh_tes!O33=0,"",SER_hh_tes!O33/SER_hh_fec!O33)</f>
        <v>0.81215828208543717</v>
      </c>
      <c r="P33" s="150">
        <f>IF(SER_hh_tes!P33=0,"",SER_hh_tes!P33/SER_hh_fec!P33)</f>
        <v>0.81393879135240577</v>
      </c>
      <c r="Q33" s="150">
        <f>IF(SER_hh_tes!Q33=0,"",SER_hh_tes!Q33/SER_hh_fec!Q33)</f>
        <v>0.81699599989678551</v>
      </c>
      <c r="R33" s="150">
        <f>IF(SER_hh_tes!R33=0,"",SER_hh_tes!R33/SER_hh_fec!R33)</f>
        <v>0.82039174388189973</v>
      </c>
      <c r="S33" s="150">
        <f>IF(SER_hh_tes!S33=0,"",SER_hh_tes!S33/SER_hh_fec!S33)</f>
        <v>0.82501086307710514</v>
      </c>
      <c r="T33" s="150">
        <f>IF(SER_hh_tes!T33=0,"",SER_hh_tes!T33/SER_hh_fec!T33)</f>
        <v>0.83070727318960613</v>
      </c>
      <c r="U33" s="150">
        <f>IF(SER_hh_tes!U33=0,"",SER_hh_tes!U33/SER_hh_fec!U33)</f>
        <v>0.83742290805376818</v>
      </c>
      <c r="V33" s="150">
        <f>IF(SER_hh_tes!V33=0,"",SER_hh_tes!V33/SER_hh_fec!V33)</f>
        <v>0.84391453596339272</v>
      </c>
      <c r="W33" s="150">
        <f>IF(SER_hh_tes!W33=0,"",SER_hh_tes!W33/SER_hh_fec!W33)</f>
        <v>0.85011729587014406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8617.470078633105</v>
      </c>
      <c r="C3" s="126">
        <f t="shared" si="0"/>
        <v>9217.4620491772948</v>
      </c>
      <c r="D3" s="126">
        <f t="shared" si="0"/>
        <v>8757.48604947692</v>
      </c>
      <c r="E3" s="126">
        <f t="shared" si="0"/>
        <v>9321.8292007239161</v>
      </c>
      <c r="F3" s="126">
        <f t="shared" si="0"/>
        <v>10161.121542696081</v>
      </c>
      <c r="G3" s="126">
        <f t="shared" si="0"/>
        <v>9382.317421702277</v>
      </c>
      <c r="H3" s="126">
        <f t="shared" si="0"/>
        <v>9426.1745550617106</v>
      </c>
      <c r="I3" s="126">
        <f t="shared" si="0"/>
        <v>8483.0258950549214</v>
      </c>
      <c r="J3" s="126">
        <f t="shared" si="0"/>
        <v>9152.0803101656311</v>
      </c>
      <c r="K3" s="126">
        <f t="shared" si="0"/>
        <v>9409.6567681060551</v>
      </c>
      <c r="L3" s="126">
        <f t="shared" si="0"/>
        <v>10743.043992129808</v>
      </c>
      <c r="M3" s="126">
        <f t="shared" si="0"/>
        <v>8681.4720660474777</v>
      </c>
      <c r="N3" s="126">
        <f t="shared" si="0"/>
        <v>9639.0081074538939</v>
      </c>
      <c r="O3" s="126">
        <f t="shared" si="0"/>
        <v>9671.2222896707335</v>
      </c>
      <c r="P3" s="126">
        <f t="shared" si="0"/>
        <v>7755.2812546134892</v>
      </c>
      <c r="Q3" s="126">
        <f t="shared" si="0"/>
        <v>8331.517241372705</v>
      </c>
      <c r="R3" s="126">
        <f t="shared" ref="R3:W3" si="1">SUM(R4,R16,R19,R29)</f>
        <v>8339.9718438918553</v>
      </c>
      <c r="S3" s="126">
        <f t="shared" si="1"/>
        <v>8290.0034858190629</v>
      </c>
      <c r="T3" s="126">
        <f t="shared" si="1"/>
        <v>8142.8027123850625</v>
      </c>
      <c r="U3" s="126">
        <f t="shared" si="1"/>
        <v>7704.4305584255753</v>
      </c>
      <c r="V3" s="126">
        <f t="shared" si="1"/>
        <v>6916.2630274625744</v>
      </c>
      <c r="W3" s="126">
        <f t="shared" si="1"/>
        <v>7424.6972091564339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7278.3305382420021</v>
      </c>
      <c r="C4" s="131">
        <f t="shared" si="2"/>
        <v>7843.9480042038504</v>
      </c>
      <c r="D4" s="131">
        <f t="shared" si="2"/>
        <v>7329.2414642971526</v>
      </c>
      <c r="E4" s="131">
        <f t="shared" si="2"/>
        <v>7906.495699448662</v>
      </c>
      <c r="F4" s="131">
        <f t="shared" si="2"/>
        <v>8736.6329372098171</v>
      </c>
      <c r="G4" s="131">
        <f t="shared" si="2"/>
        <v>7956.8348098667548</v>
      </c>
      <c r="H4" s="131">
        <f t="shared" si="2"/>
        <v>7982.5587356274918</v>
      </c>
      <c r="I4" s="131">
        <f t="shared" si="2"/>
        <v>7062.1559470961638</v>
      </c>
      <c r="J4" s="131">
        <f t="shared" si="2"/>
        <v>7724.1350535475594</v>
      </c>
      <c r="K4" s="131">
        <f t="shared" si="2"/>
        <v>7970.5113891679321</v>
      </c>
      <c r="L4" s="131">
        <f t="shared" si="2"/>
        <v>9304.8927381164758</v>
      </c>
      <c r="M4" s="131">
        <f t="shared" si="2"/>
        <v>7260.5469105733328</v>
      </c>
      <c r="N4" s="131">
        <f t="shared" si="2"/>
        <v>8168.0890515267811</v>
      </c>
      <c r="O4" s="131">
        <f t="shared" si="2"/>
        <v>8202.8349560496572</v>
      </c>
      <c r="P4" s="131">
        <f t="shared" si="2"/>
        <v>6363.0619743650905</v>
      </c>
      <c r="Q4" s="131">
        <f t="shared" si="2"/>
        <v>6945.0259335268229</v>
      </c>
      <c r="R4" s="131">
        <f t="shared" ref="R4:W4" si="3">SUM(R5:R15)</f>
        <v>6964.6564095793055</v>
      </c>
      <c r="S4" s="131">
        <f t="shared" si="3"/>
        <v>6879.315102543027</v>
      </c>
      <c r="T4" s="131">
        <f t="shared" si="3"/>
        <v>6749.3356045142164</v>
      </c>
      <c r="U4" s="131">
        <f t="shared" si="3"/>
        <v>6341.2410889053581</v>
      </c>
      <c r="V4" s="131">
        <f t="shared" si="3"/>
        <v>5707.4359919819053</v>
      </c>
      <c r="W4" s="131">
        <f t="shared" si="3"/>
        <v>6196.6445707155672</v>
      </c>
      <c r="DA4" s="156" t="s">
        <v>233</v>
      </c>
    </row>
    <row r="5" spans="1:105" ht="12" customHeight="1" x14ac:dyDescent="0.25">
      <c r="A5" s="132" t="s">
        <v>29</v>
      </c>
      <c r="B5" s="133">
        <v>1.9501560000000011</v>
      </c>
      <c r="C5" s="133">
        <v>1.9501560000000016</v>
      </c>
      <c r="D5" s="133">
        <v>1.9501560000000007</v>
      </c>
      <c r="E5" s="133">
        <v>3.8999610000000011</v>
      </c>
      <c r="F5" s="133">
        <v>1.9501560000000011</v>
      </c>
      <c r="G5" s="133">
        <v>3.8999610000000025</v>
      </c>
      <c r="H5" s="133">
        <v>3.899961000000002</v>
      </c>
      <c r="I5" s="133">
        <v>9.750078000000002</v>
      </c>
      <c r="J5" s="133">
        <v>13.650039000000007</v>
      </c>
      <c r="K5" s="133">
        <v>15.599844000000004</v>
      </c>
      <c r="L5" s="133">
        <v>15.599844000000006</v>
      </c>
      <c r="M5" s="133">
        <v>15.599844000000012</v>
      </c>
      <c r="N5" s="133">
        <v>15.599844000000019</v>
      </c>
      <c r="O5" s="133">
        <v>9.7500780000000002</v>
      </c>
      <c r="P5" s="133">
        <v>3.8999610000000007</v>
      </c>
      <c r="Q5" s="133">
        <v>20.041912799999967</v>
      </c>
      <c r="R5" s="133">
        <v>23.435213399999974</v>
      </c>
      <c r="S5" s="133">
        <v>23.450007600000006</v>
      </c>
      <c r="T5" s="133">
        <v>22.27790879999996</v>
      </c>
      <c r="U5" s="133">
        <v>15.528871799999992</v>
      </c>
      <c r="V5" s="133">
        <v>18.306628200000006</v>
      </c>
      <c r="W5" s="133">
        <v>11.796121799999973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731.13002153860918</v>
      </c>
      <c r="C7" s="133">
        <v>706.30241653301505</v>
      </c>
      <c r="D7" s="133">
        <v>717.90421358793014</v>
      </c>
      <c r="E7" s="133">
        <v>733.06385199138435</v>
      </c>
      <c r="F7" s="133">
        <v>698.94506269195358</v>
      </c>
      <c r="G7" s="133">
        <v>715.28612122831328</v>
      </c>
      <c r="H7" s="133">
        <v>692.15949876039906</v>
      </c>
      <c r="I7" s="133">
        <v>718.13439181440287</v>
      </c>
      <c r="J7" s="133">
        <v>702.95540751908754</v>
      </c>
      <c r="K7" s="133">
        <v>674.52578737330418</v>
      </c>
      <c r="L7" s="133">
        <v>790.85485410356034</v>
      </c>
      <c r="M7" s="133">
        <v>737.01913951514598</v>
      </c>
      <c r="N7" s="133">
        <v>725.47137547742875</v>
      </c>
      <c r="O7" s="133">
        <v>734.9038034473009</v>
      </c>
      <c r="P7" s="133">
        <v>699.17387458101462</v>
      </c>
      <c r="Q7" s="133">
        <v>636.77558791976855</v>
      </c>
      <c r="R7" s="133">
        <v>618.73387198424837</v>
      </c>
      <c r="S7" s="133">
        <v>614.99180323645794</v>
      </c>
      <c r="T7" s="133">
        <v>598.44958638784544</v>
      </c>
      <c r="U7" s="133">
        <v>629.47112010520868</v>
      </c>
      <c r="V7" s="133">
        <v>584.89061106372469</v>
      </c>
      <c r="W7" s="133">
        <v>584.64048204937251</v>
      </c>
      <c r="DA7" s="157" t="s">
        <v>359</v>
      </c>
    </row>
    <row r="8" spans="1:105" ht="12" customHeight="1" x14ac:dyDescent="0.25">
      <c r="A8" s="132" t="s">
        <v>73</v>
      </c>
      <c r="B8" s="133">
        <v>1.8554869578892403</v>
      </c>
      <c r="C8" s="133">
        <v>2.0336524009752037</v>
      </c>
      <c r="D8" s="133">
        <v>1.9501416303026127</v>
      </c>
      <c r="E8" s="133">
        <v>2.3114471973047923</v>
      </c>
      <c r="F8" s="133">
        <v>2.418357744174505</v>
      </c>
      <c r="G8" s="133">
        <v>2.2346678437403997</v>
      </c>
      <c r="H8" s="133">
        <v>2.2492770442211709</v>
      </c>
      <c r="I8" s="133">
        <v>2.6226167595884071</v>
      </c>
      <c r="J8" s="133">
        <v>2.79675347746306</v>
      </c>
      <c r="K8" s="133">
        <v>3.0015925020893039</v>
      </c>
      <c r="L8" s="133">
        <v>3.2629297064320646</v>
      </c>
      <c r="M8" s="133">
        <v>3.6869862219046539</v>
      </c>
      <c r="N8" s="133">
        <v>3.634645038835477</v>
      </c>
      <c r="O8" s="133">
        <v>3.7432611526920949</v>
      </c>
      <c r="P8" s="133">
        <v>5.3775167915916686</v>
      </c>
      <c r="Q8" s="133">
        <v>6.8025303574805891</v>
      </c>
      <c r="R8" s="133">
        <v>7.165020167489037</v>
      </c>
      <c r="S8" s="133">
        <v>7.1522686708552614</v>
      </c>
      <c r="T8" s="133">
        <v>7.4232211580623906</v>
      </c>
      <c r="U8" s="133">
        <v>7.6769816580354266</v>
      </c>
      <c r="V8" s="133">
        <v>7.9948749502762713</v>
      </c>
      <c r="W8" s="133">
        <v>9.4127300189073324</v>
      </c>
      <c r="DA8" s="157" t="s">
        <v>360</v>
      </c>
    </row>
    <row r="9" spans="1:105" ht="12" customHeight="1" x14ac:dyDescent="0.25">
      <c r="A9" s="132" t="s">
        <v>78</v>
      </c>
      <c r="B9" s="133">
        <v>6459.9584275523985</v>
      </c>
      <c r="C9" s="133">
        <v>7021.7470284925676</v>
      </c>
      <c r="D9" s="133">
        <v>6497.7674460820008</v>
      </c>
      <c r="E9" s="133">
        <v>7057.7313730560563</v>
      </c>
      <c r="F9" s="133">
        <v>7903.5203208776084</v>
      </c>
      <c r="G9" s="133">
        <v>7096.4491745724263</v>
      </c>
      <c r="H9" s="133">
        <v>7122.6987868811557</v>
      </c>
      <c r="I9" s="133">
        <v>6169.6423759872505</v>
      </c>
      <c r="J9" s="133">
        <v>6816.5154258653783</v>
      </c>
      <c r="K9" s="133">
        <v>7083.8204622264811</v>
      </c>
      <c r="L9" s="133">
        <v>8296.3308843766808</v>
      </c>
      <c r="M9" s="133">
        <v>6335.5448211488019</v>
      </c>
      <c r="N9" s="133">
        <v>7283.2174095966247</v>
      </c>
      <c r="O9" s="133">
        <v>7311.3353196589342</v>
      </c>
      <c r="P9" s="133">
        <v>5512.3324578989914</v>
      </c>
      <c r="Q9" s="133">
        <v>6156.8628623168661</v>
      </c>
      <c r="R9" s="133">
        <v>6196.5911546557072</v>
      </c>
      <c r="S9" s="133">
        <v>6128.5305204166507</v>
      </c>
      <c r="T9" s="133">
        <v>5989.0824938632522</v>
      </c>
      <c r="U9" s="133">
        <v>5557.7638196765356</v>
      </c>
      <c r="V9" s="133">
        <v>4972.4906367053427</v>
      </c>
      <c r="W9" s="133">
        <v>5470.4027385708523</v>
      </c>
      <c r="DA9" s="157" t="s">
        <v>361</v>
      </c>
    </row>
    <row r="10" spans="1:105" ht="12" customHeight="1" x14ac:dyDescent="0.25">
      <c r="A10" s="132" t="s">
        <v>128</v>
      </c>
      <c r="B10" s="133">
        <v>83.436446193105169</v>
      </c>
      <c r="C10" s="133">
        <v>111.91475077729267</v>
      </c>
      <c r="D10" s="133">
        <v>109.66950699691878</v>
      </c>
      <c r="E10" s="133">
        <v>109.48906620391652</v>
      </c>
      <c r="F10" s="133">
        <v>129.79903989608147</v>
      </c>
      <c r="G10" s="133">
        <v>138.96488522227409</v>
      </c>
      <c r="H10" s="133">
        <v>161.55121194171647</v>
      </c>
      <c r="I10" s="133">
        <v>162.00648453492295</v>
      </c>
      <c r="J10" s="133">
        <v>188.21742768563075</v>
      </c>
      <c r="K10" s="133">
        <v>193.56370306605731</v>
      </c>
      <c r="L10" s="133">
        <v>198.84422592980221</v>
      </c>
      <c r="M10" s="133">
        <v>168.69611968748001</v>
      </c>
      <c r="N10" s="133">
        <v>140.16577741389216</v>
      </c>
      <c r="O10" s="133">
        <v>143.10249379073042</v>
      </c>
      <c r="P10" s="133">
        <v>142.27816409349293</v>
      </c>
      <c r="Q10" s="133">
        <v>124.54304013270797</v>
      </c>
      <c r="R10" s="133">
        <v>118.73114937186095</v>
      </c>
      <c r="S10" s="133">
        <v>105.19050261906375</v>
      </c>
      <c r="T10" s="133">
        <v>132.10239430505618</v>
      </c>
      <c r="U10" s="133">
        <v>130.80029566557837</v>
      </c>
      <c r="V10" s="133">
        <v>123.75324106256186</v>
      </c>
      <c r="W10" s="133">
        <v>120.39249827643489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0.47960160130512564</v>
      </c>
      <c r="C16" s="131">
        <f t="shared" si="4"/>
        <v>0.55262834316821707</v>
      </c>
      <c r="D16" s="131">
        <f t="shared" si="4"/>
        <v>0.6764125978783142</v>
      </c>
      <c r="E16" s="131">
        <f t="shared" si="4"/>
        <v>0.81305782725522158</v>
      </c>
      <c r="F16" s="131">
        <f t="shared" si="4"/>
        <v>1.0026548695808486</v>
      </c>
      <c r="G16" s="131">
        <f t="shared" si="4"/>
        <v>1.2018770042000162</v>
      </c>
      <c r="H16" s="131">
        <f t="shared" si="4"/>
        <v>1.6758496023712113</v>
      </c>
      <c r="I16" s="131">
        <f t="shared" si="4"/>
        <v>2.0692526964838267</v>
      </c>
      <c r="J16" s="131">
        <f t="shared" si="4"/>
        <v>2.5426320146639805</v>
      </c>
      <c r="K16" s="131">
        <f t="shared" si="4"/>
        <v>2.9034125208320991</v>
      </c>
      <c r="L16" s="131">
        <f t="shared" si="4"/>
        <v>3.3196595518282899</v>
      </c>
      <c r="M16" s="131">
        <f t="shared" si="4"/>
        <v>3.6218511135532339</v>
      </c>
      <c r="N16" s="131">
        <f t="shared" si="4"/>
        <v>4.1458996574455238</v>
      </c>
      <c r="O16" s="131">
        <f t="shared" si="4"/>
        <v>5.0554300647051171</v>
      </c>
      <c r="P16" s="131">
        <f t="shared" si="4"/>
        <v>6.6481719190955282</v>
      </c>
      <c r="Q16" s="131">
        <f t="shared" si="4"/>
        <v>9.1691097693797445</v>
      </c>
      <c r="R16" s="131">
        <f t="shared" ref="R16:W16" si="5">SUM(R17:R18)</f>
        <v>11.627901284654543</v>
      </c>
      <c r="S16" s="131">
        <f t="shared" si="5"/>
        <v>13.897929199047725</v>
      </c>
      <c r="T16" s="131">
        <f t="shared" si="5"/>
        <v>15.883076557283223</v>
      </c>
      <c r="U16" s="131">
        <f t="shared" si="5"/>
        <v>17.532312482875671</v>
      </c>
      <c r="V16" s="131">
        <f t="shared" si="5"/>
        <v>18.869985257871257</v>
      </c>
      <c r="W16" s="131">
        <f t="shared" si="5"/>
        <v>20.038305149266506</v>
      </c>
      <c r="DA16" s="156" t="s">
        <v>234</v>
      </c>
    </row>
    <row r="17" spans="1:105" ht="12.95" customHeight="1" x14ac:dyDescent="0.25">
      <c r="A17" s="132" t="s">
        <v>73</v>
      </c>
      <c r="B17" s="133">
        <v>0.47960160130512564</v>
      </c>
      <c r="C17" s="133">
        <v>0.55262834316821707</v>
      </c>
      <c r="D17" s="133">
        <v>0.6764125978783142</v>
      </c>
      <c r="E17" s="133">
        <v>0.81305782725522158</v>
      </c>
      <c r="F17" s="133">
        <v>1.0026548695808486</v>
      </c>
      <c r="G17" s="133">
        <v>1.2018770042000162</v>
      </c>
      <c r="H17" s="133">
        <v>1.6758496023712113</v>
      </c>
      <c r="I17" s="133">
        <v>2.0692526964838267</v>
      </c>
      <c r="J17" s="133">
        <v>2.5426320146639805</v>
      </c>
      <c r="K17" s="133">
        <v>2.9034125208320991</v>
      </c>
      <c r="L17" s="133">
        <v>3.3196595518282899</v>
      </c>
      <c r="M17" s="133">
        <v>3.6218511135532339</v>
      </c>
      <c r="N17" s="133">
        <v>4.1458996574455238</v>
      </c>
      <c r="O17" s="133">
        <v>5.0554300647051171</v>
      </c>
      <c r="P17" s="133">
        <v>6.6481719190955282</v>
      </c>
      <c r="Q17" s="133">
        <v>9.1691097693797445</v>
      </c>
      <c r="R17" s="133">
        <v>11.627901284654543</v>
      </c>
      <c r="S17" s="133">
        <v>13.897929199047725</v>
      </c>
      <c r="T17" s="133">
        <v>15.883076557283223</v>
      </c>
      <c r="U17" s="133">
        <v>17.532312482875671</v>
      </c>
      <c r="V17" s="133">
        <v>18.869985257871257</v>
      </c>
      <c r="W17" s="133">
        <v>20.038305149266506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702.22987824670645</v>
      </c>
      <c r="C19" s="131">
        <f t="shared" si="6"/>
        <v>711.84409833601762</v>
      </c>
      <c r="D19" s="131">
        <f t="shared" si="6"/>
        <v>749.79734497081267</v>
      </c>
      <c r="E19" s="131">
        <f t="shared" si="6"/>
        <v>724.89786488879543</v>
      </c>
      <c r="F19" s="131">
        <f t="shared" si="6"/>
        <v>720.98071928514696</v>
      </c>
      <c r="G19" s="131">
        <f t="shared" si="6"/>
        <v>720.43872950864284</v>
      </c>
      <c r="H19" s="131">
        <f t="shared" si="6"/>
        <v>723.1862584797052</v>
      </c>
      <c r="I19" s="131">
        <f t="shared" si="6"/>
        <v>711.16114736426096</v>
      </c>
      <c r="J19" s="131">
        <f t="shared" si="6"/>
        <v>707.84940143220092</v>
      </c>
      <c r="K19" s="131">
        <f t="shared" si="6"/>
        <v>714.58004599742071</v>
      </c>
      <c r="L19" s="131">
        <f t="shared" si="6"/>
        <v>716.99374929359624</v>
      </c>
      <c r="M19" s="131">
        <f t="shared" si="6"/>
        <v>714.11964439996086</v>
      </c>
      <c r="N19" s="131">
        <f t="shared" si="6"/>
        <v>767.61380567989954</v>
      </c>
      <c r="O19" s="131">
        <f t="shared" si="6"/>
        <v>766.63184150867073</v>
      </c>
      <c r="P19" s="131">
        <f t="shared" si="6"/>
        <v>709.07554161329324</v>
      </c>
      <c r="Q19" s="131">
        <f t="shared" si="6"/>
        <v>694.98887616352999</v>
      </c>
      <c r="R19" s="131">
        <f t="shared" ref="R19:W19" si="7">SUM(R20:R27)</f>
        <v>700.11211009692727</v>
      </c>
      <c r="S19" s="131">
        <f t="shared" si="7"/>
        <v>730.87362235603143</v>
      </c>
      <c r="T19" s="131">
        <f t="shared" si="7"/>
        <v>709.81354178959884</v>
      </c>
      <c r="U19" s="131">
        <f t="shared" si="7"/>
        <v>680.12051404588135</v>
      </c>
      <c r="V19" s="131">
        <f t="shared" si="7"/>
        <v>569.60840327311962</v>
      </c>
      <c r="W19" s="131">
        <f t="shared" si="7"/>
        <v>575.22698953635415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109.38929922139086</v>
      </c>
      <c r="C22" s="133">
        <v>106.77454846698504</v>
      </c>
      <c r="D22" s="133">
        <v>104.2252584920697</v>
      </c>
      <c r="E22" s="133">
        <v>102.10484564861535</v>
      </c>
      <c r="F22" s="133">
        <v>101.50943434804617</v>
      </c>
      <c r="G22" s="133">
        <v>100.78799281168659</v>
      </c>
      <c r="H22" s="133">
        <v>99.553955999600845</v>
      </c>
      <c r="I22" s="133">
        <v>98.930533305597081</v>
      </c>
      <c r="J22" s="133">
        <v>99.709821440912208</v>
      </c>
      <c r="K22" s="133">
        <v>99.577460626696009</v>
      </c>
      <c r="L22" s="133">
        <v>98.268303896440628</v>
      </c>
      <c r="M22" s="133">
        <v>98.272652204853557</v>
      </c>
      <c r="N22" s="133">
        <v>100.43746624257108</v>
      </c>
      <c r="O22" s="133">
        <v>100.58272055269941</v>
      </c>
      <c r="P22" s="133">
        <v>101.02677313898543</v>
      </c>
      <c r="Q22" s="133">
        <v>101.67146512023163</v>
      </c>
      <c r="R22" s="133">
        <v>101.57717125575174</v>
      </c>
      <c r="S22" s="133">
        <v>100.67112412354186</v>
      </c>
      <c r="T22" s="133">
        <v>97.140115012155192</v>
      </c>
      <c r="U22" s="133">
        <v>96.928639134790714</v>
      </c>
      <c r="V22" s="133">
        <v>92.383863536275413</v>
      </c>
      <c r="W22" s="133">
        <v>95.222734910627693</v>
      </c>
      <c r="DA22" s="157" t="s">
        <v>372</v>
      </c>
    </row>
    <row r="23" spans="1:105" ht="12" customHeight="1" x14ac:dyDescent="0.25">
      <c r="A23" s="132" t="s">
        <v>153</v>
      </c>
      <c r="B23" s="133">
        <v>592.84057902531561</v>
      </c>
      <c r="C23" s="133">
        <v>605.06954986903258</v>
      </c>
      <c r="D23" s="133">
        <v>645.57208647874302</v>
      </c>
      <c r="E23" s="133">
        <v>622.79301924018012</v>
      </c>
      <c r="F23" s="133">
        <v>619.47128493710079</v>
      </c>
      <c r="G23" s="133">
        <v>619.6507366969563</v>
      </c>
      <c r="H23" s="133">
        <v>623.63230248010439</v>
      </c>
      <c r="I23" s="133">
        <v>612.23061405866383</v>
      </c>
      <c r="J23" s="133">
        <v>608.13957999128866</v>
      </c>
      <c r="K23" s="133">
        <v>615.00258537072466</v>
      </c>
      <c r="L23" s="133">
        <v>618.72544539715557</v>
      </c>
      <c r="M23" s="133">
        <v>615.8469921951073</v>
      </c>
      <c r="N23" s="133">
        <v>667.17633943732847</v>
      </c>
      <c r="O23" s="133">
        <v>666.04912095597126</v>
      </c>
      <c r="P23" s="133">
        <v>608.04876847430785</v>
      </c>
      <c r="Q23" s="133">
        <v>593.31741104329831</v>
      </c>
      <c r="R23" s="133">
        <v>598.53493884117552</v>
      </c>
      <c r="S23" s="133">
        <v>630.20249823248957</v>
      </c>
      <c r="T23" s="133">
        <v>612.67342677744364</v>
      </c>
      <c r="U23" s="133">
        <v>583.19187491109062</v>
      </c>
      <c r="V23" s="133">
        <v>477.22453973684424</v>
      </c>
      <c r="W23" s="133">
        <v>480.00425462572645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636.43006054309171</v>
      </c>
      <c r="C29" s="131">
        <f t="shared" si="8"/>
        <v>661.11731829425753</v>
      </c>
      <c r="D29" s="131">
        <f t="shared" si="8"/>
        <v>677.77082761107647</v>
      </c>
      <c r="E29" s="131">
        <f t="shared" si="8"/>
        <v>689.62257855920393</v>
      </c>
      <c r="F29" s="131">
        <f t="shared" si="8"/>
        <v>702.50523133153615</v>
      </c>
      <c r="G29" s="131">
        <f t="shared" si="8"/>
        <v>703.84200532267755</v>
      </c>
      <c r="H29" s="131">
        <f t="shared" si="8"/>
        <v>718.75371135214368</v>
      </c>
      <c r="I29" s="131">
        <f t="shared" si="8"/>
        <v>707.63954789801323</v>
      </c>
      <c r="J29" s="131">
        <f t="shared" si="8"/>
        <v>717.55322317120556</v>
      </c>
      <c r="K29" s="131">
        <f t="shared" si="8"/>
        <v>721.66192041987119</v>
      </c>
      <c r="L29" s="131">
        <f t="shared" si="8"/>
        <v>717.83784516790695</v>
      </c>
      <c r="M29" s="131">
        <f t="shared" si="8"/>
        <v>703.18365996063096</v>
      </c>
      <c r="N29" s="131">
        <f t="shared" si="8"/>
        <v>699.15935058976675</v>
      </c>
      <c r="O29" s="131">
        <f t="shared" si="8"/>
        <v>696.70006204769993</v>
      </c>
      <c r="P29" s="131">
        <f t="shared" si="8"/>
        <v>676.4955667160101</v>
      </c>
      <c r="Q29" s="131">
        <f t="shared" si="8"/>
        <v>682.33332191297154</v>
      </c>
      <c r="R29" s="131">
        <f t="shared" ref="R29:W29" si="9">SUM(R30:R33)</f>
        <v>663.57542293096833</v>
      </c>
      <c r="S29" s="131">
        <f t="shared" si="9"/>
        <v>665.91683172095668</v>
      </c>
      <c r="T29" s="131">
        <f t="shared" si="9"/>
        <v>667.77048952396399</v>
      </c>
      <c r="U29" s="131">
        <f t="shared" si="9"/>
        <v>665.53664299146044</v>
      </c>
      <c r="V29" s="131">
        <f t="shared" si="9"/>
        <v>620.34864694967837</v>
      </c>
      <c r="W29" s="131">
        <f t="shared" si="9"/>
        <v>632.78734375524641</v>
      </c>
      <c r="DA29" s="156" t="s">
        <v>236</v>
      </c>
    </row>
    <row r="30" spans="1:105" ht="12" customHeight="1" x14ac:dyDescent="0.25">
      <c r="A30" s="132" t="s">
        <v>52</v>
      </c>
      <c r="B30" s="133">
        <v>111.22276067999998</v>
      </c>
      <c r="C30" s="133">
        <v>128.33404200000001</v>
      </c>
      <c r="D30" s="133">
        <v>145.44532332000006</v>
      </c>
      <c r="E30" s="133">
        <v>134.03780244000001</v>
      </c>
      <c r="F30" s="133">
        <v>151.14908376000002</v>
      </c>
      <c r="G30" s="133">
        <v>148.29708995999999</v>
      </c>
      <c r="H30" s="133">
        <v>188.22318587999993</v>
      </c>
      <c r="I30" s="133">
        <v>94.111706519999984</v>
      </c>
      <c r="J30" s="133">
        <v>77.000425200000024</v>
      </c>
      <c r="K30" s="133">
        <v>122.63028155999993</v>
      </c>
      <c r="L30" s="133">
        <v>148.29708996000002</v>
      </c>
      <c r="M30" s="133">
        <v>82.704185640000006</v>
      </c>
      <c r="N30" s="133">
        <v>111.22276068000002</v>
      </c>
      <c r="O30" s="133">
        <v>105.51900024000003</v>
      </c>
      <c r="P30" s="133">
        <v>17.111281319999982</v>
      </c>
      <c r="Q30" s="133">
        <v>127.74160871999993</v>
      </c>
      <c r="R30" s="133">
        <v>125.21172780000006</v>
      </c>
      <c r="S30" s="133">
        <v>150.46215191999991</v>
      </c>
      <c r="T30" s="133">
        <v>228.47548355999953</v>
      </c>
      <c r="U30" s="133">
        <v>307.35293184</v>
      </c>
      <c r="V30" s="133">
        <v>229.1372006400002</v>
      </c>
      <c r="W30" s="133">
        <v>209.44197431999987</v>
      </c>
      <c r="DA30" s="157" t="s">
        <v>378</v>
      </c>
    </row>
    <row r="31" spans="1:105" ht="12" customHeight="1" x14ac:dyDescent="0.25">
      <c r="A31" s="132" t="s">
        <v>153</v>
      </c>
      <c r="B31" s="133">
        <v>525.20729986309175</v>
      </c>
      <c r="C31" s="133">
        <v>532.78327629425758</v>
      </c>
      <c r="D31" s="133">
        <v>532.32550429107641</v>
      </c>
      <c r="E31" s="133">
        <v>555.58477611920387</v>
      </c>
      <c r="F31" s="133">
        <v>551.3561475715361</v>
      </c>
      <c r="G31" s="133">
        <v>555.54491536267756</v>
      </c>
      <c r="H31" s="133">
        <v>530.53052547214372</v>
      </c>
      <c r="I31" s="133">
        <v>613.52784137801325</v>
      </c>
      <c r="J31" s="133">
        <v>640.55279797120556</v>
      </c>
      <c r="K31" s="133">
        <v>599.03163885987124</v>
      </c>
      <c r="L31" s="133">
        <v>569.54075520790695</v>
      </c>
      <c r="M31" s="133">
        <v>620.47947432063097</v>
      </c>
      <c r="N31" s="133">
        <v>587.93658990976667</v>
      </c>
      <c r="O31" s="133">
        <v>591.18106180769996</v>
      </c>
      <c r="P31" s="133">
        <v>659.38428539601011</v>
      </c>
      <c r="Q31" s="133">
        <v>554.59171319297161</v>
      </c>
      <c r="R31" s="133">
        <v>538.36369513096827</v>
      </c>
      <c r="S31" s="133">
        <v>515.4546798009568</v>
      </c>
      <c r="T31" s="133">
        <v>439.2950059639644</v>
      </c>
      <c r="U31" s="133">
        <v>358.18371115146039</v>
      </c>
      <c r="V31" s="133">
        <v>391.21144630967819</v>
      </c>
      <c r="W31" s="133">
        <v>423.34536943524648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154935.83830023219</v>
      </c>
      <c r="C3" s="126">
        <f>IF(SER_hh_fec!C3=0,0,11630*1000*SER_hh_fec!C3/SER_hh_num!C3)</f>
        <v>161867.86168543095</v>
      </c>
      <c r="D3" s="126">
        <f>IF(SER_hh_fec!D3=0,0,11630*1000*SER_hh_fec!D3/SER_hh_num!D3)</f>
        <v>157670.82500521914</v>
      </c>
      <c r="E3" s="126">
        <f>IF(SER_hh_fec!E3=0,0,11630*1000*SER_hh_fec!E3/SER_hh_num!E3)</f>
        <v>164249.84240297173</v>
      </c>
      <c r="F3" s="126">
        <f>IF(SER_hh_fec!F3=0,0,11630*1000*SER_hh_fec!F3/SER_hh_num!F3)</f>
        <v>177074.26079508293</v>
      </c>
      <c r="G3" s="126">
        <f>IF(SER_hh_fec!G3=0,0,11630*1000*SER_hh_fec!G3/SER_hh_num!G3)</f>
        <v>162467.44282325875</v>
      </c>
      <c r="H3" s="126">
        <f>IF(SER_hh_fec!H3=0,0,11630*1000*SER_hh_fec!H3/SER_hh_num!H3)</f>
        <v>160848.16341716881</v>
      </c>
      <c r="I3" s="126">
        <f>IF(SER_hh_fec!I3=0,0,11630*1000*SER_hh_fec!I3/SER_hh_num!I3)</f>
        <v>146663.04468659579</v>
      </c>
      <c r="J3" s="126">
        <f>IF(SER_hh_fec!J3=0,0,11630*1000*SER_hh_fec!J3/SER_hh_num!J3)</f>
        <v>151161.53745861028</v>
      </c>
      <c r="K3" s="126">
        <f>IF(SER_hh_fec!K3=0,0,11630*1000*SER_hh_fec!K3/SER_hh_num!K3)</f>
        <v>156687.19017985708</v>
      </c>
      <c r="L3" s="126">
        <f>IF(SER_hh_fec!L3=0,0,11630*1000*SER_hh_fec!L3/SER_hh_num!L3)</f>
        <v>168817.60127795415</v>
      </c>
      <c r="M3" s="126">
        <f>IF(SER_hh_fec!M3=0,0,11630*1000*SER_hh_fec!M3/SER_hh_num!M3)</f>
        <v>142456.40932412844</v>
      </c>
      <c r="N3" s="126">
        <f>IF(SER_hh_fec!N3=0,0,11630*1000*SER_hh_fec!N3/SER_hh_num!N3)</f>
        <v>148874.63593688147</v>
      </c>
      <c r="O3" s="126">
        <f>IF(SER_hh_fec!O3=0,0,11630*1000*SER_hh_fec!O3/SER_hh_num!O3)</f>
        <v>149094.18037446376</v>
      </c>
      <c r="P3" s="126">
        <f>IF(SER_hh_fec!P3=0,0,11630*1000*SER_hh_fec!P3/SER_hh_num!P3)</f>
        <v>124547.01804787385</v>
      </c>
      <c r="Q3" s="126">
        <f>IF(SER_hh_fec!Q3=0,0,11630*1000*SER_hh_fec!Q3/SER_hh_num!Q3)</f>
        <v>128006.84955747073</v>
      </c>
      <c r="R3" s="126">
        <f>IF(SER_hh_fec!R3=0,0,11630*1000*SER_hh_fec!R3/SER_hh_num!R3)</f>
        <v>127741.31897429681</v>
      </c>
      <c r="S3" s="126">
        <f>IF(SER_hh_fec!S3=0,0,11630*1000*SER_hh_fec!S3/SER_hh_num!S3)</f>
        <v>129063.52632112564</v>
      </c>
      <c r="T3" s="126">
        <f>IF(SER_hh_fec!T3=0,0,11630*1000*SER_hh_fec!T3/SER_hh_num!T3)</f>
        <v>127655.78506208889</v>
      </c>
      <c r="U3" s="126">
        <f>IF(SER_hh_fec!U3=0,0,11630*1000*SER_hh_fec!U3/SER_hh_num!U3)</f>
        <v>122159.00101958266</v>
      </c>
      <c r="V3" s="126">
        <f>IF(SER_hh_fec!V3=0,0,11630*1000*SER_hh_fec!V3/SER_hh_num!V3)</f>
        <v>112697.27287400767</v>
      </c>
      <c r="W3" s="126">
        <f>IF(SER_hh_fec!W3=0,0,11630*1000*SER_hh_fec!W3/SER_hh_num!W3)</f>
        <v>117386.16000967553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112223.46929842886</v>
      </c>
      <c r="C4" s="131">
        <f>IF(SER_hh_fec!C4=0,0,11630*1000*SER_hh_fec!C4/SER_hh_num!C4)</f>
        <v>119509.14881065401</v>
      </c>
      <c r="D4" s="131">
        <f>IF(SER_hh_fec!D4=0,0,11630*1000*SER_hh_fec!D4/SER_hh_num!D4)</f>
        <v>115258.92640465738</v>
      </c>
      <c r="E4" s="131">
        <f>IF(SER_hh_fec!E4=0,0,11630*1000*SER_hh_fec!E4/SER_hh_num!E4)</f>
        <v>121772.77448835665</v>
      </c>
      <c r="F4" s="131">
        <f>IF(SER_hh_fec!F4=0,0,11630*1000*SER_hh_fec!F4/SER_hh_num!F4)</f>
        <v>134381.84026844183</v>
      </c>
      <c r="G4" s="131">
        <f>IF(SER_hh_fec!G4=0,0,11630*1000*SER_hh_fec!G4/SER_hh_num!G4)</f>
        <v>120122.58873957502</v>
      </c>
      <c r="H4" s="131">
        <f>IF(SER_hh_fec!H4=0,0,11630*1000*SER_hh_fec!H4/SER_hh_num!H4)</f>
        <v>119090.20629891717</v>
      </c>
      <c r="I4" s="131">
        <f>IF(SER_hh_fec!I4=0,0,11630*1000*SER_hh_fec!I4/SER_hh_num!I4)</f>
        <v>105996.32124785293</v>
      </c>
      <c r="J4" s="131">
        <f>IF(SER_hh_fec!J4=0,0,11630*1000*SER_hh_fec!J4/SER_hh_num!J4)</f>
        <v>110915.05587030163</v>
      </c>
      <c r="K4" s="131">
        <f>IF(SER_hh_fec!K4=0,0,11630*1000*SER_hh_fec!K4/SER_hh_num!K4)</f>
        <v>116008.89565225043</v>
      </c>
      <c r="L4" s="131">
        <f>IF(SER_hh_fec!L4=0,0,11630*1000*SER_hh_fec!L4/SER_hh_num!L4)</f>
        <v>128343.55482575914</v>
      </c>
      <c r="M4" s="131">
        <f>IF(SER_hh_fec!M4=0,0,11630*1000*SER_hh_fec!M4/SER_hh_num!M4)</f>
        <v>102615.1589787376</v>
      </c>
      <c r="N4" s="131">
        <f>IF(SER_hh_fec!N4=0,0,11630*1000*SER_hh_fec!N4/SER_hh_num!N4)</f>
        <v>109132.4754637966</v>
      </c>
      <c r="O4" s="131">
        <f>IF(SER_hh_fec!O4=0,0,11630*1000*SER_hh_fec!O4/SER_hh_num!O4)</f>
        <v>109326.8743664655</v>
      </c>
      <c r="P4" s="131">
        <f>IF(SER_hh_fec!P4=0,0,11630*1000*SER_hh_fec!P4/SER_hh_num!P4)</f>
        <v>84951.494727251222</v>
      </c>
      <c r="Q4" s="131">
        <f>IF(SER_hh_fec!Q4=0,0,11630*1000*SER_hh_fec!Q4/SER_hh_num!Q4)</f>
        <v>88877.975283697931</v>
      </c>
      <c r="R4" s="131">
        <f>IF(SER_hh_fec!R4=0,0,11630*1000*SER_hh_fec!R4/SER_hh_num!R4)</f>
        <v>89048.759898279372</v>
      </c>
      <c r="S4" s="131">
        <f>IF(SER_hh_fec!S4=0,0,11630*1000*SER_hh_fec!S4/SER_hh_num!S4)</f>
        <v>90698.76454017291</v>
      </c>
      <c r="T4" s="131">
        <f>IF(SER_hh_fec!T4=0,0,11630*1000*SER_hh_fec!T4/SER_hh_num!T4)</f>
        <v>89420.329399683542</v>
      </c>
      <c r="U4" s="131">
        <f>IF(SER_hh_fec!U4=0,0,11630*1000*SER_hh_fec!U4/SER_hh_num!U4)</f>
        <v>84359.026956205504</v>
      </c>
      <c r="V4" s="131">
        <f>IF(SER_hh_fec!V4=0,0,11630*1000*SER_hh_fec!V4/SER_hh_num!V4)</f>
        <v>76154.088964158334</v>
      </c>
      <c r="W4" s="131">
        <f>IF(SER_hh_fec!W4=0,0,11630*1000*SER_hh_fec!W4/SER_hh_num!W4)</f>
        <v>81303.964738294031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116177.60027135802</v>
      </c>
      <c r="C5" s="133">
        <f>IF(SER_hh_fec!C5=0,0,11630*1000*SER_hh_fec!C5/SER_hh_num!C5)</f>
        <v>118250.53854657659</v>
      </c>
      <c r="D5" s="133">
        <f>IF(SER_hh_fec!D5=0,0,11630*1000*SER_hh_fec!D5/SER_hh_num!D5)</f>
        <v>99822.249285253711</v>
      </c>
      <c r="E5" s="133">
        <f>IF(SER_hh_fec!E5=0,0,11630*1000*SER_hh_fec!E5/SER_hh_num!E5)</f>
        <v>161456.77105059067</v>
      </c>
      <c r="F5" s="133">
        <f>IF(SER_hh_fec!F5=0,0,11630*1000*SER_hh_fec!F5/SER_hh_num!F5)</f>
        <v>80998.415481089032</v>
      </c>
      <c r="G5" s="133">
        <f>IF(SER_hh_fec!G5=0,0,11630*1000*SER_hh_fec!G5/SER_hh_num!G5)</f>
        <v>108865.8302489823</v>
      </c>
      <c r="H5" s="133">
        <f>IF(SER_hh_fec!H5=0,0,11630*1000*SER_hh_fec!H5/SER_hh_num!H5)</f>
        <v>73048.336147360314</v>
      </c>
      <c r="I5" s="133">
        <f>IF(SER_hh_fec!I5=0,0,11630*1000*SER_hh_fec!I5/SER_hh_num!I5)</f>
        <v>111968.82886145772</v>
      </c>
      <c r="J5" s="133">
        <f>IF(SER_hh_fec!J5=0,0,11630*1000*SER_hh_fec!J5/SER_hh_num!J5)</f>
        <v>121232.23175022728</v>
      </c>
      <c r="K5" s="133">
        <f>IF(SER_hh_fec!K5=0,0,11630*1000*SER_hh_fec!K5/SER_hh_num!K5)</f>
        <v>121175.48068763482</v>
      </c>
      <c r="L5" s="133">
        <f>IF(SER_hh_fec!L5=0,0,11630*1000*SER_hh_fec!L5/SER_hh_num!L5)</f>
        <v>117804.86698553567</v>
      </c>
      <c r="M5" s="133">
        <f>IF(SER_hh_fec!M5=0,0,11630*1000*SER_hh_fec!M5/SER_hh_num!M5)</f>
        <v>116751.21742970015</v>
      </c>
      <c r="N5" s="133">
        <f>IF(SER_hh_fec!N5=0,0,11630*1000*SER_hh_fec!N5/SER_hh_num!N5)</f>
        <v>114791.36939558649</v>
      </c>
      <c r="O5" s="133">
        <f>IF(SER_hh_fec!O5=0,0,11630*1000*SER_hh_fec!O5/SER_hh_num!O5)</f>
        <v>69372.667985660009</v>
      </c>
      <c r="P5" s="133">
        <f>IF(SER_hh_fec!P5=0,0,11630*1000*SER_hh_fec!P5/SER_hh_num!P5)</f>
        <v>26274.613897795651</v>
      </c>
      <c r="Q5" s="133">
        <f>IF(SER_hh_fec!Q5=0,0,11630*1000*SER_hh_fec!Q5/SER_hh_num!Q5)</f>
        <v>113477.25788069546</v>
      </c>
      <c r="R5" s="133">
        <f>IF(SER_hh_fec!R5=0,0,11630*1000*SER_hh_fec!R5/SER_hh_num!R5)</f>
        <v>108179.98433854368</v>
      </c>
      <c r="S5" s="133">
        <f>IF(SER_hh_fec!S5=0,0,11630*1000*SER_hh_fec!S5/SER_hh_num!S5)</f>
        <v>102371.84534366608</v>
      </c>
      <c r="T5" s="133">
        <f>IF(SER_hh_fec!T5=0,0,11630*1000*SER_hh_fec!T5/SER_hh_num!T5)</f>
        <v>101881.6623315835</v>
      </c>
      <c r="U5" s="133">
        <f>IF(SER_hh_fec!U5=0,0,11630*1000*SER_hh_fec!U5/SER_hh_num!U5)</f>
        <v>81755.935923212499</v>
      </c>
      <c r="V5" s="133">
        <f>IF(SER_hh_fec!V5=0,0,11630*1000*SER_hh_fec!V5/SER_hh_num!V5)</f>
        <v>101658.10342313505</v>
      </c>
      <c r="W5" s="133">
        <f>IF(SER_hh_fec!W5=0,0,11630*1000*SER_hh_fec!W5/SER_hh_num!W5)</f>
        <v>76099.43054415306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134560.42104727429</v>
      </c>
      <c r="C7" s="133">
        <f>IF(SER_hh_fec!C7=0,0,11630*1000*SER_hh_fec!C7/SER_hh_num!C7)</f>
        <v>134371.28507057892</v>
      </c>
      <c r="D7" s="133">
        <f>IF(SER_hh_fec!D7=0,0,11630*1000*SER_hh_fec!D7/SER_hh_num!D7)</f>
        <v>140056.47546072892</v>
      </c>
      <c r="E7" s="133">
        <f>IF(SER_hh_fec!E7=0,0,11630*1000*SER_hh_fec!E7/SER_hh_num!E7)</f>
        <v>147654.42584840066</v>
      </c>
      <c r="F7" s="133">
        <f>IF(SER_hh_fec!F7=0,0,11630*1000*SER_hh_fec!F7/SER_hh_num!F7)</f>
        <v>142160.61937622252</v>
      </c>
      <c r="G7" s="133">
        <f>IF(SER_hh_fec!G7=0,0,11630*1000*SER_hh_fec!G7/SER_hh_num!G7)</f>
        <v>145013.67965443703</v>
      </c>
      <c r="H7" s="133">
        <f>IF(SER_hh_fec!H7=0,0,11630*1000*SER_hh_fec!H7/SER_hh_num!H7)</f>
        <v>136743.28029385459</v>
      </c>
      <c r="I7" s="133">
        <f>IF(SER_hh_fec!I7=0,0,11630*1000*SER_hh_fec!I7/SER_hh_num!I7)</f>
        <v>135845.98117075808</v>
      </c>
      <c r="J7" s="133">
        <f>IF(SER_hh_fec!J7=0,0,11630*1000*SER_hh_fec!J7/SER_hh_num!J7)</f>
        <v>134614.17370134659</v>
      </c>
      <c r="K7" s="133">
        <f>IF(SER_hh_fec!K7=0,0,11630*1000*SER_hh_fec!K7/SER_hh_num!K7)</f>
        <v>129930.12825414275</v>
      </c>
      <c r="L7" s="133">
        <f>IF(SER_hh_fec!L7=0,0,11630*1000*SER_hh_fec!L7/SER_hh_num!L7)</f>
        <v>148553.83417265318</v>
      </c>
      <c r="M7" s="133">
        <f>IF(SER_hh_fec!M7=0,0,11630*1000*SER_hh_fec!M7/SER_hh_num!M7)</f>
        <v>131574.79782194985</v>
      </c>
      <c r="N7" s="133">
        <f>IF(SER_hh_fec!N7=0,0,11630*1000*SER_hh_fec!N7/SER_hh_num!N7)</f>
        <v>125441.64302243225</v>
      </c>
      <c r="O7" s="133">
        <f>IF(SER_hh_fec!O7=0,0,11630*1000*SER_hh_fec!O7/SER_hh_num!O7)</f>
        <v>123065.97471057514</v>
      </c>
      <c r="P7" s="133">
        <f>IF(SER_hh_fec!P7=0,0,11630*1000*SER_hh_fec!P7/SER_hh_num!P7)</f>
        <v>117161.9878462974</v>
      </c>
      <c r="Q7" s="133">
        <f>IF(SER_hh_fec!Q7=0,0,11630*1000*SER_hh_fec!Q7/SER_hh_num!Q7)</f>
        <v>105153.77153754237</v>
      </c>
      <c r="R7" s="133">
        <f>IF(SER_hh_fec!R7=0,0,11630*1000*SER_hh_fec!R7/SER_hh_num!R7)</f>
        <v>105143.55772050898</v>
      </c>
      <c r="S7" s="133">
        <f>IF(SER_hh_fec!S7=0,0,11630*1000*SER_hh_fec!S7/SER_hh_num!S7)</f>
        <v>104011.78445261699</v>
      </c>
      <c r="T7" s="133">
        <f>IF(SER_hh_fec!T7=0,0,11630*1000*SER_hh_fec!T7/SER_hh_num!T7)</f>
        <v>104845.45471072989</v>
      </c>
      <c r="U7" s="133">
        <f>IF(SER_hh_fec!U7=0,0,11630*1000*SER_hh_fec!U7/SER_hh_num!U7)</f>
        <v>105373.48209593375</v>
      </c>
      <c r="V7" s="133">
        <f>IF(SER_hh_fec!V7=0,0,11630*1000*SER_hh_fec!V7/SER_hh_num!V7)</f>
        <v>96399.322114558599</v>
      </c>
      <c r="W7" s="133">
        <f>IF(SER_hh_fec!W7=0,0,11630*1000*SER_hh_fec!W7/SER_hh_num!W7)</f>
        <v>96232.882641443444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63025.946921604009</v>
      </c>
      <c r="C8" s="133">
        <f>IF(SER_hh_fec!C8=0,0,11630*1000*SER_hh_fec!C8/SER_hh_num!C8)</f>
        <v>68103.021169143452</v>
      </c>
      <c r="D8" s="133">
        <f>IF(SER_hh_fec!D8=0,0,11630*1000*SER_hh_fec!D8/SER_hh_num!D8)</f>
        <v>62473.71789925643</v>
      </c>
      <c r="E8" s="133">
        <f>IF(SER_hh_fec!E8=0,0,11630*1000*SER_hh_fec!E8/SER_hh_num!E8)</f>
        <v>69702.001283869889</v>
      </c>
      <c r="F8" s="133">
        <f>IF(SER_hh_fec!F8=0,0,11630*1000*SER_hh_fec!F8/SER_hh_num!F8)</f>
        <v>70640.050394068865</v>
      </c>
      <c r="G8" s="133">
        <f>IF(SER_hh_fec!G8=0,0,11630*1000*SER_hh_fec!G8/SER_hh_num!G8)</f>
        <v>60386.445143396697</v>
      </c>
      <c r="H8" s="133">
        <f>IF(SER_hh_fec!H8=0,0,11630*1000*SER_hh_fec!H8/SER_hh_num!H8)</f>
        <v>54900.996641823294</v>
      </c>
      <c r="I8" s="133">
        <f>IF(SER_hh_fec!I8=0,0,11630*1000*SER_hh_fec!I8/SER_hh_num!I8)</f>
        <v>54941.8890746252</v>
      </c>
      <c r="J8" s="133">
        <f>IF(SER_hh_fec!J8=0,0,11630*1000*SER_hh_fec!J8/SER_hh_num!J8)</f>
        <v>53251.390464518008</v>
      </c>
      <c r="K8" s="133">
        <f>IF(SER_hh_fec!K8=0,0,11630*1000*SER_hh_fec!K8/SER_hh_num!K8)</f>
        <v>51187.803707111671</v>
      </c>
      <c r="L8" s="133">
        <f>IF(SER_hh_fec!L8=0,0,11630*1000*SER_hh_fec!L8/SER_hh_num!L8)</f>
        <v>49996.42345728603</v>
      </c>
      <c r="M8" s="133">
        <f>IF(SER_hh_fec!M8=0,0,11630*1000*SER_hh_fec!M8/SER_hh_num!M8)</f>
        <v>48140.542775112241</v>
      </c>
      <c r="N8" s="133">
        <f>IF(SER_hh_fec!N8=0,0,11630*1000*SER_hh_fec!N8/SER_hh_num!N8)</f>
        <v>39960.259125225399</v>
      </c>
      <c r="O8" s="133">
        <f>IF(SER_hh_fec!O8=0,0,11630*1000*SER_hh_fec!O8/SER_hh_num!O8)</f>
        <v>32083.473798670944</v>
      </c>
      <c r="P8" s="133">
        <f>IF(SER_hh_fec!P8=0,0,11630*1000*SER_hh_fec!P8/SER_hh_num!P8)</f>
        <v>33541.692003743927</v>
      </c>
      <c r="Q8" s="133">
        <f>IF(SER_hh_fec!Q8=0,0,11630*1000*SER_hh_fec!Q8/SER_hh_num!Q8)</f>
        <v>34469.094575968993</v>
      </c>
      <c r="R8" s="133">
        <f>IF(SER_hh_fec!R8=0,0,11630*1000*SER_hh_fec!R8/SER_hh_num!R8)</f>
        <v>32590.245511458412</v>
      </c>
      <c r="S8" s="133">
        <f>IF(SER_hh_fec!S8=0,0,11630*1000*SER_hh_fec!S8/SER_hh_num!S8)</f>
        <v>31114.99622213564</v>
      </c>
      <c r="T8" s="133">
        <f>IF(SER_hh_fec!T8=0,0,11630*1000*SER_hh_fec!T8/SER_hh_num!T8)</f>
        <v>30415.186887922075</v>
      </c>
      <c r="U8" s="133">
        <f>IF(SER_hh_fec!U8=0,0,11630*1000*SER_hh_fec!U8/SER_hh_num!U8)</f>
        <v>28837.126317883361</v>
      </c>
      <c r="V8" s="133">
        <f>IF(SER_hh_fec!V8=0,0,11630*1000*SER_hh_fec!V8/SER_hh_num!V8)</f>
        <v>26961.380475799833</v>
      </c>
      <c r="W8" s="133">
        <f>IF(SER_hh_fec!W8=0,0,11630*1000*SER_hh_fec!W8/SER_hh_num!W8)</f>
        <v>29406.156603107775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118316.81563939346</v>
      </c>
      <c r="C9" s="133">
        <f>IF(SER_hh_fec!C9=0,0,11630*1000*SER_hh_fec!C9/SER_hh_num!C9)</f>
        <v>127860.35825338239</v>
      </c>
      <c r="D9" s="133">
        <f>IF(SER_hh_fec!D9=0,0,11630*1000*SER_hh_fec!D9/SER_hh_num!D9)</f>
        <v>118262.86063308005</v>
      </c>
      <c r="E9" s="133">
        <f>IF(SER_hh_fec!E9=0,0,11630*1000*SER_hh_fec!E9/SER_hh_num!E9)</f>
        <v>128281.61614056287</v>
      </c>
      <c r="F9" s="133">
        <f>IF(SER_hh_fec!F9=0,0,11630*1000*SER_hh_fec!F9/SER_hh_num!F9)</f>
        <v>144172.0850778695</v>
      </c>
      <c r="G9" s="133">
        <f>IF(SER_hh_fec!G9=0,0,11630*1000*SER_hh_fec!G9/SER_hh_num!G9)</f>
        <v>128780.1702317779</v>
      </c>
      <c r="H9" s="133">
        <f>IF(SER_hh_fec!H9=0,0,11630*1000*SER_hh_fec!H9/SER_hh_num!H9)</f>
        <v>126978.66986466972</v>
      </c>
      <c r="I9" s="133">
        <f>IF(SER_hh_fec!I9=0,0,11630*1000*SER_hh_fec!I9/SER_hh_num!I9)</f>
        <v>107288.79268826237</v>
      </c>
      <c r="J9" s="133">
        <f>IF(SER_hh_fec!J9=0,0,11630*1000*SER_hh_fec!J9/SER_hh_num!J9)</f>
        <v>115592.80380289056</v>
      </c>
      <c r="K9" s="133">
        <f>IF(SER_hh_fec!K9=0,0,11630*1000*SER_hh_fec!K9/SER_hh_num!K9)</f>
        <v>120278.94465580613</v>
      </c>
      <c r="L9" s="133">
        <f>IF(SER_hh_fec!L9=0,0,11630*1000*SER_hh_fec!L9/SER_hh_num!L9)</f>
        <v>136545.72205675175</v>
      </c>
      <c r="M9" s="133">
        <f>IF(SER_hh_fec!M9=0,0,11630*1000*SER_hh_fec!M9/SER_hh_num!M9)</f>
        <v>102410.2722463903</v>
      </c>
      <c r="N9" s="133">
        <f>IF(SER_hh_fec!N9=0,0,11630*1000*SER_hh_fec!N9/SER_hh_num!N9)</f>
        <v>114290.72044003999</v>
      </c>
      <c r="O9" s="133">
        <f>IF(SER_hh_fec!O9=0,0,11630*1000*SER_hh_fec!O9/SER_hh_num!O9)</f>
        <v>113991.5628436642</v>
      </c>
      <c r="P9" s="133">
        <f>IF(SER_hh_fec!P9=0,0,11630*1000*SER_hh_fec!P9/SER_hh_num!P9)</f>
        <v>85669.050464584798</v>
      </c>
      <c r="Q9" s="133">
        <f>IF(SER_hh_fec!Q9=0,0,11630*1000*SER_hh_fec!Q9/SER_hh_num!Q9)</f>
        <v>93141.936994231364</v>
      </c>
      <c r="R9" s="133">
        <f>IF(SER_hh_fec!R9=0,0,11630*1000*SER_hh_fec!R9/SER_hh_num!R9)</f>
        <v>93935.748883186374</v>
      </c>
      <c r="S9" s="133">
        <f>IF(SER_hh_fec!S9=0,0,11630*1000*SER_hh_fec!S9/SER_hh_num!S9)</f>
        <v>94194.738381809453</v>
      </c>
      <c r="T9" s="133">
        <f>IF(SER_hh_fec!T9=0,0,11630*1000*SER_hh_fec!T9/SER_hh_num!T9)</f>
        <v>93563.567232581147</v>
      </c>
      <c r="U9" s="133">
        <f>IF(SER_hh_fec!U9=0,0,11630*1000*SER_hh_fec!U9/SER_hh_num!U9)</f>
        <v>88177.117733798965</v>
      </c>
      <c r="V9" s="133">
        <f>IF(SER_hh_fec!V9=0,0,11630*1000*SER_hh_fec!V9/SER_hh_num!V9)</f>
        <v>79431.625802484748</v>
      </c>
      <c r="W9" s="133">
        <f>IF(SER_hh_fec!W9=0,0,11630*1000*SER_hh_fec!W9/SER_hh_num!W9)</f>
        <v>86958.372117452542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124066.06673115656</v>
      </c>
      <c r="C10" s="133">
        <f>IF(SER_hh_fec!C10=0,0,11630*1000*SER_hh_fec!C10/SER_hh_num!C10)</f>
        <v>147269.94035432648</v>
      </c>
      <c r="D10" s="133">
        <f>IF(SER_hh_fec!D10=0,0,11630*1000*SER_hh_fec!D10/SER_hh_num!D10)</f>
        <v>143741.44272224934</v>
      </c>
      <c r="E10" s="133">
        <f>IF(SER_hh_fec!E10=0,0,11630*1000*SER_hh_fec!E10/SER_hh_num!E10)</f>
        <v>139531.15544684106</v>
      </c>
      <c r="F10" s="133">
        <f>IF(SER_hh_fec!F10=0,0,11630*1000*SER_hh_fec!F10/SER_hh_num!F10)</f>
        <v>151303.29233004319</v>
      </c>
      <c r="G10" s="133">
        <f>IF(SER_hh_fec!G10=0,0,11630*1000*SER_hh_fec!G10/SER_hh_num!G10)</f>
        <v>136911.41370916201</v>
      </c>
      <c r="H10" s="133">
        <f>IF(SER_hh_fec!H10=0,0,11630*1000*SER_hh_fec!H10/SER_hh_num!H10)</f>
        <v>139928.38328557613</v>
      </c>
      <c r="I10" s="133">
        <f>IF(SER_hh_fec!I10=0,0,11630*1000*SER_hh_fec!I10/SER_hh_num!I10)</f>
        <v>131513.51416641535</v>
      </c>
      <c r="J10" s="133">
        <f>IF(SER_hh_fec!J10=0,0,11630*1000*SER_hh_fec!J10/SER_hh_num!J10)</f>
        <v>146313.99863278746</v>
      </c>
      <c r="K10" s="133">
        <f>IF(SER_hh_fec!K10=0,0,11630*1000*SER_hh_fec!K10/SER_hh_num!K10)</f>
        <v>138995.61529342897</v>
      </c>
      <c r="L10" s="133">
        <f>IF(SER_hh_fec!L10=0,0,11630*1000*SER_hh_fec!L10/SER_hh_num!L10)</f>
        <v>149897.79585802066</v>
      </c>
      <c r="M10" s="133">
        <f>IF(SER_hh_fec!M10=0,0,11630*1000*SER_hh_fec!M10/SER_hh_num!M10)</f>
        <v>136423.85008344089</v>
      </c>
      <c r="N10" s="133">
        <f>IF(SER_hh_fec!N10=0,0,11630*1000*SER_hh_fec!N10/SER_hh_num!N10)</f>
        <v>134121.3711581378</v>
      </c>
      <c r="O10" s="133">
        <f>IF(SER_hh_fec!O10=0,0,11630*1000*SER_hh_fec!O10/SER_hh_num!O10)</f>
        <v>129007.34239647283</v>
      </c>
      <c r="P10" s="133">
        <f>IF(SER_hh_fec!P10=0,0,11630*1000*SER_hh_fec!P10/SER_hh_num!P10)</f>
        <v>122404.79583858189</v>
      </c>
      <c r="Q10" s="133">
        <f>IF(SER_hh_fec!Q10=0,0,11630*1000*SER_hh_fec!Q10/SER_hh_num!Q10)</f>
        <v>113076.36150131645</v>
      </c>
      <c r="R10" s="133">
        <f>IF(SER_hh_fec!R10=0,0,11630*1000*SER_hh_fec!R10/SER_hh_num!R10)</f>
        <v>107268.40699842114</v>
      </c>
      <c r="S10" s="133">
        <f>IF(SER_hh_fec!S10=0,0,11630*1000*SER_hh_fec!S10/SER_hh_num!S10)</f>
        <v>125255.99528588486</v>
      </c>
      <c r="T10" s="133">
        <f>IF(SER_hh_fec!T10=0,0,11630*1000*SER_hh_fec!T10/SER_hh_num!T10)</f>
        <v>121634.94867345964</v>
      </c>
      <c r="U10" s="133">
        <f>IF(SER_hh_fec!U10=0,0,11630*1000*SER_hh_fec!U10/SER_hh_num!U10)</f>
        <v>125741.69635285888</v>
      </c>
      <c r="V10" s="133">
        <f>IF(SER_hh_fec!V10=0,0,11630*1000*SER_hh_fec!V10/SER_hh_num!V10)</f>
        <v>123402.69798414405</v>
      </c>
      <c r="W10" s="133">
        <f>IF(SER_hh_fec!W10=0,0,11630*1000*SER_hh_fec!W10/SER_hh_num!W10)</f>
        <v>112958.97763924752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80077.987784102152</v>
      </c>
      <c r="C12" s="133">
        <f>IF(SER_hh_fec!C12=0,0,11630*1000*SER_hh_fec!C12/SER_hh_num!C12)</f>
        <v>71007.620079998436</v>
      </c>
      <c r="D12" s="133">
        <f>IF(SER_hh_fec!D12=0,0,11630*1000*SER_hh_fec!D12/SER_hh_num!D12)</f>
        <v>103754.85382175398</v>
      </c>
      <c r="E12" s="133">
        <f>IF(SER_hh_fec!E12=0,0,11630*1000*SER_hh_fec!E12/SER_hh_num!E12)</f>
        <v>87125.502980395351</v>
      </c>
      <c r="F12" s="133">
        <f>IF(SER_hh_fec!F12=0,0,11630*1000*SER_hh_fec!F12/SER_hh_num!F12)</f>
        <v>95861.503264834479</v>
      </c>
      <c r="G12" s="133">
        <f>IF(SER_hh_fec!G12=0,0,11630*1000*SER_hh_fec!G12/SER_hh_num!G12)</f>
        <v>69187.300870238119</v>
      </c>
      <c r="H12" s="133">
        <f>IF(SER_hh_fec!H12=0,0,11630*1000*SER_hh_fec!H12/SER_hh_num!H12)</f>
        <v>81311.502060385115</v>
      </c>
      <c r="I12" s="133">
        <f>IF(SER_hh_fec!I12=0,0,11630*1000*SER_hh_fec!I12/SER_hh_num!I12)</f>
        <v>93260.604172887281</v>
      </c>
      <c r="J12" s="133">
        <f>IF(SER_hh_fec!J12=0,0,11630*1000*SER_hh_fec!J12/SER_hh_num!J12)</f>
        <v>83340.654748168803</v>
      </c>
      <c r="K12" s="133">
        <f>IF(SER_hh_fec!K12=0,0,11630*1000*SER_hh_fec!K12/SER_hh_num!K12)</f>
        <v>101934.6388815086</v>
      </c>
      <c r="L12" s="133">
        <f>IF(SER_hh_fec!L12=0,0,11630*1000*SER_hh_fec!L12/SER_hh_num!L12)</f>
        <v>97643.778781937013</v>
      </c>
      <c r="M12" s="133">
        <f>IF(SER_hh_fec!M12=0,0,11630*1000*SER_hh_fec!M12/SER_hh_num!M12)</f>
        <v>98565.862524072174</v>
      </c>
      <c r="N12" s="133">
        <f>IF(SER_hh_fec!N12=0,0,11630*1000*SER_hh_fec!N12/SER_hh_num!N12)</f>
        <v>69431.272451192155</v>
      </c>
      <c r="O12" s="133">
        <f>IF(SER_hh_fec!O12=0,0,11630*1000*SER_hh_fec!O12/SER_hh_num!O12)</f>
        <v>74244.391142558627</v>
      </c>
      <c r="P12" s="133">
        <f>IF(SER_hh_fec!P12=0,0,11630*1000*SER_hh_fec!P12/SER_hh_num!P12)</f>
        <v>77837.079878568315</v>
      </c>
      <c r="Q12" s="133">
        <f>IF(SER_hh_fec!Q12=0,0,11630*1000*SER_hh_fec!Q12/SER_hh_num!Q12)</f>
        <v>70925.091697839031</v>
      </c>
      <c r="R12" s="133">
        <f>IF(SER_hh_fec!R12=0,0,11630*1000*SER_hh_fec!R12/SER_hh_num!R12)</f>
        <v>69416.503914678615</v>
      </c>
      <c r="S12" s="133">
        <f>IF(SER_hh_fec!S12=0,0,11630*1000*SER_hh_fec!S12/SER_hh_num!S12)</f>
        <v>85953.447299188731</v>
      </c>
      <c r="T12" s="133">
        <f>IF(SER_hh_fec!T12=0,0,11630*1000*SER_hh_fec!T12/SER_hh_num!T12)</f>
        <v>71512.868946803705</v>
      </c>
      <c r="U12" s="133">
        <f>IF(SER_hh_fec!U12=0,0,11630*1000*SER_hh_fec!U12/SER_hh_num!U12)</f>
        <v>78884.833220345754</v>
      </c>
      <c r="V12" s="133">
        <f>IF(SER_hh_fec!V12=0,0,11630*1000*SER_hh_fec!V12/SER_hh_num!V12)</f>
        <v>76207.259230417214</v>
      </c>
      <c r="W12" s="133">
        <f>IF(SER_hh_fec!W12=0,0,11630*1000*SER_hh_fec!W12/SER_hh_num!W12)</f>
        <v>69397.89814341905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42901.683285140934</v>
      </c>
      <c r="C13" s="133">
        <f>IF(SER_hh_fec!C13=0,0,11630*1000*SER_hh_fec!C13/SER_hh_num!C13)</f>
        <v>45299.514599831447</v>
      </c>
      <c r="D13" s="133">
        <f>IF(SER_hh_fec!D13=0,0,11630*1000*SER_hh_fec!D13/SER_hh_num!D13)</f>
        <v>45488.70221582157</v>
      </c>
      <c r="E13" s="133">
        <f>IF(SER_hh_fec!E13=0,0,11630*1000*SER_hh_fec!E13/SER_hh_num!E13)</f>
        <v>41696.141434924561</v>
      </c>
      <c r="F13" s="133">
        <f>IF(SER_hh_fec!F13=0,0,11630*1000*SER_hh_fec!F13/SER_hh_num!F13)</f>
        <v>44312.079152349259</v>
      </c>
      <c r="G13" s="133">
        <f>IF(SER_hh_fec!G13=0,0,11630*1000*SER_hh_fec!G13/SER_hh_num!G13)</f>
        <v>41671.296314867301</v>
      </c>
      <c r="H13" s="133">
        <f>IF(SER_hh_fec!H13=0,0,11630*1000*SER_hh_fec!H13/SER_hh_num!H13)</f>
        <v>37293.580273580257</v>
      </c>
      <c r="I13" s="133">
        <f>IF(SER_hh_fec!I13=0,0,11630*1000*SER_hh_fec!I13/SER_hh_num!I13)</f>
        <v>36066.273468427884</v>
      </c>
      <c r="J13" s="133">
        <f>IF(SER_hh_fec!J13=0,0,11630*1000*SER_hh_fec!J13/SER_hh_num!J13)</f>
        <v>36745.227456995177</v>
      </c>
      <c r="K13" s="133">
        <f>IF(SER_hh_fec!K13=0,0,11630*1000*SER_hh_fec!K13/SER_hh_num!K13)</f>
        <v>36409.490268771042</v>
      </c>
      <c r="L13" s="133">
        <f>IF(SER_hh_fec!L13=0,0,11630*1000*SER_hh_fec!L13/SER_hh_num!L13)</f>
        <v>36385.702179116342</v>
      </c>
      <c r="M13" s="133">
        <f>IF(SER_hh_fec!M13=0,0,11630*1000*SER_hh_fec!M13/SER_hh_num!M13)</f>
        <v>33636.190778463351</v>
      </c>
      <c r="N13" s="133">
        <f>IF(SER_hh_fec!N13=0,0,11630*1000*SER_hh_fec!N13/SER_hh_num!N13)</f>
        <v>31535.077574081708</v>
      </c>
      <c r="O13" s="133">
        <f>IF(SER_hh_fec!O13=0,0,11630*1000*SER_hh_fec!O13/SER_hh_num!O13)</f>
        <v>29179.467334530735</v>
      </c>
      <c r="P13" s="133">
        <f>IF(SER_hh_fec!P13=0,0,11630*1000*SER_hh_fec!P13/SER_hh_num!P13)</f>
        <v>25929.581001822236</v>
      </c>
      <c r="Q13" s="133">
        <f>IF(SER_hh_fec!Q13=0,0,11630*1000*SER_hh_fec!Q13/SER_hh_num!Q13)</f>
        <v>24888.249553872727</v>
      </c>
      <c r="R13" s="133">
        <f>IF(SER_hh_fec!R13=0,0,11630*1000*SER_hh_fec!R13/SER_hh_num!R13)</f>
        <v>24183.222333906659</v>
      </c>
      <c r="S13" s="133">
        <f>IF(SER_hh_fec!S13=0,0,11630*1000*SER_hh_fec!S13/SER_hh_num!S13)</f>
        <v>23902.857281649027</v>
      </c>
      <c r="T13" s="133">
        <f>IF(SER_hh_fec!T13=0,0,11630*1000*SER_hh_fec!T13/SER_hh_num!T13)</f>
        <v>23115.661469859417</v>
      </c>
      <c r="U13" s="133">
        <f>IF(SER_hh_fec!U13=0,0,11630*1000*SER_hh_fec!U13/SER_hh_num!U13)</f>
        <v>21879.101262657437</v>
      </c>
      <c r="V13" s="133">
        <f>IF(SER_hh_fec!V13=0,0,11630*1000*SER_hh_fec!V13/SER_hh_num!V13)</f>
        <v>20633.572231569098</v>
      </c>
      <c r="W13" s="133">
        <f>IF(SER_hh_fec!W13=0,0,11630*1000*SER_hh_fec!W13/SER_hh_num!W13)</f>
        <v>21196.652325752741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85157.347438739147</v>
      </c>
      <c r="C14" s="65">
        <f>IF(SER_hh_fec!C14=0,0,11630*1000*SER_hh_fec!C14/SER_hh_num!C14)</f>
        <v>95031.557347457725</v>
      </c>
      <c r="D14" s="65">
        <f>IF(SER_hh_fec!D14=0,0,11630*1000*SER_hh_fec!D14/SER_hh_num!D14)</f>
        <v>91082.861005958795</v>
      </c>
      <c r="E14" s="65">
        <f>IF(SER_hh_fec!E14=0,0,11630*1000*SER_hh_fec!E14/SER_hh_num!E14)</f>
        <v>98606.647565598818</v>
      </c>
      <c r="F14" s="65">
        <f>IF(SER_hh_fec!F14=0,0,11630*1000*SER_hh_fec!F14/SER_hh_num!F14)</f>
        <v>104160.4333530545</v>
      </c>
      <c r="G14" s="65">
        <f>IF(SER_hh_fec!G14=0,0,11630*1000*SER_hh_fec!G14/SER_hh_num!G14)</f>
        <v>98453.528957047936</v>
      </c>
      <c r="H14" s="65">
        <f>IF(SER_hh_fec!H14=0,0,11630*1000*SER_hh_fec!H14/SER_hh_num!H14)</f>
        <v>97124.380243890584</v>
      </c>
      <c r="I14" s="65">
        <f>IF(SER_hh_fec!I14=0,0,11630*1000*SER_hh_fec!I14/SER_hh_num!I14)</f>
        <v>95745.015054555144</v>
      </c>
      <c r="J14" s="65">
        <f>IF(SER_hh_fec!J14=0,0,11630*1000*SER_hh_fec!J14/SER_hh_num!J14)</f>
        <v>94526.957439323756</v>
      </c>
      <c r="K14" s="65">
        <f>IF(SER_hh_fec!K14=0,0,11630*1000*SER_hh_fec!K14/SER_hh_num!K14)</f>
        <v>101041.1559307923</v>
      </c>
      <c r="L14" s="65">
        <f>IF(SER_hh_fec!L14=0,0,11630*1000*SER_hh_fec!L14/SER_hh_num!L14)</f>
        <v>101488.03187536506</v>
      </c>
      <c r="M14" s="65">
        <f>IF(SER_hh_fec!M14=0,0,11630*1000*SER_hh_fec!M14/SER_hh_num!M14)</f>
        <v>98235.786624004701</v>
      </c>
      <c r="N14" s="65">
        <f>IF(SER_hh_fec!N14=0,0,11630*1000*SER_hh_fec!N14/SER_hh_num!N14)</f>
        <v>97402.128798157661</v>
      </c>
      <c r="O14" s="65">
        <f>IF(SER_hh_fec!O14=0,0,11630*1000*SER_hh_fec!O14/SER_hh_num!O14)</f>
        <v>102580.10580861957</v>
      </c>
      <c r="P14" s="65">
        <f>IF(SER_hh_fec!P14=0,0,11630*1000*SER_hh_fec!P14/SER_hh_num!P14)</f>
        <v>79388.842461375913</v>
      </c>
      <c r="Q14" s="65">
        <f>IF(SER_hh_fec!Q14=0,0,11630*1000*SER_hh_fec!Q14/SER_hh_num!Q14)</f>
        <v>76124.339858073305</v>
      </c>
      <c r="R14" s="65">
        <f>IF(SER_hh_fec!R14=0,0,11630*1000*SER_hh_fec!R14/SER_hh_num!R14)</f>
        <v>78597.326729523178</v>
      </c>
      <c r="S14" s="65">
        <f>IF(SER_hh_fec!S14=0,0,11630*1000*SER_hh_fec!S14/SER_hh_num!S14)</f>
        <v>86634.498002578897</v>
      </c>
      <c r="T14" s="65">
        <f>IF(SER_hh_fec!T14=0,0,11630*1000*SER_hh_fec!T14/SER_hh_num!T14)</f>
        <v>92533.140235067549</v>
      </c>
      <c r="U14" s="65">
        <f>IF(SER_hh_fec!U14=0,0,11630*1000*SER_hh_fec!U14/SER_hh_num!U14)</f>
        <v>79562.253552782189</v>
      </c>
      <c r="V14" s="65">
        <f>IF(SER_hh_fec!V14=0,0,11630*1000*SER_hh_fec!V14/SER_hh_num!V14)</f>
        <v>69583.260193730748</v>
      </c>
      <c r="W14" s="65">
        <f>IF(SER_hh_fec!W14=0,0,11630*1000*SER_hh_fec!W14/SER_hh_num!W14)</f>
        <v>80951.23962234678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1198.5452460189606</v>
      </c>
      <c r="C15" s="135">
        <f>IF(SER_hh_fec!C15=0,0,11630*1000*SER_hh_fec!C15/SER_hh_num!C15)</f>
        <v>1263.9738990294957</v>
      </c>
      <c r="D15" s="135">
        <f>IF(SER_hh_fec!D15=0,0,11630*1000*SER_hh_fec!D15/SER_hh_num!D15)</f>
        <v>1183.1050003567118</v>
      </c>
      <c r="E15" s="135">
        <f>IF(SER_hh_fec!E15=0,0,11630*1000*SER_hh_fec!E15/SER_hh_num!E15)</f>
        <v>1263.4404619763484</v>
      </c>
      <c r="F15" s="135">
        <f>IF(SER_hh_fec!F15=0,0,11630*1000*SER_hh_fec!F15/SER_hh_num!F15)</f>
        <v>1408.7150618862761</v>
      </c>
      <c r="G15" s="135">
        <f>IF(SER_hh_fec!G15=0,0,11630*1000*SER_hh_fec!G15/SER_hh_num!G15)</f>
        <v>1264.9877783825243</v>
      </c>
      <c r="H15" s="135">
        <f>IF(SER_hh_fec!H15=0,0,11630*1000*SER_hh_fec!H15/SER_hh_num!H15)</f>
        <v>1252.8896297751517</v>
      </c>
      <c r="I15" s="135">
        <f>IF(SER_hh_fec!I15=0,0,11630*1000*SER_hh_fec!I15/SER_hh_num!I15)</f>
        <v>1084.5030688519491</v>
      </c>
      <c r="J15" s="135">
        <f>IF(SER_hh_fec!J15=0,0,11630*1000*SER_hh_fec!J15/SER_hh_num!J15)</f>
        <v>1166.4587626453103</v>
      </c>
      <c r="K15" s="135">
        <f>IF(SER_hh_fec!K15=0,0,11630*1000*SER_hh_fec!K15/SER_hh_num!K15)</f>
        <v>1220.8020418135079</v>
      </c>
      <c r="L15" s="135">
        <f>IF(SER_hh_fec!L15=0,0,11630*1000*SER_hh_fec!L15/SER_hh_num!L15)</f>
        <v>1407.8033840552582</v>
      </c>
      <c r="M15" s="135">
        <f>IF(SER_hh_fec!M15=0,0,11630*1000*SER_hh_fec!M15/SER_hh_num!M15)</f>
        <v>1103.1217428476405</v>
      </c>
      <c r="N15" s="135">
        <f>IF(SER_hh_fec!N15=0,0,11630*1000*SER_hh_fec!N15/SER_hh_num!N15)</f>
        <v>1248.6414077814788</v>
      </c>
      <c r="O15" s="135">
        <f>IF(SER_hh_fec!O15=0,0,11630*1000*SER_hh_fec!O15/SER_hh_num!O15)</f>
        <v>1273.3472612630364</v>
      </c>
      <c r="P15" s="135">
        <f>IF(SER_hh_fec!P15=0,0,11630*1000*SER_hh_fec!P15/SER_hh_num!P15)</f>
        <v>978.90797226679001</v>
      </c>
      <c r="Q15" s="135">
        <f>IF(SER_hh_fec!Q15=0,0,11630*1000*SER_hh_fec!Q15/SER_hh_num!Q15)</f>
        <v>1047.366057313272</v>
      </c>
      <c r="R15" s="135">
        <f>IF(SER_hh_fec!R15=0,0,11630*1000*SER_hh_fec!R15/SER_hh_num!R15)</f>
        <v>1053.3039008234045</v>
      </c>
      <c r="S15" s="135">
        <f>IF(SER_hh_fec!S15=0,0,11630*1000*SER_hh_fec!S15/SER_hh_num!S15)</f>
        <v>1059.5897483811993</v>
      </c>
      <c r="T15" s="135">
        <f>IF(SER_hh_fec!T15=0,0,11630*1000*SER_hh_fec!T15/SER_hh_num!T15)</f>
        <v>1050.0307443727881</v>
      </c>
      <c r="U15" s="135">
        <f>IF(SER_hh_fec!U15=0,0,11630*1000*SER_hh_fec!U15/SER_hh_num!U15)</f>
        <v>1001.5116678346103</v>
      </c>
      <c r="V15" s="135">
        <f>IF(SER_hh_fec!V15=0,0,11630*1000*SER_hh_fec!V15/SER_hh_num!V15)</f>
        <v>912.65123385008781</v>
      </c>
      <c r="W15" s="135">
        <f>IF(SER_hh_fec!W15=0,0,11630*1000*SER_hh_fec!W15/SER_hh_num!W15)</f>
        <v>1007.6349561072126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13046.671849901293</v>
      </c>
      <c r="C16" s="131">
        <f>IF(SER_hh_fec!C16=0,0,11630*1000*SER_hh_fec!C16/SER_hh_num!C16)</f>
        <v>12517.5096862675</v>
      </c>
      <c r="D16" s="131">
        <f>IF(SER_hh_fec!D16=0,0,11630*1000*SER_hh_fec!D16/SER_hh_num!D16)</f>
        <v>11702.145468242043</v>
      </c>
      <c r="E16" s="131">
        <f>IF(SER_hh_fec!E16=0,0,11630*1000*SER_hh_fec!E16/SER_hh_num!E16)</f>
        <v>12239.791926739403</v>
      </c>
      <c r="F16" s="131">
        <f>IF(SER_hh_fec!F16=0,0,11630*1000*SER_hh_fec!F16/SER_hh_num!F16)</f>
        <v>10651.791561660939</v>
      </c>
      <c r="G16" s="131">
        <f>IF(SER_hh_fec!G16=0,0,11630*1000*SER_hh_fec!G16/SER_hh_num!G16)</f>
        <v>9983.201545660906</v>
      </c>
      <c r="H16" s="131">
        <f>IF(SER_hh_fec!H16=0,0,11630*1000*SER_hh_fec!H16/SER_hh_num!H16)</f>
        <v>10420.713926315422</v>
      </c>
      <c r="I16" s="131">
        <f>IF(SER_hh_fec!I16=0,0,11630*1000*SER_hh_fec!I16/SER_hh_num!I16)</f>
        <v>9085.0579564041964</v>
      </c>
      <c r="J16" s="131">
        <f>IF(SER_hh_fec!J16=0,0,11630*1000*SER_hh_fec!J16/SER_hh_num!J16)</f>
        <v>8759.3551136272436</v>
      </c>
      <c r="K16" s="131">
        <f>IF(SER_hh_fec!K16=0,0,11630*1000*SER_hh_fec!K16/SER_hh_num!K16)</f>
        <v>8661.9216799485439</v>
      </c>
      <c r="L16" s="131">
        <f>IF(SER_hh_fec!L16=0,0,11630*1000*SER_hh_fec!L16/SER_hh_num!L16)</f>
        <v>8789.5788000323664</v>
      </c>
      <c r="M16" s="131">
        <f>IF(SER_hh_fec!M16=0,0,11630*1000*SER_hh_fec!M16/SER_hh_num!M16)</f>
        <v>8288.9176728153252</v>
      </c>
      <c r="N16" s="131">
        <f>IF(SER_hh_fec!N16=0,0,11630*1000*SER_hh_fec!N16/SER_hh_num!N16)</f>
        <v>8137.0825156730743</v>
      </c>
      <c r="O16" s="131">
        <f>IF(SER_hh_fec!O16=0,0,11630*1000*SER_hh_fec!O16/SER_hh_num!O16)</f>
        <v>7994.8419053351035</v>
      </c>
      <c r="P16" s="131">
        <f>IF(SER_hh_fec!P16=0,0,11630*1000*SER_hh_fec!P16/SER_hh_num!P16)</f>
        <v>7694.0845323869917</v>
      </c>
      <c r="Q16" s="131">
        <f>IF(SER_hh_fec!Q16=0,0,11630*1000*SER_hh_fec!Q16/SER_hh_num!Q16)</f>
        <v>7794.4282853120749</v>
      </c>
      <c r="R16" s="131">
        <f>IF(SER_hh_fec!R16=0,0,11630*1000*SER_hh_fec!R16/SER_hh_num!R16)</f>
        <v>7366.0447593920117</v>
      </c>
      <c r="S16" s="131">
        <f>IF(SER_hh_fec!S16=0,0,11630*1000*SER_hh_fec!S16/SER_hh_num!S16)</f>
        <v>7013.2831947124123</v>
      </c>
      <c r="T16" s="131">
        <f>IF(SER_hh_fec!T16=0,0,11630*1000*SER_hh_fec!T16/SER_hh_num!T16)</f>
        <v>7535.3706386862023</v>
      </c>
      <c r="U16" s="131">
        <f>IF(SER_hh_fec!U16=0,0,11630*1000*SER_hh_fec!U16/SER_hh_num!U16)</f>
        <v>7271.5223573772701</v>
      </c>
      <c r="V16" s="131">
        <f>IF(SER_hh_fec!V16=0,0,11630*1000*SER_hh_fec!V16/SER_hh_num!V16)</f>
        <v>7363.3977930363262</v>
      </c>
      <c r="W16" s="131">
        <f>IF(SER_hh_fec!W16=0,0,11630*1000*SER_hh_fec!W16/SER_hh_num!W16)</f>
        <v>6431.4775628929056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19540.726163507432</v>
      </c>
      <c r="C17" s="133">
        <f>IF(SER_hh_fec!C17=0,0,11630*1000*SER_hh_fec!C17/SER_hh_num!C17)</f>
        <v>19826.109602061391</v>
      </c>
      <c r="D17" s="133">
        <f>IF(SER_hh_fec!D17=0,0,11630*1000*SER_hh_fec!D17/SER_hh_num!D17)</f>
        <v>19441.314815435606</v>
      </c>
      <c r="E17" s="133">
        <f>IF(SER_hh_fec!E17=0,0,11630*1000*SER_hh_fec!E17/SER_hh_num!E17)</f>
        <v>21230.986919078794</v>
      </c>
      <c r="F17" s="133">
        <f>IF(SER_hh_fec!F17=0,0,11630*1000*SER_hh_fec!F17/SER_hh_num!F17)</f>
        <v>19235.199344304252</v>
      </c>
      <c r="G17" s="133">
        <f>IF(SER_hh_fec!G17=0,0,11630*1000*SER_hh_fec!G17/SER_hh_num!G17)</f>
        <v>18901.495632346159</v>
      </c>
      <c r="H17" s="133">
        <f>IF(SER_hh_fec!H17=0,0,11630*1000*SER_hh_fec!H17/SER_hh_num!H17)</f>
        <v>20598.787016447674</v>
      </c>
      <c r="I17" s="133">
        <f>IF(SER_hh_fec!I17=0,0,11630*1000*SER_hh_fec!I17/SER_hh_num!I17)</f>
        <v>18781.437219178137</v>
      </c>
      <c r="J17" s="133">
        <f>IF(SER_hh_fec!J17=0,0,11630*1000*SER_hh_fec!J17/SER_hh_num!J17)</f>
        <v>18848.688064999391</v>
      </c>
      <c r="K17" s="133">
        <f>IF(SER_hh_fec!K17=0,0,11630*1000*SER_hh_fec!K17/SER_hh_num!K17)</f>
        <v>18964.144050492123</v>
      </c>
      <c r="L17" s="133">
        <f>IF(SER_hh_fec!L17=0,0,11630*1000*SER_hh_fec!L17/SER_hh_num!L17)</f>
        <v>19641.044671478852</v>
      </c>
      <c r="M17" s="133">
        <f>IF(SER_hh_fec!M17=0,0,11630*1000*SER_hh_fec!M17/SER_hh_num!M17)</f>
        <v>19017.498492019637</v>
      </c>
      <c r="N17" s="133">
        <f>IF(SER_hh_fec!N17=0,0,11630*1000*SER_hh_fec!N17/SER_hh_num!N17)</f>
        <v>19098.735586653183</v>
      </c>
      <c r="O17" s="133">
        <f>IF(SER_hh_fec!O17=0,0,11630*1000*SER_hh_fec!O17/SER_hh_num!O17)</f>
        <v>19117.256392396317</v>
      </c>
      <c r="P17" s="133">
        <f>IF(SER_hh_fec!P17=0,0,11630*1000*SER_hh_fec!P17/SER_hh_num!P17)</f>
        <v>18655.785791471331</v>
      </c>
      <c r="Q17" s="133">
        <f>IF(SER_hh_fec!Q17=0,0,11630*1000*SER_hh_fec!Q17/SER_hh_num!Q17)</f>
        <v>18776.054436376107</v>
      </c>
      <c r="R17" s="133">
        <f>IF(SER_hh_fec!R17=0,0,11630*1000*SER_hh_fec!R17/SER_hh_num!R17)</f>
        <v>18349.149374384084</v>
      </c>
      <c r="S17" s="133">
        <f>IF(SER_hh_fec!S17=0,0,11630*1000*SER_hh_fec!S17/SER_hh_num!S17)</f>
        <v>18712.626262645241</v>
      </c>
      <c r="T17" s="133">
        <f>IF(SER_hh_fec!T17=0,0,11630*1000*SER_hh_fec!T17/SER_hh_num!T17)</f>
        <v>19484.288545087529</v>
      </c>
      <c r="U17" s="133">
        <f>IF(SER_hh_fec!U17=0,0,11630*1000*SER_hh_fec!U17/SER_hh_num!U17)</f>
        <v>18981.817241037155</v>
      </c>
      <c r="V17" s="133">
        <f>IF(SER_hh_fec!V17=0,0,11630*1000*SER_hh_fec!V17/SER_hh_num!V17)</f>
        <v>19316.51814067801</v>
      </c>
      <c r="W17" s="133">
        <f>IF(SER_hh_fec!W17=0,0,11630*1000*SER_hh_fec!W17/SER_hh_num!W17)</f>
        <v>20408.138058570057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13025.082303093877</v>
      </c>
      <c r="C18" s="133">
        <f>IF(SER_hh_fec!C18=0,0,11630*1000*SER_hh_fec!C18/SER_hh_num!C18)</f>
        <v>12494.094939397024</v>
      </c>
      <c r="D18" s="133">
        <f>IF(SER_hh_fec!D18=0,0,11630*1000*SER_hh_fec!D18/SER_hh_num!D18)</f>
        <v>11675.484603416893</v>
      </c>
      <c r="E18" s="133">
        <f>IF(SER_hh_fec!E18=0,0,11630*1000*SER_hh_fec!E18/SER_hh_num!E18)</f>
        <v>12209.257568900288</v>
      </c>
      <c r="F18" s="133">
        <f>IF(SER_hh_fec!F18=0,0,11630*1000*SER_hh_fec!F18/SER_hh_num!F18)</f>
        <v>10616.614820837542</v>
      </c>
      <c r="G18" s="133">
        <f>IF(SER_hh_fec!G18=0,0,11630*1000*SER_hh_fec!G18/SER_hh_num!G18)</f>
        <v>9945.0067905798696</v>
      </c>
      <c r="H18" s="133">
        <f>IF(SER_hh_fec!H18=0,0,11630*1000*SER_hh_fec!H18/SER_hh_num!H18)</f>
        <v>10372.353962928628</v>
      </c>
      <c r="I18" s="133">
        <f>IF(SER_hh_fec!I18=0,0,11630*1000*SER_hh_fec!I18/SER_hh_num!I18)</f>
        <v>9032.3544162492744</v>
      </c>
      <c r="J18" s="133">
        <f>IF(SER_hh_fec!J18=0,0,11630*1000*SER_hh_fec!J18/SER_hh_num!J18)</f>
        <v>8699.3240389336606</v>
      </c>
      <c r="K18" s="133">
        <f>IF(SER_hh_fec!K18=0,0,11630*1000*SER_hh_fec!K18/SER_hh_num!K18)</f>
        <v>8597.7982834116719</v>
      </c>
      <c r="L18" s="133">
        <f>IF(SER_hh_fec!L18=0,0,11630*1000*SER_hh_fec!L18/SER_hh_num!L18)</f>
        <v>8719.5802712754339</v>
      </c>
      <c r="M18" s="133">
        <f>IF(SER_hh_fec!M18=0,0,11630*1000*SER_hh_fec!M18/SER_hh_num!M18)</f>
        <v>8215.0927901129526</v>
      </c>
      <c r="N18" s="133">
        <f>IF(SER_hh_fec!N18=0,0,11630*1000*SER_hh_fec!N18/SER_hh_num!N18)</f>
        <v>8053.8976709784311</v>
      </c>
      <c r="O18" s="133">
        <f>IF(SER_hh_fec!O18=0,0,11630*1000*SER_hh_fec!O18/SER_hh_num!O18)</f>
        <v>7894.3233469744946</v>
      </c>
      <c r="P18" s="133">
        <f>IF(SER_hh_fec!P18=0,0,11630*1000*SER_hh_fec!P18/SER_hh_num!P18)</f>
        <v>7563.5368500114846</v>
      </c>
      <c r="Q18" s="133">
        <f>IF(SER_hh_fec!Q18=0,0,11630*1000*SER_hh_fec!Q18/SER_hh_num!Q18)</f>
        <v>7620.0834806108542</v>
      </c>
      <c r="R18" s="133">
        <f>IF(SER_hh_fec!R18=0,0,11630*1000*SER_hh_fec!R18/SER_hh_num!R18)</f>
        <v>7146.2644382717681</v>
      </c>
      <c r="S18" s="133">
        <f>IF(SER_hh_fec!S18=0,0,11630*1000*SER_hh_fec!S18/SER_hh_num!S18)</f>
        <v>6747.1979135268184</v>
      </c>
      <c r="T18" s="133">
        <f>IF(SER_hh_fec!T18=0,0,11630*1000*SER_hh_fec!T18/SER_hh_num!T18)</f>
        <v>7245.9231782564339</v>
      </c>
      <c r="U18" s="133">
        <f>IF(SER_hh_fec!U18=0,0,11630*1000*SER_hh_fec!U18/SER_hh_num!U18)</f>
        <v>6962.7666422930333</v>
      </c>
      <c r="V18" s="133">
        <f>IF(SER_hh_fec!V18=0,0,11630*1000*SER_hh_fec!V18/SER_hh_num!V18)</f>
        <v>7020.3867365419555</v>
      </c>
      <c r="W18" s="133">
        <f>IF(SER_hh_fec!W18=0,0,11630*1000*SER_hh_fec!W18/SER_hh_num!W18)</f>
        <v>6044.4876293905427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22665.563995818306</v>
      </c>
      <c r="C19" s="131">
        <f>IF(SER_hh_fec!C19=0,0,11630*1000*SER_hh_fec!C19/SER_hh_num!C19)</f>
        <v>22297.302337435915</v>
      </c>
      <c r="D19" s="131">
        <f>IF(SER_hh_fec!D19=0,0,11630*1000*SER_hh_fec!D19/SER_hh_num!D19)</f>
        <v>22213.646294921986</v>
      </c>
      <c r="E19" s="131">
        <f>IF(SER_hh_fec!E19=0,0,11630*1000*SER_hh_fec!E19/SER_hh_num!E19)</f>
        <v>21925.880608306448</v>
      </c>
      <c r="F19" s="131">
        <f>IF(SER_hh_fec!F19=0,0,11630*1000*SER_hh_fec!F19/SER_hh_num!F19)</f>
        <v>21928.803535643765</v>
      </c>
      <c r="G19" s="131">
        <f>IF(SER_hh_fec!G19=0,0,11630*1000*SER_hh_fec!G19/SER_hh_num!G19)</f>
        <v>21480.242250873696</v>
      </c>
      <c r="H19" s="131">
        <f>IF(SER_hh_fec!H19=0,0,11630*1000*SER_hh_fec!H19/SER_hh_num!H19)</f>
        <v>20815.234651100494</v>
      </c>
      <c r="I19" s="131">
        <f>IF(SER_hh_fec!I19=0,0,11630*1000*SER_hh_fec!I19/SER_hh_num!I19)</f>
        <v>20037.773520214094</v>
      </c>
      <c r="J19" s="131">
        <f>IF(SER_hh_fec!J19=0,0,11630*1000*SER_hh_fec!J19/SER_hh_num!J19)</f>
        <v>19565.168958908271</v>
      </c>
      <c r="K19" s="131">
        <f>IF(SER_hh_fec!K19=0,0,11630*1000*SER_hh_fec!K19/SER_hh_num!K19)</f>
        <v>19601.012794971579</v>
      </c>
      <c r="L19" s="131">
        <f>IF(SER_hh_fec!L19=0,0,11630*1000*SER_hh_fec!L19/SER_hh_num!L19)</f>
        <v>19318.906973756621</v>
      </c>
      <c r="M19" s="131">
        <f>IF(SER_hh_fec!M19=0,0,11630*1000*SER_hh_fec!M19/SER_hh_num!M19)</f>
        <v>18990.276105831068</v>
      </c>
      <c r="N19" s="131">
        <f>IF(SER_hh_fec!N19=0,0,11630*1000*SER_hh_fec!N19/SER_hh_num!N19)</f>
        <v>18898.194968565469</v>
      </c>
      <c r="O19" s="131">
        <f>IF(SER_hh_fec!O19=0,0,11630*1000*SER_hh_fec!O19/SER_hh_num!O19)</f>
        <v>18761.402577484761</v>
      </c>
      <c r="P19" s="131">
        <f>IF(SER_hh_fec!P19=0,0,11630*1000*SER_hh_fec!P19/SER_hh_num!P19)</f>
        <v>18605.010691794396</v>
      </c>
      <c r="Q19" s="131">
        <f>IF(SER_hh_fec!Q19=0,0,11630*1000*SER_hh_fec!Q19/SER_hh_num!Q19)</f>
        <v>18283.429944919553</v>
      </c>
      <c r="R19" s="131">
        <f>IF(SER_hh_fec!R19=0,0,11630*1000*SER_hh_fec!R19/SER_hh_num!R19)</f>
        <v>18057.396449248459</v>
      </c>
      <c r="S19" s="131">
        <f>IF(SER_hh_fec!S19=0,0,11630*1000*SER_hh_fec!S19/SER_hh_num!S19)</f>
        <v>17842.40154833968</v>
      </c>
      <c r="T19" s="131">
        <f>IF(SER_hh_fec!T19=0,0,11630*1000*SER_hh_fec!T19/SER_hh_num!T19)</f>
        <v>17562.928492211737</v>
      </c>
      <c r="U19" s="131">
        <f>IF(SER_hh_fec!U19=0,0,11630*1000*SER_hh_fec!U19/SER_hh_num!U19)</f>
        <v>17260.707816270053</v>
      </c>
      <c r="V19" s="131">
        <f>IF(SER_hh_fec!V19=0,0,11630*1000*SER_hh_fec!V19/SER_hh_num!V19)</f>
        <v>16508.436664643887</v>
      </c>
      <c r="W19" s="131">
        <f>IF(SER_hh_fec!W19=0,0,11630*1000*SER_hh_fec!W19/SER_hh_num!W19)</f>
        <v>16380.006148040766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26953.779215450762</v>
      </c>
      <c r="C22" s="133">
        <f>IF(SER_hh_fec!C22=0,0,11630*1000*SER_hh_fec!C22/SER_hh_num!C22)</f>
        <v>26497.279432735308</v>
      </c>
      <c r="D22" s="133">
        <f>IF(SER_hh_fec!D22=0,0,11630*1000*SER_hh_fec!D22/SER_hh_num!D22)</f>
        <v>26257.930282046284</v>
      </c>
      <c r="E22" s="133">
        <f>IF(SER_hh_fec!E22=0,0,11630*1000*SER_hh_fec!E22/SER_hh_num!E22)</f>
        <v>25964.984883218392</v>
      </c>
      <c r="F22" s="133">
        <f>IF(SER_hh_fec!F22=0,0,11630*1000*SER_hh_fec!F22/SER_hh_num!F22)</f>
        <v>25891.209317767054</v>
      </c>
      <c r="G22" s="133">
        <f>IF(SER_hh_fec!G22=0,0,11630*1000*SER_hh_fec!G22/SER_hh_num!G22)</f>
        <v>25504.643849167245</v>
      </c>
      <c r="H22" s="133">
        <f>IF(SER_hh_fec!H22=0,0,11630*1000*SER_hh_fec!H22/SER_hh_num!H22)</f>
        <v>24717.244368742875</v>
      </c>
      <c r="I22" s="133">
        <f>IF(SER_hh_fec!I22=0,0,11630*1000*SER_hh_fec!I22/SER_hh_num!I22)</f>
        <v>24036.36442550131</v>
      </c>
      <c r="J22" s="133">
        <f>IF(SER_hh_fec!J22=0,0,11630*1000*SER_hh_fec!J22/SER_hh_num!J22)</f>
        <v>23797.007264044863</v>
      </c>
      <c r="K22" s="133">
        <f>IF(SER_hh_fec!K22=0,0,11630*1000*SER_hh_fec!K22/SER_hh_num!K22)</f>
        <v>23558.613835073786</v>
      </c>
      <c r="L22" s="133">
        <f>IF(SER_hh_fec!L22=0,0,11630*1000*SER_hh_fec!L22/SER_hh_num!L22)</f>
        <v>23046.103815682305</v>
      </c>
      <c r="M22" s="133">
        <f>IF(SER_hh_fec!M22=0,0,11630*1000*SER_hh_fec!M22/SER_hh_num!M22)</f>
        <v>22732.256981650309</v>
      </c>
      <c r="N22" s="133">
        <f>IF(SER_hh_fec!N22=0,0,11630*1000*SER_hh_fec!N22/SER_hh_num!N22)</f>
        <v>22782.318162411964</v>
      </c>
      <c r="O22" s="133">
        <f>IF(SER_hh_fec!O22=0,0,11630*1000*SER_hh_fec!O22/SER_hh_num!O22)</f>
        <v>22407.712581615582</v>
      </c>
      <c r="P22" s="133">
        <f>IF(SER_hh_fec!P22=0,0,11630*1000*SER_hh_fec!P22/SER_hh_num!P22)</f>
        <v>22115.158977813273</v>
      </c>
      <c r="Q22" s="133">
        <f>IF(SER_hh_fec!Q22=0,0,11630*1000*SER_hh_fec!Q22/SER_hh_num!Q22)</f>
        <v>21838.729462010881</v>
      </c>
      <c r="R22" s="133">
        <f>IF(SER_hh_fec!R22=0,0,11630*1000*SER_hh_fec!R22/SER_hh_num!R22)</f>
        <v>21441.442333739724</v>
      </c>
      <c r="S22" s="133">
        <f>IF(SER_hh_fec!S22=0,0,11630*1000*SER_hh_fec!S22/SER_hh_num!S22)</f>
        <v>20882.616052329944</v>
      </c>
      <c r="T22" s="133">
        <f>IF(SER_hh_fec!T22=0,0,11630*1000*SER_hh_fec!T22/SER_hh_num!T22)</f>
        <v>20596.42155763452</v>
      </c>
      <c r="U22" s="133">
        <f>IF(SER_hh_fec!U22=0,0,11630*1000*SER_hh_fec!U22/SER_hh_num!U22)</f>
        <v>20164.497221852271</v>
      </c>
      <c r="V22" s="133">
        <f>IF(SER_hh_fec!V22=0,0,11630*1000*SER_hh_fec!V22/SER_hh_num!V22)</f>
        <v>18934.191816671439</v>
      </c>
      <c r="W22" s="133">
        <f>IF(SER_hh_fec!W22=0,0,11630*1000*SER_hh_fec!W22/SER_hh_num!W22)</f>
        <v>19126.524689574104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25899.749792559029</v>
      </c>
      <c r="C23" s="133">
        <f>IF(SER_hh_fec!C23=0,0,11630*1000*SER_hh_fec!C23/SER_hh_num!C23)</f>
        <v>25429.506655297006</v>
      </c>
      <c r="D23" s="133">
        <f>IF(SER_hh_fec!D23=0,0,11630*1000*SER_hh_fec!D23/SER_hh_num!D23)</f>
        <v>26201.867930024153</v>
      </c>
      <c r="E23" s="133">
        <f>IF(SER_hh_fec!E23=0,0,11630*1000*SER_hh_fec!E23/SER_hh_num!E23)</f>
        <v>24913.159705528804</v>
      </c>
      <c r="F23" s="133">
        <f>IF(SER_hh_fec!F23=0,0,11630*1000*SER_hh_fec!F23/SER_hh_num!F23)</f>
        <v>24450.414377523193</v>
      </c>
      <c r="G23" s="133">
        <f>IF(SER_hh_fec!G23=0,0,11630*1000*SER_hh_fec!G23/SER_hh_num!G23)</f>
        <v>23989.356751203355</v>
      </c>
      <c r="H23" s="133">
        <f>IF(SER_hh_fec!H23=0,0,11630*1000*SER_hh_fec!H23/SER_hh_num!H23)</f>
        <v>23426.334870628554</v>
      </c>
      <c r="I23" s="133">
        <f>IF(SER_hh_fec!I23=0,0,11630*1000*SER_hh_fec!I23/SER_hh_num!I23)</f>
        <v>22395.09089225647</v>
      </c>
      <c r="J23" s="133">
        <f>IF(SER_hh_fec!J23=0,0,11630*1000*SER_hh_fec!J23/SER_hh_num!J23)</f>
        <v>21706.530432721403</v>
      </c>
      <c r="K23" s="133">
        <f>IF(SER_hh_fec!K23=0,0,11630*1000*SER_hh_fec!K23/SER_hh_num!K23)</f>
        <v>21498.846602393434</v>
      </c>
      <c r="L23" s="133">
        <f>IF(SER_hh_fec!L23=0,0,11630*1000*SER_hh_fec!L23/SER_hh_num!L23)</f>
        <v>20958.268874576228</v>
      </c>
      <c r="M23" s="133">
        <f>IF(SER_hh_fec!M23=0,0,11630*1000*SER_hh_fec!M23/SER_hh_num!M23)</f>
        <v>20156.969746311024</v>
      </c>
      <c r="N23" s="133">
        <f>IF(SER_hh_fec!N23=0,0,11630*1000*SER_hh_fec!N23/SER_hh_num!N23)</f>
        <v>20967.943080559548</v>
      </c>
      <c r="O23" s="133">
        <f>IF(SER_hh_fec!O23=0,0,11630*1000*SER_hh_fec!O23/SER_hh_num!O23)</f>
        <v>20763.921290570481</v>
      </c>
      <c r="P23" s="133">
        <f>IF(SER_hh_fec!P23=0,0,11630*1000*SER_hh_fec!P23/SER_hh_num!P23)</f>
        <v>19428.632072291417</v>
      </c>
      <c r="Q23" s="133">
        <f>IF(SER_hh_fec!Q23=0,0,11630*1000*SER_hh_fec!Q23/SER_hh_num!Q23)</f>
        <v>19012.313786548129</v>
      </c>
      <c r="R23" s="133">
        <f>IF(SER_hh_fec!R23=0,0,11630*1000*SER_hh_fec!R23/SER_hh_num!R23)</f>
        <v>18927.910310373383</v>
      </c>
      <c r="S23" s="133">
        <f>IF(SER_hh_fec!S23=0,0,11630*1000*SER_hh_fec!S23/SER_hh_num!S23)</f>
        <v>19396.051871880005</v>
      </c>
      <c r="T23" s="133">
        <f>IF(SER_hh_fec!T23=0,0,11630*1000*SER_hh_fec!T23/SER_hh_num!T23)</f>
        <v>19052.056306328348</v>
      </c>
      <c r="U23" s="133">
        <f>IF(SER_hh_fec!U23=0,0,11630*1000*SER_hh_fec!U23/SER_hh_num!U23)</f>
        <v>18900.847033193822</v>
      </c>
      <c r="V23" s="133">
        <f>IF(SER_hh_fec!V23=0,0,11630*1000*SER_hh_fec!V23/SER_hh_num!V23)</f>
        <v>16891.736391603343</v>
      </c>
      <c r="W23" s="133">
        <f>IF(SER_hh_fec!W23=0,0,11630*1000*SER_hh_fec!W23/SER_hh_num!W23)</f>
        <v>17630.66007810786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17614.49204321823</v>
      </c>
      <c r="C25" s="133">
        <f>IF(SER_hh_fec!C25=0,0,11630*1000*SER_hh_fec!C25/SER_hh_num!C25)</f>
        <v>17317.618375505946</v>
      </c>
      <c r="D25" s="133">
        <f>IF(SER_hh_fec!D25=0,0,11630*1000*SER_hh_fec!D25/SER_hh_num!D25)</f>
        <v>17392.957069829514</v>
      </c>
      <c r="E25" s="133">
        <f>IF(SER_hh_fec!E25=0,0,11630*1000*SER_hh_fec!E25/SER_hh_num!E25)</f>
        <v>17087.254223800184</v>
      </c>
      <c r="F25" s="133">
        <f>IF(SER_hh_fec!F25=0,0,11630*1000*SER_hh_fec!F25/SER_hh_num!F25)</f>
        <v>16820.46112309218</v>
      </c>
      <c r="G25" s="133">
        <f>IF(SER_hh_fec!G25=0,0,11630*1000*SER_hh_fec!G25/SER_hh_num!G25)</f>
        <v>16635.045000542592</v>
      </c>
      <c r="H25" s="133">
        <f>IF(SER_hh_fec!H25=0,0,11630*1000*SER_hh_fec!H25/SER_hh_num!H25)</f>
        <v>16247.326117253779</v>
      </c>
      <c r="I25" s="133">
        <f>IF(SER_hh_fec!I25=0,0,11630*1000*SER_hh_fec!I25/SER_hh_num!I25)</f>
        <v>15865.194605560468</v>
      </c>
      <c r="J25" s="133">
        <f>IF(SER_hh_fec!J25=0,0,11630*1000*SER_hh_fec!J25/SER_hh_num!J25)</f>
        <v>15490.232291101895</v>
      </c>
      <c r="K25" s="133">
        <f>IF(SER_hh_fec!K25=0,0,11630*1000*SER_hh_fec!K25/SER_hh_num!K25)</f>
        <v>15607.561513224007</v>
      </c>
      <c r="L25" s="133">
        <f>IF(SER_hh_fec!L25=0,0,11630*1000*SER_hh_fec!L25/SER_hh_num!L25)</f>
        <v>15459.203323222066</v>
      </c>
      <c r="M25" s="133">
        <f>IF(SER_hh_fec!M25=0,0,11630*1000*SER_hh_fec!M25/SER_hh_num!M25)</f>
        <v>15422.087401739076</v>
      </c>
      <c r="N25" s="133">
        <f>IF(SER_hh_fec!N25=0,0,11630*1000*SER_hh_fec!N25/SER_hh_num!N25)</f>
        <v>15536.665390180728</v>
      </c>
      <c r="O25" s="133">
        <f>IF(SER_hh_fec!O25=0,0,11630*1000*SER_hh_fec!O25/SER_hh_num!O25)</f>
        <v>15252.979495167254</v>
      </c>
      <c r="P25" s="133">
        <f>IF(SER_hh_fec!P25=0,0,11630*1000*SER_hh_fec!P25/SER_hh_num!P25)</f>
        <v>14746.715652622459</v>
      </c>
      <c r="Q25" s="133">
        <f>IF(SER_hh_fec!Q25=0,0,11630*1000*SER_hh_fec!Q25/SER_hh_num!Q25)</f>
        <v>14870.385962650163</v>
      </c>
      <c r="R25" s="133">
        <f>IF(SER_hh_fec!R25=0,0,11630*1000*SER_hh_fec!R25/SER_hh_num!R25)</f>
        <v>15077.585014212382</v>
      </c>
      <c r="S25" s="133">
        <f>IF(SER_hh_fec!S25=0,0,11630*1000*SER_hh_fec!S25/SER_hh_num!S25)</f>
        <v>14922.614062075438</v>
      </c>
      <c r="T25" s="133">
        <f>IF(SER_hh_fec!T25=0,0,11630*1000*SER_hh_fec!T25/SER_hh_num!T25)</f>
        <v>15102.413056862688</v>
      </c>
      <c r="U25" s="133">
        <f>IF(SER_hh_fec!U25=0,0,11630*1000*SER_hh_fec!U25/SER_hh_num!U25)</f>
        <v>14912.126259181465</v>
      </c>
      <c r="V25" s="133">
        <f>IF(SER_hh_fec!V25=0,0,11630*1000*SER_hh_fec!V25/SER_hh_num!V25)</f>
        <v>14516.156398830988</v>
      </c>
      <c r="W25" s="133">
        <f>IF(SER_hh_fec!W25=0,0,11630*1000*SER_hh_fec!W25/SER_hh_num!W25)</f>
        <v>14441.218505879826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21320.917626893053</v>
      </c>
      <c r="C26" s="65">
        <f>IF(SER_hh_fec!C26=0,0,11630*1000*SER_hh_fec!C26/SER_hh_num!C26)</f>
        <v>20934.164647185011</v>
      </c>
      <c r="D26" s="65">
        <f>IF(SER_hh_fec!D26=0,0,11630*1000*SER_hh_fec!D26/SER_hh_num!D26)</f>
        <v>20296.717621197629</v>
      </c>
      <c r="E26" s="65">
        <f>IF(SER_hh_fec!E26=0,0,11630*1000*SER_hh_fec!E26/SER_hh_num!E26)</f>
        <v>20505.414919333529</v>
      </c>
      <c r="F26" s="65">
        <f>IF(SER_hh_fec!F26=0,0,11630*1000*SER_hh_fec!F26/SER_hh_num!F26)</f>
        <v>20741.716486418398</v>
      </c>
      <c r="G26" s="65">
        <f>IF(SER_hh_fec!G26=0,0,11630*1000*SER_hh_fec!G26/SER_hh_num!G26)</f>
        <v>20237.518049989911</v>
      </c>
      <c r="H26" s="65">
        <f>IF(SER_hh_fec!H26=0,0,11630*1000*SER_hh_fec!H26/SER_hh_num!H26)</f>
        <v>19471.465182406198</v>
      </c>
      <c r="I26" s="65">
        <f>IF(SER_hh_fec!I26=0,0,11630*1000*SER_hh_fec!I26/SER_hh_num!I26)</f>
        <v>18784.162033211422</v>
      </c>
      <c r="J26" s="65">
        <f>IF(SER_hh_fec!J26=0,0,11630*1000*SER_hh_fec!J26/SER_hh_num!J26)</f>
        <v>18385.770145126269</v>
      </c>
      <c r="K26" s="65">
        <f>IF(SER_hh_fec!K26=0,0,11630*1000*SER_hh_fec!K26/SER_hh_num!K26)</f>
        <v>18507.250603907814</v>
      </c>
      <c r="L26" s="65">
        <f>IF(SER_hh_fec!L26=0,0,11630*1000*SER_hh_fec!L26/SER_hh_num!L26)</f>
        <v>18329.536789314676</v>
      </c>
      <c r="M26" s="65">
        <f>IF(SER_hh_fec!M26=0,0,11630*1000*SER_hh_fec!M26/SER_hh_num!M26)</f>
        <v>18209.036320405019</v>
      </c>
      <c r="N26" s="65">
        <f>IF(SER_hh_fec!N26=0,0,11630*1000*SER_hh_fec!N26/SER_hh_num!N26)</f>
        <v>17415.633906135659</v>
      </c>
      <c r="O26" s="65">
        <f>IF(SER_hh_fec!O26=0,0,11630*1000*SER_hh_fec!O26/SER_hh_num!O26)</f>
        <v>17306.448058930688</v>
      </c>
      <c r="P26" s="65">
        <f>IF(SER_hh_fec!P26=0,0,11630*1000*SER_hh_fec!P26/SER_hh_num!P26)</f>
        <v>17990.087295318728</v>
      </c>
      <c r="Q26" s="65">
        <f>IF(SER_hh_fec!Q26=0,0,11630*1000*SER_hh_fec!Q26/SER_hh_num!Q26)</f>
        <v>17686.597448650926</v>
      </c>
      <c r="R26" s="65">
        <f>IF(SER_hh_fec!R26=0,0,11630*1000*SER_hh_fec!R26/SER_hh_num!R26)</f>
        <v>17322.518363624069</v>
      </c>
      <c r="S26" s="65">
        <f>IF(SER_hh_fec!S26=0,0,11630*1000*SER_hh_fec!S26/SER_hh_num!S26)</f>
        <v>16654.382489119402</v>
      </c>
      <c r="T26" s="65">
        <f>IF(SER_hh_fec!T26=0,0,11630*1000*SER_hh_fec!T26/SER_hh_num!T26)</f>
        <v>16390.747911354963</v>
      </c>
      <c r="U26" s="65">
        <f>IF(SER_hh_fec!U26=0,0,11630*1000*SER_hh_fec!U26/SER_hh_num!U26)</f>
        <v>16060.594569573623</v>
      </c>
      <c r="V26" s="65">
        <f>IF(SER_hh_fec!V26=0,0,11630*1000*SER_hh_fec!V26/SER_hh_num!V26)</f>
        <v>16092.511438324389</v>
      </c>
      <c r="W26" s="65">
        <f>IF(SER_hh_fec!W26=0,0,11630*1000*SER_hh_fec!W26/SER_hh_num!W26)</f>
        <v>15537.695399906737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65.02113278848033</v>
      </c>
      <c r="C27" s="146">
        <f>IF(SER_hh_fec!C27=0,0,11630*1000*SER_hh_fec!C27/SER_hh_num!C19)</f>
        <v>71.769171499698217</v>
      </c>
      <c r="D27" s="146">
        <f>IF(SER_hh_fec!D27=0,0,11630*1000*SER_hh_fec!D27/SER_hh_num!D19)</f>
        <v>80.234484026441507</v>
      </c>
      <c r="E27" s="146">
        <f>IF(SER_hh_fec!E27=0,0,11630*1000*SER_hh_fec!E27/SER_hh_num!E19)</f>
        <v>86.894942209446441</v>
      </c>
      <c r="F27" s="146">
        <f>IF(SER_hh_fec!F27=0,0,11630*1000*SER_hh_fec!F27/SER_hh_num!F19)</f>
        <v>94.236384030753882</v>
      </c>
      <c r="G27" s="146">
        <f>IF(SER_hh_fec!G27=0,0,11630*1000*SER_hh_fec!G27/SER_hh_num!G19)</f>
        <v>99.018306792246349</v>
      </c>
      <c r="H27" s="146">
        <f>IF(SER_hh_fec!H27=0,0,11630*1000*SER_hh_fec!H27/SER_hh_num!H19)</f>
        <v>101.2499804729857</v>
      </c>
      <c r="I27" s="146">
        <f>IF(SER_hh_fec!I27=0,0,11630*1000*SER_hh_fec!I27/SER_hh_num!I19)</f>
        <v>104.01682694116752</v>
      </c>
      <c r="J27" s="146">
        <f>IF(SER_hh_fec!J27=0,0,11630*1000*SER_hh_fec!J27/SER_hh_num!J19)</f>
        <v>107.95209630115404</v>
      </c>
      <c r="K27" s="146">
        <f>IF(SER_hh_fec!K27=0,0,11630*1000*SER_hh_fec!K27/SER_hh_num!K19)</f>
        <v>118.64459621500912</v>
      </c>
      <c r="L27" s="146">
        <f>IF(SER_hh_fec!L27=0,0,11630*1000*SER_hh_fec!L27/SER_hh_num!L19)</f>
        <v>126.32770658005866</v>
      </c>
      <c r="M27" s="146">
        <f>IF(SER_hh_fec!M27=0,0,11630*1000*SER_hh_fec!M27/SER_hh_num!M19)</f>
        <v>130.34692469272943</v>
      </c>
      <c r="N27" s="146">
        <f>IF(SER_hh_fec!N27=0,0,11630*1000*SER_hh_fec!N27/SER_hh_num!N19)</f>
        <v>133.69576932054332</v>
      </c>
      <c r="O27" s="146">
        <f>IF(SER_hh_fec!O27=0,0,11630*1000*SER_hh_fec!O27/SER_hh_num!O19)</f>
        <v>138.42555067675775</v>
      </c>
      <c r="P27" s="146">
        <f>IF(SER_hh_fec!P27=0,0,11630*1000*SER_hh_fec!P27/SER_hh_num!P19)</f>
        <v>141.52066861784849</v>
      </c>
      <c r="Q27" s="146">
        <f>IF(SER_hh_fec!Q27=0,0,11630*1000*SER_hh_fec!Q27/SER_hh_num!Q19)</f>
        <v>140.0775680169308</v>
      </c>
      <c r="R27" s="146">
        <f>IF(SER_hh_fec!R27=0,0,11630*1000*SER_hh_fec!R27/SER_hh_num!R19)</f>
        <v>140.69715892059205</v>
      </c>
      <c r="S27" s="146">
        <f>IF(SER_hh_fec!S27=0,0,11630*1000*SER_hh_fec!S27/SER_hh_num!S19)</f>
        <v>139.15941988472474</v>
      </c>
      <c r="T27" s="146">
        <f>IF(SER_hh_fec!T27=0,0,11630*1000*SER_hh_fec!T27/SER_hh_num!T19)</f>
        <v>140.1189762798345</v>
      </c>
      <c r="U27" s="146">
        <f>IF(SER_hh_fec!U27=0,0,11630*1000*SER_hh_fec!U27/SER_hh_num!U19)</f>
        <v>142.31479188377628</v>
      </c>
      <c r="V27" s="146">
        <f>IF(SER_hh_fec!V27=0,0,11630*1000*SER_hh_fec!V27/SER_hh_num!V19)</f>
        <v>140.90838194338164</v>
      </c>
      <c r="W27" s="146">
        <f>IF(SER_hh_fec!W27=0,0,11630*1000*SER_hh_fec!W27/SER_hh_num!W19)</f>
        <v>138.92248095041816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7086.4175793545728</v>
      </c>
      <c r="C28" s="147">
        <f>IF(SER_hh_fec!C27=0,0,11630*1000*SER_hh_fec!C27/SER_hh_num!C27)</f>
        <v>7789.0421001060922</v>
      </c>
      <c r="D28" s="147">
        <f>IF(SER_hh_fec!D27=0,0,11630*1000*SER_hh_fec!D27/SER_hh_num!D27)</f>
        <v>7389.7967729021311</v>
      </c>
      <c r="E28" s="147">
        <f>IF(SER_hh_fec!E27=0,0,11630*1000*SER_hh_fec!E27/SER_hh_num!E27)</f>
        <v>7511.1513169009577</v>
      </c>
      <c r="F28" s="147">
        <f>IF(SER_hh_fec!F27=0,0,11630*1000*SER_hh_fec!F27/SER_hh_num!F27)</f>
        <v>7534.8620342728045</v>
      </c>
      <c r="G28" s="147">
        <f>IF(SER_hh_fec!G27=0,0,11630*1000*SER_hh_fec!G27/SER_hh_num!G27)</f>
        <v>7324.2550555469534</v>
      </c>
      <c r="H28" s="147">
        <f>IF(SER_hh_fec!H27=0,0,11630*1000*SER_hh_fec!H27/SER_hh_num!H27)</f>
        <v>7271.6388592319736</v>
      </c>
      <c r="I28" s="147">
        <f>IF(SER_hh_fec!I27=0,0,11630*1000*SER_hh_fec!I27/SER_hh_num!I27)</f>
        <v>6582.6910205029553</v>
      </c>
      <c r="J28" s="147">
        <f>IF(SER_hh_fec!J27=0,0,11630*1000*SER_hh_fec!J27/SER_hh_num!J27)</f>
        <v>7171.7006762045257</v>
      </c>
      <c r="K28" s="147">
        <f>IF(SER_hh_fec!K27=0,0,11630*1000*SER_hh_fec!K27/SER_hh_num!K27)</f>
        <v>7013.4370314912458</v>
      </c>
      <c r="L28" s="147">
        <f>IF(SER_hh_fec!L27=0,0,11630*1000*SER_hh_fec!L27/SER_hh_num!L27)</f>
        <v>8040.7189520704769</v>
      </c>
      <c r="M28" s="147">
        <f>IF(SER_hh_fec!M27=0,0,11630*1000*SER_hh_fec!M27/SER_hh_num!M27)</f>
        <v>7405.4311238635455</v>
      </c>
      <c r="N28" s="147">
        <f>IF(SER_hh_fec!N27=0,0,11630*1000*SER_hh_fec!N27/SER_hh_num!N27)</f>
        <v>7723.7100605434143</v>
      </c>
      <c r="O28" s="147">
        <f>IF(SER_hh_fec!O27=0,0,11630*1000*SER_hh_fec!O27/SER_hh_num!O27)</f>
        <v>7616.6429880087308</v>
      </c>
      <c r="P28" s="147">
        <f>IF(SER_hh_fec!P27=0,0,11630*1000*SER_hh_fec!P27/SER_hh_num!P27)</f>
        <v>7350.7532414489278</v>
      </c>
      <c r="Q28" s="147">
        <f>IF(SER_hh_fec!Q27=0,0,11630*1000*SER_hh_fec!Q27/SER_hh_num!Q27)</f>
        <v>7221.0618353268028</v>
      </c>
      <c r="R28" s="147">
        <f>IF(SER_hh_fec!R27=0,0,11630*1000*SER_hh_fec!R27/SER_hh_num!R27)</f>
        <v>6970.8788498891636</v>
      </c>
      <c r="S28" s="147">
        <f>IF(SER_hh_fec!S27=0,0,11630*1000*SER_hh_fec!S27/SER_hh_num!S27)</f>
        <v>6937.9742941714831</v>
      </c>
      <c r="T28" s="147">
        <f>IF(SER_hh_fec!T27=0,0,11630*1000*SER_hh_fec!T27/SER_hh_num!T27)</f>
        <v>7239.0558134794464</v>
      </c>
      <c r="U28" s="147">
        <f>IF(SER_hh_fec!U27=0,0,11630*1000*SER_hh_fec!U27/SER_hh_num!U27)</f>
        <v>7469.0307108848092</v>
      </c>
      <c r="V28" s="147">
        <f>IF(SER_hh_fec!V27=0,0,11630*1000*SER_hh_fec!V27/SER_hh_num!V27)</f>
        <v>7360.2356902989359</v>
      </c>
      <c r="W28" s="147">
        <f>IF(SER_hh_fec!W27=0,0,11630*1000*SER_hh_fec!W27/SER_hh_num!W27)</f>
        <v>7449.0625839999302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18802.15126130616</v>
      </c>
      <c r="C29" s="131">
        <f>IF(SER_hh_fec!C29=0,0,11630*1000*SER_hh_fec!C29/SER_hh_num!C29)</f>
        <v>18676.126092408551</v>
      </c>
      <c r="D29" s="131">
        <f>IF(SER_hh_fec!D29=0,0,11630*1000*SER_hh_fec!D29/SER_hh_num!D29)</f>
        <v>18707.01706529838</v>
      </c>
      <c r="E29" s="131">
        <f>IF(SER_hh_fec!E29=0,0,11630*1000*SER_hh_fec!E29/SER_hh_num!E29)</f>
        <v>18818.310738741951</v>
      </c>
      <c r="F29" s="131">
        <f>IF(SER_hh_fec!F29=0,0,11630*1000*SER_hh_fec!F29/SER_hh_num!F29)</f>
        <v>19055.561470319557</v>
      </c>
      <c r="G29" s="131">
        <f>IF(SER_hh_fec!G29=0,0,11630*1000*SER_hh_fec!G29/SER_hh_num!G29)</f>
        <v>19022.834682479497</v>
      </c>
      <c r="H29" s="131">
        <f>IF(SER_hh_fec!H29=0,0,11630*1000*SER_hh_fec!H29/SER_hh_num!H29)</f>
        <v>18780.245377361036</v>
      </c>
      <c r="I29" s="131">
        <f>IF(SER_hh_fec!I29=0,0,11630*1000*SER_hh_fec!I29/SER_hh_num!I29)</f>
        <v>18462.352425135894</v>
      </c>
      <c r="J29" s="131">
        <f>IF(SER_hh_fec!J29=0,0,11630*1000*SER_hh_fec!J29/SER_hh_num!J29)</f>
        <v>18385.589559571406</v>
      </c>
      <c r="K29" s="131">
        <f>IF(SER_hh_fec!K29=0,0,11630*1000*SER_hh_fec!K29/SER_hh_num!K29)</f>
        <v>18603.281298650931</v>
      </c>
      <c r="L29" s="131">
        <f>IF(SER_hh_fec!L29=0,0,11630*1000*SER_hh_fec!L29/SER_hh_num!L29)</f>
        <v>18509.118489388366</v>
      </c>
      <c r="M29" s="131">
        <f>IF(SER_hh_fec!M29=0,0,11630*1000*SER_hh_fec!M29/SER_hh_num!M29)</f>
        <v>18241.021594550373</v>
      </c>
      <c r="N29" s="131">
        <f>IF(SER_hh_fec!N29=0,0,11630*1000*SER_hh_fec!N29/SER_hh_num!N29)</f>
        <v>18204.56492554782</v>
      </c>
      <c r="O29" s="131">
        <f>IF(SER_hh_fec!O29=0,0,11630*1000*SER_hh_fec!O29/SER_hh_num!O29)</f>
        <v>18340.704229918243</v>
      </c>
      <c r="P29" s="131">
        <f>IF(SER_hh_fec!P29=0,0,11630*1000*SER_hh_fec!P29/SER_hh_num!P29)</f>
        <v>18349.219620298703</v>
      </c>
      <c r="Q29" s="131">
        <f>IF(SER_hh_fec!Q29=0,0,11630*1000*SER_hh_fec!Q29/SER_hh_num!Q29)</f>
        <v>18135.895684753297</v>
      </c>
      <c r="R29" s="131">
        <f>IF(SER_hh_fec!R29=0,0,11630*1000*SER_hh_fec!R29/SER_hh_num!R29)</f>
        <v>17998.748165026329</v>
      </c>
      <c r="S29" s="131">
        <f>IF(SER_hh_fec!S29=0,0,11630*1000*SER_hh_fec!S29/SER_hh_num!S29)</f>
        <v>17943.836529536678</v>
      </c>
      <c r="T29" s="131">
        <f>IF(SER_hh_fec!T29=0,0,11630*1000*SER_hh_fec!T29/SER_hh_num!T29)</f>
        <v>17830.203066167964</v>
      </c>
      <c r="U29" s="131">
        <f>IF(SER_hh_fec!U29=0,0,11630*1000*SER_hh_fec!U29/SER_hh_num!U29)</f>
        <v>17690.314985184752</v>
      </c>
      <c r="V29" s="131">
        <f>IF(SER_hh_fec!V29=0,0,11630*1000*SER_hh_fec!V29/SER_hh_num!V29)</f>
        <v>17235.913877353469</v>
      </c>
      <c r="W29" s="131">
        <f>IF(SER_hh_fec!W29=0,0,11630*1000*SER_hh_fec!W29/SER_hh_num!W29)</f>
        <v>17181.554998892392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21036.086838780197</v>
      </c>
      <c r="C30" s="133">
        <f>IF(SER_hh_fec!C30=0,0,11630*1000*SER_hh_fec!C30/SER_hh_num!C30)</f>
        <v>22026.234490468247</v>
      </c>
      <c r="D30" s="133">
        <f>IF(SER_hh_fec!D30=0,0,11630*1000*SER_hh_fec!D30/SER_hh_num!D30)</f>
        <v>23446.796193173755</v>
      </c>
      <c r="E30" s="133">
        <f>IF(SER_hh_fec!E30=0,0,11630*1000*SER_hh_fec!E30/SER_hh_num!E30)</f>
        <v>21123.785952206294</v>
      </c>
      <c r="F30" s="133">
        <f>IF(SER_hh_fec!F30=0,0,11630*1000*SER_hh_fec!F30/SER_hh_num!F30)</f>
        <v>22389.39337543787</v>
      </c>
      <c r="G30" s="133">
        <f>IF(SER_hh_fec!G30=0,0,11630*1000*SER_hh_fec!G30/SER_hh_num!G30)</f>
        <v>22008.934636143775</v>
      </c>
      <c r="H30" s="133">
        <f>IF(SER_hh_fec!H30=0,0,11630*1000*SER_hh_fec!H30/SER_hh_num!H30)</f>
        <v>28444.115371081443</v>
      </c>
      <c r="I30" s="133">
        <f>IF(SER_hh_fec!I30=0,0,11630*1000*SER_hh_fec!I30/SER_hh_num!I30)</f>
        <v>17591.981954868035</v>
      </c>
      <c r="J30" s="133">
        <f>IF(SER_hh_fec!J30=0,0,11630*1000*SER_hh_fec!J30/SER_hh_num!J30)</f>
        <v>15677.942851596161</v>
      </c>
      <c r="K30" s="133">
        <f>IF(SER_hh_fec!K30=0,0,11630*1000*SER_hh_fec!K30/SER_hh_num!K30)</f>
        <v>24101.146356892295</v>
      </c>
      <c r="L30" s="133">
        <f>IF(SER_hh_fec!L30=0,0,11630*1000*SER_hh_fec!L30/SER_hh_num!L30)</f>
        <v>27299.138133914417</v>
      </c>
      <c r="M30" s="133">
        <f>IF(SER_hh_fec!M30=0,0,11630*1000*SER_hh_fec!M30/SER_hh_num!M30)</f>
        <v>16774.834588760248</v>
      </c>
      <c r="N30" s="133">
        <f>IF(SER_hh_fec!N30=0,0,11630*1000*SER_hh_fec!N30/SER_hh_num!N30)</f>
        <v>24593.441055659048</v>
      </c>
      <c r="O30" s="133">
        <f>IF(SER_hh_fec!O30=0,0,11630*1000*SER_hh_fec!O30/SER_hh_num!O30)</f>
        <v>25927.286681248803</v>
      </c>
      <c r="P30" s="133">
        <f>IF(SER_hh_fec!P30=0,0,11630*1000*SER_hh_fec!P30/SER_hh_num!P30)</f>
        <v>3854.2552724831512</v>
      </c>
      <c r="Q30" s="133">
        <f>IF(SER_hh_fec!Q30=0,0,11630*1000*SER_hh_fec!Q30/SER_hh_num!Q30)</f>
        <v>26507.928759166476</v>
      </c>
      <c r="R30" s="133">
        <f>IF(SER_hh_fec!R30=0,0,11630*1000*SER_hh_fec!R30/SER_hh_num!R30)</f>
        <v>20933.575290482848</v>
      </c>
      <c r="S30" s="133">
        <f>IF(SER_hh_fec!S30=0,0,11630*1000*SER_hh_fec!S30/SER_hh_num!S30)</f>
        <v>18769.499378659813</v>
      </c>
      <c r="T30" s="133">
        <f>IF(SER_hh_fec!T30=0,0,11630*1000*SER_hh_fec!T30/SER_hh_num!T30)</f>
        <v>22702.820093546528</v>
      </c>
      <c r="U30" s="133">
        <f>IF(SER_hh_fec!U30=0,0,11630*1000*SER_hh_fec!U30/SER_hh_num!U30)</f>
        <v>28200.27648485393</v>
      </c>
      <c r="V30" s="133">
        <f>IF(SER_hh_fec!V30=0,0,11630*1000*SER_hh_fec!V30/SER_hh_num!V30)</f>
        <v>21026.361210576004</v>
      </c>
      <c r="W30" s="133">
        <f>IF(SER_hh_fec!W30=0,0,11630*1000*SER_hh_fec!W30/SER_hh_num!W30)</f>
        <v>19411.341912843069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21907.857261545014</v>
      </c>
      <c r="C31" s="133">
        <f>IF(SER_hh_fec!C31=0,0,11630*1000*SER_hh_fec!C31/SER_hh_num!C31)</f>
        <v>22011.125725900016</v>
      </c>
      <c r="D31" s="133">
        <f>IF(SER_hh_fec!D31=0,0,11630*1000*SER_hh_fec!D31/SER_hh_num!D31)</f>
        <v>21738.750489941787</v>
      </c>
      <c r="E31" s="133">
        <f>IF(SER_hh_fec!E31=0,0,11630*1000*SER_hh_fec!E31/SER_hh_num!E31)</f>
        <v>22364.030883212385</v>
      </c>
      <c r="F31" s="133">
        <f>IF(SER_hh_fec!F31=0,0,11630*1000*SER_hh_fec!F31/SER_hh_num!F31)</f>
        <v>22245.527029967478</v>
      </c>
      <c r="G31" s="133">
        <f>IF(SER_hh_fec!G31=0,0,11630*1000*SER_hh_fec!G31/SER_hh_num!G31)</f>
        <v>22140.521872374506</v>
      </c>
      <c r="H31" s="133">
        <f>IF(SER_hh_fec!H31=0,0,11630*1000*SER_hh_fec!H31/SER_hh_num!H31)</f>
        <v>20623.38293865685</v>
      </c>
      <c r="I31" s="133">
        <f>IF(SER_hh_fec!I31=0,0,11630*1000*SER_hh_fec!I31/SER_hh_num!I31)</f>
        <v>22492.350970046999</v>
      </c>
      <c r="J31" s="133">
        <f>IF(SER_hh_fec!J31=0,0,11630*1000*SER_hh_fec!J31/SER_hh_num!J31)</f>
        <v>22881.843996240281</v>
      </c>
      <c r="K31" s="133">
        <f>IF(SER_hh_fec!K31=0,0,11630*1000*SER_hh_fec!K31/SER_hh_num!K31)</f>
        <v>21565.000037366273</v>
      </c>
      <c r="L31" s="133">
        <f>IF(SER_hh_fec!L31=0,0,11630*1000*SER_hh_fec!L31/SER_hh_num!L31)</f>
        <v>20819.863018844771</v>
      </c>
      <c r="M31" s="133">
        <f>IF(SER_hh_fec!M31=0,0,11630*1000*SER_hh_fec!M31/SER_hh_num!M31)</f>
        <v>22485.978904748303</v>
      </c>
      <c r="N31" s="133">
        <f>IF(SER_hh_fec!N31=0,0,11630*1000*SER_hh_fec!N31/SER_hh_num!N31)</f>
        <v>21198.82593688729</v>
      </c>
      <c r="O31" s="133">
        <f>IF(SER_hh_fec!O31=0,0,11630*1000*SER_hh_fec!O31/SER_hh_num!O31)</f>
        <v>21253.92318769938</v>
      </c>
      <c r="P31" s="133">
        <f>IF(SER_hh_fec!P31=0,0,11630*1000*SER_hh_fec!P31/SER_hh_num!P31)</f>
        <v>23738.563553484179</v>
      </c>
      <c r="Q31" s="133">
        <f>IF(SER_hh_fec!Q31=0,0,11630*1000*SER_hh_fec!Q31/SER_hh_num!Q31)</f>
        <v>21018.140877539699</v>
      </c>
      <c r="R31" s="133">
        <f>IF(SER_hh_fec!R31=0,0,11630*1000*SER_hh_fec!R31/SER_hh_num!R31)</f>
        <v>21611.525560340557</v>
      </c>
      <c r="S31" s="133">
        <f>IF(SER_hh_fec!S31=0,0,11630*1000*SER_hh_fec!S31/SER_hh_num!S31)</f>
        <v>22607.384194659146</v>
      </c>
      <c r="T31" s="133">
        <f>IF(SER_hh_fec!T31=0,0,11630*1000*SER_hh_fec!T31/SER_hh_num!T31)</f>
        <v>21362.950827852725</v>
      </c>
      <c r="U31" s="133">
        <f>IF(SER_hh_fec!U31=0,0,11630*1000*SER_hh_fec!U31/SER_hh_num!U31)</f>
        <v>19073.456301628965</v>
      </c>
      <c r="V31" s="133">
        <f>IF(SER_hh_fec!V31=0,0,11630*1000*SER_hh_fec!V31/SER_hh_num!V31)</f>
        <v>21298.145256403401</v>
      </c>
      <c r="W31" s="133">
        <f>IF(SER_hh_fec!W31=0,0,11630*1000*SER_hh_fec!W31/SER_hh_num!W31)</f>
        <v>22836.430976855652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17071.50202116997</v>
      </c>
      <c r="C33" s="68">
        <f>IF(SER_hh_fec!C33=0,0,11630*1000*SER_hh_fec!C33/SER_hh_num!C33)</f>
        <v>16700.132569703244</v>
      </c>
      <c r="D33" s="68">
        <f>IF(SER_hh_fec!D33=0,0,11630*1000*SER_hh_fec!D33/SER_hh_num!D33)</f>
        <v>16688.417200040742</v>
      </c>
      <c r="E33" s="68">
        <f>IF(SER_hh_fec!E33=0,0,11630*1000*SER_hh_fec!E33/SER_hh_num!E33)</f>
        <v>16778.216926107245</v>
      </c>
      <c r="F33" s="68">
        <f>IF(SER_hh_fec!F33=0,0,11630*1000*SER_hh_fec!F33/SER_hh_num!F33)</f>
        <v>17033.677831358491</v>
      </c>
      <c r="G33" s="68">
        <f>IF(SER_hh_fec!G33=0,0,11630*1000*SER_hh_fec!G33/SER_hh_num!G33)</f>
        <v>17095.979212108265</v>
      </c>
      <c r="H33" s="68">
        <f>IF(SER_hh_fec!H33=0,0,11630*1000*SER_hh_fec!H33/SER_hh_num!H33)</f>
        <v>16759.748907958408</v>
      </c>
      <c r="I33" s="68">
        <f>IF(SER_hh_fec!I33=0,0,11630*1000*SER_hh_fec!I33/SER_hh_num!I33)</f>
        <v>16483.222118281268</v>
      </c>
      <c r="J33" s="68">
        <f>IF(SER_hh_fec!J33=0,0,11630*1000*SER_hh_fec!J33/SER_hh_num!J33)</f>
        <v>16298.667239591183</v>
      </c>
      <c r="K33" s="68">
        <f>IF(SER_hh_fec!K33=0,0,11630*1000*SER_hh_fec!K33/SER_hh_num!K33)</f>
        <v>16637.943781152768</v>
      </c>
      <c r="L33" s="68">
        <f>IF(SER_hh_fec!L33=0,0,11630*1000*SER_hh_fec!L33/SER_hh_num!L33)</f>
        <v>16610.42489074737</v>
      </c>
      <c r="M33" s="68">
        <f>IF(SER_hh_fec!M33=0,0,11630*1000*SER_hh_fec!M33/SER_hh_num!M33)</f>
        <v>16282.909947652875</v>
      </c>
      <c r="N33" s="68">
        <f>IF(SER_hh_fec!N33=0,0,11630*1000*SER_hh_fec!N33/SER_hh_num!N33)</f>
        <v>16306.492046298421</v>
      </c>
      <c r="O33" s="68">
        <f>IF(SER_hh_fec!O33=0,0,11630*1000*SER_hh_fec!O33/SER_hh_num!O33)</f>
        <v>16448.64953051247</v>
      </c>
      <c r="P33" s="68">
        <f>IF(SER_hh_fec!P33=0,0,11630*1000*SER_hh_fec!P33/SER_hh_num!P33)</f>
        <v>16697.765544782073</v>
      </c>
      <c r="Q33" s="68">
        <f>IF(SER_hh_fec!Q33=0,0,11630*1000*SER_hh_fec!Q33/SER_hh_num!Q33)</f>
        <v>16254.281420035077</v>
      </c>
      <c r="R33" s="68">
        <f>IF(SER_hh_fec!R33=0,0,11630*1000*SER_hh_fec!R33/SER_hh_num!R33)</f>
        <v>16244.109546289794</v>
      </c>
      <c r="S33" s="68">
        <f>IF(SER_hh_fec!S33=0,0,11630*1000*SER_hh_fec!S33/SER_hh_num!S33)</f>
        <v>16105.234816587894</v>
      </c>
      <c r="T33" s="68">
        <f>IF(SER_hh_fec!T33=0,0,11630*1000*SER_hh_fec!T33/SER_hh_num!T33)</f>
        <v>15962.964332602123</v>
      </c>
      <c r="U33" s="68">
        <f>IF(SER_hh_fec!U33=0,0,11630*1000*SER_hh_fec!U33/SER_hh_num!U33)</f>
        <v>15697.096768201978</v>
      </c>
      <c r="V33" s="68">
        <f>IF(SER_hh_fec!V33=0,0,11630*1000*SER_hh_fec!V33/SER_hh_num!V33)</f>
        <v>15510.963296442493</v>
      </c>
      <c r="W33" s="68">
        <f>IF(SER_hh_fec!W33=0,0,11630*1000*SER_hh_fec!W33/SER_hh_num!W33)</f>
        <v>15242.627542833457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97899.683508480317</v>
      </c>
      <c r="C3" s="126">
        <f>IF(SER_hh_tes!C3=0,0,11630*1000*SER_hh_tes!C3/SER_hh_num!C3)</f>
        <v>103108.0120242194</v>
      </c>
      <c r="D3" s="126">
        <f>IF(SER_hh_tes!D3=0,0,11630*1000*SER_hh_tes!D3/SER_hh_num!D3)</f>
        <v>102857.9577444624</v>
      </c>
      <c r="E3" s="126">
        <f>IF(SER_hh_tes!E3=0,0,11630*1000*SER_hh_tes!E3/SER_hh_num!E3)</f>
        <v>107985.20485519333</v>
      </c>
      <c r="F3" s="126">
        <f>IF(SER_hh_tes!F3=0,0,11630*1000*SER_hh_tes!F3/SER_hh_num!F3)</f>
        <v>117135.03777442133</v>
      </c>
      <c r="G3" s="126">
        <f>IF(SER_hh_tes!G3=0,0,11630*1000*SER_hh_tes!G3/SER_hh_num!G3)</f>
        <v>109543.30539398886</v>
      </c>
      <c r="H3" s="126">
        <f>IF(SER_hh_tes!H3=0,0,11630*1000*SER_hh_tes!H3/SER_hh_num!H3)</f>
        <v>111065.67124232181</v>
      </c>
      <c r="I3" s="126">
        <f>IF(SER_hh_tes!I3=0,0,11630*1000*SER_hh_tes!I3/SER_hh_num!I3)</f>
        <v>104280.71638044498</v>
      </c>
      <c r="J3" s="126">
        <f>IF(SER_hh_tes!J3=0,0,11630*1000*SER_hh_tes!J3/SER_hh_num!J3)</f>
        <v>108827.50122861493</v>
      </c>
      <c r="K3" s="126">
        <f>IF(SER_hh_tes!K3=0,0,11630*1000*SER_hh_tes!K3/SER_hh_num!K3)</f>
        <v>115024.40206323714</v>
      </c>
      <c r="L3" s="126">
        <f>IF(SER_hh_tes!L3=0,0,11630*1000*SER_hh_tes!L3/SER_hh_num!L3)</f>
        <v>125184.6610777765</v>
      </c>
      <c r="M3" s="126">
        <f>IF(SER_hh_tes!M3=0,0,11630*1000*SER_hh_tes!M3/SER_hh_num!M3)</f>
        <v>109352.35094795201</v>
      </c>
      <c r="N3" s="126">
        <f>IF(SER_hh_tes!N3=0,0,11630*1000*SER_hh_tes!N3/SER_hh_num!N3)</f>
        <v>115588.59061718419</v>
      </c>
      <c r="O3" s="126">
        <f>IF(SER_hh_tes!O3=0,0,11630*1000*SER_hh_tes!O3/SER_hh_num!O3)</f>
        <v>118134.17264491931</v>
      </c>
      <c r="P3" s="126">
        <f>IF(SER_hh_tes!P3=0,0,11630*1000*SER_hh_tes!P3/SER_hh_num!P3)</f>
        <v>101056.17803917741</v>
      </c>
      <c r="Q3" s="126">
        <f>IF(SER_hh_tes!Q3=0,0,11630*1000*SER_hh_tes!Q3/SER_hh_num!Q3)</f>
        <v>105056.00036109322</v>
      </c>
      <c r="R3" s="126">
        <f>IF(SER_hh_tes!R3=0,0,11630*1000*SER_hh_tes!R3/SER_hh_num!R3)</f>
        <v>106141.34365996599</v>
      </c>
      <c r="S3" s="126">
        <f>IF(SER_hh_tes!S3=0,0,11630*1000*SER_hh_tes!S3/SER_hh_num!S3)</f>
        <v>108794.19444060572</v>
      </c>
      <c r="T3" s="126">
        <f>IF(SER_hh_tes!T3=0,0,11630*1000*SER_hh_tes!T3/SER_hh_num!T3)</f>
        <v>110343.10238233456</v>
      </c>
      <c r="U3" s="126">
        <f>IF(SER_hh_tes!U3=0,0,11630*1000*SER_hh_tes!U3/SER_hh_num!U3)</f>
        <v>107858.82810756472</v>
      </c>
      <c r="V3" s="126">
        <f>IF(SER_hh_tes!V3=0,0,11630*1000*SER_hh_tes!V3/SER_hh_num!V3)</f>
        <v>102050.57526942372</v>
      </c>
      <c r="W3" s="126">
        <f>IF(SER_hh_tes!W3=0,0,11630*1000*SER_hh_tes!W3/SER_hh_num!W3)</f>
        <v>106619.3293365041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66795.643914289554</v>
      </c>
      <c r="C4" s="131">
        <f>IF(SER_hh_tes!C4=0,0,11630*1000*SER_hh_tes!C4/SER_hh_num!C4)</f>
        <v>71847.94451793241</v>
      </c>
      <c r="D4" s="131">
        <f>IF(SER_hh_tes!D4=0,0,11630*1000*SER_hh_tes!D4/SER_hh_num!D4)</f>
        <v>71203.434502242206</v>
      </c>
      <c r="E4" s="131">
        <f>IF(SER_hh_tes!E4=0,0,11630*1000*SER_hh_tes!E4/SER_hh_num!E4)</f>
        <v>75612.410722325323</v>
      </c>
      <c r="F4" s="131">
        <f>IF(SER_hh_tes!F4=0,0,11630*1000*SER_hh_tes!F4/SER_hh_num!F4)</f>
        <v>84358.733198289163</v>
      </c>
      <c r="G4" s="131">
        <f>IF(SER_hh_tes!G4=0,0,11630*1000*SER_hh_tes!G4/SER_hh_num!G4)</f>
        <v>76395.422007803965</v>
      </c>
      <c r="H4" s="131">
        <f>IF(SER_hh_tes!H4=0,0,11630*1000*SER_hh_tes!H4/SER_hh_num!H4)</f>
        <v>77334.147972574618</v>
      </c>
      <c r="I4" s="131">
        <f>IF(SER_hh_tes!I4=0,0,11630*1000*SER_hh_tes!I4/SER_hh_num!I4)</f>
        <v>70835.897836816861</v>
      </c>
      <c r="J4" s="131">
        <f>IF(SER_hh_tes!J4=0,0,11630*1000*SER_hh_tes!J4/SER_hh_num!J4)</f>
        <v>74985.067315075663</v>
      </c>
      <c r="K4" s="131">
        <f>IF(SER_hh_tes!K4=0,0,11630*1000*SER_hh_tes!K4/SER_hh_num!K4)</f>
        <v>80190.515302585598</v>
      </c>
      <c r="L4" s="131">
        <f>IF(SER_hh_tes!L4=0,0,11630*1000*SER_hh_tes!L4/SER_hh_num!L4)</f>
        <v>89758.804603667377</v>
      </c>
      <c r="M4" s="131">
        <f>IF(SER_hh_tes!M4=0,0,11630*1000*SER_hh_tes!M4/SER_hh_num!M4)</f>
        <v>74071.870666152739</v>
      </c>
      <c r="N4" s="131">
        <f>IF(SER_hh_tes!N4=0,0,11630*1000*SER_hh_tes!N4/SER_hh_num!N4)</f>
        <v>79933.241996086566</v>
      </c>
      <c r="O4" s="131">
        <f>IF(SER_hh_tes!O4=0,0,11630*1000*SER_hh_tes!O4/SER_hh_num!O4)</f>
        <v>81963.682099534388</v>
      </c>
      <c r="P4" s="131">
        <f>IF(SER_hh_tes!P4=0,0,11630*1000*SER_hh_tes!P4/SER_hh_num!P4)</f>
        <v>64649.452932874156</v>
      </c>
      <c r="Q4" s="131">
        <f>IF(SER_hh_tes!Q4=0,0,11630*1000*SER_hh_tes!Q4/SER_hh_num!Q4)</f>
        <v>68312.632742568501</v>
      </c>
      <c r="R4" s="131">
        <f>IF(SER_hh_tes!R4=0,0,11630*1000*SER_hh_tes!R4/SER_hh_num!R4)</f>
        <v>69394.60853717936</v>
      </c>
      <c r="S4" s="131">
        <f>IF(SER_hh_tes!S4=0,0,11630*1000*SER_hh_tes!S4/SER_hh_num!S4)</f>
        <v>71918.252501460083</v>
      </c>
      <c r="T4" s="131">
        <f>IF(SER_hh_tes!T4=0,0,11630*1000*SER_hh_tes!T4/SER_hh_num!T4)</f>
        <v>72115.410869645857</v>
      </c>
      <c r="U4" s="131">
        <f>IF(SER_hh_tes!U4=0,0,11630*1000*SER_hh_tes!U4/SER_hh_num!U4)</f>
        <v>69328.792837328656</v>
      </c>
      <c r="V4" s="131">
        <f>IF(SER_hh_tes!V4=0,0,11630*1000*SER_hh_tes!V4/SER_hh_num!V4)</f>
        <v>64047.543977543522</v>
      </c>
      <c r="W4" s="131">
        <f>IF(SER_hh_tes!W4=0,0,11630*1000*SER_hh_tes!W4/SER_hh_num!W4)</f>
        <v>69450.98116384841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67559.281896030428</v>
      </c>
      <c r="C5" s="133">
        <f>IF(SER_hh_tes!C5=0,0,11630*1000*SER_hh_tes!C5/SER_hh_num!C5)</f>
        <v>69300.124353586856</v>
      </c>
      <c r="D5" s="133">
        <f>IF(SER_hh_tes!D5=0,0,11630*1000*SER_hh_tes!D5/SER_hh_num!D5)</f>
        <v>60233.199908171729</v>
      </c>
      <c r="E5" s="133">
        <f>IF(SER_hh_tes!E5=0,0,11630*1000*SER_hh_tes!E5/SER_hh_num!E5)</f>
        <v>100320.30041612485</v>
      </c>
      <c r="F5" s="133">
        <f>IF(SER_hh_tes!F5=0,0,11630*1000*SER_hh_tes!F5/SER_hh_num!F5)</f>
        <v>50755.519257092492</v>
      </c>
      <c r="G5" s="133">
        <f>IF(SER_hh_tes!G5=0,0,11630*1000*SER_hh_tes!G5/SER_hh_num!G5)</f>
        <v>70779.182113522518</v>
      </c>
      <c r="H5" s="133">
        <f>IF(SER_hh_tes!H5=0,0,11630*1000*SER_hh_tes!H5/SER_hh_num!H5)</f>
        <v>48770.906770402493</v>
      </c>
      <c r="I5" s="133">
        <f>IF(SER_hh_tes!I5=0,0,11630*1000*SER_hh_tes!I5/SER_hh_num!I5)</f>
        <v>76448.897076429785</v>
      </c>
      <c r="J5" s="133">
        <f>IF(SER_hh_tes!J5=0,0,11630*1000*SER_hh_tes!J5/SER_hh_num!J5)</f>
        <v>83688.850162575502</v>
      </c>
      <c r="K5" s="133">
        <f>IF(SER_hh_tes!K5=0,0,11630*1000*SER_hh_tes!K5/SER_hh_num!K5)</f>
        <v>84232.450205614878</v>
      </c>
      <c r="L5" s="133">
        <f>IF(SER_hh_tes!L5=0,0,11630*1000*SER_hh_tes!L5/SER_hh_num!L5)</f>
        <v>82194.58551533577</v>
      </c>
      <c r="M5" s="133">
        <f>IF(SER_hh_tes!M5=0,0,11630*1000*SER_hh_tes!M5/SER_hh_num!M5)</f>
        <v>81736.420117759306</v>
      </c>
      <c r="N5" s="133">
        <f>IF(SER_hh_tes!N5=0,0,11630*1000*SER_hh_tes!N5/SER_hh_num!N5)</f>
        <v>80703.400014232902</v>
      </c>
      <c r="O5" s="133">
        <f>IF(SER_hh_tes!O5=0,0,11630*1000*SER_hh_tes!O5/SER_hh_num!O5)</f>
        <v>49016.667314817227</v>
      </c>
      <c r="P5" s="133">
        <f>IF(SER_hh_tes!P5=0,0,11630*1000*SER_hh_tes!P5/SER_hh_num!P5)</f>
        <v>18649.77627137637</v>
      </c>
      <c r="Q5" s="133">
        <f>IF(SER_hh_tes!Q5=0,0,11630*1000*SER_hh_tes!Q5/SER_hh_num!Q5)</f>
        <v>81270.975542543951</v>
      </c>
      <c r="R5" s="133">
        <f>IF(SER_hh_tes!R5=0,0,11630*1000*SER_hh_tes!R5/SER_hh_num!R5)</f>
        <v>78480.219425944553</v>
      </c>
      <c r="S5" s="133">
        <f>IF(SER_hh_tes!S5=0,0,11630*1000*SER_hh_tes!S5/SER_hh_num!S5)</f>
        <v>74775.19626065981</v>
      </c>
      <c r="T5" s="133">
        <f>IF(SER_hh_tes!T5=0,0,11630*1000*SER_hh_tes!T5/SER_hh_num!T5)</f>
        <v>74629.22511311491</v>
      </c>
      <c r="U5" s="133">
        <f>IF(SER_hh_tes!U5=0,0,11630*1000*SER_hh_tes!U5/SER_hh_num!U5)</f>
        <v>60058.275533020904</v>
      </c>
      <c r="V5" s="133">
        <f>IF(SER_hh_tes!V5=0,0,11630*1000*SER_hh_tes!V5/SER_hh_num!V5)</f>
        <v>74861.950522688363</v>
      </c>
      <c r="W5" s="133">
        <f>IF(SER_hh_tes!W5=0,0,11630*1000*SER_hh_tes!W5/SER_hh_num!W5)</f>
        <v>56288.036349839836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67728.131033646408</v>
      </c>
      <c r="C7" s="133">
        <f>IF(SER_hh_tes!C7=0,0,11630*1000*SER_hh_tes!C7/SER_hh_num!C7)</f>
        <v>68004.105641252449</v>
      </c>
      <c r="D7" s="133">
        <f>IF(SER_hh_tes!D7=0,0,11630*1000*SER_hh_tes!D7/SER_hh_num!D7)</f>
        <v>71433.301530719706</v>
      </c>
      <c r="E7" s="133">
        <f>IF(SER_hh_tes!E7=0,0,11630*1000*SER_hh_tes!E7/SER_hh_num!E7)</f>
        <v>75899.477782753573</v>
      </c>
      <c r="F7" s="133">
        <f>IF(SER_hh_tes!F7=0,0,11630*1000*SER_hh_tes!F7/SER_hh_num!F7)</f>
        <v>73934.533883006734</v>
      </c>
      <c r="G7" s="133">
        <f>IF(SER_hh_tes!G7=0,0,11630*1000*SER_hh_tes!G7/SER_hh_num!G7)</f>
        <v>76497.781077341831</v>
      </c>
      <c r="H7" s="133">
        <f>IF(SER_hh_tes!H7=0,0,11630*1000*SER_hh_tes!H7/SER_hh_num!H7)</f>
        <v>73385.964929457361</v>
      </c>
      <c r="I7" s="133">
        <f>IF(SER_hh_tes!I7=0,0,11630*1000*SER_hh_tes!I7/SER_hh_num!I7)</f>
        <v>74348.372168471382</v>
      </c>
      <c r="J7" s="133">
        <f>IF(SER_hh_tes!J7=0,0,11630*1000*SER_hh_tes!J7/SER_hh_num!J7)</f>
        <v>74783.357391364378</v>
      </c>
      <c r="K7" s="133">
        <f>IF(SER_hh_tes!K7=0,0,11630*1000*SER_hh_tes!K7/SER_hh_num!K7)</f>
        <v>73427.625883418325</v>
      </c>
      <c r="L7" s="133">
        <f>IF(SER_hh_tes!L7=0,0,11630*1000*SER_hh_tes!L7/SER_hh_num!L7)</f>
        <v>85743.628529284644</v>
      </c>
      <c r="M7" s="133">
        <f>IF(SER_hh_tes!M7=0,0,11630*1000*SER_hh_tes!M7/SER_hh_num!M7)</f>
        <v>77849.431729684817</v>
      </c>
      <c r="N7" s="133">
        <f>IF(SER_hh_tes!N7=0,0,11630*1000*SER_hh_tes!N7/SER_hh_num!N7)</f>
        <v>76170.811713998701</v>
      </c>
      <c r="O7" s="133">
        <f>IF(SER_hh_tes!O7=0,0,11630*1000*SER_hh_tes!O7/SER_hh_num!O7)</f>
        <v>76644.960079340439</v>
      </c>
      <c r="P7" s="133">
        <f>IF(SER_hh_tes!P7=0,0,11630*1000*SER_hh_tes!P7/SER_hh_num!P7)</f>
        <v>73370.915283900526</v>
      </c>
      <c r="Q7" s="133">
        <f>IF(SER_hh_tes!Q7=0,0,11630*1000*SER_hh_tes!Q7/SER_hh_num!Q7)</f>
        <v>66484.94938878261</v>
      </c>
      <c r="R7" s="133">
        <f>IF(SER_hh_tes!R7=0,0,11630*1000*SER_hh_tes!R7/SER_hh_num!R7)</f>
        <v>66927.404622486545</v>
      </c>
      <c r="S7" s="133">
        <f>IF(SER_hh_tes!S7=0,0,11630*1000*SER_hh_tes!S7/SER_hh_num!S7)</f>
        <v>67174.165327221155</v>
      </c>
      <c r="T7" s="133">
        <f>IF(SER_hh_tes!T7=0,0,11630*1000*SER_hh_tes!T7/SER_hh_num!T7)</f>
        <v>68797.959024168304</v>
      </c>
      <c r="U7" s="133">
        <f>IF(SER_hh_tes!U7=0,0,11630*1000*SER_hh_tes!U7/SER_hh_num!U7)</f>
        <v>70644.615732872131</v>
      </c>
      <c r="V7" s="133">
        <f>IF(SER_hh_tes!V7=0,0,11630*1000*SER_hh_tes!V7/SER_hh_num!V7)</f>
        <v>65847.097848787147</v>
      </c>
      <c r="W7" s="133">
        <f>IF(SER_hh_tes!W7=0,0,11630*1000*SER_hh_tes!W7/SER_hh_num!W7)</f>
        <v>66874.331746615295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65656.986872414825</v>
      </c>
      <c r="C8" s="133">
        <f>IF(SER_hh_tes!C8=0,0,11630*1000*SER_hh_tes!C8/SER_hh_num!C8)</f>
        <v>72217.70676621866</v>
      </c>
      <c r="D8" s="133">
        <f>IF(SER_hh_tes!D8=0,0,11630*1000*SER_hh_tes!D8/SER_hh_num!D8)</f>
        <v>68104.828071220269</v>
      </c>
      <c r="E8" s="133">
        <f>IF(SER_hh_tes!E8=0,0,11630*1000*SER_hh_tes!E8/SER_hh_num!E8)</f>
        <v>78629.86783530828</v>
      </c>
      <c r="F8" s="133">
        <f>IF(SER_hh_tes!F8=0,0,11630*1000*SER_hh_tes!F8/SER_hh_num!F8)</f>
        <v>82176.440085961221</v>
      </c>
      <c r="G8" s="133">
        <f>IF(SER_hh_tes!G8=0,0,11630*1000*SER_hh_tes!G8/SER_hh_num!G8)</f>
        <v>73442.065934749859</v>
      </c>
      <c r="H8" s="133">
        <f>IF(SER_hh_tes!H8=0,0,11630*1000*SER_hh_tes!H8/SER_hh_num!H8)</f>
        <v>70279.004144745006</v>
      </c>
      <c r="I8" s="133">
        <f>IF(SER_hh_tes!I8=0,0,11630*1000*SER_hh_tes!I8/SER_hh_num!I8)</f>
        <v>74891.726506253952</v>
      </c>
      <c r="J8" s="133">
        <f>IF(SER_hh_tes!J8=0,0,11630*1000*SER_hh_tes!J8/SER_hh_num!J8)</f>
        <v>76256.831368793588</v>
      </c>
      <c r="K8" s="133">
        <f>IF(SER_hh_tes!K8=0,0,11630*1000*SER_hh_tes!K8/SER_hh_num!K8)</f>
        <v>77363.437985519908</v>
      </c>
      <c r="L8" s="133">
        <f>IF(SER_hh_tes!L8=0,0,11630*1000*SER_hh_tes!L8/SER_hh_num!L8)</f>
        <v>79645.072838320848</v>
      </c>
      <c r="M8" s="133">
        <f>IF(SER_hh_tes!M8=0,0,11630*1000*SER_hh_tes!M8/SER_hh_num!M8)</f>
        <v>81721.662739779786</v>
      </c>
      <c r="N8" s="133">
        <f>IF(SER_hh_tes!N8=0,0,11630*1000*SER_hh_tes!N8/SER_hh_num!N8)</f>
        <v>72326.018133191348</v>
      </c>
      <c r="O8" s="133">
        <f>IF(SER_hh_tes!O8=0,0,11630*1000*SER_hh_tes!O8/SER_hh_num!O8)</f>
        <v>62321.882217629514</v>
      </c>
      <c r="P8" s="133">
        <f>IF(SER_hh_tes!P8=0,0,11630*1000*SER_hh_tes!P8/SER_hh_num!P8)</f>
        <v>69255.62210320239</v>
      </c>
      <c r="Q8" s="133">
        <f>IF(SER_hh_tes!Q8=0,0,11630*1000*SER_hh_tes!Q8/SER_hh_num!Q8)</f>
        <v>73987.276768205236</v>
      </c>
      <c r="R8" s="133">
        <f>IF(SER_hh_tes!R8=0,0,11630*1000*SER_hh_tes!R8/SER_hh_num!R8)</f>
        <v>71764.443177140507</v>
      </c>
      <c r="S8" s="133">
        <f>IF(SER_hh_tes!S8=0,0,11630*1000*SER_hh_tes!S8/SER_hh_num!S8)</f>
        <v>69763.046449927089</v>
      </c>
      <c r="T8" s="133">
        <f>IF(SER_hh_tes!T8=0,0,11630*1000*SER_hh_tes!T8/SER_hh_num!T8)</f>
        <v>69538.898647940237</v>
      </c>
      <c r="U8" s="133">
        <f>IF(SER_hh_tes!U8=0,0,11630*1000*SER_hh_tes!U8/SER_hh_num!U8)</f>
        <v>67344.589637616184</v>
      </c>
      <c r="V8" s="133">
        <f>IF(SER_hh_tes!V8=0,0,11630*1000*SER_hh_tes!V8/SER_hh_num!V8)</f>
        <v>64315.055585761715</v>
      </c>
      <c r="W8" s="133">
        <f>IF(SER_hh_tes!W8=0,0,11630*1000*SER_hh_tes!W8/SER_hh_num!W8)</f>
        <v>71344.043275193879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65460.576264690222</v>
      </c>
      <c r="C9" s="133">
        <f>IF(SER_hh_tes!C9=0,0,11630*1000*SER_hh_tes!C9/SER_hh_num!C9)</f>
        <v>71677.435122126102</v>
      </c>
      <c r="D9" s="133">
        <f>IF(SER_hh_tes!D9=0,0,11630*1000*SER_hh_tes!D9/SER_hh_num!D9)</f>
        <v>67192.22760463474</v>
      </c>
      <c r="E9" s="133">
        <f>IF(SER_hh_tes!E9=0,0,11630*1000*SER_hh_tes!E9/SER_hh_num!E9)</f>
        <v>73940.164370889135</v>
      </c>
      <c r="F9" s="133">
        <f>IF(SER_hh_tes!F9=0,0,11630*1000*SER_hh_tes!F9/SER_hh_num!F9)</f>
        <v>84342.337078082113</v>
      </c>
      <c r="G9" s="133">
        <f>IF(SER_hh_tes!G9=0,0,11630*1000*SER_hh_tes!G9/SER_hh_num!G9)</f>
        <v>76651.935778728774</v>
      </c>
      <c r="H9" s="133">
        <f>IF(SER_hh_tes!H9=0,0,11630*1000*SER_hh_tes!H9/SER_hh_num!H9)</f>
        <v>77094.330034128085</v>
      </c>
      <c r="I9" s="133">
        <f>IF(SER_hh_tes!I9=0,0,11630*1000*SER_hh_tes!I9/SER_hh_num!I9)</f>
        <v>66562.495143470631</v>
      </c>
      <c r="J9" s="133">
        <f>IF(SER_hh_tes!J9=0,0,11630*1000*SER_hh_tes!J9/SER_hh_num!J9)</f>
        <v>73337.21837953855</v>
      </c>
      <c r="K9" s="133">
        <f>IF(SER_hh_tes!K9=0,0,11630*1000*SER_hh_tes!K9/SER_hh_num!K9)</f>
        <v>77909.150853427025</v>
      </c>
      <c r="L9" s="133">
        <f>IF(SER_hh_tes!L9=0,0,11630*1000*SER_hh_tes!L9/SER_hh_num!L9)</f>
        <v>90720.682907701354</v>
      </c>
      <c r="M9" s="133">
        <f>IF(SER_hh_tes!M9=0,0,11630*1000*SER_hh_tes!M9/SER_hh_num!M9)</f>
        <v>69820.814097889757</v>
      </c>
      <c r="N9" s="133">
        <f>IF(SER_hh_tes!N9=0,0,11630*1000*SER_hh_tes!N9/SER_hh_num!N9)</f>
        <v>80209.443761075454</v>
      </c>
      <c r="O9" s="133">
        <f>IF(SER_hh_tes!O9=0,0,11630*1000*SER_hh_tes!O9/SER_hh_num!O9)</f>
        <v>82035.369379083102</v>
      </c>
      <c r="P9" s="133">
        <f>IF(SER_hh_tes!P9=0,0,11630*1000*SER_hh_tes!P9/SER_hh_num!P9)</f>
        <v>62078.710828092902</v>
      </c>
      <c r="Q9" s="133">
        <f>IF(SER_hh_tes!Q9=0,0,11630*1000*SER_hh_tes!Q9/SER_hh_num!Q9)</f>
        <v>68207.028560379389</v>
      </c>
      <c r="R9" s="133">
        <f>IF(SER_hh_tes!R9=0,0,11630*1000*SER_hh_tes!R9/SER_hh_num!R9)</f>
        <v>69525.156595691835</v>
      </c>
      <c r="S9" s="133">
        <f>IF(SER_hh_tes!S9=0,0,11630*1000*SER_hh_tes!S9/SER_hh_num!S9)</f>
        <v>70588.768714932696</v>
      </c>
      <c r="T9" s="133">
        <f>IF(SER_hh_tes!T9=0,0,11630*1000*SER_hh_tes!T9/SER_hh_num!T9)</f>
        <v>70982.913749283078</v>
      </c>
      <c r="U9" s="133">
        <f>IF(SER_hh_tes!U9=0,0,11630*1000*SER_hh_tes!U9/SER_hh_num!U9)</f>
        <v>67757.799606889006</v>
      </c>
      <c r="V9" s="133">
        <f>IF(SER_hh_tes!V9=0,0,11630*1000*SER_hh_tes!V9/SER_hh_num!V9)</f>
        <v>61889.140251414377</v>
      </c>
      <c r="W9" s="133">
        <f>IF(SER_hh_tes!W9=0,0,11630*1000*SER_hh_tes!W9/SER_hh_num!W9)</f>
        <v>68748.745485461724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61645.533519977034</v>
      </c>
      <c r="C10" s="133">
        <f>IF(SER_hh_tes!C10=0,0,11630*1000*SER_hh_tes!C10/SER_hh_num!C10)</f>
        <v>74700.191646643972</v>
      </c>
      <c r="D10" s="133">
        <f>IF(SER_hh_tes!D10=0,0,11630*1000*SER_hh_tes!D10/SER_hh_num!D10)</f>
        <v>73616.84715813525</v>
      </c>
      <c r="E10" s="133">
        <f>IF(SER_hh_tes!E10=0,0,11630*1000*SER_hh_tes!E10/SER_hh_num!E10)</f>
        <v>72110.654173483417</v>
      </c>
      <c r="F10" s="133">
        <f>IF(SER_hh_tes!F10=0,0,11630*1000*SER_hh_tes!F10/SER_hh_num!F10)</f>
        <v>79128.950641318006</v>
      </c>
      <c r="G10" s="133">
        <f>IF(SER_hh_tes!G10=0,0,11630*1000*SER_hh_tes!G10/SER_hh_num!G10)</f>
        <v>72805.44413251245</v>
      </c>
      <c r="H10" s="133">
        <f>IF(SER_hh_tes!H10=0,0,11630*1000*SER_hh_tes!H10/SER_hh_num!H10)</f>
        <v>75761.9164474219</v>
      </c>
      <c r="I10" s="133">
        <f>IF(SER_hh_tes!I10=0,0,11630*1000*SER_hh_tes!I10/SER_hh_num!I10)</f>
        <v>72245.413375832068</v>
      </c>
      <c r="J10" s="133">
        <f>IF(SER_hh_tes!J10=0,0,11630*1000*SER_hh_tes!J10/SER_hh_num!J10)</f>
        <v>81250.244031046415</v>
      </c>
      <c r="K10" s="133">
        <f>IF(SER_hh_tes!K10=0,0,11630*1000*SER_hh_tes!K10/SER_hh_num!K10)</f>
        <v>77785.451297318155</v>
      </c>
      <c r="L10" s="133">
        <f>IF(SER_hh_tes!L10=0,0,11630*1000*SER_hh_tes!L10/SER_hh_num!L10)</f>
        <v>84547.508184492399</v>
      </c>
      <c r="M10" s="133">
        <f>IF(SER_hh_tes!M10=0,0,11630*1000*SER_hh_tes!M10/SER_hh_num!M10)</f>
        <v>77621.915766888211</v>
      </c>
      <c r="N10" s="133">
        <f>IF(SER_hh_tes!N10=0,0,11630*1000*SER_hh_tes!N10/SER_hh_num!N10)</f>
        <v>77006.056352713131</v>
      </c>
      <c r="O10" s="133">
        <f>IF(SER_hh_tes!O10=0,0,11630*1000*SER_hh_tes!O10/SER_hh_num!O10)</f>
        <v>74630.936014426203</v>
      </c>
      <c r="P10" s="133">
        <f>IF(SER_hh_tes!P10=0,0,11630*1000*SER_hh_tes!P10/SER_hh_num!P10)</f>
        <v>70835.460896308738</v>
      </c>
      <c r="Q10" s="133">
        <f>IF(SER_hh_tes!Q10=0,0,11630*1000*SER_hh_tes!Q10/SER_hh_num!Q10)</f>
        <v>65456.049188001591</v>
      </c>
      <c r="R10" s="133">
        <f>IF(SER_hh_tes!R10=0,0,11630*1000*SER_hh_tes!R10/SER_hh_num!R10)</f>
        <v>62124.027703250053</v>
      </c>
      <c r="S10" s="133">
        <f>IF(SER_hh_tes!S10=0,0,11630*1000*SER_hh_tes!S10/SER_hh_num!S10)</f>
        <v>72594.923041883871</v>
      </c>
      <c r="T10" s="133">
        <f>IF(SER_hh_tes!T10=0,0,11630*1000*SER_hh_tes!T10/SER_hh_num!T10)</f>
        <v>70543.79759860404</v>
      </c>
      <c r="U10" s="133">
        <f>IF(SER_hh_tes!U10=0,0,11630*1000*SER_hh_tes!U10/SER_hh_num!U10)</f>
        <v>72964.929152888522</v>
      </c>
      <c r="V10" s="133">
        <f>IF(SER_hh_tes!V10=0,0,11630*1000*SER_hh_tes!V10/SER_hh_num!V10)</f>
        <v>71644.381890642384</v>
      </c>
      <c r="W10" s="133">
        <f>IF(SER_hh_tes!W10=0,0,11630*1000*SER_hh_tes!W10/SER_hh_num!W10)</f>
        <v>65612.765320027669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68896.237090487382</v>
      </c>
      <c r="C12" s="133">
        <f>IF(SER_hh_tes!C12=0,0,11630*1000*SER_hh_tes!C12/SER_hh_num!C12)</f>
        <v>61374.184385108325</v>
      </c>
      <c r="D12" s="133">
        <f>IF(SER_hh_tes!D12=0,0,11630*1000*SER_hh_tes!D12/SER_hh_num!D12)</f>
        <v>89986.240740487934</v>
      </c>
      <c r="E12" s="133">
        <f>IF(SER_hh_tes!E12=0,0,11630*1000*SER_hh_tes!E12/SER_hh_num!E12)</f>
        <v>75705.295716878871</v>
      </c>
      <c r="F12" s="133">
        <f>IF(SER_hh_tes!F12=0,0,11630*1000*SER_hh_tes!F12/SER_hh_num!F12)</f>
        <v>83358.146269926161</v>
      </c>
      <c r="G12" s="133">
        <f>IF(SER_hh_tes!G12=0,0,11630*1000*SER_hh_tes!G12/SER_hh_num!G12)</f>
        <v>60276.332064088601</v>
      </c>
      <c r="H12" s="133">
        <f>IF(SER_hh_tes!H12=0,0,11630*1000*SER_hh_tes!H12/SER_hh_num!H12)</f>
        <v>71074.985919397906</v>
      </c>
      <c r="I12" s="133">
        <f>IF(SER_hh_tes!I12=0,0,11630*1000*SER_hh_tes!I12/SER_hh_num!I12)</f>
        <v>81857.089494792483</v>
      </c>
      <c r="J12" s="133">
        <f>IF(SER_hh_tes!J12=0,0,11630*1000*SER_hh_tes!J12/SER_hh_num!J12)</f>
        <v>73410.736157232881</v>
      </c>
      <c r="K12" s="133">
        <f>IF(SER_hh_tes!K12=0,0,11630*1000*SER_hh_tes!K12/SER_hh_num!K12)</f>
        <v>90123.432450107313</v>
      </c>
      <c r="L12" s="133">
        <f>IF(SER_hh_tes!L12=0,0,11630*1000*SER_hh_tes!L12/SER_hh_num!L12)</f>
        <v>86565.029390494019</v>
      </c>
      <c r="M12" s="133">
        <f>IF(SER_hh_tes!M12=0,0,11630*1000*SER_hh_tes!M12/SER_hh_num!M12)</f>
        <v>87627.287962637187</v>
      </c>
      <c r="N12" s="133">
        <f>IF(SER_hh_tes!N12=0,0,11630*1000*SER_hh_tes!N12/SER_hh_num!N12)</f>
        <v>61948.04793930897</v>
      </c>
      <c r="O12" s="133">
        <f>IF(SER_hh_tes!O12=0,0,11630*1000*SER_hh_tes!O12/SER_hh_num!O12)</f>
        <v>66481.060884976192</v>
      </c>
      <c r="P12" s="133">
        <f>IF(SER_hh_tes!P12=0,0,11630*1000*SER_hh_tes!P12/SER_hh_num!P12)</f>
        <v>69711.52561955234</v>
      </c>
      <c r="Q12" s="133">
        <f>IF(SER_hh_tes!Q12=0,0,11630*1000*SER_hh_tes!Q12/SER_hh_num!Q12)</f>
        <v>63774.198469904601</v>
      </c>
      <c r="R12" s="133">
        <f>IF(SER_hh_tes!R12=0,0,11630*1000*SER_hh_tes!R12/SER_hh_num!R12)</f>
        <v>62829.648810896411</v>
      </c>
      <c r="S12" s="133">
        <f>IF(SER_hh_tes!S12=0,0,11630*1000*SER_hh_tes!S12/SER_hh_num!S12)</f>
        <v>78497.286978924094</v>
      </c>
      <c r="T12" s="133">
        <f>IF(SER_hh_tes!T12=0,0,11630*1000*SER_hh_tes!T12/SER_hh_num!T12)</f>
        <v>65702.557910510048</v>
      </c>
      <c r="U12" s="133">
        <f>IF(SER_hh_tes!U12=0,0,11630*1000*SER_hh_tes!U12/SER_hh_num!U12)</f>
        <v>72863.619730803883</v>
      </c>
      <c r="V12" s="133">
        <f>IF(SER_hh_tes!V12=0,0,11630*1000*SER_hh_tes!V12/SER_hh_num!V12)</f>
        <v>70661.311541741816</v>
      </c>
      <c r="W12" s="133">
        <f>IF(SER_hh_tes!W12=0,0,11630*1000*SER_hh_tes!W12/SER_hh_num!W12)</f>
        <v>64567.333390421307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64174.134935111797</v>
      </c>
      <c r="C13" s="133">
        <f>IF(SER_hh_tes!C13=0,0,11630*1000*SER_hh_tes!C13/SER_hh_num!C13)</f>
        <v>69099.77304589175</v>
      </c>
      <c r="D13" s="133">
        <f>IF(SER_hh_tes!D13=0,0,11630*1000*SER_hh_tes!D13/SER_hh_num!D13)</f>
        <v>71795.37258023546</v>
      </c>
      <c r="E13" s="133">
        <f>IF(SER_hh_tes!E13=0,0,11630*1000*SER_hh_tes!E13/SER_hh_num!E13)</f>
        <v>68525.205184961145</v>
      </c>
      <c r="F13" s="133">
        <f>IF(SER_hh_tes!F13=0,0,11630*1000*SER_hh_tes!F13/SER_hh_num!F13)</f>
        <v>76542.781557590555</v>
      </c>
      <c r="G13" s="133">
        <f>IF(SER_hh_tes!G13=0,0,11630*1000*SER_hh_tes!G13/SER_hh_num!G13)</f>
        <v>76101.28686052686</v>
      </c>
      <c r="H13" s="133">
        <f>IF(SER_hh_tes!H13=0,0,11630*1000*SER_hh_tes!H13/SER_hh_num!H13)</f>
        <v>71546.266912379171</v>
      </c>
      <c r="I13" s="133">
        <f>IF(SER_hh_tes!I13=0,0,11630*1000*SER_hh_tes!I13/SER_hh_num!I13)</f>
        <v>72567.96951135539</v>
      </c>
      <c r="J13" s="133">
        <f>IF(SER_hh_tes!J13=0,0,11630*1000*SER_hh_tes!J13/SER_hh_num!J13)</f>
        <v>76793.536314947691</v>
      </c>
      <c r="K13" s="133">
        <f>IF(SER_hh_tes!K13=0,0,11630*1000*SER_hh_tes!K13/SER_hh_num!K13)</f>
        <v>79044.456978339018</v>
      </c>
      <c r="L13" s="133">
        <f>IF(SER_hh_tes!L13=0,0,11630*1000*SER_hh_tes!L13/SER_hh_num!L13)</f>
        <v>81874.312288366709</v>
      </c>
      <c r="M13" s="133">
        <f>IF(SER_hh_tes!M13=0,0,11630*1000*SER_hh_tes!M13/SER_hh_num!M13)</f>
        <v>79007.532237622494</v>
      </c>
      <c r="N13" s="133">
        <f>IF(SER_hh_tes!N13=0,0,11630*1000*SER_hh_tes!N13/SER_hh_num!N13)</f>
        <v>77148.657286941147</v>
      </c>
      <c r="O13" s="133">
        <f>IF(SER_hh_tes!O13=0,0,11630*1000*SER_hh_tes!O13/SER_hh_num!O13)</f>
        <v>74571.646639745988</v>
      </c>
      <c r="P13" s="133">
        <f>IF(SER_hh_tes!P13=0,0,11630*1000*SER_hh_tes!P13/SER_hh_num!P13)</f>
        <v>69317.671834289242</v>
      </c>
      <c r="Q13" s="133">
        <f>IF(SER_hh_tes!Q13=0,0,11630*1000*SER_hh_tes!Q13/SER_hh_num!Q13)</f>
        <v>68741.605724322901</v>
      </c>
      <c r="R13" s="133">
        <f>IF(SER_hh_tes!R13=0,0,11630*1000*SER_hh_tes!R13/SER_hh_num!R13)</f>
        <v>68935.073599937052</v>
      </c>
      <c r="S13" s="133">
        <f>IF(SER_hh_tes!S13=0,0,11630*1000*SER_hh_tes!S13/SER_hh_num!S13)</f>
        <v>70245.723339057251</v>
      </c>
      <c r="T13" s="133">
        <f>IF(SER_hh_tes!T13=0,0,11630*1000*SER_hh_tes!T13/SER_hh_num!T13)</f>
        <v>70225.138395497983</v>
      </c>
      <c r="U13" s="133">
        <f>IF(SER_hh_tes!U13=0,0,11630*1000*SER_hh_tes!U13/SER_hh_num!U13)</f>
        <v>68558.641274246038</v>
      </c>
      <c r="V13" s="133">
        <f>IF(SER_hh_tes!V13=0,0,11630*1000*SER_hh_tes!V13/SER_hh_num!V13)</f>
        <v>66544.08228487926</v>
      </c>
      <c r="W13" s="133">
        <f>IF(SER_hh_tes!W13=0,0,11630*1000*SER_hh_tes!W13/SER_hh_num!W13)</f>
        <v>69694.016401395653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65096.397753415076</v>
      </c>
      <c r="C14" s="65">
        <f>IF(SER_hh_tes!C14=0,0,11630*1000*SER_hh_tes!C14/SER_hh_num!C14)</f>
        <v>73038.644773128311</v>
      </c>
      <c r="D14" s="65">
        <f>IF(SER_hh_tes!D14=0,0,11630*1000*SER_hh_tes!D14/SER_hh_num!D14)</f>
        <v>70395.768190001079</v>
      </c>
      <c r="E14" s="65">
        <f>IF(SER_hh_tes!E14=0,0,11630*1000*SER_hh_tes!E14/SER_hh_num!E14)</f>
        <v>76679.691845815832</v>
      </c>
      <c r="F14" s="65">
        <f>IF(SER_hh_tes!F14=0,0,11630*1000*SER_hh_tes!F14/SER_hh_num!F14)</f>
        <v>81459.903002572479</v>
      </c>
      <c r="G14" s="65">
        <f>IF(SER_hh_tes!G14=0,0,11630*1000*SER_hh_tes!G14/SER_hh_num!G14)</f>
        <v>77523.089409546403</v>
      </c>
      <c r="H14" s="65">
        <f>IF(SER_hh_tes!H14=0,0,11630*1000*SER_hh_tes!H14/SER_hh_num!H14)</f>
        <v>76924.276052396774</v>
      </c>
      <c r="I14" s="65">
        <f>IF(SER_hh_tes!I14=0,0,11630*1000*SER_hh_tes!I14/SER_hh_num!I14)</f>
        <v>76228.55255479092</v>
      </c>
      <c r="J14" s="65">
        <f>IF(SER_hh_tes!J14=0,0,11630*1000*SER_hh_tes!J14/SER_hh_num!J14)</f>
        <v>75576.388580040686</v>
      </c>
      <c r="K14" s="65">
        <f>IF(SER_hh_tes!K14=0,0,11630*1000*SER_hh_tes!K14/SER_hh_num!K14)</f>
        <v>81124.356069023546</v>
      </c>
      <c r="L14" s="65">
        <f>IF(SER_hh_tes!L14=0,0,11630*1000*SER_hh_tes!L14/SER_hh_num!L14)</f>
        <v>81811.884808101255</v>
      </c>
      <c r="M14" s="65">
        <f>IF(SER_hh_tes!M14=0,0,11630*1000*SER_hh_tes!M14/SER_hh_num!M14)</f>
        <v>79759.991083392408</v>
      </c>
      <c r="N14" s="65">
        <f>IF(SER_hh_tes!N14=0,0,11630*1000*SER_hh_tes!N14/SER_hh_num!N14)</f>
        <v>79595.601126811947</v>
      </c>
      <c r="O14" s="65">
        <f>IF(SER_hh_tes!O14=0,0,11630*1000*SER_hh_tes!O14/SER_hh_num!O14)</f>
        <v>84366.669473674337</v>
      </c>
      <c r="P14" s="65">
        <f>IF(SER_hh_tes!P14=0,0,11630*1000*SER_hh_tes!P14/SER_hh_num!P14)</f>
        <v>65344.800174847005</v>
      </c>
      <c r="Q14" s="65">
        <f>IF(SER_hh_tes!Q14=0,0,11630*1000*SER_hh_tes!Q14/SER_hh_num!Q14)</f>
        <v>62706.833706744306</v>
      </c>
      <c r="R14" s="65">
        <f>IF(SER_hh_tes!R14=0,0,11630*1000*SER_hh_tes!R14/SER_hh_num!R14)</f>
        <v>64922.033090560697</v>
      </c>
      <c r="S14" s="65">
        <f>IF(SER_hh_tes!S14=0,0,11630*1000*SER_hh_tes!S14/SER_hh_num!S14)</f>
        <v>72568.870827006729</v>
      </c>
      <c r="T14" s="65">
        <f>IF(SER_hh_tes!T14=0,0,11630*1000*SER_hh_tes!T14/SER_hh_num!T14)</f>
        <v>78718.45275351929</v>
      </c>
      <c r="U14" s="65">
        <f>IF(SER_hh_tes!U14=0,0,11630*1000*SER_hh_tes!U14/SER_hh_num!U14)</f>
        <v>68508.863243510801</v>
      </c>
      <c r="V14" s="65">
        <f>IF(SER_hh_tes!V14=0,0,11630*1000*SER_hh_tes!V14/SER_hh_num!V14)</f>
        <v>60567.648924532092</v>
      </c>
      <c r="W14" s="65">
        <f>IF(SER_hh_tes!W14=0,0,11630*1000*SER_hh_tes!W14/SER_hh_num!W14)</f>
        <v>71661.082895420273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1198.5452460189606</v>
      </c>
      <c r="C15" s="135">
        <f>IF(SER_hh_tes!C15=0,0,11630*1000*SER_hh_tes!C15/SER_hh_num!C15)</f>
        <v>1263.9738990294957</v>
      </c>
      <c r="D15" s="135">
        <f>IF(SER_hh_tes!D15=0,0,11630*1000*SER_hh_tes!D15/SER_hh_num!D15)</f>
        <v>1183.1050003567118</v>
      </c>
      <c r="E15" s="135">
        <f>IF(SER_hh_tes!E15=0,0,11630*1000*SER_hh_tes!E15/SER_hh_num!E15)</f>
        <v>1263.4404619763484</v>
      </c>
      <c r="F15" s="135">
        <f>IF(SER_hh_tes!F15=0,0,11630*1000*SER_hh_tes!F15/SER_hh_num!F15)</f>
        <v>1408.7150618862761</v>
      </c>
      <c r="G15" s="135">
        <f>IF(SER_hh_tes!G15=0,0,11630*1000*SER_hh_tes!G15/SER_hh_num!G15)</f>
        <v>1264.9877783825243</v>
      </c>
      <c r="H15" s="135">
        <f>IF(SER_hh_tes!H15=0,0,11630*1000*SER_hh_tes!H15/SER_hh_num!H15)</f>
        <v>1252.8896297751517</v>
      </c>
      <c r="I15" s="135">
        <f>IF(SER_hh_tes!I15=0,0,11630*1000*SER_hh_tes!I15/SER_hh_num!I15)</f>
        <v>1084.5030688519491</v>
      </c>
      <c r="J15" s="135">
        <f>IF(SER_hh_tes!J15=0,0,11630*1000*SER_hh_tes!J15/SER_hh_num!J15)</f>
        <v>1166.4587626453103</v>
      </c>
      <c r="K15" s="135">
        <f>IF(SER_hh_tes!K15=0,0,11630*1000*SER_hh_tes!K15/SER_hh_num!K15)</f>
        <v>1220.8020418135079</v>
      </c>
      <c r="L15" s="135">
        <f>IF(SER_hh_tes!L15=0,0,11630*1000*SER_hh_tes!L15/SER_hh_num!L15)</f>
        <v>1407.8033840552582</v>
      </c>
      <c r="M15" s="135">
        <f>IF(SER_hh_tes!M15=0,0,11630*1000*SER_hh_tes!M15/SER_hh_num!M15)</f>
        <v>1103.1217428476405</v>
      </c>
      <c r="N15" s="135">
        <f>IF(SER_hh_tes!N15=0,0,11630*1000*SER_hh_tes!N15/SER_hh_num!N15)</f>
        <v>1248.6414077814788</v>
      </c>
      <c r="O15" s="135">
        <f>IF(SER_hh_tes!O15=0,0,11630*1000*SER_hh_tes!O15/SER_hh_num!O15)</f>
        <v>1273.3472612630364</v>
      </c>
      <c r="P15" s="135">
        <f>IF(SER_hh_tes!P15=0,0,11630*1000*SER_hh_tes!P15/SER_hh_num!P15)</f>
        <v>978.90797226679001</v>
      </c>
      <c r="Q15" s="135">
        <f>IF(SER_hh_tes!Q15=0,0,11630*1000*SER_hh_tes!Q15/SER_hh_num!Q15)</f>
        <v>1047.366057313272</v>
      </c>
      <c r="R15" s="135">
        <f>IF(SER_hh_tes!R15=0,0,11630*1000*SER_hh_tes!R15/SER_hh_num!R15)</f>
        <v>1053.3039008234045</v>
      </c>
      <c r="S15" s="135">
        <f>IF(SER_hh_tes!S15=0,0,11630*1000*SER_hh_tes!S15/SER_hh_num!S15)</f>
        <v>1059.5897483811993</v>
      </c>
      <c r="T15" s="135">
        <f>IF(SER_hh_tes!T15=0,0,11630*1000*SER_hh_tes!T15/SER_hh_num!T15)</f>
        <v>1050.0307443727881</v>
      </c>
      <c r="U15" s="135">
        <f>IF(SER_hh_tes!U15=0,0,11630*1000*SER_hh_tes!U15/SER_hh_num!U15)</f>
        <v>1001.5116678346103</v>
      </c>
      <c r="V15" s="135">
        <f>IF(SER_hh_tes!V15=0,0,11630*1000*SER_hh_tes!V15/SER_hh_num!V15)</f>
        <v>912.65123385008781</v>
      </c>
      <c r="W15" s="135">
        <f>IF(SER_hh_tes!W15=0,0,11630*1000*SER_hh_tes!W15/SER_hh_num!W15)</f>
        <v>1007.6349561072126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25320.154479035609</v>
      </c>
      <c r="C16" s="131">
        <f>IF(SER_hh_tes!C16=0,0,11630*1000*SER_hh_tes!C16/SER_hh_num!C16)</f>
        <v>25919.560192749079</v>
      </c>
      <c r="D16" s="131">
        <f>IF(SER_hh_tes!D16=0,0,11630*1000*SER_hh_tes!D16/SER_hh_num!D16)</f>
        <v>25692.384095680794</v>
      </c>
      <c r="E16" s="131">
        <f>IF(SER_hh_tes!E16=0,0,11630*1000*SER_hh_tes!E16/SER_hh_num!E16)</f>
        <v>28238.488458298572</v>
      </c>
      <c r="F16" s="131">
        <f>IF(SER_hh_tes!F16=0,0,11630*1000*SER_hh_tes!F16/SER_hh_num!F16)</f>
        <v>25837.253237200886</v>
      </c>
      <c r="G16" s="131">
        <f>IF(SER_hh_tes!G16=0,0,11630*1000*SER_hh_tes!G16/SER_hh_num!G16)</f>
        <v>25543.65722975586</v>
      </c>
      <c r="H16" s="131">
        <f>IF(SER_hh_tes!H16=0,0,11630*1000*SER_hh_tes!H16/SER_hh_num!H16)</f>
        <v>27993.42581619561</v>
      </c>
      <c r="I16" s="131">
        <f>IF(SER_hh_tes!I16=0,0,11630*1000*SER_hh_tes!I16/SER_hh_num!I16)</f>
        <v>25651.570491833161</v>
      </c>
      <c r="J16" s="131">
        <f>IF(SER_hh_tes!J16=0,0,11630*1000*SER_hh_tes!J16/SER_hh_num!J16)</f>
        <v>25833.12767625201</v>
      </c>
      <c r="K16" s="131">
        <f>IF(SER_hh_tes!K16=0,0,11630*1000*SER_hh_tes!K16/SER_hh_num!K16)</f>
        <v>26030.965456923095</v>
      </c>
      <c r="L16" s="131">
        <f>IF(SER_hh_tes!L16=0,0,11630*1000*SER_hh_tes!L16/SER_hh_num!L16)</f>
        <v>27005.550043122519</v>
      </c>
      <c r="M16" s="131">
        <f>IF(SER_hh_tes!M16=0,0,11630*1000*SER_hh_tes!M16/SER_hh_num!M16)</f>
        <v>26222.830818400886</v>
      </c>
      <c r="N16" s="131">
        <f>IF(SER_hh_tes!N16=0,0,11630*1000*SER_hh_tes!N16/SER_hh_num!N16)</f>
        <v>26461.256830042759</v>
      </c>
      <c r="O16" s="131">
        <f>IF(SER_hh_tes!O16=0,0,11630*1000*SER_hh_tes!O16/SER_hh_num!O16)</f>
        <v>26740.37056006178</v>
      </c>
      <c r="P16" s="131">
        <f>IF(SER_hh_tes!P16=0,0,11630*1000*SER_hh_tes!P16/SER_hh_num!P16)</f>
        <v>26557.330573212421</v>
      </c>
      <c r="Q16" s="131">
        <f>IF(SER_hh_tes!Q16=0,0,11630*1000*SER_hh_tes!Q16/SER_hh_num!Q16)</f>
        <v>27779.410554446004</v>
      </c>
      <c r="R16" s="131">
        <f>IF(SER_hh_tes!R16=0,0,11630*1000*SER_hh_tes!R16/SER_hh_num!R16)</f>
        <v>27130.841156965136</v>
      </c>
      <c r="S16" s="131">
        <f>IF(SER_hh_tes!S16=0,0,11630*1000*SER_hh_tes!S16/SER_hh_num!S16)</f>
        <v>26669.01336401741</v>
      </c>
      <c r="T16" s="131">
        <f>IF(SER_hh_tes!T16=0,0,11630*1000*SER_hh_tes!T16/SER_hh_num!T16)</f>
        <v>29580.634963858756</v>
      </c>
      <c r="U16" s="131">
        <f>IF(SER_hh_tes!U16=0,0,11630*1000*SER_hh_tes!U16/SER_hh_num!U16)</f>
        <v>29282.826585719686</v>
      </c>
      <c r="V16" s="131">
        <f>IF(SER_hh_tes!V16=0,0,11630*1000*SER_hh_tes!V16/SER_hh_num!V16)</f>
        <v>30169.48073297197</v>
      </c>
      <c r="W16" s="131">
        <f>IF(SER_hh_tes!W16=0,0,11630*1000*SER_hh_tes!W16/SER_hh_num!W16)</f>
        <v>26801.766777338908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25320.154479035606</v>
      </c>
      <c r="C17" s="133">
        <f>IF(SER_hh_tes!C17=0,0,11630*1000*SER_hh_tes!C17/SER_hh_num!C17)</f>
        <v>25919.568326167297</v>
      </c>
      <c r="D17" s="133">
        <f>IF(SER_hh_tes!D17=0,0,11630*1000*SER_hh_tes!D17/SER_hh_num!D17)</f>
        <v>25692.383647537823</v>
      </c>
      <c r="E17" s="133">
        <f>IF(SER_hh_tes!E17=0,0,11630*1000*SER_hh_tes!E17/SER_hh_num!E17)</f>
        <v>28238.485094544136</v>
      </c>
      <c r="F17" s="133">
        <f>IF(SER_hh_tes!F17=0,0,11630*1000*SER_hh_tes!F17/SER_hh_num!F17)</f>
        <v>25837.250201985229</v>
      </c>
      <c r="G17" s="133">
        <f>IF(SER_hh_tes!G17=0,0,11630*1000*SER_hh_tes!G17/SER_hh_num!G17)</f>
        <v>25543.655600052098</v>
      </c>
      <c r="H17" s="133">
        <f>IF(SER_hh_tes!H17=0,0,11630*1000*SER_hh_tes!H17/SER_hh_num!H17)</f>
        <v>27993.425454049055</v>
      </c>
      <c r="I17" s="133">
        <f>IF(SER_hh_tes!I17=0,0,11630*1000*SER_hh_tes!I17/SER_hh_num!I17)</f>
        <v>25651.57106381941</v>
      </c>
      <c r="J17" s="133">
        <f>IF(SER_hh_tes!J17=0,0,11630*1000*SER_hh_tes!J17/SER_hh_num!J17)</f>
        <v>25833.128668891317</v>
      </c>
      <c r="K17" s="133">
        <f>IF(SER_hh_tes!K17=0,0,11630*1000*SER_hh_tes!K17/SER_hh_num!K17)</f>
        <v>26030.966803513471</v>
      </c>
      <c r="L17" s="133">
        <f>IF(SER_hh_tes!L17=0,0,11630*1000*SER_hh_tes!L17/SER_hh_num!L17)</f>
        <v>27005.551787610264</v>
      </c>
      <c r="M17" s="133">
        <f>IF(SER_hh_tes!M17=0,0,11630*1000*SER_hh_tes!M17/SER_hh_num!M17)</f>
        <v>26222.832688894676</v>
      </c>
      <c r="N17" s="133">
        <f>IF(SER_hh_tes!N17=0,0,11630*1000*SER_hh_tes!N17/SER_hh_num!N17)</f>
        <v>26461.254552794835</v>
      </c>
      <c r="O17" s="133">
        <f>IF(SER_hh_tes!O17=0,0,11630*1000*SER_hh_tes!O17/SER_hh_num!O17)</f>
        <v>26740.366188415348</v>
      </c>
      <c r="P17" s="133">
        <f>IF(SER_hh_tes!P17=0,0,11630*1000*SER_hh_tes!P17/SER_hh_num!P17)</f>
        <v>26557.326346486305</v>
      </c>
      <c r="Q17" s="133">
        <f>IF(SER_hh_tes!Q17=0,0,11630*1000*SER_hh_tes!Q17/SER_hh_num!Q17)</f>
        <v>27249.220433162889</v>
      </c>
      <c r="R17" s="133">
        <f>IF(SER_hh_tes!R17=0,0,11630*1000*SER_hh_tes!R17/SER_hh_num!R17)</f>
        <v>27132.91436471049</v>
      </c>
      <c r="S17" s="133">
        <f>IF(SER_hh_tes!S17=0,0,11630*1000*SER_hh_tes!S17/SER_hh_num!S17)</f>
        <v>28070.732024567307</v>
      </c>
      <c r="T17" s="133">
        <f>IF(SER_hh_tes!T17=0,0,11630*1000*SER_hh_tes!T17/SER_hh_num!T17)</f>
        <v>29582.240509358238</v>
      </c>
      <c r="U17" s="133">
        <f>IF(SER_hh_tes!U17=0,0,11630*1000*SER_hh_tes!U17/SER_hh_num!U17)</f>
        <v>29284.039728741966</v>
      </c>
      <c r="V17" s="133">
        <f>IF(SER_hh_tes!V17=0,0,11630*1000*SER_hh_tes!V17/SER_hh_num!V17)</f>
        <v>30170.473516041871</v>
      </c>
      <c r="W17" s="133">
        <f>IF(SER_hh_tes!W17=0,0,11630*1000*SER_hh_tes!W17/SER_hh_num!W17)</f>
        <v>32250.43839952505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25320.154479035609</v>
      </c>
      <c r="C18" s="133">
        <f>IF(SER_hh_tes!C18=0,0,11630*1000*SER_hh_tes!C18/SER_hh_num!C18)</f>
        <v>25919.560166691837</v>
      </c>
      <c r="D18" s="133">
        <f>IF(SER_hh_tes!D18=0,0,11630*1000*SER_hh_tes!D18/SER_hh_num!D18)</f>
        <v>25692.384097224618</v>
      </c>
      <c r="E18" s="133">
        <f>IF(SER_hh_tes!E18=0,0,11630*1000*SER_hh_tes!E18/SER_hh_num!E18)</f>
        <v>28238.488469721982</v>
      </c>
      <c r="F18" s="133">
        <f>IF(SER_hh_tes!F18=0,0,11630*1000*SER_hh_tes!F18/SER_hh_num!F18)</f>
        <v>25837.253249639885</v>
      </c>
      <c r="G18" s="133">
        <f>IF(SER_hh_tes!G18=0,0,11630*1000*SER_hh_tes!G18/SER_hh_num!G18)</f>
        <v>25543.657236735457</v>
      </c>
      <c r="H18" s="133">
        <f>IF(SER_hh_tes!H18=0,0,11630*1000*SER_hh_tes!H18/SER_hh_num!H18)</f>
        <v>27993.425817916308</v>
      </c>
      <c r="I18" s="133">
        <f>IF(SER_hh_tes!I18=0,0,11630*1000*SER_hh_tes!I18/SER_hh_num!I18)</f>
        <v>25651.570488724199</v>
      </c>
      <c r="J18" s="133">
        <f>IF(SER_hh_tes!J18=0,0,11630*1000*SER_hh_tes!J18/SER_hh_num!J18)</f>
        <v>25833.12767034585</v>
      </c>
      <c r="K18" s="133">
        <f>IF(SER_hh_tes!K18=0,0,11630*1000*SER_hh_tes!K18/SER_hh_num!K18)</f>
        <v>26030.965448541607</v>
      </c>
      <c r="L18" s="133">
        <f>IF(SER_hh_tes!L18=0,0,11630*1000*SER_hh_tes!L18/SER_hh_num!L18)</f>
        <v>27005.550031869523</v>
      </c>
      <c r="M18" s="133">
        <f>IF(SER_hh_tes!M18=0,0,11630*1000*SER_hh_tes!M18/SER_hh_num!M18)</f>
        <v>26222.830805529753</v>
      </c>
      <c r="N18" s="133">
        <f>IF(SER_hh_tes!N18=0,0,11630*1000*SER_hh_tes!N18/SER_hh_num!N18)</f>
        <v>26461.256847324144</v>
      </c>
      <c r="O18" s="133">
        <f>IF(SER_hh_tes!O18=0,0,11630*1000*SER_hh_tes!O18/SER_hh_num!O18)</f>
        <v>26740.370599570429</v>
      </c>
      <c r="P18" s="133">
        <f>IF(SER_hh_tes!P18=0,0,11630*1000*SER_hh_tes!P18/SER_hh_num!P18)</f>
        <v>26557.330623550344</v>
      </c>
      <c r="Q18" s="133">
        <f>IF(SER_hh_tes!Q18=0,0,11630*1000*SER_hh_tes!Q18/SER_hh_num!Q18)</f>
        <v>27787.827877334079</v>
      </c>
      <c r="R18" s="133">
        <f>IF(SER_hh_tes!R18=0,0,11630*1000*SER_hh_tes!R18/SER_hh_num!R18)</f>
        <v>27130.79967049295</v>
      </c>
      <c r="S18" s="133">
        <f>IF(SER_hh_tes!S18=0,0,11630*1000*SER_hh_tes!S18/SER_hh_num!S18)</f>
        <v>26637.133223246274</v>
      </c>
      <c r="T18" s="133">
        <f>IF(SER_hh_tes!T18=0,0,11630*1000*SER_hh_tes!T18/SER_hh_num!T18)</f>
        <v>29580.59607154474</v>
      </c>
      <c r="U18" s="133">
        <f>IF(SER_hh_tes!U18=0,0,11630*1000*SER_hh_tes!U18/SER_hh_num!U18)</f>
        <v>29282.794599775258</v>
      </c>
      <c r="V18" s="133">
        <f>IF(SER_hh_tes!V18=0,0,11630*1000*SER_hh_tes!V18/SER_hh_num!V18)</f>
        <v>30169.452243710602</v>
      </c>
      <c r="W18" s="133">
        <f>IF(SER_hh_tes!W18=0,0,11630*1000*SER_hh_tes!W18/SER_hh_num!W18)</f>
        <v>26650.902336623749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15343.267067288798</v>
      </c>
      <c r="C19" s="131">
        <f>IF(SER_hh_tes!C19=0,0,11630*1000*SER_hh_tes!C19/SER_hh_num!C19)</f>
        <v>15152.485780769617</v>
      </c>
      <c r="D19" s="131">
        <f>IF(SER_hh_tes!D19=0,0,11630*1000*SER_hh_tes!D19/SER_hh_num!D19)</f>
        <v>15115.402891802636</v>
      </c>
      <c r="E19" s="131">
        <f>IF(SER_hh_tes!E19=0,0,11630*1000*SER_hh_tes!E19/SER_hh_num!E19)</f>
        <v>15020.842127416476</v>
      </c>
      <c r="F19" s="131">
        <f>IF(SER_hh_tes!F19=0,0,11630*1000*SER_hh_tes!F19/SER_hh_num!F19)</f>
        <v>15098.121340423104</v>
      </c>
      <c r="G19" s="131">
        <f>IF(SER_hh_tes!G19=0,0,11630*1000*SER_hh_tes!G19/SER_hh_num!G19)</f>
        <v>14876.63896029197</v>
      </c>
      <c r="H19" s="131">
        <f>IF(SER_hh_tes!H19=0,0,11630*1000*SER_hh_tes!H19/SER_hh_num!H19)</f>
        <v>14509.362203318406</v>
      </c>
      <c r="I19" s="131">
        <f>IF(SER_hh_tes!I19=0,0,11630*1000*SER_hh_tes!I19/SER_hh_num!I19)</f>
        <v>14083.592301753548</v>
      </c>
      <c r="J19" s="131">
        <f>IF(SER_hh_tes!J19=0,0,11630*1000*SER_hh_tes!J19/SER_hh_num!J19)</f>
        <v>13854.938244615032</v>
      </c>
      <c r="K19" s="131">
        <f>IF(SER_hh_tes!K19=0,0,11630*1000*SER_hh_tes!K19/SER_hh_num!K19)</f>
        <v>13979.417962964877</v>
      </c>
      <c r="L19" s="131">
        <f>IF(SER_hh_tes!L19=0,0,11630*1000*SER_hh_tes!L19/SER_hh_num!L19)</f>
        <v>13896.270228983656</v>
      </c>
      <c r="M19" s="131">
        <f>IF(SER_hh_tes!M19=0,0,11630*1000*SER_hh_tes!M19/SER_hh_num!M19)</f>
        <v>13797.314433195783</v>
      </c>
      <c r="N19" s="131">
        <f>IF(SER_hh_tes!N19=0,0,11630*1000*SER_hh_tes!N19/SER_hh_num!N19)</f>
        <v>13842.065613691322</v>
      </c>
      <c r="O19" s="131">
        <f>IF(SER_hh_tes!O19=0,0,11630*1000*SER_hh_tes!O19/SER_hh_num!O19)</f>
        <v>13897.986336367338</v>
      </c>
      <c r="P19" s="131">
        <f>IF(SER_hh_tes!P19=0,0,11630*1000*SER_hh_tes!P19/SER_hh_num!P19)</f>
        <v>13884.580840832492</v>
      </c>
      <c r="Q19" s="131">
        <f>IF(SER_hh_tes!Q19=0,0,11630*1000*SER_hh_tes!Q19/SER_hh_num!Q19)</f>
        <v>13780.311156363034</v>
      </c>
      <c r="R19" s="131">
        <f>IF(SER_hh_tes!R19=0,0,11630*1000*SER_hh_tes!R19/SER_hh_num!R19)</f>
        <v>13755.800556224651</v>
      </c>
      <c r="S19" s="131">
        <f>IF(SER_hh_tes!S19=0,0,11630*1000*SER_hh_tes!S19/SER_hh_num!S19)</f>
        <v>13772.608241802858</v>
      </c>
      <c r="T19" s="131">
        <f>IF(SER_hh_tes!T19=0,0,11630*1000*SER_hh_tes!T19/SER_hh_num!T19)</f>
        <v>13776.882674329061</v>
      </c>
      <c r="U19" s="131">
        <f>IF(SER_hh_tes!U19=0,0,11630*1000*SER_hh_tes!U19/SER_hh_num!U19)</f>
        <v>13770.819471158546</v>
      </c>
      <c r="V19" s="131">
        <f>IF(SER_hh_tes!V19=0,0,11630*1000*SER_hh_tes!V19/SER_hh_num!V19)</f>
        <v>13457.622976917133</v>
      </c>
      <c r="W19" s="131">
        <f>IF(SER_hh_tes!W19=0,0,11630*1000*SER_hh_tes!W19/SER_hh_num!W19)</f>
        <v>13581.113242265124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15391.431008435191</v>
      </c>
      <c r="C22" s="133">
        <f>IF(SER_hh_tes!C22=0,0,11630*1000*SER_hh_tes!C22/SER_hh_num!C22)</f>
        <v>15166.006194398731</v>
      </c>
      <c r="D22" s="133">
        <f>IF(SER_hh_tes!D22=0,0,11630*1000*SER_hh_tes!D22/SER_hh_num!D22)</f>
        <v>15065.683688585035</v>
      </c>
      <c r="E22" s="133">
        <f>IF(SER_hh_tes!E22=0,0,11630*1000*SER_hh_tes!E22/SER_hh_num!E22)</f>
        <v>14941.021841744834</v>
      </c>
      <c r="F22" s="133">
        <f>IF(SER_hh_tes!F22=0,0,11630*1000*SER_hh_tes!F22/SER_hh_num!F22)</f>
        <v>14950.343733340356</v>
      </c>
      <c r="G22" s="133">
        <f>IF(SER_hh_tes!G22=0,0,11630*1000*SER_hh_tes!G22/SER_hh_num!G22)</f>
        <v>14789.391138724219</v>
      </c>
      <c r="H22" s="133">
        <f>IF(SER_hh_tes!H22=0,0,11630*1000*SER_hh_tes!H22/SER_hh_num!H22)</f>
        <v>14402.840225021417</v>
      </c>
      <c r="I22" s="133">
        <f>IF(SER_hh_tes!I22=0,0,11630*1000*SER_hh_tes!I22/SER_hh_num!I22)</f>
        <v>14082.06110202578</v>
      </c>
      <c r="J22" s="133">
        <f>IF(SER_hh_tes!J22=0,0,11630*1000*SER_hh_tes!J22/SER_hh_num!J22)</f>
        <v>14022.677636687755</v>
      </c>
      <c r="K22" s="133">
        <f>IF(SER_hh_tes!K22=0,0,11630*1000*SER_hh_tes!K22/SER_hh_num!K22)</f>
        <v>13966.729165977598</v>
      </c>
      <c r="L22" s="133">
        <f>IF(SER_hh_tes!L22=0,0,11630*1000*SER_hh_tes!L22/SER_hh_num!L22)</f>
        <v>13757.397582244934</v>
      </c>
      <c r="M22" s="133">
        <f>IF(SER_hh_tes!M22=0,0,11630*1000*SER_hh_tes!M22/SER_hh_num!M22)</f>
        <v>13691.717308566442</v>
      </c>
      <c r="N22" s="133">
        <f>IF(SER_hh_tes!N22=0,0,11630*1000*SER_hh_tes!N22/SER_hh_num!N22)</f>
        <v>13894.527008167066</v>
      </c>
      <c r="O22" s="133">
        <f>IF(SER_hh_tes!O22=0,0,11630*1000*SER_hh_tes!O22/SER_hh_num!O22)</f>
        <v>13870.909822129255</v>
      </c>
      <c r="P22" s="133">
        <f>IF(SER_hh_tes!P22=0,0,11630*1000*SER_hh_tes!P22/SER_hh_num!P22)</f>
        <v>13804.710607986066</v>
      </c>
      <c r="Q22" s="133">
        <f>IF(SER_hh_tes!Q22=0,0,11630*1000*SER_hh_tes!Q22/SER_hh_num!Q22)</f>
        <v>13796.788144999347</v>
      </c>
      <c r="R22" s="133">
        <f>IF(SER_hh_tes!R22=0,0,11630*1000*SER_hh_tes!R22/SER_hh_num!R22)</f>
        <v>13758.474768243999</v>
      </c>
      <c r="S22" s="133">
        <f>IF(SER_hh_tes!S22=0,0,11630*1000*SER_hh_tes!S22/SER_hh_num!S22)</f>
        <v>13668.275486254321</v>
      </c>
      <c r="T22" s="133">
        <f>IF(SER_hh_tes!T22=0,0,11630*1000*SER_hh_tes!T22/SER_hh_num!T22)</f>
        <v>13777.014191195842</v>
      </c>
      <c r="U22" s="133">
        <f>IF(SER_hh_tes!U22=0,0,11630*1000*SER_hh_tes!U22/SER_hh_num!U22)</f>
        <v>13810.16750424744</v>
      </c>
      <c r="V22" s="133">
        <f>IF(SER_hh_tes!V22=0,0,11630*1000*SER_hh_tes!V22/SER_hh_num!V22)</f>
        <v>13285.502241256223</v>
      </c>
      <c r="W22" s="133">
        <f>IF(SER_hh_tes!W22=0,0,11630*1000*SER_hh_tes!W22/SER_hh_num!W22)</f>
        <v>13759.786744754267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15109.358342893052</v>
      </c>
      <c r="C23" s="133">
        <f>IF(SER_hh_tes!C23=0,0,11630*1000*SER_hh_tes!C23/SER_hh_num!C23)</f>
        <v>14995.067598114001</v>
      </c>
      <c r="D23" s="133">
        <f>IF(SER_hh_tes!D23=0,0,11630*1000*SER_hh_tes!D23/SER_hh_num!D23)</f>
        <v>15617.756043270127</v>
      </c>
      <c r="E23" s="133">
        <f>IF(SER_hh_tes!E23=0,0,11630*1000*SER_hh_tes!E23/SER_hh_num!E23)</f>
        <v>14989.286706794266</v>
      </c>
      <c r="F23" s="133">
        <f>IF(SER_hh_tes!F23=0,0,11630*1000*SER_hh_tes!F23/SER_hh_num!F23)</f>
        <v>14857.186032430553</v>
      </c>
      <c r="G23" s="133">
        <f>IF(SER_hh_tes!G23=0,0,11630*1000*SER_hh_tes!G23/SER_hh_num!G23)</f>
        <v>14739.101619111976</v>
      </c>
      <c r="H23" s="133">
        <f>IF(SER_hh_tes!H23=0,0,11630*1000*SER_hh_tes!H23/SER_hh_num!H23)</f>
        <v>14573.01358825139</v>
      </c>
      <c r="I23" s="133">
        <f>IF(SER_hh_tes!I23=0,0,11630*1000*SER_hh_tes!I23/SER_hh_num!I23)</f>
        <v>14109.234753524337</v>
      </c>
      <c r="J23" s="133">
        <f>IF(SER_hh_tes!J23=0,0,11630*1000*SER_hh_tes!J23/SER_hh_num!J23)</f>
        <v>13855.395453497502</v>
      </c>
      <c r="K23" s="133">
        <f>IF(SER_hh_tes!K23=0,0,11630*1000*SER_hh_tes!K23/SER_hh_num!K23)</f>
        <v>13911.461917511973</v>
      </c>
      <c r="L23" s="133">
        <f>IF(SER_hh_tes!L23=0,0,11630*1000*SER_hh_tes!L23/SER_hh_num!L23)</f>
        <v>13770.719918744859</v>
      </c>
      <c r="M23" s="133">
        <f>IF(SER_hh_tes!M23=0,0,11630*1000*SER_hh_tes!M23/SER_hh_num!M23)</f>
        <v>13474.178099121153</v>
      </c>
      <c r="N23" s="133">
        <f>IF(SER_hh_tes!N23=0,0,11630*1000*SER_hh_tes!N23/SER_hh_num!N23)</f>
        <v>14296.961847762581</v>
      </c>
      <c r="O23" s="133">
        <f>IF(SER_hh_tes!O23=0,0,11630*1000*SER_hh_tes!O23/SER_hh_num!O23)</f>
        <v>14410.034528952312</v>
      </c>
      <c r="P23" s="133">
        <f>IF(SER_hh_tes!P23=0,0,11630*1000*SER_hh_tes!P23/SER_hh_num!P23)</f>
        <v>13547.606260336452</v>
      </c>
      <c r="Q23" s="133">
        <f>IF(SER_hh_tes!Q23=0,0,11630*1000*SER_hh_tes!Q23/SER_hh_num!Q23)</f>
        <v>13382.191201055719</v>
      </c>
      <c r="R23" s="133">
        <f>IF(SER_hh_tes!R23=0,0,11630*1000*SER_hh_tes!R23/SER_hh_num!R23)</f>
        <v>13535.570411928764</v>
      </c>
      <c r="S23" s="133">
        <f>IF(SER_hh_tes!S23=0,0,11630*1000*SER_hh_tes!S23/SER_hh_num!S23)</f>
        <v>14175.558858661603</v>
      </c>
      <c r="T23" s="133">
        <f>IF(SER_hh_tes!T23=0,0,11630*1000*SER_hh_tes!T23/SER_hh_num!T23)</f>
        <v>14157.137445901775</v>
      </c>
      <c r="U23" s="133">
        <f>IF(SER_hh_tes!U23=0,0,11630*1000*SER_hh_tes!U23/SER_hh_num!U23)</f>
        <v>14227.271986223081</v>
      </c>
      <c r="V23" s="133">
        <f>IF(SER_hh_tes!V23=0,0,11630*1000*SER_hh_tes!V23/SER_hh_num!V23)</f>
        <v>12820.568962759276</v>
      </c>
      <c r="W23" s="133">
        <f>IF(SER_hh_tes!W23=0,0,11630*1000*SER_hh_tes!W23/SER_hh_num!W23)</f>
        <v>13602.403550865623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15381.884237854214</v>
      </c>
      <c r="C25" s="133">
        <f>IF(SER_hh_tes!C25=0,0,11630*1000*SER_hh_tes!C25/SER_hh_num!C25)</f>
        <v>15156.327197277111</v>
      </c>
      <c r="D25" s="133">
        <f>IF(SER_hh_tes!D25=0,0,11630*1000*SER_hh_tes!D25/SER_hh_num!D25)</f>
        <v>15251.724008387642</v>
      </c>
      <c r="E25" s="133">
        <f>IF(SER_hh_tes!E25=0,0,11630*1000*SER_hh_tes!E25/SER_hh_num!E25)</f>
        <v>15013.755918623381</v>
      </c>
      <c r="F25" s="133">
        <f>IF(SER_hh_tes!F25=0,0,11630*1000*SER_hh_tes!F25/SER_hh_num!F25)</f>
        <v>14813.019554247176</v>
      </c>
      <c r="G25" s="133">
        <f>IF(SER_hh_tes!G25=0,0,11630*1000*SER_hh_tes!G25/SER_hh_num!G25)</f>
        <v>14693.36562582129</v>
      </c>
      <c r="H25" s="133">
        <f>IF(SER_hh_tes!H25=0,0,11630*1000*SER_hh_tes!H25/SER_hh_num!H25)</f>
        <v>14401.639229625547</v>
      </c>
      <c r="I25" s="133">
        <f>IF(SER_hh_tes!I25=0,0,11630*1000*SER_hh_tes!I25/SER_hh_num!I25)</f>
        <v>14117.744997301423</v>
      </c>
      <c r="J25" s="133">
        <f>IF(SER_hh_tes!J25=0,0,11630*1000*SER_hh_tes!J25/SER_hh_num!J25)</f>
        <v>13838.649315852756</v>
      </c>
      <c r="K25" s="133">
        <f>IF(SER_hh_tes!K25=0,0,11630*1000*SER_hh_tes!K25/SER_hh_num!K25)</f>
        <v>13999.897012410962</v>
      </c>
      <c r="L25" s="133">
        <f>IF(SER_hh_tes!L25=0,0,11630*1000*SER_hh_tes!L25/SER_hh_num!L25)</f>
        <v>13923.464371337734</v>
      </c>
      <c r="M25" s="133">
        <f>IF(SER_hh_tes!M25=0,0,11630*1000*SER_hh_tes!M25/SER_hh_num!M25)</f>
        <v>13948.437598791661</v>
      </c>
      <c r="N25" s="133">
        <f>IF(SER_hh_tes!N25=0,0,11630*1000*SER_hh_tes!N25/SER_hh_num!N25)</f>
        <v>14114.16607848387</v>
      </c>
      <c r="O25" s="133">
        <f>IF(SER_hh_tes!O25=0,0,11630*1000*SER_hh_tes!O25/SER_hh_num!O25)</f>
        <v>13910.923513332436</v>
      </c>
      <c r="P25" s="133">
        <f>IF(SER_hh_tes!P25=0,0,11630*1000*SER_hh_tes!P25/SER_hh_num!P25)</f>
        <v>13453.017957026359</v>
      </c>
      <c r="Q25" s="133">
        <f>IF(SER_hh_tes!Q25=0,0,11630*1000*SER_hh_tes!Q25/SER_hh_num!Q25)</f>
        <v>13581.076823769108</v>
      </c>
      <c r="R25" s="133">
        <f>IF(SER_hh_tes!R25=0,0,11630*1000*SER_hh_tes!R25/SER_hh_num!R25)</f>
        <v>13801.000454484296</v>
      </c>
      <c r="S25" s="133">
        <f>IF(SER_hh_tes!S25=0,0,11630*1000*SER_hh_tes!S25/SER_hh_num!S25)</f>
        <v>13701.337522922222</v>
      </c>
      <c r="T25" s="133">
        <f>IF(SER_hh_tes!T25=0,0,11630*1000*SER_hh_tes!T25/SER_hh_num!T25)</f>
        <v>13911.511490277107</v>
      </c>
      <c r="U25" s="133">
        <f>IF(SER_hh_tes!U25=0,0,11630*1000*SER_hh_tes!U25/SER_hh_num!U25)</f>
        <v>13781.092837379152</v>
      </c>
      <c r="V25" s="133">
        <f>IF(SER_hh_tes!V25=0,0,11630*1000*SER_hh_tes!V25/SER_hh_num!V25)</f>
        <v>13463.383302882581</v>
      </c>
      <c r="W25" s="133">
        <f>IF(SER_hh_tes!W25=0,0,11630*1000*SER_hh_tes!W25/SER_hh_num!W25)</f>
        <v>13448.490520183019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15341.539166500104</v>
      </c>
      <c r="C26" s="65">
        <f>IF(SER_hh_tes!C26=0,0,11630*1000*SER_hh_tes!C26/SER_hh_num!C26)</f>
        <v>15109.412417391939</v>
      </c>
      <c r="D26" s="65">
        <f>IF(SER_hh_tes!D26=0,0,11630*1000*SER_hh_tes!D26/SER_hh_num!D26)</f>
        <v>14692.71790714395</v>
      </c>
      <c r="E26" s="65">
        <f>IF(SER_hh_tes!E26=0,0,11630*1000*SER_hh_tes!E26/SER_hh_num!E26)</f>
        <v>14893.495000720077</v>
      </c>
      <c r="F26" s="65">
        <f>IF(SER_hh_tes!F26=0,0,11630*1000*SER_hh_tes!F26/SER_hh_num!F26)</f>
        <v>15112.315995026336</v>
      </c>
      <c r="G26" s="65">
        <f>IF(SER_hh_tes!G26=0,0,11630*1000*SER_hh_tes!G26/SER_hh_num!G26)</f>
        <v>14808.486647042786</v>
      </c>
      <c r="H26" s="65">
        <f>IF(SER_hh_tes!H26=0,0,11630*1000*SER_hh_tes!H26/SER_hh_num!H26)</f>
        <v>14316.991521667627</v>
      </c>
      <c r="I26" s="65">
        <f>IF(SER_hh_tes!I26=0,0,11630*1000*SER_hh_tes!I26/SER_hh_num!I26)</f>
        <v>13885.079341692439</v>
      </c>
      <c r="J26" s="65">
        <f>IF(SER_hh_tes!J26=0,0,11630*1000*SER_hh_tes!J26/SER_hh_num!J26)</f>
        <v>13658.087630978696</v>
      </c>
      <c r="K26" s="65">
        <f>IF(SER_hh_tes!K26=0,0,11630*1000*SER_hh_tes!K26/SER_hh_num!K26)</f>
        <v>13807.370143122191</v>
      </c>
      <c r="L26" s="65">
        <f>IF(SER_hh_tes!L26=0,0,11630*1000*SER_hh_tes!L26/SER_hh_num!L26)</f>
        <v>13751.490885756242</v>
      </c>
      <c r="M26" s="65">
        <f>IF(SER_hh_tes!M26=0,0,11630*1000*SER_hh_tes!M26/SER_hh_num!M26)</f>
        <v>13751.732930056043</v>
      </c>
      <c r="N26" s="65">
        <f>IF(SER_hh_tes!N26=0,0,11630*1000*SER_hh_tes!N26/SER_hh_num!N26)</f>
        <v>13254.654708191589</v>
      </c>
      <c r="O26" s="65">
        <f>IF(SER_hh_tes!O26=0,0,11630*1000*SER_hh_tes!O26/SER_hh_num!O26)</f>
        <v>13294.432538172527</v>
      </c>
      <c r="P26" s="65">
        <f>IF(SER_hh_tes!P26=0,0,11630*1000*SER_hh_tes!P26/SER_hh_num!P26)</f>
        <v>13898.10300521343</v>
      </c>
      <c r="Q26" s="65">
        <f>IF(SER_hh_tes!Q26=0,0,11630*1000*SER_hh_tes!Q26/SER_hh_num!Q26)</f>
        <v>13796.858705426179</v>
      </c>
      <c r="R26" s="65">
        <f>IF(SER_hh_tes!R26=0,0,11630*1000*SER_hh_tes!R26/SER_hh_num!R26)</f>
        <v>13635.702618958967</v>
      </c>
      <c r="S26" s="65">
        <f>IF(SER_hh_tes!S26=0,0,11630*1000*SER_hh_tes!S26/SER_hh_num!S26)</f>
        <v>13267.521931350162</v>
      </c>
      <c r="T26" s="65">
        <f>IF(SER_hh_tes!T26=0,0,11630*1000*SER_hh_tes!T26/SER_hh_num!T26)</f>
        <v>13264.694914055504</v>
      </c>
      <c r="U26" s="65">
        <f>IF(SER_hh_tes!U26=0,0,11630*1000*SER_hh_tes!U26/SER_hh_num!U26)</f>
        <v>13244.473439251735</v>
      </c>
      <c r="V26" s="65">
        <f>IF(SER_hh_tes!V26=0,0,11630*1000*SER_hh_tes!V26/SER_hh_num!V26)</f>
        <v>13560.299038302943</v>
      </c>
      <c r="W26" s="65">
        <f>IF(SER_hh_tes!W26=0,0,11630*1000*SER_hh_tes!W26/SER_hh_num!W26)</f>
        <v>13343.063758179593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65.02113278848033</v>
      </c>
      <c r="C27" s="146">
        <f>IF(SER_hh_tes!C27=0,0,11630*1000*SER_hh_tes!C27/SER_hh_num!C19)</f>
        <v>71.769171499698217</v>
      </c>
      <c r="D27" s="146">
        <f>IF(SER_hh_tes!D27=0,0,11630*1000*SER_hh_tes!D27/SER_hh_num!D19)</f>
        <v>80.234484026441507</v>
      </c>
      <c r="E27" s="146">
        <f>IF(SER_hh_tes!E27=0,0,11630*1000*SER_hh_tes!E27/SER_hh_num!E19)</f>
        <v>86.894942209446441</v>
      </c>
      <c r="F27" s="146">
        <f>IF(SER_hh_tes!F27=0,0,11630*1000*SER_hh_tes!F27/SER_hh_num!F19)</f>
        <v>94.236384030753882</v>
      </c>
      <c r="G27" s="146">
        <f>IF(SER_hh_tes!G27=0,0,11630*1000*SER_hh_tes!G27/SER_hh_num!G19)</f>
        <v>99.018306792246349</v>
      </c>
      <c r="H27" s="146">
        <f>IF(SER_hh_tes!H27=0,0,11630*1000*SER_hh_tes!H27/SER_hh_num!H19)</f>
        <v>101.2499804729857</v>
      </c>
      <c r="I27" s="146">
        <f>IF(SER_hh_tes!I27=0,0,11630*1000*SER_hh_tes!I27/SER_hh_num!I19)</f>
        <v>104.01682694116752</v>
      </c>
      <c r="J27" s="146">
        <f>IF(SER_hh_tes!J27=0,0,11630*1000*SER_hh_tes!J27/SER_hh_num!J19)</f>
        <v>107.95209630115404</v>
      </c>
      <c r="K27" s="146">
        <f>IF(SER_hh_tes!K27=0,0,11630*1000*SER_hh_tes!K27/SER_hh_num!K19)</f>
        <v>118.64459621500912</v>
      </c>
      <c r="L27" s="146">
        <f>IF(SER_hh_tes!L27=0,0,11630*1000*SER_hh_tes!L27/SER_hh_num!L19)</f>
        <v>126.32770658005866</v>
      </c>
      <c r="M27" s="146">
        <f>IF(SER_hh_tes!M27=0,0,11630*1000*SER_hh_tes!M27/SER_hh_num!M19)</f>
        <v>130.34692469272943</v>
      </c>
      <c r="N27" s="146">
        <f>IF(SER_hh_tes!N27=0,0,11630*1000*SER_hh_tes!N27/SER_hh_num!N19)</f>
        <v>133.69576932054332</v>
      </c>
      <c r="O27" s="146">
        <f>IF(SER_hh_tes!O27=0,0,11630*1000*SER_hh_tes!O27/SER_hh_num!O19)</f>
        <v>138.42555067675775</v>
      </c>
      <c r="P27" s="146">
        <f>IF(SER_hh_tes!P27=0,0,11630*1000*SER_hh_tes!P27/SER_hh_num!P19)</f>
        <v>141.52066861784849</v>
      </c>
      <c r="Q27" s="146">
        <f>IF(SER_hh_tes!Q27=0,0,11630*1000*SER_hh_tes!Q27/SER_hh_num!Q19)</f>
        <v>140.0775680169308</v>
      </c>
      <c r="R27" s="146">
        <f>IF(SER_hh_tes!R27=0,0,11630*1000*SER_hh_tes!R27/SER_hh_num!R19)</f>
        <v>140.69715892059205</v>
      </c>
      <c r="S27" s="146">
        <f>IF(SER_hh_tes!S27=0,0,11630*1000*SER_hh_tes!S27/SER_hh_num!S19)</f>
        <v>139.15941988472474</v>
      </c>
      <c r="T27" s="146">
        <f>IF(SER_hh_tes!T27=0,0,11630*1000*SER_hh_tes!T27/SER_hh_num!T19)</f>
        <v>140.1189762798345</v>
      </c>
      <c r="U27" s="146">
        <f>IF(SER_hh_tes!U27=0,0,11630*1000*SER_hh_tes!U27/SER_hh_num!U19)</f>
        <v>142.31479188377628</v>
      </c>
      <c r="V27" s="146">
        <f>IF(SER_hh_tes!V27=0,0,11630*1000*SER_hh_tes!V27/SER_hh_num!V19)</f>
        <v>140.90838194338164</v>
      </c>
      <c r="W27" s="146">
        <f>IF(SER_hh_tes!W27=0,0,11630*1000*SER_hh_tes!W27/SER_hh_num!W19)</f>
        <v>138.92248095041816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7086.4175793545728</v>
      </c>
      <c r="C28" s="147">
        <f>IF(SER_hh_tes!C27=0,0,11630*1000*SER_hh_tes!C27/SER_hh_num!C27)</f>
        <v>7789.0421001060922</v>
      </c>
      <c r="D28" s="147">
        <f>IF(SER_hh_tes!D27=0,0,11630*1000*SER_hh_tes!D27/SER_hh_num!D27)</f>
        <v>7389.7967729021311</v>
      </c>
      <c r="E28" s="147">
        <f>IF(SER_hh_tes!E27=0,0,11630*1000*SER_hh_tes!E27/SER_hh_num!E27)</f>
        <v>7511.1513169009577</v>
      </c>
      <c r="F28" s="147">
        <f>IF(SER_hh_tes!F27=0,0,11630*1000*SER_hh_tes!F27/SER_hh_num!F27)</f>
        <v>7534.8620342728045</v>
      </c>
      <c r="G28" s="147">
        <f>IF(SER_hh_tes!G27=0,0,11630*1000*SER_hh_tes!G27/SER_hh_num!G27)</f>
        <v>7324.2550555469534</v>
      </c>
      <c r="H28" s="147">
        <f>IF(SER_hh_tes!H27=0,0,11630*1000*SER_hh_tes!H27/SER_hh_num!H27)</f>
        <v>7271.6388592319736</v>
      </c>
      <c r="I28" s="147">
        <f>IF(SER_hh_tes!I27=0,0,11630*1000*SER_hh_tes!I27/SER_hh_num!I27)</f>
        <v>6582.6910205029553</v>
      </c>
      <c r="J28" s="147">
        <f>IF(SER_hh_tes!J27=0,0,11630*1000*SER_hh_tes!J27/SER_hh_num!J27)</f>
        <v>7171.7006762045257</v>
      </c>
      <c r="K28" s="147">
        <f>IF(SER_hh_tes!K27=0,0,11630*1000*SER_hh_tes!K27/SER_hh_num!K27)</f>
        <v>7013.4370314912458</v>
      </c>
      <c r="L28" s="147">
        <f>IF(SER_hh_tes!L27=0,0,11630*1000*SER_hh_tes!L27/SER_hh_num!L27)</f>
        <v>8040.7189520704769</v>
      </c>
      <c r="M28" s="147">
        <f>IF(SER_hh_tes!M27=0,0,11630*1000*SER_hh_tes!M27/SER_hh_num!M27)</f>
        <v>7405.4311238635455</v>
      </c>
      <c r="N28" s="147">
        <f>IF(SER_hh_tes!N27=0,0,11630*1000*SER_hh_tes!N27/SER_hh_num!N27)</f>
        <v>7723.7100605434143</v>
      </c>
      <c r="O28" s="147">
        <f>IF(SER_hh_tes!O27=0,0,11630*1000*SER_hh_tes!O27/SER_hh_num!O27)</f>
        <v>7616.6429880087308</v>
      </c>
      <c r="P28" s="147">
        <f>IF(SER_hh_tes!P27=0,0,11630*1000*SER_hh_tes!P27/SER_hh_num!P27)</f>
        <v>7350.7532414489278</v>
      </c>
      <c r="Q28" s="147">
        <f>IF(SER_hh_tes!Q27=0,0,11630*1000*SER_hh_tes!Q27/SER_hh_num!Q27)</f>
        <v>7221.0618353268028</v>
      </c>
      <c r="R28" s="147">
        <f>IF(SER_hh_tes!R27=0,0,11630*1000*SER_hh_tes!R27/SER_hh_num!R27)</f>
        <v>6970.8788498891636</v>
      </c>
      <c r="S28" s="147">
        <f>IF(SER_hh_tes!S27=0,0,11630*1000*SER_hh_tes!S27/SER_hh_num!S27)</f>
        <v>6937.9742941714831</v>
      </c>
      <c r="T28" s="147">
        <f>IF(SER_hh_tes!T27=0,0,11630*1000*SER_hh_tes!T27/SER_hh_num!T27)</f>
        <v>7239.0558134794464</v>
      </c>
      <c r="U28" s="147">
        <f>IF(SER_hh_tes!U27=0,0,11630*1000*SER_hh_tes!U27/SER_hh_num!U27)</f>
        <v>7469.0307108848092</v>
      </c>
      <c r="V28" s="147">
        <f>IF(SER_hh_tes!V27=0,0,11630*1000*SER_hh_tes!V27/SER_hh_num!V27)</f>
        <v>7360.2356902989359</v>
      </c>
      <c r="W28" s="147">
        <f>IF(SER_hh_tes!W27=0,0,11630*1000*SER_hh_tes!W27/SER_hh_num!W27)</f>
        <v>7449.0625839999302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13345.227363296286</v>
      </c>
      <c r="C29" s="131">
        <f>IF(SER_hh_tes!C29=0,0,11630*1000*SER_hh_tes!C29/SER_hh_num!C29)</f>
        <v>13239.122706556251</v>
      </c>
      <c r="D29" s="131">
        <f>IF(SER_hh_tes!D29=0,0,11630*1000*SER_hh_tes!D29/SER_hh_num!D29)</f>
        <v>13265.072127735319</v>
      </c>
      <c r="E29" s="131">
        <f>IF(SER_hh_tes!E29=0,0,11630*1000*SER_hh_tes!E29/SER_hh_num!E29)</f>
        <v>13354.02334410026</v>
      </c>
      <c r="F29" s="131">
        <f>IF(SER_hh_tes!F29=0,0,11630*1000*SER_hh_tes!F29/SER_hh_num!F29)</f>
        <v>13535.08085002275</v>
      </c>
      <c r="G29" s="131">
        <f>IF(SER_hh_tes!G29=0,0,11630*1000*SER_hh_tes!G29/SER_hh_num!G29)</f>
        <v>13558.755751146293</v>
      </c>
      <c r="H29" s="131">
        <f>IF(SER_hh_tes!H29=0,0,11630*1000*SER_hh_tes!H29/SER_hh_num!H29)</f>
        <v>13413.044491470037</v>
      </c>
      <c r="I29" s="131">
        <f>IF(SER_hh_tes!I29=0,0,11630*1000*SER_hh_tes!I29/SER_hh_num!I29)</f>
        <v>13243.859836961343</v>
      </c>
      <c r="J29" s="131">
        <f>IF(SER_hh_tes!J29=0,0,11630*1000*SER_hh_tes!J29/SER_hh_num!J29)</f>
        <v>13216.939343385513</v>
      </c>
      <c r="K29" s="131">
        <f>IF(SER_hh_tes!K29=0,0,11630*1000*SER_hh_tes!K29/SER_hh_num!K29)</f>
        <v>13419.5574446396</v>
      </c>
      <c r="L29" s="131">
        <f>IF(SER_hh_tes!L29=0,0,11630*1000*SER_hh_tes!L29/SER_hh_num!L29)</f>
        <v>13399.816450618366</v>
      </c>
      <c r="M29" s="131">
        <f>IF(SER_hh_tes!M29=0,0,11630*1000*SER_hh_tes!M29/SER_hh_num!M29)</f>
        <v>13226.316238602125</v>
      </c>
      <c r="N29" s="131">
        <f>IF(SER_hh_tes!N29=0,0,11630*1000*SER_hh_tes!N29/SER_hh_num!N29)</f>
        <v>13230.126026632637</v>
      </c>
      <c r="O29" s="131">
        <f>IF(SER_hh_tes!O29=0,0,11630*1000*SER_hh_tes!O29/SER_hh_num!O29)</f>
        <v>13358.204828971153</v>
      </c>
      <c r="P29" s="131">
        <f>IF(SER_hh_tes!P29=0,0,11630*1000*SER_hh_tes!P29/SER_hh_num!P29)</f>
        <v>13405.310251889698</v>
      </c>
      <c r="Q29" s="131">
        <f>IF(SER_hh_tes!Q29=0,0,11630*1000*SER_hh_tes!Q29/SER_hh_num!Q29)</f>
        <v>13306.201405385547</v>
      </c>
      <c r="R29" s="131">
        <f>IF(SER_hh_tes!R29=0,0,11630*1000*SER_hh_tes!R29/SER_hh_num!R29)</f>
        <v>13280.412254806597</v>
      </c>
      <c r="S29" s="131">
        <f>IF(SER_hh_tes!S29=0,0,11630*1000*SER_hh_tes!S29/SER_hh_num!S29)</f>
        <v>13298.128176963099</v>
      </c>
      <c r="T29" s="131">
        <f>IF(SER_hh_tes!T29=0,0,11630*1000*SER_hh_tes!T29/SER_hh_num!T29)</f>
        <v>13293.062816085834</v>
      </c>
      <c r="U29" s="131">
        <f>IF(SER_hh_tes!U29=0,0,11630*1000*SER_hh_tes!U29/SER_hh_num!U29)</f>
        <v>13286.329977664731</v>
      </c>
      <c r="V29" s="131">
        <f>IF(SER_hh_tes!V29=0,0,11630*1000*SER_hh_tes!V29/SER_hh_num!V29)</f>
        <v>13077.964651106613</v>
      </c>
      <c r="W29" s="131">
        <f>IF(SER_hh_tes!W29=0,0,11630*1000*SER_hh_tes!W29/SER_hh_num!W29)</f>
        <v>13083.047164231493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12648.041853032415</v>
      </c>
      <c r="C30" s="133">
        <f>IF(SER_hh_tes!C30=0,0,11630*1000*SER_hh_tes!C30/SER_hh_num!C30)</f>
        <v>13269.236985025118</v>
      </c>
      <c r="D30" s="133">
        <f>IF(SER_hh_tes!D30=0,0,11630*1000*SER_hh_tes!D30/SER_hh_num!D30)</f>
        <v>14146.318921087495</v>
      </c>
      <c r="E30" s="133">
        <f>IF(SER_hh_tes!E30=0,0,11630*1000*SER_hh_tes!E30/SER_hh_num!E30)</f>
        <v>12759.511046464708</v>
      </c>
      <c r="F30" s="133">
        <f>IF(SER_hh_tes!F30=0,0,11630*1000*SER_hh_tes!F30/SER_hh_num!F30)</f>
        <v>13542.737125930493</v>
      </c>
      <c r="G30" s="133">
        <f>IF(SER_hh_tes!G30=0,0,11630*1000*SER_hh_tes!G30/SER_hh_num!G30)</f>
        <v>13325.785155928737</v>
      </c>
      <c r="H30" s="133">
        <f>IF(SER_hh_tes!H30=0,0,11630*1000*SER_hh_tes!H30/SER_hh_num!H30)</f>
        <v>17238.704854142121</v>
      </c>
      <c r="I30" s="133">
        <f>IF(SER_hh_tes!I30=0,0,11630*1000*SER_hh_tes!I30/SER_hh_num!I30)</f>
        <v>10668.985997288042</v>
      </c>
      <c r="J30" s="133">
        <f>IF(SER_hh_tes!J30=0,0,11630*1000*SER_hh_tes!J30/SER_hh_num!J30)</f>
        <v>9514.970189495687</v>
      </c>
      <c r="K30" s="133">
        <f>IF(SER_hh_tes!K30=0,0,11630*1000*SER_hh_tes!K30/SER_hh_num!K30)</f>
        <v>14651.82042386823</v>
      </c>
      <c r="L30" s="133">
        <f>IF(SER_hh_tes!L30=0,0,11630*1000*SER_hh_tes!L30/SER_hh_num!L30)</f>
        <v>16616.201179341238</v>
      </c>
      <c r="M30" s="133">
        <f>IF(SER_hh_tes!M30=0,0,11630*1000*SER_hh_tes!M30/SER_hh_num!M30)</f>
        <v>10211.50843648228</v>
      </c>
      <c r="N30" s="133">
        <f>IF(SER_hh_tes!N30=0,0,11630*1000*SER_hh_tes!N30/SER_hh_num!N30)</f>
        <v>14974.32863498913</v>
      </c>
      <c r="O30" s="133">
        <f>IF(SER_hh_tes!O30=0,0,11630*1000*SER_hh_tes!O30/SER_hh_num!O30)</f>
        <v>15792.74190974482</v>
      </c>
      <c r="P30" s="133">
        <f>IF(SER_hh_tes!P30=0,0,11630*1000*SER_hh_tes!P30/SER_hh_num!P30)</f>
        <v>2348.8677220488748</v>
      </c>
      <c r="Q30" s="133">
        <f>IF(SER_hh_tes!Q30=0,0,11630*1000*SER_hh_tes!Q30/SER_hh_num!Q30)</f>
        <v>16159.763236177279</v>
      </c>
      <c r="R30" s="133">
        <f>IF(SER_hh_tes!R30=0,0,11630*1000*SER_hh_tes!R30/SER_hh_num!R30)</f>
        <v>12769.113747142013</v>
      </c>
      <c r="S30" s="133">
        <f>IF(SER_hh_tes!S30=0,0,11630*1000*SER_hh_tes!S30/SER_hh_num!S30)</f>
        <v>11460.502951766533</v>
      </c>
      <c r="T30" s="133">
        <f>IF(SER_hh_tes!T30=0,0,11630*1000*SER_hh_tes!T30/SER_hh_num!T30)</f>
        <v>13877.625451738479</v>
      </c>
      <c r="U30" s="133">
        <f>IF(SER_hh_tes!U30=0,0,11630*1000*SER_hh_tes!U30/SER_hh_num!U30)</f>
        <v>17250.093501592746</v>
      </c>
      <c r="V30" s="133">
        <f>IF(SER_hh_tes!V30=0,0,11630*1000*SER_hh_tes!V30/SER_hh_num!V30)</f>
        <v>12867.76765098631</v>
      </c>
      <c r="W30" s="133">
        <f>IF(SER_hh_tes!W30=0,0,11630*1000*SER_hh_tes!W30/SER_hh_num!W30)</f>
        <v>11887.310477810641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13241.669689365273</v>
      </c>
      <c r="C31" s="133">
        <f>IF(SER_hh_tes!C31=0,0,11630*1000*SER_hh_tes!C31/SER_hh_num!C31)</f>
        <v>13320.091450693082</v>
      </c>
      <c r="D31" s="133">
        <f>IF(SER_hh_tes!D31=0,0,11630*1000*SER_hh_tes!D31/SER_hh_num!D31)</f>
        <v>13172.115988215432</v>
      </c>
      <c r="E31" s="133">
        <f>IF(SER_hh_tes!E31=0,0,11630*1000*SER_hh_tes!E31/SER_hh_num!E31)</f>
        <v>13569.178725166897</v>
      </c>
      <c r="F31" s="133">
        <f>IF(SER_hh_tes!F31=0,0,11630*1000*SER_hh_tes!F31/SER_hh_num!F31)</f>
        <v>13514.362538061743</v>
      </c>
      <c r="G31" s="133">
        <f>IF(SER_hh_tes!G31=0,0,11630*1000*SER_hh_tes!G31/SER_hh_num!G31)</f>
        <v>13470.15277641721</v>
      </c>
      <c r="H31" s="133">
        <f>IF(SER_hh_tes!H31=0,0,11630*1000*SER_hh_tes!H31/SER_hh_num!H31)</f>
        <v>12566.964988309019</v>
      </c>
      <c r="I31" s="133">
        <f>IF(SER_hh_tes!I31=0,0,11630*1000*SER_hh_tes!I31/SER_hh_num!I31)</f>
        <v>13730.228744545206</v>
      </c>
      <c r="J31" s="133">
        <f>IF(SER_hh_tes!J31=0,0,11630*1000*SER_hh_tes!J31/SER_hh_num!J31)</f>
        <v>13990.24386612628</v>
      </c>
      <c r="K31" s="133">
        <f>IF(SER_hh_tes!K31=0,0,11630*1000*SER_hh_tes!K31/SER_hh_num!K31)</f>
        <v>13205.401122138472</v>
      </c>
      <c r="L31" s="133">
        <f>IF(SER_hh_tes!L31=0,0,11630*1000*SER_hh_tes!L31/SER_hh_num!L31)</f>
        <v>12762.602387224188</v>
      </c>
      <c r="M31" s="133">
        <f>IF(SER_hh_tes!M31=0,0,11630*1000*SER_hh_tes!M31/SER_hh_num!M31)</f>
        <v>13788.235918677616</v>
      </c>
      <c r="N31" s="133">
        <f>IF(SER_hh_tes!N31=0,0,11630*1000*SER_hh_tes!N31/SER_hh_num!N31)</f>
        <v>13003.791414409307</v>
      </c>
      <c r="O31" s="133">
        <f>IF(SER_hh_tes!O31=0,0,11630*1000*SER_hh_tes!O31/SER_hh_num!O31)</f>
        <v>13043.595131584303</v>
      </c>
      <c r="P31" s="133">
        <f>IF(SER_hh_tes!P31=0,0,11630*1000*SER_hh_tes!P31/SER_hh_num!P31)</f>
        <v>14574.223342892312</v>
      </c>
      <c r="Q31" s="133">
        <f>IF(SER_hh_tes!Q31=0,0,11630*1000*SER_hh_tes!Q31/SER_hh_num!Q31)</f>
        <v>12907.640539782502</v>
      </c>
      <c r="R31" s="133">
        <f>IF(SER_hh_tes!R31=0,0,11630*1000*SER_hh_tes!R31/SER_hh_num!R31)</f>
        <v>13277.055814389907</v>
      </c>
      <c r="S31" s="133">
        <f>IF(SER_hh_tes!S31=0,0,11630*1000*SER_hh_tes!S31/SER_hh_num!S31)</f>
        <v>13895.610100251775</v>
      </c>
      <c r="T31" s="133">
        <f>IF(SER_hh_tes!T31=0,0,11630*1000*SER_hh_tes!T31/SER_hh_num!T31)</f>
        <v>13139.751962284876</v>
      </c>
      <c r="U31" s="133">
        <f>IF(SER_hh_tes!U31=0,0,11630*1000*SER_hh_tes!U31/SER_hh_num!U31)</f>
        <v>11745.822502535788</v>
      </c>
      <c r="V31" s="133">
        <f>IF(SER_hh_tes!V31=0,0,11630*1000*SER_hh_tes!V31/SER_hh_num!V31)</f>
        <v>13145.315813067158</v>
      </c>
      <c r="W31" s="133">
        <f>IF(SER_hh_tes!W31=0,0,11630*1000*SER_hh_tes!W31/SER_hh_num!W31)</f>
        <v>14132.703499390927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13461.982459330695</v>
      </c>
      <c r="C33" s="68">
        <f>IF(SER_hh_tes!C33=0,0,11630*1000*SER_hh_tes!C33/SER_hh_num!C33)</f>
        <v>13196.446644545327</v>
      </c>
      <c r="D33" s="68">
        <f>IF(SER_hh_tes!D33=0,0,11630*1000*SER_hh_tes!D33/SER_hh_num!D33)</f>
        <v>13214.034576327711</v>
      </c>
      <c r="E33" s="68">
        <f>IF(SER_hh_tes!E33=0,0,11630*1000*SER_hh_tes!E33/SER_hh_num!E33)</f>
        <v>13313.135644682141</v>
      </c>
      <c r="F33" s="68">
        <f>IF(SER_hh_tes!F33=0,0,11630*1000*SER_hh_tes!F33/SER_hh_num!F33)</f>
        <v>13544.648435270125</v>
      </c>
      <c r="G33" s="68">
        <f>IF(SER_hh_tes!G33=0,0,11630*1000*SER_hh_tes!G33/SER_hh_num!G33)</f>
        <v>13631.166999366726</v>
      </c>
      <c r="H33" s="68">
        <f>IF(SER_hh_tes!H33=0,0,11630*1000*SER_hh_tes!H33/SER_hh_num!H33)</f>
        <v>13402.575632597604</v>
      </c>
      <c r="I33" s="68">
        <f>IF(SER_hh_tes!I33=0,0,11630*1000*SER_hh_tes!I33/SER_hh_num!I33)</f>
        <v>13222.569574849535</v>
      </c>
      <c r="J33" s="68">
        <f>IF(SER_hh_tes!J33=0,0,11630*1000*SER_hh_tes!J33/SER_hh_num!J33)</f>
        <v>13113.992597083959</v>
      </c>
      <c r="K33" s="68">
        <f>IF(SER_hh_tes!K33=0,0,11630*1000*SER_hh_tes!K33/SER_hh_num!K33)</f>
        <v>13427.401118809645</v>
      </c>
      <c r="L33" s="68">
        <f>IF(SER_hh_tes!L33=0,0,11630*1000*SER_hh_tes!L33/SER_hh_num!L33)</f>
        <v>13436.485414692444</v>
      </c>
      <c r="M33" s="68">
        <f>IF(SER_hh_tes!M33=0,0,11630*1000*SER_hh_tes!M33/SER_hh_num!M33)</f>
        <v>13183.169476982512</v>
      </c>
      <c r="N33" s="68">
        <f>IF(SER_hh_tes!N33=0,0,11630*1000*SER_hh_tes!N33/SER_hh_num!N33)</f>
        <v>13218.53315058927</v>
      </c>
      <c r="O33" s="68">
        <f>IF(SER_hh_tes!O33=0,0,11630*1000*SER_hh_tes!O33/SER_hh_num!O33)</f>
        <v>13358.90694532644</v>
      </c>
      <c r="P33" s="68">
        <f>IF(SER_hh_tes!P33=0,0,11630*1000*SER_hh_tes!P33/SER_hh_num!P33)</f>
        <v>13590.959105805765</v>
      </c>
      <c r="Q33" s="68">
        <f>IF(SER_hh_tes!Q33=0,0,11630*1000*SER_hh_tes!Q33/SER_hh_num!Q33)</f>
        <v>13279.6829013653</v>
      </c>
      <c r="R33" s="68">
        <f>IF(SER_hh_tes!R33=0,0,11630*1000*SER_hh_tes!R33/SER_hh_num!R33)</f>
        <v>13326.533358489298</v>
      </c>
      <c r="S33" s="68">
        <f>IF(SER_hh_tes!S33=0,0,11630*1000*SER_hh_tes!S33/SER_hh_num!S33)</f>
        <v>13286.993676092623</v>
      </c>
      <c r="T33" s="68">
        <f>IF(SER_hh_tes!T33=0,0,11630*1000*SER_hh_tes!T33/SER_hh_num!T33)</f>
        <v>13260.550572758852</v>
      </c>
      <c r="U33" s="68">
        <f>IF(SER_hh_tes!U33=0,0,11630*1000*SER_hh_tes!U33/SER_hh_num!U33)</f>
        <v>13145.108423629106</v>
      </c>
      <c r="V33" s="68">
        <f>IF(SER_hh_tes!V33=0,0,11630*1000*SER_hh_tes!V33/SER_hh_num!V33)</f>
        <v>13089.927392662481</v>
      </c>
      <c r="W33" s="68">
        <f>IF(SER_hh_tes!W33=0,0,11630*1000*SER_hh_tes!W33/SER_hh_num!W33)</f>
        <v>12958.021308669357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22166.218303804068</v>
      </c>
      <c r="C3" s="126">
        <f>IF(SER_hh_emi!C3=0,0,1000000*SER_hh_emi!C3/SER_hh_num!C3)</f>
        <v>23348.378731492077</v>
      </c>
      <c r="D3" s="126">
        <f>IF(SER_hh_emi!D3=0,0,1000000*SER_hh_emi!D3/SER_hh_num!D3)</f>
        <v>21996.38037028988</v>
      </c>
      <c r="E3" s="126">
        <f>IF(SER_hh_emi!E3=0,0,1000000*SER_hh_emi!E3/SER_hh_num!E3)</f>
        <v>23328.719822684041</v>
      </c>
      <c r="F3" s="126">
        <f>IF(SER_hh_emi!F3=0,0,1000000*SER_hh_emi!F3/SER_hh_num!F3)</f>
        <v>25534.596050151333</v>
      </c>
      <c r="G3" s="126">
        <f>IF(SER_hh_emi!G3=0,0,1000000*SER_hh_emi!G3/SER_hh_num!G3)</f>
        <v>23225.529622108847</v>
      </c>
      <c r="H3" s="126">
        <f>IF(SER_hh_emi!H3=0,0,1000000*SER_hh_emi!H3/SER_hh_num!H3)</f>
        <v>22754.148141210979</v>
      </c>
      <c r="I3" s="126">
        <f>IF(SER_hh_emi!I3=0,0,1000000*SER_hh_emi!I3/SER_hh_num!I3)</f>
        <v>19853.690857334404</v>
      </c>
      <c r="J3" s="126">
        <f>IF(SER_hh_emi!J3=0,0,1000000*SER_hh_emi!J3/SER_hh_num!J3)</f>
        <v>21046.060305872881</v>
      </c>
      <c r="K3" s="126">
        <f>IF(SER_hh_emi!K3=0,0,1000000*SER_hh_emi!K3/SER_hh_num!K3)</f>
        <v>21724.589460269133</v>
      </c>
      <c r="L3" s="126">
        <f>IF(SER_hh_emi!L3=0,0,1000000*SER_hh_emi!L3/SER_hh_num!L3)</f>
        <v>24551.252020956552</v>
      </c>
      <c r="M3" s="126">
        <f>IF(SER_hh_emi!M3=0,0,1000000*SER_hh_emi!M3/SER_hh_num!M3)</f>
        <v>19585.364422706305</v>
      </c>
      <c r="N3" s="126">
        <f>IF(SER_hh_emi!N3=0,0,1000000*SER_hh_emi!N3/SER_hh_num!N3)</f>
        <v>21679.136740680351</v>
      </c>
      <c r="O3" s="126">
        <f>IF(SER_hh_emi!O3=0,0,1000000*SER_hh_emi!O3/SER_hh_num!O3)</f>
        <v>21807.5595166073</v>
      </c>
      <c r="P3" s="126">
        <f>IF(SER_hh_emi!P3=0,0,1000000*SER_hh_emi!P3/SER_hh_num!P3)</f>
        <v>17482.758107495738</v>
      </c>
      <c r="Q3" s="126">
        <f>IF(SER_hh_emi!Q3=0,0,1000000*SER_hh_emi!Q3/SER_hh_num!Q3)</f>
        <v>18508.289029792832</v>
      </c>
      <c r="R3" s="126">
        <f>IF(SER_hh_emi!R3=0,0,1000000*SER_hh_emi!R3/SER_hh_num!R3)</f>
        <v>18446.65771506997</v>
      </c>
      <c r="S3" s="126">
        <f>IF(SER_hh_emi!S3=0,0,1000000*SER_hh_emi!S3/SER_hh_num!S3)</f>
        <v>18215.339174347122</v>
      </c>
      <c r="T3" s="126">
        <f>IF(SER_hh_emi!T3=0,0,1000000*SER_hh_emi!T3/SER_hh_num!T3)</f>
        <v>17781.120827030314</v>
      </c>
      <c r="U3" s="126">
        <f>IF(SER_hh_emi!U3=0,0,1000000*SER_hh_emi!U3/SER_hh_num!U3)</f>
        <v>16725.462680842975</v>
      </c>
      <c r="V3" s="126">
        <f>IF(SER_hh_emi!V3=0,0,1000000*SER_hh_emi!V3/SER_hh_num!V3)</f>
        <v>14929.370267082104</v>
      </c>
      <c r="W3" s="126">
        <f>IF(SER_hh_emi!W3=0,0,1000000*SER_hh_emi!W3/SER_hh_num!W3)</f>
        <v>15936.734906239899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18721.627359976454</v>
      </c>
      <c r="C4" s="131">
        <f>IF(SER_hh_emi!C4=0,0,1000000*SER_hh_emi!C4/SER_hh_num!C4)</f>
        <v>19869.186092133612</v>
      </c>
      <c r="D4" s="131">
        <f>IF(SER_hh_emi!D4=0,0,1000000*SER_hh_emi!D4/SER_hh_num!D4)</f>
        <v>18409.025394223718</v>
      </c>
      <c r="E4" s="131">
        <f>IF(SER_hh_emi!E4=0,0,1000000*SER_hh_emi!E4/SER_hh_num!E4)</f>
        <v>19786.719857232547</v>
      </c>
      <c r="F4" s="131">
        <f>IF(SER_hh_emi!F4=0,0,1000000*SER_hh_emi!F4/SER_hh_num!F4)</f>
        <v>21954.89857617702</v>
      </c>
      <c r="G4" s="131">
        <f>IF(SER_hh_emi!G4=0,0,1000000*SER_hh_emi!G4/SER_hh_num!G4)</f>
        <v>19696.807757465289</v>
      </c>
      <c r="H4" s="131">
        <f>IF(SER_hh_emi!H4=0,0,1000000*SER_hh_emi!H4/SER_hh_num!H4)</f>
        <v>19269.357145402093</v>
      </c>
      <c r="I4" s="131">
        <f>IF(SER_hh_emi!I4=0,0,1000000*SER_hh_emi!I4/SER_hh_num!I4)</f>
        <v>16528.283974904116</v>
      </c>
      <c r="J4" s="131">
        <f>IF(SER_hh_emi!J4=0,0,1000000*SER_hh_emi!J4/SER_hh_num!J4)</f>
        <v>17762.367313047173</v>
      </c>
      <c r="K4" s="131">
        <f>IF(SER_hh_emi!K4=0,0,1000000*SER_hh_emi!K4/SER_hh_num!K4)</f>
        <v>18401.95577642999</v>
      </c>
      <c r="L4" s="131">
        <f>IF(SER_hh_emi!L4=0,0,1000000*SER_hh_emi!L4/SER_hh_num!L4)</f>
        <v>21264.621722560449</v>
      </c>
      <c r="M4" s="131">
        <f>IF(SER_hh_emi!M4=0,0,1000000*SER_hh_emi!M4/SER_hh_num!M4)</f>
        <v>16379.763255573604</v>
      </c>
      <c r="N4" s="131">
        <f>IF(SER_hh_emi!N4=0,0,1000000*SER_hh_emi!N4/SER_hh_num!N4)</f>
        <v>18370.886037658638</v>
      </c>
      <c r="O4" s="131">
        <f>IF(SER_hh_emi!O4=0,0,1000000*SER_hh_emi!O4/SER_hh_num!O4)</f>
        <v>18496.505007439962</v>
      </c>
      <c r="P4" s="131">
        <f>IF(SER_hh_emi!P4=0,0,1000000*SER_hh_emi!P4/SER_hh_num!P4)</f>
        <v>14344.273233759508</v>
      </c>
      <c r="Q4" s="131">
        <f>IF(SER_hh_emi!Q4=0,0,1000000*SER_hh_emi!Q4/SER_hh_num!Q4)</f>
        <v>15428.227965347498</v>
      </c>
      <c r="R4" s="131">
        <f>IF(SER_hh_emi!R4=0,0,1000000*SER_hh_emi!R4/SER_hh_num!R4)</f>
        <v>15404.684247785761</v>
      </c>
      <c r="S4" s="131">
        <f>IF(SER_hh_emi!S4=0,0,1000000*SER_hh_emi!S4/SER_hh_num!S4)</f>
        <v>15115.682170023731</v>
      </c>
      <c r="T4" s="131">
        <f>IF(SER_hh_emi!T4=0,0,1000000*SER_hh_emi!T4/SER_hh_num!T4)</f>
        <v>14738.261029400932</v>
      </c>
      <c r="U4" s="131">
        <f>IF(SER_hh_emi!U4=0,0,1000000*SER_hh_emi!U4/SER_hh_num!U4)</f>
        <v>13766.129810427987</v>
      </c>
      <c r="V4" s="131">
        <f>IF(SER_hh_emi!V4=0,0,1000000*SER_hh_emi!V4/SER_hh_num!V4)</f>
        <v>12320.009354998463</v>
      </c>
      <c r="W4" s="131">
        <f>IF(SER_hh_emi!W4=0,0,1000000*SER_hh_emi!W4/SER_hh_num!W4)</f>
        <v>13300.782382060914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40778.337695246686</v>
      </c>
      <c r="C5" s="133">
        <f>IF(SER_hh_emi!C5=0,0,1000000*SER_hh_emi!C5/SER_hh_num!C5)</f>
        <v>41505.939029848407</v>
      </c>
      <c r="D5" s="133">
        <f>IF(SER_hh_emi!D5=0,0,1000000*SER_hh_emi!D5/SER_hh_num!D5)</f>
        <v>35037.609499124075</v>
      </c>
      <c r="E5" s="133">
        <f>IF(SER_hh_emi!E5=0,0,1000000*SER_hh_emi!E5/SER_hh_num!E5)</f>
        <v>56671.326638757353</v>
      </c>
      <c r="F5" s="133">
        <f>IF(SER_hh_emi!F5=0,0,1000000*SER_hh_emi!F5/SER_hh_num!F5)</f>
        <v>28430.443833862264</v>
      </c>
      <c r="G5" s="133">
        <f>IF(SER_hh_emi!G5=0,0,1000000*SER_hh_emi!G5/SER_hh_num!G5)</f>
        <v>38211.906417392798</v>
      </c>
      <c r="H5" s="133">
        <f>IF(SER_hh_emi!H5=0,0,1000000*SER_hh_emi!H5/SER_hh_num!H5)</f>
        <v>25639.965987723481</v>
      </c>
      <c r="I5" s="133">
        <f>IF(SER_hh_emi!I5=0,0,1000000*SER_hh_emi!I5/SER_hh_num!I5)</f>
        <v>39301.058930371677</v>
      </c>
      <c r="J5" s="133">
        <f>IF(SER_hh_emi!J5=0,0,1000000*SER_hh_emi!J5/SER_hh_num!J5)</f>
        <v>42552.513344329796</v>
      </c>
      <c r="K5" s="133">
        <f>IF(SER_hh_emi!K5=0,0,1000000*SER_hh_emi!K5/SER_hh_num!K5)</f>
        <v>42532.593721359837</v>
      </c>
      <c r="L5" s="133">
        <f>IF(SER_hh_emi!L5=0,0,1000000*SER_hh_emi!L5/SER_hh_num!L5)</f>
        <v>41349.50831192304</v>
      </c>
      <c r="M5" s="133">
        <f>IF(SER_hh_emi!M5=0,0,1000000*SER_hh_emi!M5/SER_hh_num!M5)</f>
        <v>40979.677317824768</v>
      </c>
      <c r="N5" s="133">
        <f>IF(SER_hh_emi!N5=0,0,1000000*SER_hh_emi!N5/SER_hh_num!N5)</f>
        <v>40291.770657850881</v>
      </c>
      <c r="O5" s="133">
        <f>IF(SER_hh_emi!O5=0,0,1000000*SER_hh_emi!O5/SER_hh_num!O5)</f>
        <v>24349.806462966673</v>
      </c>
      <c r="P5" s="133">
        <f>IF(SER_hh_emi!P5=0,0,1000000*SER_hh_emi!P5/SER_hh_num!P5)</f>
        <v>9222.389478126277</v>
      </c>
      <c r="Q5" s="133">
        <f>IF(SER_hh_emi!Q5=0,0,1000000*SER_hh_emi!Q5/SER_hh_num!Q5)</f>
        <v>41017.571865529389</v>
      </c>
      <c r="R5" s="133">
        <f>IF(SER_hh_emi!R5=0,0,1000000*SER_hh_emi!R5/SER_hh_num!R5)</f>
        <v>38870.642092889306</v>
      </c>
      <c r="S5" s="133">
        <f>IF(SER_hh_emi!S5=0,0,1000000*SER_hh_emi!S5/SER_hh_num!S5)</f>
        <v>36756.194134844925</v>
      </c>
      <c r="T5" s="133">
        <f>IF(SER_hh_emi!T5=0,0,1000000*SER_hh_emi!T5/SER_hh_num!T5)</f>
        <v>36604.689575450931</v>
      </c>
      <c r="U5" s="133">
        <f>IF(SER_hh_emi!U5=0,0,1000000*SER_hh_emi!U5/SER_hh_num!U5)</f>
        <v>29159.545415388056</v>
      </c>
      <c r="V5" s="133">
        <f>IF(SER_hh_emi!V5=0,0,1000000*SER_hh_emi!V5/SER_hh_num!V5)</f>
        <v>36807.363439893954</v>
      </c>
      <c r="W5" s="133">
        <f>IF(SER_hh_emi!W5=0,0,1000000*SER_hh_emi!W5/SER_hh_num!W5)</f>
        <v>27461.168943971021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35578.667169515698</v>
      </c>
      <c r="C7" s="133">
        <f>IF(SER_hh_emi!C7=0,0,1000000*SER_hh_emi!C7/SER_hh_num!C7)</f>
        <v>35607.009096250971</v>
      </c>
      <c r="D7" s="133">
        <f>IF(SER_hh_emi!D7=0,0,1000000*SER_hh_emi!D7/SER_hh_num!D7)</f>
        <v>37081.932960783568</v>
      </c>
      <c r="E7" s="133">
        <f>IF(SER_hh_emi!E7=0,0,1000000*SER_hh_emi!E7/SER_hh_num!E7)</f>
        <v>39115.961552996108</v>
      </c>
      <c r="F7" s="133">
        <f>IF(SER_hh_emi!F7=0,0,1000000*SER_hh_emi!F7/SER_hh_num!F7)</f>
        <v>37669.783190873248</v>
      </c>
      <c r="G7" s="133">
        <f>IF(SER_hh_emi!G7=0,0,1000000*SER_hh_emi!G7/SER_hh_num!G7)</f>
        <v>38407.808838935518</v>
      </c>
      <c r="H7" s="133">
        <f>IF(SER_hh_emi!H7=0,0,1000000*SER_hh_emi!H7/SER_hh_num!H7)</f>
        <v>36287.763710009822</v>
      </c>
      <c r="I7" s="133">
        <f>IF(SER_hh_emi!I7=0,0,1000000*SER_hh_emi!I7/SER_hh_num!I7)</f>
        <v>36042.868412304349</v>
      </c>
      <c r="J7" s="133">
        <f>IF(SER_hh_emi!J7=0,0,1000000*SER_hh_emi!J7/SER_hh_num!J7)</f>
        <v>35682.679951392543</v>
      </c>
      <c r="K7" s="133">
        <f>IF(SER_hh_emi!K7=0,0,1000000*SER_hh_emi!K7/SER_hh_num!K7)</f>
        <v>34439.740770440541</v>
      </c>
      <c r="L7" s="133">
        <f>IF(SER_hh_emi!L7=0,0,1000000*SER_hh_emi!L7/SER_hh_num!L7)</f>
        <v>39395.976540834847</v>
      </c>
      <c r="M7" s="133">
        <f>IF(SER_hh_emi!M7=0,0,1000000*SER_hh_emi!M7/SER_hh_num!M7)</f>
        <v>34911.818932268776</v>
      </c>
      <c r="N7" s="133">
        <f>IF(SER_hh_emi!N7=0,0,1000000*SER_hh_emi!N7/SER_hh_num!N7)</f>
        <v>33293.954577114862</v>
      </c>
      <c r="O7" s="133">
        <f>IF(SER_hh_emi!O7=0,0,1000000*SER_hh_emi!O7/SER_hh_num!O7)</f>
        <v>32664.880644990357</v>
      </c>
      <c r="P7" s="133">
        <f>IF(SER_hh_emi!P7=0,0,1000000*SER_hh_emi!P7/SER_hh_num!P7)</f>
        <v>31087.254833376152</v>
      </c>
      <c r="Q7" s="133">
        <f>IF(SER_hh_emi!Q7=0,0,1000000*SER_hh_emi!Q7/SER_hh_num!Q7)</f>
        <v>27915.785353577183</v>
      </c>
      <c r="R7" s="133">
        <f>IF(SER_hh_emi!R7=0,0,1000000*SER_hh_emi!R7/SER_hh_num!R7)</f>
        <v>27910.562803180135</v>
      </c>
      <c r="S7" s="133">
        <f>IF(SER_hh_emi!S7=0,0,1000000*SER_hh_emi!S7/SER_hh_num!S7)</f>
        <v>27622.946905704321</v>
      </c>
      <c r="T7" s="133">
        <f>IF(SER_hh_emi!T7=0,0,1000000*SER_hh_emi!T7/SER_hh_num!T7)</f>
        <v>26746.099463197443</v>
      </c>
      <c r="U7" s="133">
        <f>IF(SER_hh_emi!U7=0,0,1000000*SER_hh_emi!U7/SER_hh_num!U7)</f>
        <v>26866.800219715235</v>
      </c>
      <c r="V7" s="133">
        <f>IF(SER_hh_emi!V7=0,0,1000000*SER_hh_emi!V7/SER_hh_num!V7)</f>
        <v>24555.2223350696</v>
      </c>
      <c r="W7" s="133">
        <f>IF(SER_hh_emi!W7=0,0,1000000*SER_hh_emi!W7/SER_hh_num!W7)</f>
        <v>24553.29359156124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12587.402748902174</v>
      </c>
      <c r="C8" s="133">
        <f>IF(SER_hh_emi!C8=0,0,1000000*SER_hh_emi!C8/SER_hh_num!C8)</f>
        <v>13605.679559449341</v>
      </c>
      <c r="D8" s="133">
        <f>IF(SER_hh_emi!D8=0,0,1000000*SER_hh_emi!D8/SER_hh_num!D8)</f>
        <v>12479.240834673084</v>
      </c>
      <c r="E8" s="133">
        <f>IF(SER_hh_emi!E8=0,0,1000000*SER_hh_emi!E8/SER_hh_num!E8)</f>
        <v>13940.991913084801</v>
      </c>
      <c r="F8" s="133">
        <f>IF(SER_hh_emi!F8=0,0,1000000*SER_hh_emi!F8/SER_hh_num!F8)</f>
        <v>14138.2007541725</v>
      </c>
      <c r="G8" s="133">
        <f>IF(SER_hh_emi!G8=0,0,1000000*SER_hh_emi!G8/SER_hh_num!G8)</f>
        <v>12081.633076172406</v>
      </c>
      <c r="H8" s="133">
        <f>IF(SER_hh_emi!H8=0,0,1000000*SER_hh_emi!H8/SER_hh_num!H8)</f>
        <v>10987.095519087588</v>
      </c>
      <c r="I8" s="133">
        <f>IF(SER_hh_emi!I8=0,0,1000000*SER_hh_emi!I8/SER_hh_num!I8)</f>
        <v>10988.848697349489</v>
      </c>
      <c r="J8" s="133">
        <f>IF(SER_hh_emi!J8=0,0,1000000*SER_hh_emi!J8/SER_hh_num!J8)</f>
        <v>10656.133933787773</v>
      </c>
      <c r="K8" s="133">
        <f>IF(SER_hh_emi!K8=0,0,1000000*SER_hh_emi!K8/SER_hh_num!K8)</f>
        <v>10241.02544013525</v>
      </c>
      <c r="L8" s="133">
        <f>IF(SER_hh_emi!L8=0,0,1000000*SER_hh_emi!L8/SER_hh_num!L8)</f>
        <v>10008.775157242093</v>
      </c>
      <c r="M8" s="133">
        <f>IF(SER_hh_emi!M8=0,0,1000000*SER_hh_emi!M8/SER_hh_num!M8)</f>
        <v>9611.9031686960552</v>
      </c>
      <c r="N8" s="133">
        <f>IF(SER_hh_emi!N8=0,0,1000000*SER_hh_emi!N8/SER_hh_num!N8)</f>
        <v>7986.0248034527422</v>
      </c>
      <c r="O8" s="133">
        <f>IF(SER_hh_emi!O8=0,0,1000000*SER_hh_emi!O8/SER_hh_num!O8)</f>
        <v>6407.3722262780857</v>
      </c>
      <c r="P8" s="133">
        <f>IF(SER_hh_emi!P8=0,0,1000000*SER_hh_emi!P8/SER_hh_num!P8)</f>
        <v>6669.2480610541161</v>
      </c>
      <c r="Q8" s="133">
        <f>IF(SER_hh_emi!Q8=0,0,1000000*SER_hh_emi!Q8/SER_hh_num!Q8)</f>
        <v>6883.0443092851247</v>
      </c>
      <c r="R8" s="133">
        <f>IF(SER_hh_emi!R8=0,0,1000000*SER_hh_emi!R8/SER_hh_num!R8)</f>
        <v>6505.6077916966478</v>
      </c>
      <c r="S8" s="133">
        <f>IF(SER_hh_emi!S8=0,0,1000000*SER_hh_emi!S8/SER_hh_num!S8)</f>
        <v>6210.4818890366405</v>
      </c>
      <c r="T8" s="133">
        <f>IF(SER_hh_emi!T8=0,0,1000000*SER_hh_emi!T8/SER_hh_num!T8)</f>
        <v>6068.9069415955219</v>
      </c>
      <c r="U8" s="133">
        <f>IF(SER_hh_emi!U8=0,0,1000000*SER_hh_emi!U8/SER_hh_num!U8)</f>
        <v>5744.9529027388498</v>
      </c>
      <c r="V8" s="133">
        <f>IF(SER_hh_emi!V8=0,0,1000000*SER_hh_emi!V8/SER_hh_num!V8)</f>
        <v>5361.8717790258497</v>
      </c>
      <c r="W8" s="133">
        <f>IF(SER_hh_emi!W8=0,0,1000000*SER_hh_emi!W8/SER_hh_num!W8)</f>
        <v>5869.2495570407773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23629.972783640176</v>
      </c>
      <c r="C9" s="133">
        <f>IF(SER_hh_emi!C9=0,0,1000000*SER_hh_emi!C9/SER_hh_num!C9)</f>
        <v>25544.05124599842</v>
      </c>
      <c r="D9" s="133">
        <f>IF(SER_hh_emi!D9=0,0,1000000*SER_hh_emi!D9/SER_hh_num!D9)</f>
        <v>23623.225402039825</v>
      </c>
      <c r="E9" s="133">
        <f>IF(SER_hh_emi!E9=0,0,1000000*SER_hh_emi!E9/SER_hh_num!E9)</f>
        <v>25657.412129813452</v>
      </c>
      <c r="F9" s="133">
        <f>IF(SER_hh_emi!F9=0,0,1000000*SER_hh_emi!F9/SER_hh_num!F9)</f>
        <v>28855.215569745691</v>
      </c>
      <c r="G9" s="133">
        <f>IF(SER_hh_emi!G9=0,0,1000000*SER_hh_emi!G9/SER_hh_num!G9)</f>
        <v>25765.298164723918</v>
      </c>
      <c r="H9" s="133">
        <f>IF(SER_hh_emi!H9=0,0,1000000*SER_hh_emi!H9/SER_hh_num!H9)</f>
        <v>25411.683940670307</v>
      </c>
      <c r="I9" s="133">
        <f>IF(SER_hh_emi!I9=0,0,1000000*SER_hh_emi!I9/SER_hh_num!I9)</f>
        <v>21458.678062038478</v>
      </c>
      <c r="J9" s="133">
        <f>IF(SER_hh_emi!J9=0,0,1000000*SER_hh_emi!J9/SER_hh_num!J9)</f>
        <v>23131.272035542395</v>
      </c>
      <c r="K9" s="133">
        <f>IF(SER_hh_emi!K9=0,0,1000000*SER_hh_emi!K9/SER_hh_num!K9)</f>
        <v>24063.930134232265</v>
      </c>
      <c r="L9" s="133">
        <f>IF(SER_hh_emi!L9=0,0,1000000*SER_hh_emi!L9/SER_hh_num!L9)</f>
        <v>27335.063915459676</v>
      </c>
      <c r="M9" s="133">
        <f>IF(SER_hh_emi!M9=0,0,1000000*SER_hh_emi!M9/SER_hh_num!M9)</f>
        <v>20447.580429462851</v>
      </c>
      <c r="N9" s="133">
        <f>IF(SER_hh_emi!N9=0,0,1000000*SER_hh_emi!N9/SER_hh_num!N9)</f>
        <v>22840.906145737972</v>
      </c>
      <c r="O9" s="133">
        <f>IF(SER_hh_emi!O9=0,0,1000000*SER_hh_emi!O9/SER_hh_num!O9)</f>
        <v>22765.189903618961</v>
      </c>
      <c r="P9" s="133">
        <f>IF(SER_hh_emi!P9=0,0,1000000*SER_hh_emi!P9/SER_hh_num!P9)</f>
        <v>17033.969205832116</v>
      </c>
      <c r="Q9" s="133">
        <f>IF(SER_hh_emi!Q9=0,0,1000000*SER_hh_emi!Q9/SER_hh_num!Q9)</f>
        <v>18599.272399539528</v>
      </c>
      <c r="R9" s="133">
        <f>IF(SER_hh_emi!R9=0,0,1000000*SER_hh_emi!R9/SER_hh_num!R9)</f>
        <v>18751.289849548906</v>
      </c>
      <c r="S9" s="133">
        <f>IF(SER_hh_emi!S9=0,0,1000000*SER_hh_emi!S9/SER_hh_num!S9)</f>
        <v>18801.053761549188</v>
      </c>
      <c r="T9" s="133">
        <f>IF(SER_hh_emi!T9=0,0,1000000*SER_hh_emi!T9/SER_hh_num!T9)</f>
        <v>18669.245227743017</v>
      </c>
      <c r="U9" s="133">
        <f>IF(SER_hh_emi!U9=0,0,1000000*SER_hh_emi!U9/SER_hh_num!U9)</f>
        <v>17566.708377796363</v>
      </c>
      <c r="V9" s="133">
        <f>IF(SER_hh_emi!V9=0,0,1000000*SER_hh_emi!V9/SER_hh_num!V9)</f>
        <v>15796.750212206993</v>
      </c>
      <c r="W9" s="133">
        <f>IF(SER_hh_emi!W9=0,0,1000000*SER_hh_emi!W9/SER_hh_num!W9)</f>
        <v>17356.242569197435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11909.844265887461</v>
      </c>
      <c r="C10" s="133">
        <f>IF(SER_hh_emi!C10=0,0,1000000*SER_hh_emi!C10/SER_hh_num!C10)</f>
        <v>14767.060508982711</v>
      </c>
      <c r="D10" s="133">
        <f>IF(SER_hh_emi!D10=0,0,1000000*SER_hh_emi!D10/SER_hh_num!D10)</f>
        <v>14551.424729930863</v>
      </c>
      <c r="E10" s="133">
        <f>IF(SER_hh_emi!E10=0,0,1000000*SER_hh_emi!E10/SER_hh_num!E10)</f>
        <v>14724.950280701829</v>
      </c>
      <c r="F10" s="133">
        <f>IF(SER_hh_emi!F10=0,0,1000000*SER_hh_emi!F10/SER_hh_num!F10)</f>
        <v>17248.212804322946</v>
      </c>
      <c r="G10" s="133">
        <f>IF(SER_hh_emi!G10=0,0,1000000*SER_hh_emi!G10/SER_hh_num!G10)</f>
        <v>17166.196193307238</v>
      </c>
      <c r="H10" s="133">
        <f>IF(SER_hh_emi!H10=0,0,1000000*SER_hh_emi!H10/SER_hh_num!H10)</f>
        <v>17710.602030753849</v>
      </c>
      <c r="I10" s="133">
        <f>IF(SER_hh_emi!I10=0,0,1000000*SER_hh_emi!I10/SER_hh_num!I10)</f>
        <v>16032.973483063473</v>
      </c>
      <c r="J10" s="133">
        <f>IF(SER_hh_emi!J10=0,0,1000000*SER_hh_emi!J10/SER_hh_num!J10)</f>
        <v>17621.725195173054</v>
      </c>
      <c r="K10" s="133">
        <f>IF(SER_hh_emi!K10=0,0,1000000*SER_hh_emi!K10/SER_hh_num!K10)</f>
        <v>18424.235663442996</v>
      </c>
      <c r="L10" s="133">
        <f>IF(SER_hh_emi!L10=0,0,1000000*SER_hh_emi!L10/SER_hh_num!L10)</f>
        <v>19421.309648243543</v>
      </c>
      <c r="M10" s="133">
        <f>IF(SER_hh_emi!M10=0,0,1000000*SER_hh_emi!M10/SER_hh_num!M10)</f>
        <v>16613.39755767649</v>
      </c>
      <c r="N10" s="133">
        <f>IF(SER_hh_emi!N10=0,0,1000000*SER_hh_emi!N10/SER_hh_num!N10)</f>
        <v>13913.902156223712</v>
      </c>
      <c r="O10" s="133">
        <f>IF(SER_hh_emi!O10=0,0,1000000*SER_hh_emi!O10/SER_hh_num!O10)</f>
        <v>14092.574362022813</v>
      </c>
      <c r="P10" s="133">
        <f>IF(SER_hh_emi!P10=0,0,1000000*SER_hh_emi!P10/SER_hh_num!P10)</f>
        <v>13350.93187525424</v>
      </c>
      <c r="Q10" s="133">
        <f>IF(SER_hh_emi!Q10=0,0,1000000*SER_hh_emi!Q10/SER_hh_num!Q10)</f>
        <v>11547.5606890052</v>
      </c>
      <c r="R10" s="133">
        <f>IF(SER_hh_emi!R10=0,0,1000000*SER_hh_emi!R10/SER_hh_num!R10)</f>
        <v>10483.371488527413</v>
      </c>
      <c r="S10" s="133">
        <f>IF(SER_hh_emi!S10=0,0,1000000*SER_hh_emi!S10/SER_hh_num!S10)</f>
        <v>8317.0312489258358</v>
      </c>
      <c r="T10" s="133">
        <f>IF(SER_hh_emi!T10=0,0,1000000*SER_hh_emi!T10/SER_hh_num!T10)</f>
        <v>9295.5654453105835</v>
      </c>
      <c r="U10" s="133">
        <f>IF(SER_hh_emi!U10=0,0,1000000*SER_hh_emi!U10/SER_hh_num!U10)</f>
        <v>8626.6443052865488</v>
      </c>
      <c r="V10" s="133">
        <f>IF(SER_hh_emi!V10=0,0,1000000*SER_hh_emi!V10/SER_hh_num!V10)</f>
        <v>7802.4091781557318</v>
      </c>
      <c r="W10" s="133">
        <f>IF(SER_hh_emi!W10=0,0,1000000*SER_hh_emi!W10/SER_hh_num!W10)</f>
        <v>7368.6992984484141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12.931343121044424</v>
      </c>
      <c r="C16" s="131">
        <f>IF(SER_hh_emi!C16=0,0,1000000*SER_hh_emi!C16/SER_hh_num!C16)</f>
        <v>12.64903822132713</v>
      </c>
      <c r="D16" s="131">
        <f>IF(SER_hh_emi!D16=0,0,1000000*SER_hh_emi!D16/SER_hh_num!D16)</f>
        <v>13.332229737426969</v>
      </c>
      <c r="E16" s="131">
        <f>IF(SER_hh_emi!E16=0,0,1000000*SER_hh_emi!E16/SER_hh_num!E16)</f>
        <v>14.372013184370937</v>
      </c>
      <c r="F16" s="131">
        <f>IF(SER_hh_emi!F16=0,0,1000000*SER_hh_emi!F16/SER_hh_num!F16)</f>
        <v>15.71301369388866</v>
      </c>
      <c r="G16" s="131">
        <f>IF(SER_hh_emi!G16=0,0,1000000*SER_hh_emi!G16/SER_hh_num!G16)</f>
        <v>16.126803282649416</v>
      </c>
      <c r="H16" s="131">
        <f>IF(SER_hh_emi!H16=0,0,1000000*SER_hh_emi!H16/SER_hh_num!H16)</f>
        <v>19.494230760588309</v>
      </c>
      <c r="I16" s="131">
        <f>IF(SER_hh_emi!I16=0,0,1000000*SER_hh_emi!I16/SER_hh_num!I16)</f>
        <v>20.307359541332026</v>
      </c>
      <c r="J16" s="131">
        <f>IF(SER_hh_emi!J16=0,0,1000000*SER_hh_emi!J16/SER_hh_num!J16)</f>
        <v>22.309361148766225</v>
      </c>
      <c r="K16" s="131">
        <f>IF(SER_hh_emi!K16=0,0,1000000*SER_hh_emi!K16/SER_hh_num!K16)</f>
        <v>23.469347880295945</v>
      </c>
      <c r="L16" s="131">
        <f>IF(SER_hh_emi!L16=0,0,1000000*SER_hh_emi!L16/SER_hh_num!L16)</f>
        <v>25.200816747235518</v>
      </c>
      <c r="M16" s="131">
        <f>IF(SER_hh_emi!M16=0,0,1000000*SER_hh_emi!M16/SER_hh_num!M16)</f>
        <v>25.949803685113601</v>
      </c>
      <c r="N16" s="131">
        <f>IF(SER_hh_emi!N16=0,0,1000000*SER_hh_emi!N16/SER_hh_num!N16)</f>
        <v>28.74695428162606</v>
      </c>
      <c r="O16" s="131">
        <f>IF(SER_hh_emi!O16=0,0,1000000*SER_hh_emi!O16/SER_hh_num!O16)</f>
        <v>34.195110668279177</v>
      </c>
      <c r="P16" s="131">
        <f>IF(SER_hh_emi!P16=0,0,1000000*SER_hh_emi!P16/SER_hh_num!P16)</f>
        <v>43.657112640411697</v>
      </c>
      <c r="Q16" s="131">
        <f>IF(SER_hh_emi!Q16=0,0,1000000*SER_hh_emi!Q16/SER_hh_num!Q16)</f>
        <v>58.59447411746153</v>
      </c>
      <c r="R16" s="131">
        <f>IF(SER_hh_emi!R16=0,0,1000000*SER_hh_emi!R16/SER_hh_num!R16)</f>
        <v>71.85799732618969</v>
      </c>
      <c r="S16" s="131">
        <f>IF(SER_hh_emi!S16=0,0,1000000*SER_hh_emi!S16/SER_hh_num!S16)</f>
        <v>83.058272095415319</v>
      </c>
      <c r="T16" s="131">
        <f>IF(SER_hh_emi!T16=0,0,1000000*SER_hh_emi!T16/SER_hh_num!T16)</f>
        <v>91.949817213546851</v>
      </c>
      <c r="U16" s="131">
        <f>IF(SER_hh_emi!U16=0,0,1000000*SER_hh_emi!U16/SER_hh_num!U16)</f>
        <v>97.144255032357165</v>
      </c>
      <c r="V16" s="131">
        <f>IF(SER_hh_emi!V16=0,0,1000000*SER_hh_emi!V16/SER_hh_num!V16)</f>
        <v>107.16248325951791</v>
      </c>
      <c r="W16" s="131">
        <f>IF(SER_hh_emi!W16=0,0,1000000*SER_hh_emi!W16/SER_hh_num!W16)</f>
        <v>109.74444202559334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3902.6306186566103</v>
      </c>
      <c r="C17" s="133">
        <f>IF(SER_hh_emi!C17=0,0,1000000*SER_hh_emi!C17/SER_hh_num!C17)</f>
        <v>3960.8770583938217</v>
      </c>
      <c r="D17" s="133">
        <f>IF(SER_hh_emi!D17=0,0,1000000*SER_hh_emi!D17/SER_hh_num!D17)</f>
        <v>3883.4386343990336</v>
      </c>
      <c r="E17" s="133">
        <f>IF(SER_hh_emi!E17=0,0,1000000*SER_hh_emi!E17/SER_hh_num!E17)</f>
        <v>4246.377600268147</v>
      </c>
      <c r="F17" s="133">
        <f>IF(SER_hh_emi!F17=0,0,1000000*SER_hh_emi!F17/SER_hh_num!F17)</f>
        <v>3849.8147772999678</v>
      </c>
      <c r="G17" s="133">
        <f>IF(SER_hh_emi!G17=0,0,1000000*SER_hh_emi!G17/SER_hh_num!G17)</f>
        <v>3781.6588520586733</v>
      </c>
      <c r="H17" s="133">
        <f>IF(SER_hh_emi!H17=0,0,1000000*SER_hh_emi!H17/SER_hh_num!H17)</f>
        <v>4122.3448456424157</v>
      </c>
      <c r="I17" s="133">
        <f>IF(SER_hh_emi!I17=0,0,1000000*SER_hh_emi!I17/SER_hh_num!I17)</f>
        <v>3756.4484111565794</v>
      </c>
      <c r="J17" s="133">
        <f>IF(SER_hh_emi!J17=0,0,1000000*SER_hh_emi!J17/SER_hh_num!J17)</f>
        <v>3771.8103272937437</v>
      </c>
      <c r="K17" s="133">
        <f>IF(SER_hh_emi!K17=0,0,1000000*SER_hh_emi!K17/SER_hh_num!K17)</f>
        <v>3794.1124175346663</v>
      </c>
      <c r="L17" s="133">
        <f>IF(SER_hh_emi!L17=0,0,1000000*SER_hh_emi!L17/SER_hh_num!L17)</f>
        <v>3931.9372542343635</v>
      </c>
      <c r="M17" s="133">
        <f>IF(SER_hh_emi!M17=0,0,1000000*SER_hh_emi!M17/SER_hh_num!M17)</f>
        <v>3797.0979029055984</v>
      </c>
      <c r="N17" s="133">
        <f>IF(SER_hh_emi!N17=0,0,1000000*SER_hh_emi!N17/SER_hh_num!N17)</f>
        <v>3816.8665431229879</v>
      </c>
      <c r="O17" s="133">
        <f>IF(SER_hh_emi!O17=0,0,1000000*SER_hh_emi!O17/SER_hh_num!O17)</f>
        <v>3817.8963543639584</v>
      </c>
      <c r="P17" s="133">
        <f>IF(SER_hh_emi!P17=0,0,1000000*SER_hh_emi!P17/SER_hh_num!P17)</f>
        <v>3709.4152317457124</v>
      </c>
      <c r="Q17" s="133">
        <f>IF(SER_hh_emi!Q17=0,0,1000000*SER_hh_emi!Q17/SER_hh_num!Q17)</f>
        <v>3749.3417285531705</v>
      </c>
      <c r="R17" s="133">
        <f>IF(SER_hh_emi!R17=0,0,1000000*SER_hh_emi!R17/SER_hh_num!R17)</f>
        <v>3662.8250959026564</v>
      </c>
      <c r="S17" s="133">
        <f>IF(SER_hh_emi!S17=0,0,1000000*SER_hh_emi!S17/SER_hh_num!S17)</f>
        <v>3734.9972878284689</v>
      </c>
      <c r="T17" s="133">
        <f>IF(SER_hh_emi!T17=0,0,1000000*SER_hh_emi!T17/SER_hh_num!T17)</f>
        <v>3887.805603137308</v>
      </c>
      <c r="U17" s="133">
        <f>IF(SER_hh_emi!U17=0,0,1000000*SER_hh_emi!U17/SER_hh_num!U17)</f>
        <v>3781.5711890309808</v>
      </c>
      <c r="V17" s="133">
        <f>IF(SER_hh_emi!V17=0,0,1000000*SER_hh_emi!V17/SER_hh_num!V17)</f>
        <v>3841.5204140050519</v>
      </c>
      <c r="W17" s="133">
        <f>IF(SER_hh_emi!W17=0,0,1000000*SER_hh_emi!W17/SER_hh_num!W17)</f>
        <v>4073.3121596594642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1806.305172937633</v>
      </c>
      <c r="C19" s="131">
        <f>IF(SER_hh_emi!C19=0,0,1000000*SER_hh_emi!C19/SER_hh_num!C19)</f>
        <v>1803.1433725523489</v>
      </c>
      <c r="D19" s="131">
        <f>IF(SER_hh_emi!D19=0,0,1000000*SER_hh_emi!D19/SER_hh_num!D19)</f>
        <v>1883.2833426661948</v>
      </c>
      <c r="E19" s="131">
        <f>IF(SER_hh_emi!E19=0,0,1000000*SER_hh_emi!E19/SER_hh_num!E19)</f>
        <v>1814.1224030085532</v>
      </c>
      <c r="F19" s="131">
        <f>IF(SER_hh_emi!F19=0,0,1000000*SER_hh_emi!F19/SER_hh_num!F19)</f>
        <v>1811.8030917686481</v>
      </c>
      <c r="G19" s="131">
        <f>IF(SER_hh_emi!G19=0,0,1000000*SER_hh_emi!G19/SER_hh_num!G19)</f>
        <v>1783.4155785875746</v>
      </c>
      <c r="H19" s="131">
        <f>IF(SER_hh_emi!H19=0,0,1000000*SER_hh_emi!H19/SER_hh_num!H19)</f>
        <v>1745.7227386372729</v>
      </c>
      <c r="I19" s="131">
        <f>IF(SER_hh_emi!I19=0,0,1000000*SER_hh_emi!I19/SER_hh_num!I19)</f>
        <v>1664.4029788648741</v>
      </c>
      <c r="J19" s="131">
        <f>IF(SER_hh_emi!J19=0,0,1000000*SER_hh_emi!J19/SER_hh_num!J19)</f>
        <v>1627.7655664221888</v>
      </c>
      <c r="K19" s="131">
        <f>IF(SER_hh_emi!K19=0,0,1000000*SER_hh_emi!K19/SER_hh_num!K19)</f>
        <v>1649.7900527479933</v>
      </c>
      <c r="L19" s="131">
        <f>IF(SER_hh_emi!L19=0,0,1000000*SER_hh_emi!L19/SER_hh_num!L19)</f>
        <v>1638.5574004214616</v>
      </c>
      <c r="M19" s="131">
        <f>IF(SER_hh_emi!M19=0,0,1000000*SER_hh_emi!M19/SER_hh_num!M19)</f>
        <v>1611.0509105576593</v>
      </c>
      <c r="N19" s="131">
        <f>IF(SER_hh_emi!N19=0,0,1000000*SER_hh_emi!N19/SER_hh_num!N19)</f>
        <v>1726.4436829864112</v>
      </c>
      <c r="O19" s="131">
        <f>IF(SER_hh_emi!O19=0,0,1000000*SER_hh_emi!O19/SER_hh_num!O19)</f>
        <v>1728.6718276429763</v>
      </c>
      <c r="P19" s="131">
        <f>IF(SER_hh_emi!P19=0,0,1000000*SER_hh_emi!P19/SER_hh_num!P19)</f>
        <v>1598.4715146974468</v>
      </c>
      <c r="Q19" s="131">
        <f>IF(SER_hh_emi!Q19=0,0,1000000*SER_hh_emi!Q19/SER_hh_num!Q19)</f>
        <v>1543.9030634960538</v>
      </c>
      <c r="R19" s="131">
        <f>IF(SER_hh_emi!R19=0,0,1000000*SER_hh_emi!R19/SER_hh_num!R19)</f>
        <v>1548.5338198823854</v>
      </c>
      <c r="S19" s="131">
        <f>IF(SER_hh_emi!S19=0,0,1000000*SER_hh_emi!S19/SER_hh_num!S19)</f>
        <v>1605.9234411146276</v>
      </c>
      <c r="T19" s="131">
        <f>IF(SER_hh_emi!T19=0,0,1000000*SER_hh_emi!T19/SER_hh_num!T19)</f>
        <v>1549.9921583543266</v>
      </c>
      <c r="U19" s="131">
        <f>IF(SER_hh_emi!U19=0,0,1000000*SER_hh_emi!U19/SER_hh_num!U19)</f>
        <v>1476.4660658418243</v>
      </c>
      <c r="V19" s="131">
        <f>IF(SER_hh_emi!V19=0,0,1000000*SER_hh_emi!V19/SER_hh_num!V19)</f>
        <v>1229.55051390313</v>
      </c>
      <c r="W19" s="131">
        <f>IF(SER_hh_emi!W19=0,0,1000000*SER_hh_emi!W19/SER_hh_num!W19)</f>
        <v>1234.6954744295701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7126.7578698361849</v>
      </c>
      <c r="C22" s="133">
        <f>IF(SER_hh_emi!C22=0,0,1000000*SER_hh_emi!C22/SER_hh_num!C22)</f>
        <v>7021.5066358243103</v>
      </c>
      <c r="D22" s="133">
        <f>IF(SER_hh_emi!D22=0,0,1000000*SER_hh_emi!D22/SER_hh_num!D22)</f>
        <v>6952.1584575415627</v>
      </c>
      <c r="E22" s="133">
        <f>IF(SER_hh_emi!E22=0,0,1000000*SER_hh_emi!E22/SER_hh_num!E22)</f>
        <v>6878.5296788792266</v>
      </c>
      <c r="F22" s="133">
        <f>IF(SER_hh_emi!F22=0,0,1000000*SER_hh_emi!F22/SER_hh_num!F22)</f>
        <v>6860.6639857741893</v>
      </c>
      <c r="G22" s="133">
        <f>IF(SER_hh_emi!G22=0,0,1000000*SER_hh_emi!G22/SER_hh_num!G22)</f>
        <v>6755.0695065337968</v>
      </c>
      <c r="H22" s="133">
        <f>IF(SER_hh_emi!H22=0,0,1000000*SER_hh_emi!H22/SER_hh_num!H22)</f>
        <v>6559.2511843217899</v>
      </c>
      <c r="I22" s="133">
        <f>IF(SER_hh_emi!I22=0,0,1000000*SER_hh_emi!I22/SER_hh_num!I22)</f>
        <v>6377.3658420527772</v>
      </c>
      <c r="J22" s="133">
        <f>IF(SER_hh_emi!J22=0,0,1000000*SER_hh_emi!J22/SER_hh_num!J22)</f>
        <v>6307.9612692774126</v>
      </c>
      <c r="K22" s="133">
        <f>IF(SER_hh_emi!K22=0,0,1000000*SER_hh_emi!K22/SER_hh_num!K22)</f>
        <v>6244.5297660589795</v>
      </c>
      <c r="L22" s="133">
        <f>IF(SER_hh_emi!L22=0,0,1000000*SER_hh_emi!L22/SER_hh_num!L22)</f>
        <v>6111.7491200196937</v>
      </c>
      <c r="M22" s="133">
        <f>IF(SER_hh_emi!M22=0,0,1000000*SER_hh_emi!M22/SER_hh_num!M22)</f>
        <v>6031.7359616172826</v>
      </c>
      <c r="N22" s="133">
        <f>IF(SER_hh_emi!N22=0,0,1000000*SER_hh_emi!N22/SER_hh_num!N22)</f>
        <v>6046.7437111380987</v>
      </c>
      <c r="O22" s="133">
        <f>IF(SER_hh_emi!O22=0,0,1000000*SER_hh_emi!O22/SER_hh_num!O22)</f>
        <v>5947.584283365898</v>
      </c>
      <c r="P22" s="133">
        <f>IF(SER_hh_emi!P22=0,0,1000000*SER_hh_emi!P22/SER_hh_num!P22)</f>
        <v>5867.9405792075249</v>
      </c>
      <c r="Q22" s="133">
        <f>IF(SER_hh_emi!Q22=0,0,1000000*SER_hh_emi!Q22/SER_hh_num!Q22)</f>
        <v>5797.6549499100011</v>
      </c>
      <c r="R22" s="133">
        <f>IF(SER_hh_emi!R22=0,0,1000000*SER_hh_emi!R22/SER_hh_num!R22)</f>
        <v>5691.6727550477144</v>
      </c>
      <c r="S22" s="133">
        <f>IF(SER_hh_emi!S22=0,0,1000000*SER_hh_emi!S22/SER_hh_num!S22)</f>
        <v>5545.9042213481143</v>
      </c>
      <c r="T22" s="133">
        <f>IF(SER_hh_emi!T22=0,0,1000000*SER_hh_emi!T22/SER_hh_num!T22)</f>
        <v>5254.1518474625927</v>
      </c>
      <c r="U22" s="133">
        <f>IF(SER_hh_emi!U22=0,0,1000000*SER_hh_emi!U22/SER_hh_num!U22)</f>
        <v>5141.2889430500627</v>
      </c>
      <c r="V22" s="133">
        <f>IF(SER_hh_emi!V22=0,0,1000000*SER_hh_emi!V22/SER_hh_num!V22)</f>
        <v>4822.9933530103799</v>
      </c>
      <c r="W22" s="133">
        <f>IF(SER_hh_emi!W22=0,0,1000000*SER_hh_emi!W22/SER_hh_num!W22)</f>
        <v>4880.0281483733961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5172.6407560405305</v>
      </c>
      <c r="C23" s="133">
        <f>IF(SER_hh_emi!C23=0,0,1000000*SER_hh_emi!C23/SER_hh_num!C23)</f>
        <v>5080.3284930275158</v>
      </c>
      <c r="D23" s="133">
        <f>IF(SER_hh_emi!D23=0,0,1000000*SER_hh_emi!D23/SER_hh_num!D23)</f>
        <v>5233.8716377396895</v>
      </c>
      <c r="E23" s="133">
        <f>IF(SER_hh_emi!E23=0,0,1000000*SER_hh_emi!E23/SER_hh_num!E23)</f>
        <v>4982.8434131996892</v>
      </c>
      <c r="F23" s="133">
        <f>IF(SER_hh_emi!F23=0,0,1000000*SER_hh_emi!F23/SER_hh_num!F23)</f>
        <v>4893.6101413250572</v>
      </c>
      <c r="G23" s="133">
        <f>IF(SER_hh_emi!G23=0,0,1000000*SER_hh_emi!G23/SER_hh_num!G23)</f>
        <v>4799.5970836367633</v>
      </c>
      <c r="H23" s="133">
        <f>IF(SER_hh_emi!H23=0,0,1000000*SER_hh_emi!H23/SER_hh_num!H23)</f>
        <v>4688.2095887062997</v>
      </c>
      <c r="I23" s="133">
        <f>IF(SER_hh_emi!I23=0,0,1000000*SER_hh_emi!I23/SER_hh_num!I23)</f>
        <v>4479.2101167860092</v>
      </c>
      <c r="J23" s="133">
        <f>IF(SER_hh_emi!J23=0,0,1000000*SER_hh_emi!J23/SER_hh_num!J23)</f>
        <v>4343.6930662503992</v>
      </c>
      <c r="K23" s="133">
        <f>IF(SER_hh_emi!K23=0,0,1000000*SER_hh_emi!K23/SER_hh_num!K23)</f>
        <v>4301.2244918429187</v>
      </c>
      <c r="L23" s="133">
        <f>IF(SER_hh_emi!L23=0,0,1000000*SER_hh_emi!L23/SER_hh_num!L23)</f>
        <v>4195.632134163975</v>
      </c>
      <c r="M23" s="133">
        <f>IF(SER_hh_emi!M23=0,0,1000000*SER_hh_emi!M23/SER_hh_num!M23)</f>
        <v>4024.6085774512885</v>
      </c>
      <c r="N23" s="133">
        <f>IF(SER_hh_emi!N23=0,0,1000000*SER_hh_emi!N23/SER_hh_num!N23)</f>
        <v>4190.4261179584973</v>
      </c>
      <c r="O23" s="133">
        <f>IF(SER_hh_emi!O23=0,0,1000000*SER_hh_emi!O23/SER_hh_num!O23)</f>
        <v>4146.7508606046522</v>
      </c>
      <c r="P23" s="133">
        <f>IF(SER_hh_emi!P23=0,0,1000000*SER_hh_emi!P23/SER_hh_num!P23)</f>
        <v>3863.0837932266581</v>
      </c>
      <c r="Q23" s="133">
        <f>IF(SER_hh_emi!Q23=0,0,1000000*SER_hh_emi!Q23/SER_hh_num!Q23)</f>
        <v>3796.5197468829788</v>
      </c>
      <c r="R23" s="133">
        <f>IF(SER_hh_emi!R23=0,0,1000000*SER_hh_emi!R23/SER_hh_num!R23)</f>
        <v>3778.3563413907509</v>
      </c>
      <c r="S23" s="133">
        <f>IF(SER_hh_emi!S23=0,0,1000000*SER_hh_emi!S23/SER_hh_num!S23)</f>
        <v>3871.4074721124316</v>
      </c>
      <c r="T23" s="133">
        <f>IF(SER_hh_emi!T23=0,0,1000000*SER_hh_emi!T23/SER_hh_num!T23)</f>
        <v>3801.5599639487932</v>
      </c>
      <c r="U23" s="133">
        <f>IF(SER_hh_emi!U23=0,0,1000000*SER_hh_emi!U23/SER_hh_num!U23)</f>
        <v>3765.4402463892907</v>
      </c>
      <c r="V23" s="133">
        <f>IF(SER_hh_emi!V23=0,0,1000000*SER_hh_emi!V23/SER_hh_num!V23)</f>
        <v>3359.2984876340993</v>
      </c>
      <c r="W23" s="133">
        <f>IF(SER_hh_emi!W23=0,0,1000000*SER_hh_emi!W23/SER_hh_num!W23)</f>
        <v>3518.9482682288026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1637.0521195170877</v>
      </c>
      <c r="C29" s="131">
        <f>IF(SER_hh_emi!C29=0,0,1000000*SER_hh_emi!C29/SER_hh_num!C29)</f>
        <v>1674.6494263961158</v>
      </c>
      <c r="D29" s="131">
        <f>IF(SER_hh_emi!D29=0,0,1000000*SER_hh_emi!D29/SER_hh_num!D29)</f>
        <v>1702.372672224798</v>
      </c>
      <c r="E29" s="131">
        <f>IF(SER_hh_emi!E29=0,0,1000000*SER_hh_emi!E29/SER_hh_num!E29)</f>
        <v>1725.8428117686619</v>
      </c>
      <c r="F29" s="131">
        <f>IF(SER_hh_emi!F29=0,0,1000000*SER_hh_emi!F29/SER_hh_num!F29)</f>
        <v>1765.3747403565942</v>
      </c>
      <c r="G29" s="131">
        <f>IF(SER_hh_emi!G29=0,0,1000000*SER_hh_emi!G29/SER_hh_num!G29)</f>
        <v>1742.33109040777</v>
      </c>
      <c r="H29" s="131">
        <f>IF(SER_hh_emi!H29=0,0,1000000*SER_hh_emi!H29/SER_hh_num!H29)</f>
        <v>1735.0228695234262</v>
      </c>
      <c r="I29" s="131">
        <f>IF(SER_hh_emi!I29=0,0,1000000*SER_hh_emi!I29/SER_hh_num!I29)</f>
        <v>1656.1610203949615</v>
      </c>
      <c r="J29" s="131">
        <f>IF(SER_hh_emi!J29=0,0,1000000*SER_hh_emi!J29/SER_hh_num!J29)</f>
        <v>1650.0804074851203</v>
      </c>
      <c r="K29" s="131">
        <f>IF(SER_hh_emi!K29=0,0,1000000*SER_hh_emi!K29/SER_hh_num!K29)</f>
        <v>1666.1403637347232</v>
      </c>
      <c r="L29" s="131">
        <f>IF(SER_hh_emi!L29=0,0,1000000*SER_hh_emi!L29/SER_hh_num!L29)</f>
        <v>1640.4864263618967</v>
      </c>
      <c r="M29" s="131">
        <f>IF(SER_hh_emi!M29=0,0,1000000*SER_hh_emi!M29/SER_hh_num!M29)</f>
        <v>1586.3793757147394</v>
      </c>
      <c r="N29" s="131">
        <f>IF(SER_hh_emi!N29=0,0,1000000*SER_hh_emi!N29/SER_hh_num!N29)</f>
        <v>1572.4824583599748</v>
      </c>
      <c r="O29" s="131">
        <f>IF(SER_hh_emi!O29=0,0,1000000*SER_hh_emi!O29/SER_hh_num!O29)</f>
        <v>1570.9832338934368</v>
      </c>
      <c r="P29" s="131">
        <f>IF(SER_hh_emi!P29=0,0,1000000*SER_hh_emi!P29/SER_hh_num!P29)</f>
        <v>1525.0263614428629</v>
      </c>
      <c r="Q29" s="131">
        <f>IF(SER_hh_emi!Q29=0,0,1000000*SER_hh_emi!Q29/SER_hh_num!Q29)</f>
        <v>1515.7890178647965</v>
      </c>
      <c r="R29" s="131">
        <f>IF(SER_hh_emi!R29=0,0,1000000*SER_hh_emi!R29/SER_hh_num!R29)</f>
        <v>1467.7206259281813</v>
      </c>
      <c r="S29" s="131">
        <f>IF(SER_hh_emi!S29=0,0,1000000*SER_hh_emi!S29/SER_hh_num!S29)</f>
        <v>1463.1961219863622</v>
      </c>
      <c r="T29" s="131">
        <f>IF(SER_hh_emi!T29=0,0,1000000*SER_hh_emi!T29/SER_hh_num!T29)</f>
        <v>1458.1843842159014</v>
      </c>
      <c r="U29" s="131">
        <f>IF(SER_hh_emi!U29=0,0,1000000*SER_hh_emi!U29/SER_hh_num!U29)</f>
        <v>1444.8061022386503</v>
      </c>
      <c r="V29" s="131">
        <f>IF(SER_hh_emi!V29=0,0,1000000*SER_hh_emi!V29/SER_hh_num!V29)</f>
        <v>1339.0778529128545</v>
      </c>
      <c r="W29" s="131">
        <f>IF(SER_hh_emi!W29=0,0,1000000*SER_hh_emi!W29/SER_hh_num!W29)</f>
        <v>1358.245846984086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4778.5574862973099</v>
      </c>
      <c r="C30" s="133">
        <f>IF(SER_hh_emi!C30=0,0,1000000*SER_hh_emi!C30/SER_hh_num!C30)</f>
        <v>5003.4794268547676</v>
      </c>
      <c r="D30" s="133">
        <f>IF(SER_hh_emi!D30=0,0,1000000*SER_hh_emi!D30/SER_hh_num!D30)</f>
        <v>5326.1742232413508</v>
      </c>
      <c r="E30" s="133">
        <f>IF(SER_hh_emi!E30=0,0,1000000*SER_hh_emi!E30/SER_hh_num!E30)</f>
        <v>4798.4792169031834</v>
      </c>
      <c r="F30" s="133">
        <f>IF(SER_hh_emi!F30=0,0,1000000*SER_hh_emi!F30/SER_hh_num!F30)</f>
        <v>5085.9745991644677</v>
      </c>
      <c r="G30" s="133">
        <f>IF(SER_hh_emi!G30=0,0,1000000*SER_hh_emi!G30/SER_hh_num!G30)</f>
        <v>4999.5495919464211</v>
      </c>
      <c r="H30" s="133">
        <f>IF(SER_hh_emi!H30=0,0,1000000*SER_hh_emi!H30/SER_hh_num!H30)</f>
        <v>6461.365247694861</v>
      </c>
      <c r="I30" s="133">
        <f>IF(SER_hh_emi!I30=0,0,1000000*SER_hh_emi!I30/SER_hh_num!I30)</f>
        <v>3996.1946208678232</v>
      </c>
      <c r="J30" s="133">
        <f>IF(SER_hh_emi!J30=0,0,1000000*SER_hh_emi!J30/SER_hh_num!J30)</f>
        <v>3561.4014981685841</v>
      </c>
      <c r="K30" s="133">
        <f>IF(SER_hh_emi!K30=0,0,1000000*SER_hh_emi!K30/SER_hh_num!K30)</f>
        <v>5474.8164064316543</v>
      </c>
      <c r="L30" s="133">
        <f>IF(SER_hh_emi!L30=0,0,1000000*SER_hh_emi!L30/SER_hh_num!L30)</f>
        <v>6201.2722184999993</v>
      </c>
      <c r="M30" s="133">
        <f>IF(SER_hh_emi!M30=0,0,1000000*SER_hh_emi!M30/SER_hh_num!M30)</f>
        <v>3810.5714251827785</v>
      </c>
      <c r="N30" s="133">
        <f>IF(SER_hh_emi!N30=0,0,1000000*SER_hh_emi!N30/SER_hh_num!N30)</f>
        <v>5586.646070203511</v>
      </c>
      <c r="O30" s="133">
        <f>IF(SER_hh_emi!O30=0,0,1000000*SER_hh_emi!O30/SER_hh_num!O30)</f>
        <v>5889.6424425124787</v>
      </c>
      <c r="P30" s="133">
        <f>IF(SER_hh_emi!P30=0,0,1000000*SER_hh_emi!P30/SER_hh_num!P30)</f>
        <v>875.53262769727291</v>
      </c>
      <c r="Q30" s="133">
        <f>IF(SER_hh_emi!Q30=0,0,1000000*SER_hh_emi!Q30/SER_hh_num!Q30)</f>
        <v>6021.5410969322566</v>
      </c>
      <c r="R30" s="133">
        <f>IF(SER_hh_emi!R30=0,0,1000000*SER_hh_emi!R30/SER_hh_num!R30)</f>
        <v>4755.2709629860847</v>
      </c>
      <c r="S30" s="133">
        <f>IF(SER_hh_emi!S30=0,0,1000000*SER_hh_emi!S30/SER_hh_num!S30)</f>
        <v>4263.6794788563629</v>
      </c>
      <c r="T30" s="133">
        <f>IF(SER_hh_emi!T30=0,0,1000000*SER_hh_emi!T30/SER_hh_num!T30)</f>
        <v>5157.1726124500301</v>
      </c>
      <c r="U30" s="133">
        <f>IF(SER_hh_emi!U30=0,0,1000000*SER_hh_emi!U30/SER_hh_num!U30)</f>
        <v>6405.9748062994195</v>
      </c>
      <c r="V30" s="133">
        <f>IF(SER_hh_emi!V30=0,0,1000000*SER_hh_emi!V30/SER_hh_num!V30)</f>
        <v>4776.3482125944465</v>
      </c>
      <c r="W30" s="133">
        <f>IF(SER_hh_emi!W30=0,0,1000000*SER_hh_emi!W30/SER_hh_num!W30)</f>
        <v>4409.4804289214326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4375.3888070819648</v>
      </c>
      <c r="C31" s="133">
        <f>IF(SER_hh_emi!C31=0,0,1000000*SER_hh_emi!C31/SER_hh_num!C31)</f>
        <v>4397.4014401733493</v>
      </c>
      <c r="D31" s="133">
        <f>IF(SER_hh_emi!D31=0,0,1000000*SER_hh_emi!D31/SER_hh_num!D31)</f>
        <v>4342.3556646062834</v>
      </c>
      <c r="E31" s="133">
        <f>IF(SER_hh_emi!E31=0,0,1000000*SER_hh_emi!E31/SER_hh_num!E31)</f>
        <v>4472.9960107901898</v>
      </c>
      <c r="F31" s="133">
        <f>IF(SER_hh_emi!F31=0,0,1000000*SER_hh_emi!F31/SER_hh_num!F31)</f>
        <v>4452.3145903426221</v>
      </c>
      <c r="G31" s="133">
        <f>IF(SER_hh_emi!G31=0,0,1000000*SER_hh_emi!G31/SER_hh_num!G31)</f>
        <v>4429.6971073855148</v>
      </c>
      <c r="H31" s="133">
        <f>IF(SER_hh_emi!H31=0,0,1000000*SER_hh_emi!H31/SER_hh_num!H31)</f>
        <v>4127.2671196123283</v>
      </c>
      <c r="I31" s="133">
        <f>IF(SER_hh_emi!I31=0,0,1000000*SER_hh_emi!I31/SER_hh_num!I31)</f>
        <v>4498.6629659168593</v>
      </c>
      <c r="J31" s="133">
        <f>IF(SER_hh_emi!J31=0,0,1000000*SER_hh_emi!J31/SER_hh_num!J31)</f>
        <v>4578.8850234519614</v>
      </c>
      <c r="K31" s="133">
        <f>IF(SER_hh_emi!K31=0,0,1000000*SER_hh_emi!K31/SER_hh_num!K31)</f>
        <v>4314.4596565002194</v>
      </c>
      <c r="L31" s="133">
        <f>IF(SER_hh_emi!L31=0,0,1000000*SER_hh_emi!L31/SER_hh_num!L31)</f>
        <v>4167.9246904176171</v>
      </c>
      <c r="M31" s="133">
        <f>IF(SER_hh_emi!M31=0,0,1000000*SER_hh_emi!M31/SER_hh_num!M31)</f>
        <v>4489.626402748404</v>
      </c>
      <c r="N31" s="133">
        <f>IF(SER_hh_emi!N31=0,0,1000000*SER_hh_emi!N31/SER_hh_num!N31)</f>
        <v>4236.5678662276268</v>
      </c>
      <c r="O31" s="133">
        <f>IF(SER_hh_emi!O31=0,0,1000000*SER_hh_emi!O31/SER_hh_num!O31)</f>
        <v>4244.6088595915735</v>
      </c>
      <c r="P31" s="133">
        <f>IF(SER_hh_emi!P31=0,0,1000000*SER_hh_emi!P31/SER_hh_num!P31)</f>
        <v>4720.0471858608907</v>
      </c>
      <c r="Q31" s="133">
        <f>IF(SER_hh_emi!Q31=0,0,1000000*SER_hh_emi!Q31/SER_hh_num!Q31)</f>
        <v>4197.0581687330478</v>
      </c>
      <c r="R31" s="133">
        <f>IF(SER_hh_emi!R31=0,0,1000000*SER_hh_emi!R31/SER_hh_num!R31)</f>
        <v>4314.0549225494651</v>
      </c>
      <c r="S31" s="133">
        <f>IF(SER_hh_emi!S31=0,0,1000000*SER_hh_emi!S31/SER_hh_num!S31)</f>
        <v>4512.3820390998262</v>
      </c>
      <c r="T31" s="133">
        <f>IF(SER_hh_emi!T31=0,0,1000000*SER_hh_emi!T31/SER_hh_num!T31)</f>
        <v>4262.665261596776</v>
      </c>
      <c r="U31" s="133">
        <f>IF(SER_hh_emi!U31=0,0,1000000*SER_hh_emi!U31/SER_hh_num!U31)</f>
        <v>3799.8275881377353</v>
      </c>
      <c r="V31" s="133">
        <f>IF(SER_hh_emi!V31=0,0,1000000*SER_hh_emi!V31/SER_hh_num!V31)</f>
        <v>4235.6111586498746</v>
      </c>
      <c r="W31" s="133">
        <f>IF(SER_hh_emi!W31=0,0,1000000*SER_hh_emi!W31/SER_hh_num!W31)</f>
        <v>4557.9813167810289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172.15093144470245</v>
      </c>
      <c r="C3" s="126">
        <f>IF(SER_hh_fech!C3=0,0,SER_hh_fech!C3/SER_summary!C$26)</f>
        <v>179.85317965047884</v>
      </c>
      <c r="D3" s="126">
        <f>IF(SER_hh_fech!D3=0,0,SER_hh_fech!D3/SER_summary!D$26)</f>
        <v>175.18980556135463</v>
      </c>
      <c r="E3" s="126">
        <f>IF(SER_hh_fech!E3=0,0,SER_hh_fech!E3/SER_summary!E$26)</f>
        <v>182.49982489219084</v>
      </c>
      <c r="F3" s="126">
        <f>IF(SER_hh_fech!F3=0,0,SER_hh_fech!F3/SER_summary!F$26)</f>
        <v>196.74917866120327</v>
      </c>
      <c r="G3" s="126">
        <f>IF(SER_hh_fech!G3=0,0,SER_hh_fech!G3/SER_summary!G$26)</f>
        <v>180.51938091473195</v>
      </c>
      <c r="H3" s="126">
        <f>IF(SER_hh_fech!H3=0,0,SER_hh_fech!H3/SER_summary!H$26)</f>
        <v>178.72018157463199</v>
      </c>
      <c r="I3" s="126">
        <f>IF(SER_hh_fech!I3=0,0,SER_hh_fech!I3/SER_summary!I$26)</f>
        <v>162.95893854066199</v>
      </c>
      <c r="J3" s="126">
        <f>IF(SER_hh_fech!J3=0,0,SER_hh_fech!J3/SER_summary!J$26)</f>
        <v>167.95726384290032</v>
      </c>
      <c r="K3" s="126">
        <f>IF(SER_hh_fech!K3=0,0,SER_hh_fech!K3/SER_summary!K$26)</f>
        <v>174.09687797761896</v>
      </c>
      <c r="L3" s="126">
        <f>IF(SER_hh_fech!L3=0,0,SER_hh_fech!L3/SER_summary!L$26)</f>
        <v>187.57511253106017</v>
      </c>
      <c r="M3" s="126">
        <f>IF(SER_hh_fech!M3=0,0,SER_hh_fech!M3/SER_summary!M$26)</f>
        <v>158.28489924903161</v>
      </c>
      <c r="N3" s="126">
        <f>IF(SER_hh_fech!N3=0,0,SER_hh_fech!N3/SER_summary!N$26)</f>
        <v>165.4162621520905</v>
      </c>
      <c r="O3" s="126">
        <f>IF(SER_hh_fech!O3=0,0,SER_hh_fech!O3/SER_summary!O$26)</f>
        <v>165.66020041607084</v>
      </c>
      <c r="P3" s="126">
        <f>IF(SER_hh_fech!P3=0,0,SER_hh_fech!P3/SER_summary!P$26)</f>
        <v>138.38557560874872</v>
      </c>
      <c r="Q3" s="126">
        <f>IF(SER_hh_fech!Q3=0,0,SER_hh_fech!Q3/SER_summary!Q$26)</f>
        <v>142.22983284163416</v>
      </c>
      <c r="R3" s="126">
        <f>IF(SER_hh_fech!R3=0,0,SER_hh_fech!R3/SER_summary!R$26)</f>
        <v>141.93479886032978</v>
      </c>
      <c r="S3" s="126">
        <f>IF(SER_hh_fech!S3=0,0,SER_hh_fech!S3/SER_summary!S$26)</f>
        <v>143.40391813458405</v>
      </c>
      <c r="T3" s="126">
        <f>IF(SER_hh_fech!T3=0,0,SER_hh_fech!T3/SER_summary!T$26)</f>
        <v>141.83976118009878</v>
      </c>
      <c r="U3" s="126">
        <f>IF(SER_hh_fech!U3=0,0,SER_hh_fech!U3/SER_summary!U$26)</f>
        <v>135.73222335509183</v>
      </c>
      <c r="V3" s="126">
        <f>IF(SER_hh_fech!V3=0,0,SER_hh_fech!V3/SER_summary!V$26)</f>
        <v>125.21919208223075</v>
      </c>
      <c r="W3" s="126">
        <f>IF(SER_hh_fech!W3=0,0,SER_hh_fech!W3/SER_summary!W$26)</f>
        <v>130.42906667741727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124.69274366492095</v>
      </c>
      <c r="C4" s="131">
        <f>IF(SER_hh_fech!C4=0,0,SER_hh_fech!C4/SER_summary!C$26)</f>
        <v>132.78794312294889</v>
      </c>
      <c r="D4" s="131">
        <f>IF(SER_hh_fech!D4=0,0,SER_hh_fech!D4/SER_summary!D$26)</f>
        <v>128.06547378295267</v>
      </c>
      <c r="E4" s="131">
        <f>IF(SER_hh_fech!E4=0,0,SER_hh_fech!E4/SER_summary!E$26)</f>
        <v>135.30308276484072</v>
      </c>
      <c r="F4" s="131">
        <f>IF(SER_hh_fech!F4=0,0,SER_hh_fech!F4/SER_summary!F$26)</f>
        <v>149.31315585382427</v>
      </c>
      <c r="G4" s="131">
        <f>IF(SER_hh_fech!G4=0,0,SER_hh_fech!G4/SER_summary!G$26)</f>
        <v>133.46954304397224</v>
      </c>
      <c r="H4" s="131">
        <f>IF(SER_hh_fech!H4=0,0,SER_hh_fech!H4/SER_summary!H$26)</f>
        <v>132.32245144324128</v>
      </c>
      <c r="I4" s="131">
        <f>IF(SER_hh_fech!I4=0,0,SER_hh_fech!I4/SER_summary!I$26)</f>
        <v>117.77369027539214</v>
      </c>
      <c r="J4" s="131">
        <f>IF(SER_hh_fech!J4=0,0,SER_hh_fech!J4/SER_summary!J$26)</f>
        <v>123.23895096700181</v>
      </c>
      <c r="K4" s="131">
        <f>IF(SER_hh_fech!K4=0,0,SER_hh_fech!K4/SER_summary!K$26)</f>
        <v>128.89877294694492</v>
      </c>
      <c r="L4" s="131">
        <f>IF(SER_hh_fech!L4=0,0,SER_hh_fech!L4/SER_summary!L$26)</f>
        <v>142.60394980639904</v>
      </c>
      <c r="M4" s="131">
        <f>IF(SER_hh_fech!M4=0,0,SER_hh_fech!M4/SER_summary!M$26)</f>
        <v>114.01684330970845</v>
      </c>
      <c r="N4" s="131">
        <f>IF(SER_hh_fech!N4=0,0,SER_hh_fech!N4/SER_summary!N$26)</f>
        <v>121.2583060708851</v>
      </c>
      <c r="O4" s="131">
        <f>IF(SER_hh_fech!O4=0,0,SER_hh_fech!O4/SER_summary!O$26)</f>
        <v>121.47430485162833</v>
      </c>
      <c r="P4" s="131">
        <f>IF(SER_hh_fech!P4=0,0,SER_hh_fech!P4/SER_summary!P$26)</f>
        <v>94.390549696945797</v>
      </c>
      <c r="Q4" s="131">
        <f>IF(SER_hh_fech!Q4=0,0,SER_hh_fech!Q4/SER_summary!Q$26)</f>
        <v>98.753305870775492</v>
      </c>
      <c r="R4" s="131">
        <f>IF(SER_hh_fech!R4=0,0,SER_hh_fech!R4/SER_summary!R$26)</f>
        <v>98.943066553643746</v>
      </c>
      <c r="S4" s="131">
        <f>IF(SER_hh_fech!S4=0,0,SER_hh_fech!S4/SER_summary!S$26)</f>
        <v>100.77640504463656</v>
      </c>
      <c r="T4" s="131">
        <f>IF(SER_hh_fech!T4=0,0,SER_hh_fech!T4/SER_summary!T$26)</f>
        <v>99.355921555203935</v>
      </c>
      <c r="U4" s="131">
        <f>IF(SER_hh_fech!U4=0,0,SER_hh_fech!U4/SER_summary!U$26)</f>
        <v>93.732252173561676</v>
      </c>
      <c r="V4" s="131">
        <f>IF(SER_hh_fech!V4=0,0,SER_hh_fech!V4/SER_summary!V$26)</f>
        <v>84.615654404620372</v>
      </c>
      <c r="W4" s="131">
        <f>IF(SER_hh_fech!W4=0,0,SER_hh_fech!W4/SER_summary!W$26)</f>
        <v>90.33773859810448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129.08622252373112</v>
      </c>
      <c r="C5" s="133">
        <f>IF(SER_hh_fech!C5=0,0,SER_hh_fech!C5/SER_summary!C$26)</f>
        <v>131.389487273974</v>
      </c>
      <c r="D5" s="133">
        <f>IF(SER_hh_fech!D5=0,0,SER_hh_fech!D5/SER_summary!D$26)</f>
        <v>110.91361031694858</v>
      </c>
      <c r="E5" s="133">
        <f>IF(SER_hh_fech!E5=0,0,SER_hh_fech!E5/SER_summary!E$26)</f>
        <v>179.3964122784341</v>
      </c>
      <c r="F5" s="133">
        <f>IF(SER_hh_fech!F5=0,0,SER_hh_fech!F5/SER_summary!F$26)</f>
        <v>89.998239423432267</v>
      </c>
      <c r="G5" s="133">
        <f>IF(SER_hh_fech!G5=0,0,SER_hh_fech!G5/SER_summary!G$26)</f>
        <v>120.96203360998032</v>
      </c>
      <c r="H5" s="133">
        <f>IF(SER_hh_fech!H5=0,0,SER_hh_fech!H5/SER_summary!H$26)</f>
        <v>81.164817941511444</v>
      </c>
      <c r="I5" s="133">
        <f>IF(SER_hh_fech!I5=0,0,SER_hh_fech!I5/SER_summary!I$26)</f>
        <v>124.40980984606414</v>
      </c>
      <c r="J5" s="133">
        <f>IF(SER_hh_fech!J5=0,0,SER_hh_fech!J5/SER_summary!J$26)</f>
        <v>134.70247972247475</v>
      </c>
      <c r="K5" s="133">
        <f>IF(SER_hh_fech!K5=0,0,SER_hh_fech!K5/SER_summary!K$26)</f>
        <v>134.63942298626088</v>
      </c>
      <c r="L5" s="133">
        <f>IF(SER_hh_fech!L5=0,0,SER_hh_fech!L5/SER_summary!L$26)</f>
        <v>130.89429665059518</v>
      </c>
      <c r="M5" s="133">
        <f>IF(SER_hh_fech!M5=0,0,SER_hh_fech!M5/SER_summary!M$26)</f>
        <v>129.72357492188905</v>
      </c>
      <c r="N5" s="133">
        <f>IF(SER_hh_fech!N5=0,0,SER_hh_fech!N5/SER_summary!N$26)</f>
        <v>127.54596599509608</v>
      </c>
      <c r="O5" s="133">
        <f>IF(SER_hh_fech!O5=0,0,SER_hh_fech!O5/SER_summary!O$26)</f>
        <v>77.080742206288903</v>
      </c>
      <c r="P5" s="133">
        <f>IF(SER_hh_fech!P5=0,0,SER_hh_fech!P5/SER_summary!P$26)</f>
        <v>29.194015441995166</v>
      </c>
      <c r="Q5" s="133">
        <f>IF(SER_hh_fech!Q5=0,0,SER_hh_fech!Q5/SER_summary!Q$26)</f>
        <v>126.08584208966164</v>
      </c>
      <c r="R5" s="133">
        <f>IF(SER_hh_fech!R5=0,0,SER_hh_fech!R5/SER_summary!R$26)</f>
        <v>120.19998259838187</v>
      </c>
      <c r="S5" s="133">
        <f>IF(SER_hh_fech!S5=0,0,SER_hh_fech!S5/SER_summary!S$26)</f>
        <v>113.74649482629565</v>
      </c>
      <c r="T5" s="133">
        <f>IF(SER_hh_fech!T5=0,0,SER_hh_fech!T5/SER_summary!T$26)</f>
        <v>113.20184703509278</v>
      </c>
      <c r="U5" s="133">
        <f>IF(SER_hh_fech!U5=0,0,SER_hh_fech!U5/SER_summary!U$26)</f>
        <v>90.83992880356945</v>
      </c>
      <c r="V5" s="133">
        <f>IF(SER_hh_fech!V5=0,0,SER_hh_fech!V5/SER_summary!V$26)</f>
        <v>112.95344824792784</v>
      </c>
      <c r="W5" s="133">
        <f>IF(SER_hh_fech!W5=0,0,SER_hh_fech!W5/SER_summary!W$26)</f>
        <v>84.55492282683673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149.51157894141588</v>
      </c>
      <c r="C7" s="133">
        <f>IF(SER_hh_fech!C7=0,0,SER_hh_fech!C7/SER_summary!C$26)</f>
        <v>149.30142785619879</v>
      </c>
      <c r="D7" s="133">
        <f>IF(SER_hh_fech!D7=0,0,SER_hh_fech!D7/SER_summary!D$26)</f>
        <v>155.6183060674766</v>
      </c>
      <c r="E7" s="133">
        <f>IF(SER_hh_fech!E7=0,0,SER_hh_fech!E7/SER_summary!E$26)</f>
        <v>164.06047316488963</v>
      </c>
      <c r="F7" s="133">
        <f>IF(SER_hh_fech!F7=0,0,SER_hh_fech!F7/SER_summary!F$26)</f>
        <v>157.95624375135836</v>
      </c>
      <c r="G7" s="133">
        <f>IF(SER_hh_fech!G7=0,0,SER_hh_fech!G7/SER_summary!G$26)</f>
        <v>161.12631072715226</v>
      </c>
      <c r="H7" s="133">
        <f>IF(SER_hh_fech!H7=0,0,SER_hh_fech!H7/SER_summary!H$26)</f>
        <v>151.93697810428287</v>
      </c>
      <c r="I7" s="133">
        <f>IF(SER_hh_fech!I7=0,0,SER_hh_fech!I7/SER_summary!I$26)</f>
        <v>150.9399790786201</v>
      </c>
      <c r="J7" s="133">
        <f>IF(SER_hh_fech!J7=0,0,SER_hh_fech!J7/SER_summary!J$26)</f>
        <v>149.57130411260732</v>
      </c>
      <c r="K7" s="133">
        <f>IF(SER_hh_fech!K7=0,0,SER_hh_fech!K7/SER_summary!K$26)</f>
        <v>144.36680917126969</v>
      </c>
      <c r="L7" s="133">
        <f>IF(SER_hh_fech!L7=0,0,SER_hh_fech!L7/SER_summary!L$26)</f>
        <v>165.05981574739243</v>
      </c>
      <c r="M7" s="133">
        <f>IF(SER_hh_fech!M7=0,0,SER_hh_fech!M7/SER_summary!M$26)</f>
        <v>146.19421980216649</v>
      </c>
      <c r="N7" s="133">
        <f>IF(SER_hh_fech!N7=0,0,SER_hh_fech!N7/SER_summary!N$26)</f>
        <v>139.37960335825804</v>
      </c>
      <c r="O7" s="133">
        <f>IF(SER_hh_fech!O7=0,0,SER_hh_fech!O7/SER_summary!O$26)</f>
        <v>136.73997190063906</v>
      </c>
      <c r="P7" s="133">
        <f>IF(SER_hh_fech!P7=0,0,SER_hh_fech!P7/SER_summary!P$26)</f>
        <v>130.179986495886</v>
      </c>
      <c r="Q7" s="133">
        <f>IF(SER_hh_fech!Q7=0,0,SER_hh_fech!Q7/SER_summary!Q$26)</f>
        <v>116.83752393060266</v>
      </c>
      <c r="R7" s="133">
        <f>IF(SER_hh_fech!R7=0,0,SER_hh_fech!R7/SER_summary!R$26)</f>
        <v>116.82617524500998</v>
      </c>
      <c r="S7" s="133">
        <f>IF(SER_hh_fech!S7=0,0,SER_hh_fech!S7/SER_summary!S$26)</f>
        <v>115.56864939179665</v>
      </c>
      <c r="T7" s="133">
        <f>IF(SER_hh_fech!T7=0,0,SER_hh_fech!T7/SER_summary!T$26)</f>
        <v>116.49494967858877</v>
      </c>
      <c r="U7" s="133">
        <f>IF(SER_hh_fech!U7=0,0,SER_hh_fech!U7/SER_summary!U$26)</f>
        <v>117.08164677325972</v>
      </c>
      <c r="V7" s="133">
        <f>IF(SER_hh_fech!V7=0,0,SER_hh_fech!V7/SER_summary!V$26)</f>
        <v>107.11035790506511</v>
      </c>
      <c r="W7" s="133">
        <f>IF(SER_hh_fech!W7=0,0,SER_hh_fech!W7/SER_summary!W$26)</f>
        <v>106.92542515715938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70.028829912893343</v>
      </c>
      <c r="C8" s="133">
        <f>IF(SER_hh_fech!C8=0,0,SER_hh_fech!C8/SER_summary!C$26)</f>
        <v>75.670023521270508</v>
      </c>
      <c r="D8" s="133">
        <f>IF(SER_hh_fech!D8=0,0,SER_hh_fech!D8/SER_summary!D$26)</f>
        <v>69.415242110284936</v>
      </c>
      <c r="E8" s="133">
        <f>IF(SER_hh_fech!E8=0,0,SER_hh_fech!E8/SER_summary!E$26)</f>
        <v>77.446668093188777</v>
      </c>
      <c r="F8" s="133">
        <f>IF(SER_hh_fech!F8=0,0,SER_hh_fech!F8/SER_summary!F$26)</f>
        <v>78.488944882298753</v>
      </c>
      <c r="G8" s="133">
        <f>IF(SER_hh_fech!G8=0,0,SER_hh_fech!G8/SER_summary!G$26)</f>
        <v>67.096050159329664</v>
      </c>
      <c r="H8" s="133">
        <f>IF(SER_hh_fech!H8=0,0,SER_hh_fech!H8/SER_summary!H$26)</f>
        <v>61.001107379803649</v>
      </c>
      <c r="I8" s="133">
        <f>IF(SER_hh_fech!I8=0,0,SER_hh_fech!I8/SER_summary!I$26)</f>
        <v>61.046543416250223</v>
      </c>
      <c r="J8" s="133">
        <f>IF(SER_hh_fech!J8=0,0,SER_hh_fech!J8/SER_summary!J$26)</f>
        <v>59.168211627242229</v>
      </c>
      <c r="K8" s="133">
        <f>IF(SER_hh_fech!K8=0,0,SER_hh_fech!K8/SER_summary!K$26)</f>
        <v>56.875337452346294</v>
      </c>
      <c r="L8" s="133">
        <f>IF(SER_hh_fech!L8=0,0,SER_hh_fech!L8/SER_summary!L$26)</f>
        <v>55.551581619206701</v>
      </c>
      <c r="M8" s="133">
        <f>IF(SER_hh_fech!M8=0,0,SER_hh_fech!M8/SER_summary!M$26)</f>
        <v>53.489491972346933</v>
      </c>
      <c r="N8" s="133">
        <f>IF(SER_hh_fech!N8=0,0,SER_hh_fech!N8/SER_summary!N$26)</f>
        <v>44.400287916917101</v>
      </c>
      <c r="O8" s="133">
        <f>IF(SER_hh_fech!O8=0,0,SER_hh_fech!O8/SER_summary!O$26)</f>
        <v>35.648304220745494</v>
      </c>
      <c r="P8" s="133">
        <f>IF(SER_hh_fech!P8=0,0,SER_hh_fech!P8/SER_summary!P$26)</f>
        <v>37.268546670826588</v>
      </c>
      <c r="Q8" s="133">
        <f>IF(SER_hh_fech!Q8=0,0,SER_hh_fech!Q8/SER_summary!Q$26)</f>
        <v>38.298993973298884</v>
      </c>
      <c r="R8" s="133">
        <f>IF(SER_hh_fech!R8=0,0,SER_hh_fech!R8/SER_summary!R$26)</f>
        <v>36.211383901620458</v>
      </c>
      <c r="S8" s="133">
        <f>IF(SER_hh_fech!S8=0,0,SER_hh_fech!S8/SER_summary!S$26)</f>
        <v>34.572218024595152</v>
      </c>
      <c r="T8" s="133">
        <f>IF(SER_hh_fech!T8=0,0,SER_hh_fech!T8/SER_summary!T$26)</f>
        <v>33.794652097691191</v>
      </c>
      <c r="U8" s="133">
        <f>IF(SER_hh_fech!U8=0,0,SER_hh_fech!U8/SER_summary!U$26)</f>
        <v>32.041251464314847</v>
      </c>
      <c r="V8" s="133">
        <f>IF(SER_hh_fech!V8=0,0,SER_hh_fech!V8/SER_summary!V$26)</f>
        <v>29.95708941755537</v>
      </c>
      <c r="W8" s="133">
        <f>IF(SER_hh_fech!W8=0,0,SER_hh_fech!W8/SER_summary!W$26)</f>
        <v>32.673507336786415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131.46312848821495</v>
      </c>
      <c r="C9" s="133">
        <f>IF(SER_hh_fech!C9=0,0,SER_hh_fech!C9/SER_summary!C$26)</f>
        <v>142.06706472598043</v>
      </c>
      <c r="D9" s="133">
        <f>IF(SER_hh_fech!D9=0,0,SER_hh_fech!D9/SER_summary!D$26)</f>
        <v>131.40317848120009</v>
      </c>
      <c r="E9" s="133">
        <f>IF(SER_hh_fech!E9=0,0,SER_hh_fech!E9/SER_summary!E$26)</f>
        <v>142.53512904506988</v>
      </c>
      <c r="F9" s="133">
        <f>IF(SER_hh_fech!F9=0,0,SER_hh_fech!F9/SER_summary!F$26)</f>
        <v>160.19120564207725</v>
      </c>
      <c r="G9" s="133">
        <f>IF(SER_hh_fech!G9=0,0,SER_hh_fech!G9/SER_summary!G$26)</f>
        <v>143.08907803530877</v>
      </c>
      <c r="H9" s="133">
        <f>IF(SER_hh_fech!H9=0,0,SER_hh_fech!H9/SER_summary!H$26)</f>
        <v>141.08741096074411</v>
      </c>
      <c r="I9" s="133">
        <f>IF(SER_hh_fech!I9=0,0,SER_hh_fech!I9/SER_summary!I$26)</f>
        <v>119.20976965362486</v>
      </c>
      <c r="J9" s="133">
        <f>IF(SER_hh_fech!J9=0,0,SER_hh_fech!J9/SER_summary!J$26)</f>
        <v>128.43644866987839</v>
      </c>
      <c r="K9" s="133">
        <f>IF(SER_hh_fech!K9=0,0,SER_hh_fech!K9/SER_summary!K$26)</f>
        <v>133.64327183978457</v>
      </c>
      <c r="L9" s="133">
        <f>IF(SER_hh_fech!L9=0,0,SER_hh_fech!L9/SER_summary!L$26)</f>
        <v>151.71746895194639</v>
      </c>
      <c r="M9" s="133">
        <f>IF(SER_hh_fech!M9=0,0,SER_hh_fech!M9/SER_summary!M$26)</f>
        <v>113.78919138487812</v>
      </c>
      <c r="N9" s="133">
        <f>IF(SER_hh_fech!N9=0,0,SER_hh_fech!N9/SER_summary!N$26)</f>
        <v>126.9896893778222</v>
      </c>
      <c r="O9" s="133">
        <f>IF(SER_hh_fech!O9=0,0,SER_hh_fech!O9/SER_summary!O$26)</f>
        <v>126.65729204851577</v>
      </c>
      <c r="P9" s="133">
        <f>IF(SER_hh_fech!P9=0,0,SER_hh_fech!P9/SER_summary!P$26)</f>
        <v>95.187833849538663</v>
      </c>
      <c r="Q9" s="133">
        <f>IF(SER_hh_fech!Q9=0,0,SER_hh_fech!Q9/SER_summary!Q$26)</f>
        <v>103.49104110470152</v>
      </c>
      <c r="R9" s="133">
        <f>IF(SER_hh_fech!R9=0,0,SER_hh_fech!R9/SER_summary!R$26)</f>
        <v>104.37305431465153</v>
      </c>
      <c r="S9" s="133">
        <f>IF(SER_hh_fech!S9=0,0,SER_hh_fech!S9/SER_summary!S$26)</f>
        <v>104.66082042423272</v>
      </c>
      <c r="T9" s="133">
        <f>IF(SER_hh_fech!T9=0,0,SER_hh_fech!T9/SER_summary!T$26)</f>
        <v>103.95951914731239</v>
      </c>
      <c r="U9" s="133">
        <f>IF(SER_hh_fech!U9=0,0,SER_hh_fech!U9/SER_summary!U$26)</f>
        <v>97.974575259776628</v>
      </c>
      <c r="V9" s="133">
        <f>IF(SER_hh_fech!V9=0,0,SER_hh_fech!V9/SER_summary!V$26)</f>
        <v>88.257362002760829</v>
      </c>
      <c r="W9" s="133">
        <f>IF(SER_hh_fech!W9=0,0,SER_hh_fech!W9/SER_summary!W$26)</f>
        <v>96.620413463836158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137.85118525684064</v>
      </c>
      <c r="C10" s="133">
        <f>IF(SER_hh_fech!C10=0,0,SER_hh_fech!C10/SER_summary!C$26)</f>
        <v>163.63326706036275</v>
      </c>
      <c r="D10" s="133">
        <f>IF(SER_hh_fech!D10=0,0,SER_hh_fech!D10/SER_summary!D$26)</f>
        <v>159.71271413583261</v>
      </c>
      <c r="E10" s="133">
        <f>IF(SER_hh_fech!E10=0,0,SER_hh_fech!E10/SER_summary!E$26)</f>
        <v>155.03461716315675</v>
      </c>
      <c r="F10" s="133">
        <f>IF(SER_hh_fech!F10=0,0,SER_hh_fech!F10/SER_summary!F$26)</f>
        <v>168.11476925560356</v>
      </c>
      <c r="G10" s="133">
        <f>IF(SER_hh_fech!G10=0,0,SER_hh_fech!G10/SER_summary!G$26)</f>
        <v>152.12379301018001</v>
      </c>
      <c r="H10" s="133">
        <f>IF(SER_hh_fech!H10=0,0,SER_hh_fech!H10/SER_summary!H$26)</f>
        <v>155.4759814284179</v>
      </c>
      <c r="I10" s="133">
        <f>IF(SER_hh_fech!I10=0,0,SER_hh_fech!I10/SER_summary!I$26)</f>
        <v>146.12612685157262</v>
      </c>
      <c r="J10" s="133">
        <f>IF(SER_hh_fech!J10=0,0,SER_hh_fech!J10/SER_summary!J$26)</f>
        <v>162.57110959198607</v>
      </c>
      <c r="K10" s="133">
        <f>IF(SER_hh_fech!K10=0,0,SER_hh_fech!K10/SER_summary!K$26)</f>
        <v>154.4395725482544</v>
      </c>
      <c r="L10" s="133">
        <f>IF(SER_hh_fech!L10=0,0,SER_hh_fech!L10/SER_summary!L$26)</f>
        <v>166.55310650891184</v>
      </c>
      <c r="M10" s="133">
        <f>IF(SER_hh_fech!M10=0,0,SER_hh_fech!M10/SER_summary!M$26)</f>
        <v>151.58205564826767</v>
      </c>
      <c r="N10" s="133">
        <f>IF(SER_hh_fech!N10=0,0,SER_hh_fech!N10/SER_summary!N$26)</f>
        <v>149.0237457312642</v>
      </c>
      <c r="O10" s="133">
        <f>IF(SER_hh_fech!O10=0,0,SER_hh_fech!O10/SER_summary!O$26)</f>
        <v>143.34149155163647</v>
      </c>
      <c r="P10" s="133">
        <f>IF(SER_hh_fech!P10=0,0,SER_hh_fech!P10/SER_summary!P$26)</f>
        <v>136.00532870953543</v>
      </c>
      <c r="Q10" s="133">
        <f>IF(SER_hh_fech!Q10=0,0,SER_hh_fech!Q10/SER_summary!Q$26)</f>
        <v>125.64040166812941</v>
      </c>
      <c r="R10" s="133">
        <f>IF(SER_hh_fech!R10=0,0,SER_hh_fech!R10/SER_summary!R$26)</f>
        <v>119.1871188871346</v>
      </c>
      <c r="S10" s="133">
        <f>IF(SER_hh_fech!S10=0,0,SER_hh_fech!S10/SER_summary!S$26)</f>
        <v>139.17332809542762</v>
      </c>
      <c r="T10" s="133">
        <f>IF(SER_hh_fech!T10=0,0,SER_hh_fech!T10/SER_summary!T$26)</f>
        <v>135.14994297051072</v>
      </c>
      <c r="U10" s="133">
        <f>IF(SER_hh_fech!U10=0,0,SER_hh_fech!U10/SER_summary!U$26)</f>
        <v>139.71299594762098</v>
      </c>
      <c r="V10" s="133">
        <f>IF(SER_hh_fech!V10=0,0,SER_hh_fech!V10/SER_summary!V$26)</f>
        <v>137.11410887127116</v>
      </c>
      <c r="W10" s="133">
        <f>IF(SER_hh_fech!W10=0,0,SER_hh_fech!W10/SER_summary!W$26)</f>
        <v>125.50997515471947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88.975541982335727</v>
      </c>
      <c r="C12" s="133">
        <f>IF(SER_hh_fech!C12=0,0,SER_hh_fech!C12/SER_summary!C$26)</f>
        <v>78.897355644442712</v>
      </c>
      <c r="D12" s="133">
        <f>IF(SER_hh_fech!D12=0,0,SER_hh_fech!D12/SER_summary!D$26)</f>
        <v>115.28317091305999</v>
      </c>
      <c r="E12" s="133">
        <f>IF(SER_hh_fech!E12=0,0,SER_hh_fech!E12/SER_summary!E$26)</f>
        <v>96.806114422661508</v>
      </c>
      <c r="F12" s="133">
        <f>IF(SER_hh_fech!F12=0,0,SER_hh_fech!F12/SER_summary!F$26)</f>
        <v>106.51278140537165</v>
      </c>
      <c r="G12" s="133">
        <f>IF(SER_hh_fech!G12=0,0,SER_hh_fech!G12/SER_summary!G$26)</f>
        <v>76.874778744709019</v>
      </c>
      <c r="H12" s="133">
        <f>IF(SER_hh_fech!H12=0,0,SER_hh_fech!H12/SER_summary!H$26)</f>
        <v>90.346113400427896</v>
      </c>
      <c r="I12" s="133">
        <f>IF(SER_hh_fech!I12=0,0,SER_hh_fech!I12/SER_summary!I$26)</f>
        <v>103.62289352543031</v>
      </c>
      <c r="J12" s="133">
        <f>IF(SER_hh_fech!J12=0,0,SER_hh_fech!J12/SER_summary!J$26)</f>
        <v>92.600727497965337</v>
      </c>
      <c r="K12" s="133">
        <f>IF(SER_hh_fech!K12=0,0,SER_hh_fech!K12/SER_summary!K$26)</f>
        <v>113.26070986834287</v>
      </c>
      <c r="L12" s="133">
        <f>IF(SER_hh_fech!L12=0,0,SER_hh_fech!L12/SER_summary!L$26)</f>
        <v>108.49308753548557</v>
      </c>
      <c r="M12" s="133">
        <f>IF(SER_hh_fech!M12=0,0,SER_hh_fech!M12/SER_summary!M$26)</f>
        <v>109.51762502674686</v>
      </c>
      <c r="N12" s="133">
        <f>IF(SER_hh_fech!N12=0,0,SER_hh_fech!N12/SER_summary!N$26)</f>
        <v>77.145858279102384</v>
      </c>
      <c r="O12" s="133">
        <f>IF(SER_hh_fech!O12=0,0,SER_hh_fech!O12/SER_summary!O$26)</f>
        <v>82.493767936176255</v>
      </c>
      <c r="P12" s="133">
        <f>IF(SER_hh_fech!P12=0,0,SER_hh_fech!P12/SER_summary!P$26)</f>
        <v>86.485644309520353</v>
      </c>
      <c r="Q12" s="133">
        <f>IF(SER_hh_fech!Q12=0,0,SER_hh_fech!Q12/SER_summary!Q$26)</f>
        <v>78.805657442043383</v>
      </c>
      <c r="R12" s="133">
        <f>IF(SER_hh_fech!R12=0,0,SER_hh_fech!R12/SER_summary!R$26)</f>
        <v>77.129448794087352</v>
      </c>
      <c r="S12" s="133">
        <f>IF(SER_hh_fech!S12=0,0,SER_hh_fech!S12/SER_summary!S$26)</f>
        <v>95.503830332431917</v>
      </c>
      <c r="T12" s="133">
        <f>IF(SER_hh_fech!T12=0,0,SER_hh_fech!T12/SER_summary!T$26)</f>
        <v>79.458743274226336</v>
      </c>
      <c r="U12" s="133">
        <f>IF(SER_hh_fech!U12=0,0,SER_hh_fech!U12/SER_summary!U$26)</f>
        <v>87.649814689273057</v>
      </c>
      <c r="V12" s="133">
        <f>IF(SER_hh_fech!V12=0,0,SER_hh_fech!V12/SER_summary!V$26)</f>
        <v>84.674732478241353</v>
      </c>
      <c r="W12" s="133">
        <f>IF(SER_hh_fech!W12=0,0,SER_hh_fech!W12/SER_summary!W$26)</f>
        <v>77.108775714910053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47.668536983489929</v>
      </c>
      <c r="C13" s="133">
        <f>IF(SER_hh_fech!C13=0,0,SER_hh_fech!C13/SER_summary!C$26)</f>
        <v>50.332793999812722</v>
      </c>
      <c r="D13" s="133">
        <f>IF(SER_hh_fech!D13=0,0,SER_hh_fech!D13/SER_summary!D$26)</f>
        <v>50.543002462023971</v>
      </c>
      <c r="E13" s="133">
        <f>IF(SER_hh_fech!E13=0,0,SER_hh_fech!E13/SER_summary!E$26)</f>
        <v>46.329046038805075</v>
      </c>
      <c r="F13" s="133">
        <f>IF(SER_hh_fech!F13=0,0,SER_hh_fech!F13/SER_summary!F$26)</f>
        <v>49.235643502610294</v>
      </c>
      <c r="G13" s="133">
        <f>IF(SER_hh_fech!G13=0,0,SER_hh_fech!G13/SER_summary!G$26)</f>
        <v>46.301440349852555</v>
      </c>
      <c r="H13" s="133">
        <f>IF(SER_hh_fech!H13=0,0,SER_hh_fech!H13/SER_summary!H$26)</f>
        <v>41.437311415089169</v>
      </c>
      <c r="I13" s="133">
        <f>IF(SER_hh_fech!I13=0,0,SER_hh_fech!I13/SER_summary!I$26)</f>
        <v>40.07363718714209</v>
      </c>
      <c r="J13" s="133">
        <f>IF(SER_hh_fech!J13=0,0,SER_hh_fech!J13/SER_summary!J$26)</f>
        <v>40.828030507772418</v>
      </c>
      <c r="K13" s="133">
        <f>IF(SER_hh_fech!K13=0,0,SER_hh_fech!K13/SER_summary!K$26)</f>
        <v>40.454989187523374</v>
      </c>
      <c r="L13" s="133">
        <f>IF(SER_hh_fech!L13=0,0,SER_hh_fech!L13/SER_summary!L$26)</f>
        <v>40.428557976795936</v>
      </c>
      <c r="M13" s="133">
        <f>IF(SER_hh_fech!M13=0,0,SER_hh_fech!M13/SER_summary!M$26)</f>
        <v>37.373545309403724</v>
      </c>
      <c r="N13" s="133">
        <f>IF(SER_hh_fech!N13=0,0,SER_hh_fech!N13/SER_summary!N$26)</f>
        <v>35.038975082313002</v>
      </c>
      <c r="O13" s="133">
        <f>IF(SER_hh_fech!O13=0,0,SER_hh_fech!O13/SER_summary!O$26)</f>
        <v>32.421630371700815</v>
      </c>
      <c r="P13" s="133">
        <f>IF(SER_hh_fech!P13=0,0,SER_hh_fech!P13/SER_summary!P$26)</f>
        <v>28.810645557580262</v>
      </c>
      <c r="Q13" s="133">
        <f>IF(SER_hh_fech!Q13=0,0,SER_hh_fech!Q13/SER_summary!Q$26)</f>
        <v>27.653610615414145</v>
      </c>
      <c r="R13" s="133">
        <f>IF(SER_hh_fech!R13=0,0,SER_hh_fech!R13/SER_summary!R$26)</f>
        <v>26.870247037674066</v>
      </c>
      <c r="S13" s="133">
        <f>IF(SER_hh_fech!S13=0,0,SER_hh_fech!S13/SER_summary!S$26)</f>
        <v>26.558730312943364</v>
      </c>
      <c r="T13" s="133">
        <f>IF(SER_hh_fech!T13=0,0,SER_hh_fech!T13/SER_summary!T$26)</f>
        <v>25.684068299843798</v>
      </c>
      <c r="U13" s="133">
        <f>IF(SER_hh_fech!U13=0,0,SER_hh_fech!U13/SER_summary!U$26)</f>
        <v>24.310112514063821</v>
      </c>
      <c r="V13" s="133">
        <f>IF(SER_hh_fech!V13=0,0,SER_hh_fech!V13/SER_summary!V$26)</f>
        <v>22.926191368410109</v>
      </c>
      <c r="W13" s="133">
        <f>IF(SER_hh_fech!W13=0,0,SER_hh_fech!W13/SER_summary!W$26)</f>
        <v>23.551835917503045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94.619274931932381</v>
      </c>
      <c r="C14" s="65">
        <f>IF(SER_hh_fech!C14=0,0,SER_hh_fech!C14/SER_summary!C$26)</f>
        <v>105.59061927495303</v>
      </c>
      <c r="D14" s="65">
        <f>IF(SER_hh_fech!D14=0,0,SER_hh_fech!D14/SER_summary!D$26)</f>
        <v>101.20317889550978</v>
      </c>
      <c r="E14" s="65">
        <f>IF(SER_hh_fech!E14=0,0,SER_hh_fech!E14/SER_summary!E$26)</f>
        <v>109.56294173955426</v>
      </c>
      <c r="F14" s="65">
        <f>IF(SER_hh_fech!F14=0,0,SER_hh_fech!F14/SER_summary!F$26)</f>
        <v>115.73381483672723</v>
      </c>
      <c r="G14" s="65">
        <f>IF(SER_hh_fech!G14=0,0,SER_hh_fech!G14/SER_summary!G$26)</f>
        <v>109.39280995227548</v>
      </c>
      <c r="H14" s="65">
        <f>IF(SER_hh_fech!H14=0,0,SER_hh_fech!H14/SER_summary!H$26)</f>
        <v>107.9159780487673</v>
      </c>
      <c r="I14" s="65">
        <f>IF(SER_hh_fech!I14=0,0,SER_hh_fech!I14/SER_summary!I$26)</f>
        <v>106.38335006061682</v>
      </c>
      <c r="J14" s="65">
        <f>IF(SER_hh_fech!J14=0,0,SER_hh_fech!J14/SER_summary!J$26)</f>
        <v>105.02995271035972</v>
      </c>
      <c r="K14" s="65">
        <f>IF(SER_hh_fech!K14=0,0,SER_hh_fech!K14/SER_summary!K$26)</f>
        <v>112.26795103421365</v>
      </c>
      <c r="L14" s="65">
        <f>IF(SER_hh_fech!L14=0,0,SER_hh_fech!L14/SER_summary!L$26)</f>
        <v>112.76447986151673</v>
      </c>
      <c r="M14" s="65">
        <f>IF(SER_hh_fech!M14=0,0,SER_hh_fech!M14/SER_summary!M$26)</f>
        <v>109.15087402667189</v>
      </c>
      <c r="N14" s="65">
        <f>IF(SER_hh_fech!N14=0,0,SER_hh_fech!N14/SER_summary!N$26)</f>
        <v>108.2245875535085</v>
      </c>
      <c r="O14" s="65">
        <f>IF(SER_hh_fech!O14=0,0,SER_hh_fech!O14/SER_summary!O$26)</f>
        <v>113.97789534291063</v>
      </c>
      <c r="P14" s="65">
        <f>IF(SER_hh_fech!P14=0,0,SER_hh_fech!P14/SER_summary!P$26)</f>
        <v>88.209824957084351</v>
      </c>
      <c r="Q14" s="65">
        <f>IF(SER_hh_fech!Q14=0,0,SER_hh_fech!Q14/SER_summary!Q$26)</f>
        <v>84.582599842303679</v>
      </c>
      <c r="R14" s="65">
        <f>IF(SER_hh_fech!R14=0,0,SER_hh_fech!R14/SER_summary!R$26)</f>
        <v>87.330363032803533</v>
      </c>
      <c r="S14" s="65">
        <f>IF(SER_hh_fech!S14=0,0,SER_hh_fech!S14/SER_summary!S$26)</f>
        <v>96.260553336198768</v>
      </c>
      <c r="T14" s="65">
        <f>IF(SER_hh_fech!T14=0,0,SER_hh_fech!T14/SER_summary!T$26)</f>
        <v>102.81460026118617</v>
      </c>
      <c r="U14" s="65">
        <f>IF(SER_hh_fech!U14=0,0,SER_hh_fech!U14/SER_summary!U$26)</f>
        <v>88.402503947535763</v>
      </c>
      <c r="V14" s="65">
        <f>IF(SER_hh_fech!V14=0,0,SER_hh_fech!V14/SER_summary!V$26)</f>
        <v>77.314733548589714</v>
      </c>
      <c r="W14" s="65">
        <f>IF(SER_hh_fech!W14=0,0,SER_hh_fech!W14/SER_summary!W$26)</f>
        <v>89.94582180260754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1.3317169400210673</v>
      </c>
      <c r="C15" s="135">
        <f>IF(SER_hh_fech!C15=0,0,SER_hh_fech!C15/SER_summary!C$26)</f>
        <v>1.4044154433661062</v>
      </c>
      <c r="D15" s="135">
        <f>IF(SER_hh_fech!D15=0,0,SER_hh_fech!D15/SER_summary!D$26)</f>
        <v>1.3145611115074578</v>
      </c>
      <c r="E15" s="135">
        <f>IF(SER_hh_fech!E15=0,0,SER_hh_fech!E15/SER_summary!E$26)</f>
        <v>1.4038227355292761</v>
      </c>
      <c r="F15" s="135">
        <f>IF(SER_hh_fech!F15=0,0,SER_hh_fech!F15/SER_summary!F$26)</f>
        <v>1.5652389576514181</v>
      </c>
      <c r="G15" s="135">
        <f>IF(SER_hh_fech!G15=0,0,SER_hh_fech!G15/SER_summary!G$26)</f>
        <v>1.4055419759805825</v>
      </c>
      <c r="H15" s="135">
        <f>IF(SER_hh_fech!H15=0,0,SER_hh_fech!H15/SER_summary!H$26)</f>
        <v>1.3920995886390573</v>
      </c>
      <c r="I15" s="135">
        <f>IF(SER_hh_fech!I15=0,0,SER_hh_fech!I15/SER_summary!I$26)</f>
        <v>1.2050034098354991</v>
      </c>
      <c r="J15" s="135">
        <f>IF(SER_hh_fech!J15=0,0,SER_hh_fech!J15/SER_summary!J$26)</f>
        <v>1.2960652918281226</v>
      </c>
      <c r="K15" s="135">
        <f>IF(SER_hh_fech!K15=0,0,SER_hh_fech!K15/SER_summary!K$26)</f>
        <v>1.3564467131261198</v>
      </c>
      <c r="L15" s="135">
        <f>IF(SER_hh_fech!L15=0,0,SER_hh_fech!L15/SER_summary!L$26)</f>
        <v>1.5642259822836202</v>
      </c>
      <c r="M15" s="135">
        <f>IF(SER_hh_fech!M15=0,0,SER_hh_fech!M15/SER_summary!M$26)</f>
        <v>1.2256908253862673</v>
      </c>
      <c r="N15" s="135">
        <f>IF(SER_hh_fech!N15=0,0,SER_hh_fech!N15/SER_summary!N$26)</f>
        <v>1.3873793419794207</v>
      </c>
      <c r="O15" s="135">
        <f>IF(SER_hh_fech!O15=0,0,SER_hh_fech!O15/SER_summary!O$26)</f>
        <v>1.4148302902922627</v>
      </c>
      <c r="P15" s="135">
        <f>IF(SER_hh_fech!P15=0,0,SER_hh_fech!P15/SER_summary!P$26)</f>
        <v>1.0876755247408778</v>
      </c>
      <c r="Q15" s="135">
        <f>IF(SER_hh_fech!Q15=0,0,SER_hh_fech!Q15/SER_summary!Q$26)</f>
        <v>1.1637400636814135</v>
      </c>
      <c r="R15" s="135">
        <f>IF(SER_hh_fech!R15=0,0,SER_hh_fech!R15/SER_summary!R$26)</f>
        <v>1.1703376675815607</v>
      </c>
      <c r="S15" s="135">
        <f>IF(SER_hh_fech!S15=0,0,SER_hh_fech!S15/SER_summary!S$26)</f>
        <v>1.1773219426457771</v>
      </c>
      <c r="T15" s="135">
        <f>IF(SER_hh_fech!T15=0,0,SER_hh_fech!T15/SER_summary!T$26)</f>
        <v>1.1667008270808756</v>
      </c>
      <c r="U15" s="135">
        <f>IF(SER_hh_fech!U15=0,0,SER_hh_fech!U15/SER_summary!U$26)</f>
        <v>1.112790742038456</v>
      </c>
      <c r="V15" s="135">
        <f>IF(SER_hh_fech!V15=0,0,SER_hh_fech!V15/SER_summary!V$26)</f>
        <v>1.0140569265000976</v>
      </c>
      <c r="W15" s="135">
        <f>IF(SER_hh_fech!W15=0,0,SER_hh_fech!W15/SER_summary!W$26)</f>
        <v>1.1195943956746806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14.496302055445881</v>
      </c>
      <c r="C16" s="131">
        <f>IF(SER_hh_fech!C16=0,0,SER_hh_fech!C16/SER_summary!C$26)</f>
        <v>13.908344095852778</v>
      </c>
      <c r="D16" s="131">
        <f>IF(SER_hh_fech!D16=0,0,SER_hh_fech!D16/SER_summary!D$26)</f>
        <v>13.002383853602272</v>
      </c>
      <c r="E16" s="131">
        <f>IF(SER_hh_fech!E16=0,0,SER_hh_fech!E16/SER_summary!E$26)</f>
        <v>13.599768807488227</v>
      </c>
      <c r="F16" s="131">
        <f>IF(SER_hh_fech!F16=0,0,SER_hh_fech!F16/SER_summary!F$26)</f>
        <v>11.835323957401044</v>
      </c>
      <c r="G16" s="131">
        <f>IF(SER_hh_fech!G16=0,0,SER_hh_fech!G16/SER_summary!G$26)</f>
        <v>11.092446161845452</v>
      </c>
      <c r="H16" s="131">
        <f>IF(SER_hh_fech!H16=0,0,SER_hh_fech!H16/SER_summary!H$26)</f>
        <v>11.578571029239356</v>
      </c>
      <c r="I16" s="131">
        <f>IF(SER_hh_fech!I16=0,0,SER_hh_fech!I16/SER_summary!I$26)</f>
        <v>10.094508840449107</v>
      </c>
      <c r="J16" s="131">
        <f>IF(SER_hh_fech!J16=0,0,SER_hh_fech!J16/SER_summary!J$26)</f>
        <v>9.7326167929191598</v>
      </c>
      <c r="K16" s="131">
        <f>IF(SER_hh_fech!K16=0,0,SER_hh_fech!K16/SER_summary!K$26)</f>
        <v>9.6243574221650476</v>
      </c>
      <c r="L16" s="131">
        <f>IF(SER_hh_fech!L16=0,0,SER_hh_fech!L16/SER_summary!L$26)</f>
        <v>9.7661986667026301</v>
      </c>
      <c r="M16" s="131">
        <f>IF(SER_hh_fech!M16=0,0,SER_hh_fech!M16/SER_summary!M$26)</f>
        <v>9.209908525350361</v>
      </c>
      <c r="N16" s="131">
        <f>IF(SER_hh_fech!N16=0,0,SER_hh_fech!N16/SER_summary!N$26)</f>
        <v>9.0412027951923033</v>
      </c>
      <c r="O16" s="131">
        <f>IF(SER_hh_fech!O16=0,0,SER_hh_fech!O16/SER_summary!O$26)</f>
        <v>8.8831576725945602</v>
      </c>
      <c r="P16" s="131">
        <f>IF(SER_hh_fech!P16=0,0,SER_hh_fech!P16/SER_summary!P$26)</f>
        <v>8.5489828137633239</v>
      </c>
      <c r="Q16" s="131">
        <f>IF(SER_hh_fech!Q16=0,0,SER_hh_fech!Q16/SER_summary!Q$26)</f>
        <v>8.6604758725689734</v>
      </c>
      <c r="R16" s="131">
        <f>IF(SER_hh_fech!R16=0,0,SER_hh_fech!R16/SER_summary!R$26)</f>
        <v>8.1844941771022359</v>
      </c>
      <c r="S16" s="131">
        <f>IF(SER_hh_fech!S16=0,0,SER_hh_fech!S16/SER_summary!S$26)</f>
        <v>7.7925368830137911</v>
      </c>
      <c r="T16" s="131">
        <f>IF(SER_hh_fech!T16=0,0,SER_hh_fech!T16/SER_summary!T$26)</f>
        <v>8.3726340429846697</v>
      </c>
      <c r="U16" s="131">
        <f>IF(SER_hh_fech!U16=0,0,SER_hh_fech!U16/SER_summary!U$26)</f>
        <v>8.0794692859747439</v>
      </c>
      <c r="V16" s="131">
        <f>IF(SER_hh_fech!V16=0,0,SER_hh_fech!V16/SER_summary!V$26)</f>
        <v>8.1815531033736963</v>
      </c>
      <c r="W16" s="131">
        <f>IF(SER_hh_fech!W16=0,0,SER_hh_fech!W16/SER_summary!W$26)</f>
        <v>7.1460861809921177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21.711917959452702</v>
      </c>
      <c r="C17" s="133">
        <f>IF(SER_hh_fech!C17=0,0,SER_hh_fech!C17/SER_summary!C$26)</f>
        <v>22.029010668957103</v>
      </c>
      <c r="D17" s="133">
        <f>IF(SER_hh_fech!D17=0,0,SER_hh_fech!D17/SER_summary!D$26)</f>
        <v>21.601460906039566</v>
      </c>
      <c r="E17" s="133">
        <f>IF(SER_hh_fech!E17=0,0,SER_hh_fech!E17/SER_summary!E$26)</f>
        <v>23.589985465643107</v>
      </c>
      <c r="F17" s="133">
        <f>IF(SER_hh_fech!F17=0,0,SER_hh_fech!F17/SER_summary!F$26)</f>
        <v>21.372443715893617</v>
      </c>
      <c r="G17" s="133">
        <f>IF(SER_hh_fech!G17=0,0,SER_hh_fech!G17/SER_summary!G$26)</f>
        <v>21.001661813717956</v>
      </c>
      <c r="H17" s="133">
        <f>IF(SER_hh_fech!H17=0,0,SER_hh_fech!H17/SER_summary!H$26)</f>
        <v>22.8875411293863</v>
      </c>
      <c r="I17" s="133">
        <f>IF(SER_hh_fech!I17=0,0,SER_hh_fech!I17/SER_summary!I$26)</f>
        <v>20.868263576864596</v>
      </c>
      <c r="J17" s="133">
        <f>IF(SER_hh_fech!J17=0,0,SER_hh_fech!J17/SER_summary!J$26)</f>
        <v>20.942986738888212</v>
      </c>
      <c r="K17" s="133">
        <f>IF(SER_hh_fech!K17=0,0,SER_hh_fech!K17/SER_summary!K$26)</f>
        <v>21.071271167213467</v>
      </c>
      <c r="L17" s="133">
        <f>IF(SER_hh_fech!L17=0,0,SER_hh_fech!L17/SER_summary!L$26)</f>
        <v>21.823382968309836</v>
      </c>
      <c r="M17" s="133">
        <f>IF(SER_hh_fech!M17=0,0,SER_hh_fech!M17/SER_summary!M$26)</f>
        <v>21.130553880021818</v>
      </c>
      <c r="N17" s="133">
        <f>IF(SER_hh_fech!N17=0,0,SER_hh_fech!N17/SER_summary!N$26)</f>
        <v>21.220817318503535</v>
      </c>
      <c r="O17" s="133">
        <f>IF(SER_hh_fech!O17=0,0,SER_hh_fech!O17/SER_summary!O$26)</f>
        <v>21.241395991551464</v>
      </c>
      <c r="P17" s="133">
        <f>IF(SER_hh_fech!P17=0,0,SER_hh_fech!P17/SER_summary!P$26)</f>
        <v>20.728650879412591</v>
      </c>
      <c r="Q17" s="133">
        <f>IF(SER_hh_fech!Q17=0,0,SER_hh_fech!Q17/SER_summary!Q$26)</f>
        <v>20.862282707084567</v>
      </c>
      <c r="R17" s="133">
        <f>IF(SER_hh_fech!R17=0,0,SER_hh_fech!R17/SER_summary!R$26)</f>
        <v>20.387943749315649</v>
      </c>
      <c r="S17" s="133">
        <f>IF(SER_hh_fech!S17=0,0,SER_hh_fech!S17/SER_summary!S$26)</f>
        <v>20.79180695849471</v>
      </c>
      <c r="T17" s="133">
        <f>IF(SER_hh_fech!T17=0,0,SER_hh_fech!T17/SER_summary!T$26)</f>
        <v>21.649209494541701</v>
      </c>
      <c r="U17" s="133">
        <f>IF(SER_hh_fech!U17=0,0,SER_hh_fech!U17/SER_summary!U$26)</f>
        <v>21.090908045596841</v>
      </c>
      <c r="V17" s="133">
        <f>IF(SER_hh_fech!V17=0,0,SER_hh_fech!V17/SER_summary!V$26)</f>
        <v>21.462797934086677</v>
      </c>
      <c r="W17" s="133">
        <f>IF(SER_hh_fech!W17=0,0,SER_hh_fech!W17/SER_summary!W$26)</f>
        <v>22.67570895396673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14.472313670104308</v>
      </c>
      <c r="C18" s="133">
        <f>IF(SER_hh_fech!C18=0,0,SER_hh_fech!C18/SER_summary!C$26)</f>
        <v>13.882327710441137</v>
      </c>
      <c r="D18" s="133">
        <f>IF(SER_hh_fech!D18=0,0,SER_hh_fech!D18/SER_summary!D$26)</f>
        <v>12.972760670463217</v>
      </c>
      <c r="E18" s="133">
        <f>IF(SER_hh_fech!E18=0,0,SER_hh_fech!E18/SER_summary!E$26)</f>
        <v>13.565841743222544</v>
      </c>
      <c r="F18" s="133">
        <f>IF(SER_hh_fech!F18=0,0,SER_hh_fech!F18/SER_summary!F$26)</f>
        <v>11.796238689819493</v>
      </c>
      <c r="G18" s="133">
        <f>IF(SER_hh_fech!G18=0,0,SER_hh_fech!G18/SER_summary!G$26)</f>
        <v>11.050007545088745</v>
      </c>
      <c r="H18" s="133">
        <f>IF(SER_hh_fech!H18=0,0,SER_hh_fech!H18/SER_summary!H$26)</f>
        <v>11.524837736587363</v>
      </c>
      <c r="I18" s="133">
        <f>IF(SER_hh_fech!I18=0,0,SER_hh_fech!I18/SER_summary!I$26)</f>
        <v>10.035949351388084</v>
      </c>
      <c r="J18" s="133">
        <f>IF(SER_hh_fech!J18=0,0,SER_hh_fech!J18/SER_summary!J$26)</f>
        <v>9.6659155988151788</v>
      </c>
      <c r="K18" s="133">
        <f>IF(SER_hh_fech!K18=0,0,SER_hh_fech!K18/SER_summary!K$26)</f>
        <v>9.5531092037907452</v>
      </c>
      <c r="L18" s="133">
        <f>IF(SER_hh_fech!L18=0,0,SER_hh_fech!L18/SER_summary!L$26)</f>
        <v>9.6884225236393711</v>
      </c>
      <c r="M18" s="133">
        <f>IF(SER_hh_fech!M18=0,0,SER_hh_fech!M18/SER_summary!M$26)</f>
        <v>9.1278808779032801</v>
      </c>
      <c r="N18" s="133">
        <f>IF(SER_hh_fech!N18=0,0,SER_hh_fech!N18/SER_summary!N$26)</f>
        <v>8.9487751899760326</v>
      </c>
      <c r="O18" s="133">
        <f>IF(SER_hh_fech!O18=0,0,SER_hh_fech!O18/SER_summary!O$26)</f>
        <v>8.7714703855272163</v>
      </c>
      <c r="P18" s="133">
        <f>IF(SER_hh_fech!P18=0,0,SER_hh_fech!P18/SER_summary!P$26)</f>
        <v>8.4039298333460941</v>
      </c>
      <c r="Q18" s="133">
        <f>IF(SER_hh_fech!Q18=0,0,SER_hh_fech!Q18/SER_summary!Q$26)</f>
        <v>8.4667594229009495</v>
      </c>
      <c r="R18" s="133">
        <f>IF(SER_hh_fech!R18=0,0,SER_hh_fech!R18/SER_summary!R$26)</f>
        <v>7.9402938203019646</v>
      </c>
      <c r="S18" s="133">
        <f>IF(SER_hh_fech!S18=0,0,SER_hh_fech!S18/SER_summary!S$26)</f>
        <v>7.496886570585354</v>
      </c>
      <c r="T18" s="133">
        <f>IF(SER_hh_fech!T18=0,0,SER_hh_fech!T18/SER_summary!T$26)</f>
        <v>8.0510257536182603</v>
      </c>
      <c r="U18" s="133">
        <f>IF(SER_hh_fech!U18=0,0,SER_hh_fech!U18/SER_summary!U$26)</f>
        <v>7.7364073803255922</v>
      </c>
      <c r="V18" s="133">
        <f>IF(SER_hh_fech!V18=0,0,SER_hh_fech!V18/SER_summary!V$26)</f>
        <v>7.8004297072688393</v>
      </c>
      <c r="W18" s="133">
        <f>IF(SER_hh_fech!W18=0,0,SER_hh_fech!W18/SER_summary!W$26)</f>
        <v>6.7160973659894916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25.183959995353671</v>
      </c>
      <c r="C19" s="131">
        <f>IF(SER_hh_fech!C19=0,0,SER_hh_fech!C19/SER_summary!C$26)</f>
        <v>24.774780374928795</v>
      </c>
      <c r="D19" s="131">
        <f>IF(SER_hh_fech!D19=0,0,SER_hh_fech!D19/SER_summary!D$26)</f>
        <v>24.681829216579988</v>
      </c>
      <c r="E19" s="131">
        <f>IF(SER_hh_fech!E19=0,0,SER_hh_fech!E19/SER_summary!E$26)</f>
        <v>24.362089564784945</v>
      </c>
      <c r="F19" s="131">
        <f>IF(SER_hh_fech!F19=0,0,SER_hh_fech!F19/SER_summary!F$26)</f>
        <v>24.365337261826408</v>
      </c>
      <c r="G19" s="131">
        <f>IF(SER_hh_fech!G19=0,0,SER_hh_fech!G19/SER_summary!G$26)</f>
        <v>23.866935834304108</v>
      </c>
      <c r="H19" s="131">
        <f>IF(SER_hh_fech!H19=0,0,SER_hh_fech!H19/SER_summary!H$26)</f>
        <v>23.128038501222768</v>
      </c>
      <c r="I19" s="131">
        <f>IF(SER_hh_fech!I19=0,0,SER_hh_fech!I19/SER_summary!I$26)</f>
        <v>22.264192800237883</v>
      </c>
      <c r="J19" s="131">
        <f>IF(SER_hh_fech!J19=0,0,SER_hh_fech!J19/SER_summary!J$26)</f>
        <v>21.73907662100919</v>
      </c>
      <c r="K19" s="131">
        <f>IF(SER_hh_fech!K19=0,0,SER_hh_fech!K19/SER_summary!K$26)</f>
        <v>21.778903105523973</v>
      </c>
      <c r="L19" s="131">
        <f>IF(SER_hh_fech!L19=0,0,SER_hh_fech!L19/SER_summary!L$26)</f>
        <v>21.465452193062912</v>
      </c>
      <c r="M19" s="131">
        <f>IF(SER_hh_fech!M19=0,0,SER_hh_fech!M19/SER_summary!M$26)</f>
        <v>21.100306784256741</v>
      </c>
      <c r="N19" s="131">
        <f>IF(SER_hh_fech!N19=0,0,SER_hh_fech!N19/SER_summary!N$26)</f>
        <v>20.997994409517187</v>
      </c>
      <c r="O19" s="131">
        <f>IF(SER_hh_fech!O19=0,0,SER_hh_fech!O19/SER_summary!O$26)</f>
        <v>20.846002863871956</v>
      </c>
      <c r="P19" s="131">
        <f>IF(SER_hh_fech!P19=0,0,SER_hh_fech!P19/SER_summary!P$26)</f>
        <v>20.672234101993773</v>
      </c>
      <c r="Q19" s="131">
        <f>IF(SER_hh_fech!Q19=0,0,SER_hh_fech!Q19/SER_summary!Q$26)</f>
        <v>20.314922161021727</v>
      </c>
      <c r="R19" s="131">
        <f>IF(SER_hh_fech!R19=0,0,SER_hh_fech!R19/SER_summary!R$26)</f>
        <v>20.063773832498288</v>
      </c>
      <c r="S19" s="131">
        <f>IF(SER_hh_fech!S19=0,0,SER_hh_fech!S19/SER_summary!S$26)</f>
        <v>19.824890609266312</v>
      </c>
      <c r="T19" s="131">
        <f>IF(SER_hh_fech!T19=0,0,SER_hh_fech!T19/SER_summary!T$26)</f>
        <v>19.514364991346373</v>
      </c>
      <c r="U19" s="131">
        <f>IF(SER_hh_fech!U19=0,0,SER_hh_fech!U19/SER_summary!U$26)</f>
        <v>19.178564240300059</v>
      </c>
      <c r="V19" s="131">
        <f>IF(SER_hh_fech!V19=0,0,SER_hh_fech!V19/SER_summary!V$26)</f>
        <v>18.342707405159874</v>
      </c>
      <c r="W19" s="131">
        <f>IF(SER_hh_fech!W19=0,0,SER_hh_fech!W19/SER_summary!W$26)</f>
        <v>18.200006831156408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29.948643572723068</v>
      </c>
      <c r="C22" s="133">
        <f>IF(SER_hh_fech!C22=0,0,SER_hh_fech!C22/SER_summary!C$26)</f>
        <v>29.441421591928119</v>
      </c>
      <c r="D22" s="133">
        <f>IF(SER_hh_fech!D22=0,0,SER_hh_fech!D22/SER_summary!D$26)</f>
        <v>29.175478091162542</v>
      </c>
      <c r="E22" s="133">
        <f>IF(SER_hh_fech!E22=0,0,SER_hh_fech!E22/SER_summary!E$26)</f>
        <v>28.849983203575995</v>
      </c>
      <c r="F22" s="133">
        <f>IF(SER_hh_fech!F22=0,0,SER_hh_fech!F22/SER_summary!F$26)</f>
        <v>28.768010353074509</v>
      </c>
      <c r="G22" s="133">
        <f>IF(SER_hh_fech!G22=0,0,SER_hh_fech!G22/SER_summary!G$26)</f>
        <v>28.338493165741383</v>
      </c>
      <c r="H22" s="133">
        <f>IF(SER_hh_fech!H22=0,0,SER_hh_fech!H22/SER_summary!H$26)</f>
        <v>27.463604854158746</v>
      </c>
      <c r="I22" s="133">
        <f>IF(SER_hh_fech!I22=0,0,SER_hh_fech!I22/SER_summary!I$26)</f>
        <v>26.707071583890343</v>
      </c>
      <c r="J22" s="133">
        <f>IF(SER_hh_fech!J22=0,0,SER_hh_fech!J22/SER_summary!J$26)</f>
        <v>26.441119182272072</v>
      </c>
      <c r="K22" s="133">
        <f>IF(SER_hh_fech!K22=0,0,SER_hh_fech!K22/SER_summary!K$26)</f>
        <v>26.176237594526427</v>
      </c>
      <c r="L22" s="133">
        <f>IF(SER_hh_fech!L22=0,0,SER_hh_fech!L22/SER_summary!L$26)</f>
        <v>25.606782017424784</v>
      </c>
      <c r="M22" s="133">
        <f>IF(SER_hh_fech!M22=0,0,SER_hh_fech!M22/SER_summary!M$26)</f>
        <v>25.258063312944788</v>
      </c>
      <c r="N22" s="133">
        <f>IF(SER_hh_fech!N22=0,0,SER_hh_fech!N22/SER_summary!N$26)</f>
        <v>25.313686847124401</v>
      </c>
      <c r="O22" s="133">
        <f>IF(SER_hh_fech!O22=0,0,SER_hh_fech!O22/SER_summary!O$26)</f>
        <v>24.897458424017312</v>
      </c>
      <c r="P22" s="133">
        <f>IF(SER_hh_fech!P22=0,0,SER_hh_fech!P22/SER_summary!P$26)</f>
        <v>24.57239886423697</v>
      </c>
      <c r="Q22" s="133">
        <f>IF(SER_hh_fech!Q22=0,0,SER_hh_fech!Q22/SER_summary!Q$26)</f>
        <v>24.265254957789871</v>
      </c>
      <c r="R22" s="133">
        <f>IF(SER_hh_fech!R22=0,0,SER_hh_fech!R22/SER_summary!R$26)</f>
        <v>23.823824815266359</v>
      </c>
      <c r="S22" s="133">
        <f>IF(SER_hh_fech!S22=0,0,SER_hh_fech!S22/SER_summary!S$26)</f>
        <v>23.202906724811047</v>
      </c>
      <c r="T22" s="133">
        <f>IF(SER_hh_fech!T22=0,0,SER_hh_fech!T22/SER_summary!T$26)</f>
        <v>22.884912841816131</v>
      </c>
      <c r="U22" s="133">
        <f>IF(SER_hh_fech!U22=0,0,SER_hh_fech!U22/SER_summary!U$26)</f>
        <v>22.404996913169189</v>
      </c>
      <c r="V22" s="133">
        <f>IF(SER_hh_fech!V22=0,0,SER_hh_fech!V22/SER_summary!V$26)</f>
        <v>21.037990907412709</v>
      </c>
      <c r="W22" s="133">
        <f>IF(SER_hh_fech!W22=0,0,SER_hh_fech!W22/SER_summary!W$26)</f>
        <v>21.251694099526784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28.777499769510033</v>
      </c>
      <c r="C23" s="133">
        <f>IF(SER_hh_fech!C23=0,0,SER_hh_fech!C23/SER_summary!C$26)</f>
        <v>28.255007394774452</v>
      </c>
      <c r="D23" s="133">
        <f>IF(SER_hh_fech!D23=0,0,SER_hh_fech!D23/SER_summary!D$26)</f>
        <v>29.113186588915728</v>
      </c>
      <c r="E23" s="133">
        <f>IF(SER_hh_fech!E23=0,0,SER_hh_fech!E23/SER_summary!E$26)</f>
        <v>27.681288561698675</v>
      </c>
      <c r="F23" s="133">
        <f>IF(SER_hh_fech!F23=0,0,SER_hh_fech!F23/SER_summary!F$26)</f>
        <v>27.167127086136883</v>
      </c>
      <c r="G23" s="133">
        <f>IF(SER_hh_fech!G23=0,0,SER_hh_fech!G23/SER_summary!G$26)</f>
        <v>26.654840834670395</v>
      </c>
      <c r="H23" s="133">
        <f>IF(SER_hh_fech!H23=0,0,SER_hh_fech!H23/SER_summary!H$26)</f>
        <v>26.029260967365058</v>
      </c>
      <c r="I23" s="133">
        <f>IF(SER_hh_fech!I23=0,0,SER_hh_fech!I23/SER_summary!I$26)</f>
        <v>24.883434324729411</v>
      </c>
      <c r="J23" s="133">
        <f>IF(SER_hh_fech!J23=0,0,SER_hh_fech!J23/SER_summary!J$26)</f>
        <v>24.118367147468227</v>
      </c>
      <c r="K23" s="133">
        <f>IF(SER_hh_fech!K23=0,0,SER_hh_fech!K23/SER_summary!K$26)</f>
        <v>23.887607335992701</v>
      </c>
      <c r="L23" s="133">
        <f>IF(SER_hh_fech!L23=0,0,SER_hh_fech!L23/SER_summary!L$26)</f>
        <v>23.286965416195809</v>
      </c>
      <c r="M23" s="133">
        <f>IF(SER_hh_fech!M23=0,0,SER_hh_fech!M23/SER_summary!M$26)</f>
        <v>22.396633051456693</v>
      </c>
      <c r="N23" s="133">
        <f>IF(SER_hh_fech!N23=0,0,SER_hh_fech!N23/SER_summary!N$26)</f>
        <v>23.297714533955048</v>
      </c>
      <c r="O23" s="133">
        <f>IF(SER_hh_fech!O23=0,0,SER_hh_fech!O23/SER_summary!O$26)</f>
        <v>23.071023656189425</v>
      </c>
      <c r="P23" s="133">
        <f>IF(SER_hh_fech!P23=0,0,SER_hh_fech!P23/SER_summary!P$26)</f>
        <v>21.587368969212687</v>
      </c>
      <c r="Q23" s="133">
        <f>IF(SER_hh_fech!Q23=0,0,SER_hh_fech!Q23/SER_summary!Q$26)</f>
        <v>21.124793096164591</v>
      </c>
      <c r="R23" s="133">
        <f>IF(SER_hh_fech!R23=0,0,SER_hh_fech!R23/SER_summary!R$26)</f>
        <v>21.031011455970425</v>
      </c>
      <c r="S23" s="133">
        <f>IF(SER_hh_fech!S23=0,0,SER_hh_fech!S23/SER_summary!S$26)</f>
        <v>21.551168746533339</v>
      </c>
      <c r="T23" s="133">
        <f>IF(SER_hh_fech!T23=0,0,SER_hh_fech!T23/SER_summary!T$26)</f>
        <v>21.168951451475941</v>
      </c>
      <c r="U23" s="133">
        <f>IF(SER_hh_fech!U23=0,0,SER_hh_fech!U23/SER_summary!U$26)</f>
        <v>21.000941147993135</v>
      </c>
      <c r="V23" s="133">
        <f>IF(SER_hh_fech!V23=0,0,SER_hh_fech!V23/SER_summary!V$26)</f>
        <v>18.768595990670381</v>
      </c>
      <c r="W23" s="133">
        <f>IF(SER_hh_fech!W23=0,0,SER_hh_fech!W23/SER_summary!W$26)</f>
        <v>19.589622309008732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19.571657825798034</v>
      </c>
      <c r="C25" s="133">
        <f>IF(SER_hh_fech!C25=0,0,SER_hh_fech!C25/SER_summary!C$26)</f>
        <v>19.241798195006606</v>
      </c>
      <c r="D25" s="133">
        <f>IF(SER_hh_fech!D25=0,0,SER_hh_fech!D25/SER_summary!D$26)</f>
        <v>19.32550785536613</v>
      </c>
      <c r="E25" s="133">
        <f>IF(SER_hh_fech!E25=0,0,SER_hh_fech!E25/SER_summary!E$26)</f>
        <v>18.98583802644465</v>
      </c>
      <c r="F25" s="133">
        <f>IF(SER_hh_fech!F25=0,0,SER_hh_fech!F25/SER_summary!F$26)</f>
        <v>18.689401247880202</v>
      </c>
      <c r="G25" s="133">
        <f>IF(SER_hh_fech!G25=0,0,SER_hh_fech!G25/SER_summary!G$26)</f>
        <v>18.483383333936214</v>
      </c>
      <c r="H25" s="133">
        <f>IF(SER_hh_fech!H25=0,0,SER_hh_fech!H25/SER_summary!H$26)</f>
        <v>18.052584574726417</v>
      </c>
      <c r="I25" s="133">
        <f>IF(SER_hh_fech!I25=0,0,SER_hh_fech!I25/SER_summary!I$26)</f>
        <v>17.627994006178298</v>
      </c>
      <c r="J25" s="133">
        <f>IF(SER_hh_fech!J25=0,0,SER_hh_fech!J25/SER_summary!J$26)</f>
        <v>17.211369212335438</v>
      </c>
      <c r="K25" s="133">
        <f>IF(SER_hh_fech!K25=0,0,SER_hh_fech!K25/SER_summary!K$26)</f>
        <v>17.341735014693338</v>
      </c>
      <c r="L25" s="133">
        <f>IF(SER_hh_fech!L25=0,0,SER_hh_fech!L25/SER_summary!L$26)</f>
        <v>17.176892581357851</v>
      </c>
      <c r="M25" s="133">
        <f>IF(SER_hh_fech!M25=0,0,SER_hh_fech!M25/SER_summary!M$26)</f>
        <v>17.135652668598972</v>
      </c>
      <c r="N25" s="133">
        <f>IF(SER_hh_fech!N25=0,0,SER_hh_fech!N25/SER_summary!N$26)</f>
        <v>17.26296154464525</v>
      </c>
      <c r="O25" s="133">
        <f>IF(SER_hh_fech!O25=0,0,SER_hh_fech!O25/SER_summary!O$26)</f>
        <v>16.947754994630284</v>
      </c>
      <c r="P25" s="133">
        <f>IF(SER_hh_fech!P25=0,0,SER_hh_fech!P25/SER_summary!P$26)</f>
        <v>16.385239614024954</v>
      </c>
      <c r="Q25" s="133">
        <f>IF(SER_hh_fech!Q25=0,0,SER_hh_fech!Q25/SER_summary!Q$26)</f>
        <v>16.522651069611296</v>
      </c>
      <c r="R25" s="133">
        <f>IF(SER_hh_fech!R25=0,0,SER_hh_fech!R25/SER_summary!R$26)</f>
        <v>16.752872238013758</v>
      </c>
      <c r="S25" s="133">
        <f>IF(SER_hh_fech!S25=0,0,SER_hh_fech!S25/SER_summary!S$26)</f>
        <v>16.580682291194933</v>
      </c>
      <c r="T25" s="133">
        <f>IF(SER_hh_fech!T25=0,0,SER_hh_fech!T25/SER_summary!T$26)</f>
        <v>16.780458952069655</v>
      </c>
      <c r="U25" s="133">
        <f>IF(SER_hh_fech!U25=0,0,SER_hh_fech!U25/SER_summary!U$26)</f>
        <v>16.569029176868295</v>
      </c>
      <c r="V25" s="133">
        <f>IF(SER_hh_fech!V25=0,0,SER_hh_fech!V25/SER_summary!V$26)</f>
        <v>16.129062665367766</v>
      </c>
      <c r="W25" s="133">
        <f>IF(SER_hh_fech!W25=0,0,SER_hh_fech!W25/SER_summary!W$26)</f>
        <v>16.045798339866472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23.689908474325616</v>
      </c>
      <c r="C26" s="65">
        <f>IF(SER_hh_fech!C26=0,0,SER_hh_fech!C26/SER_summary!C$26)</f>
        <v>23.260182941316678</v>
      </c>
      <c r="D26" s="65">
        <f>IF(SER_hh_fech!D26=0,0,SER_hh_fech!D26/SER_summary!D$26)</f>
        <v>22.551908467997368</v>
      </c>
      <c r="E26" s="65">
        <f>IF(SER_hh_fech!E26=0,0,SER_hh_fech!E26/SER_summary!E$26)</f>
        <v>22.783794354815036</v>
      </c>
      <c r="F26" s="65">
        <f>IF(SER_hh_fech!F26=0,0,SER_hh_fech!F26/SER_summary!F$26)</f>
        <v>23.046351651576</v>
      </c>
      <c r="G26" s="65">
        <f>IF(SER_hh_fech!G26=0,0,SER_hh_fech!G26/SER_summary!G$26)</f>
        <v>22.486131166655458</v>
      </c>
      <c r="H26" s="65">
        <f>IF(SER_hh_fech!H26=0,0,SER_hh_fech!H26/SER_summary!H$26)</f>
        <v>21.634961313784661</v>
      </c>
      <c r="I26" s="65">
        <f>IF(SER_hh_fech!I26=0,0,SER_hh_fech!I26/SER_summary!I$26)</f>
        <v>20.871291148012691</v>
      </c>
      <c r="J26" s="65">
        <f>IF(SER_hh_fech!J26=0,0,SER_hh_fech!J26/SER_summary!J$26)</f>
        <v>20.428633494584744</v>
      </c>
      <c r="K26" s="65">
        <f>IF(SER_hh_fech!K26=0,0,SER_hh_fech!K26/SER_summary!K$26)</f>
        <v>20.563611782119793</v>
      </c>
      <c r="L26" s="65">
        <f>IF(SER_hh_fech!L26=0,0,SER_hh_fech!L26/SER_summary!L$26)</f>
        <v>20.366151988127417</v>
      </c>
      <c r="M26" s="65">
        <f>IF(SER_hh_fech!M26=0,0,SER_hh_fech!M26/SER_summary!M$26)</f>
        <v>20.2322625782278</v>
      </c>
      <c r="N26" s="65">
        <f>IF(SER_hh_fech!N26=0,0,SER_hh_fech!N26/SER_summary!N$26)</f>
        <v>19.350704340150731</v>
      </c>
      <c r="O26" s="65">
        <f>IF(SER_hh_fech!O26=0,0,SER_hh_fech!O26/SER_summary!O$26)</f>
        <v>19.229386732145208</v>
      </c>
      <c r="P26" s="65">
        <f>IF(SER_hh_fech!P26=0,0,SER_hh_fech!P26/SER_summary!P$26)</f>
        <v>19.988985883687477</v>
      </c>
      <c r="Q26" s="65">
        <f>IF(SER_hh_fech!Q26=0,0,SER_hh_fech!Q26/SER_summary!Q$26)</f>
        <v>19.651774942945476</v>
      </c>
      <c r="R26" s="65">
        <f>IF(SER_hh_fech!R26=0,0,SER_hh_fech!R26/SER_summary!R$26)</f>
        <v>19.247242626248966</v>
      </c>
      <c r="S26" s="65">
        <f>IF(SER_hh_fech!S26=0,0,SER_hh_fech!S26/SER_summary!S$26)</f>
        <v>18.504869432354891</v>
      </c>
      <c r="T26" s="65">
        <f>IF(SER_hh_fech!T26=0,0,SER_hh_fech!T26/SER_summary!T$26)</f>
        <v>18.211942123727738</v>
      </c>
      <c r="U26" s="65">
        <f>IF(SER_hh_fech!U26=0,0,SER_hh_fech!U26/SER_summary!U$26)</f>
        <v>17.845105077304027</v>
      </c>
      <c r="V26" s="65">
        <f>IF(SER_hh_fech!V26=0,0,SER_hh_fech!V26/SER_summary!V$26)</f>
        <v>17.880568264804875</v>
      </c>
      <c r="W26" s="65">
        <f>IF(SER_hh_fech!W26=0,0,SER_hh_fech!W26/SER_summary!W$26)</f>
        <v>17.264105999896376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7.2245703098311478E-2</v>
      </c>
      <c r="C27" s="146">
        <f>IF(SER_hh_fech!C27=0,0,SER_hh_fech!C27/SER_summary!C$26)</f>
        <v>7.9743523888553575E-2</v>
      </c>
      <c r="D27" s="146">
        <f>IF(SER_hh_fech!D27=0,0,SER_hh_fech!D27/SER_summary!D$26)</f>
        <v>8.9149426696046127E-2</v>
      </c>
      <c r="E27" s="146">
        <f>IF(SER_hh_fech!E27=0,0,SER_hh_fech!E27/SER_summary!E$26)</f>
        <v>9.6549935788273838E-2</v>
      </c>
      <c r="F27" s="146">
        <f>IF(SER_hh_fech!F27=0,0,SER_hh_fech!F27/SER_summary!F$26)</f>
        <v>0.10470709336750433</v>
      </c>
      <c r="G27" s="146">
        <f>IF(SER_hh_fech!G27=0,0,SER_hh_fech!G27/SER_summary!G$26)</f>
        <v>0.11002034088027372</v>
      </c>
      <c r="H27" s="146">
        <f>IF(SER_hh_fech!H27=0,0,SER_hh_fech!H27/SER_summary!H$26)</f>
        <v>0.11249997830331743</v>
      </c>
      <c r="I27" s="146">
        <f>IF(SER_hh_fech!I27=0,0,SER_hh_fech!I27/SER_summary!I$26)</f>
        <v>0.1155742521568528</v>
      </c>
      <c r="J27" s="146">
        <f>IF(SER_hh_fech!J27=0,0,SER_hh_fech!J27/SER_summary!J$26)</f>
        <v>0.11994677366794894</v>
      </c>
      <c r="K27" s="146">
        <f>IF(SER_hh_fech!K27=0,0,SER_hh_fech!K27/SER_summary!K$26)</f>
        <v>0.13182732912778788</v>
      </c>
      <c r="L27" s="146">
        <f>IF(SER_hh_fech!L27=0,0,SER_hh_fech!L27/SER_summary!L$26)</f>
        <v>0.14036411842228741</v>
      </c>
      <c r="M27" s="146">
        <f>IF(SER_hh_fech!M27=0,0,SER_hh_fech!M27/SER_summary!M$26)</f>
        <v>0.14482991632525491</v>
      </c>
      <c r="N27" s="146">
        <f>IF(SER_hh_fech!N27=0,0,SER_hh_fech!N27/SER_summary!N$26)</f>
        <v>0.14855085480060368</v>
      </c>
      <c r="O27" s="146">
        <f>IF(SER_hh_fech!O27=0,0,SER_hh_fech!O27/SER_summary!O$26)</f>
        <v>0.15380616741861972</v>
      </c>
      <c r="P27" s="146">
        <f>IF(SER_hh_fech!P27=0,0,SER_hh_fech!P27/SER_summary!P$26)</f>
        <v>0.15724518735316498</v>
      </c>
      <c r="Q27" s="146">
        <f>IF(SER_hh_fech!Q27=0,0,SER_hh_fech!Q27/SER_summary!Q$26)</f>
        <v>0.15564174224103425</v>
      </c>
      <c r="R27" s="146">
        <f>IF(SER_hh_fech!R27=0,0,SER_hh_fech!R27/SER_summary!R$26)</f>
        <v>0.15633017657843559</v>
      </c>
      <c r="S27" s="146">
        <f>IF(SER_hh_fech!S27=0,0,SER_hh_fech!S27/SER_summary!S$26)</f>
        <v>0.15462157764969417</v>
      </c>
      <c r="T27" s="146">
        <f>IF(SER_hh_fech!T27=0,0,SER_hh_fech!T27/SER_summary!T$26)</f>
        <v>0.15568775142203833</v>
      </c>
      <c r="U27" s="146">
        <f>IF(SER_hh_fech!U27=0,0,SER_hh_fech!U27/SER_summary!U$26)</f>
        <v>0.1581275465375292</v>
      </c>
      <c r="V27" s="146">
        <f>IF(SER_hh_fech!V27=0,0,SER_hh_fech!V27/SER_summary!V$26)</f>
        <v>0.15656486882597961</v>
      </c>
      <c r="W27" s="146">
        <f>IF(SER_hh_fech!W27=0,0,SER_hh_fech!W27/SER_summary!W$26)</f>
        <v>0.15435831216713128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7.8737973103939698</v>
      </c>
      <c r="C28" s="147">
        <f>IF(SER_hh_fech!C28=0,0,SER_hh_fech!C28/SER_summary!C$26)</f>
        <v>8.654491222340102</v>
      </c>
      <c r="D28" s="147">
        <f>IF(SER_hh_fech!D28=0,0,SER_hh_fech!D28/SER_summary!D$26)</f>
        <v>8.2108853032245914</v>
      </c>
      <c r="E28" s="147">
        <f>IF(SER_hh_fech!E28=0,0,SER_hh_fech!E28/SER_summary!E$26)</f>
        <v>8.3457236854455097</v>
      </c>
      <c r="F28" s="147">
        <f>IF(SER_hh_fech!F28=0,0,SER_hh_fech!F28/SER_summary!F$26)</f>
        <v>8.3720689269697832</v>
      </c>
      <c r="G28" s="147">
        <f>IF(SER_hh_fech!G28=0,0,SER_hh_fech!G28/SER_summary!G$26)</f>
        <v>8.1380611728299481</v>
      </c>
      <c r="H28" s="147">
        <f>IF(SER_hh_fech!H28=0,0,SER_hh_fech!H28/SER_summary!H$26)</f>
        <v>8.079598732479969</v>
      </c>
      <c r="I28" s="147">
        <f>IF(SER_hh_fech!I28=0,0,SER_hh_fech!I28/SER_summary!I$26)</f>
        <v>7.3141011338921729</v>
      </c>
      <c r="J28" s="147">
        <f>IF(SER_hh_fech!J28=0,0,SER_hh_fech!J28/SER_summary!J$26)</f>
        <v>7.9685563068939178</v>
      </c>
      <c r="K28" s="147">
        <f>IF(SER_hh_fech!K28=0,0,SER_hh_fech!K28/SER_summary!K$26)</f>
        <v>7.7927078127680502</v>
      </c>
      <c r="L28" s="147">
        <f>IF(SER_hh_fech!L28=0,0,SER_hh_fech!L28/SER_summary!L$26)</f>
        <v>8.9341321689671958</v>
      </c>
      <c r="M28" s="147">
        <f>IF(SER_hh_fech!M28=0,0,SER_hh_fech!M28/SER_summary!M$26)</f>
        <v>8.2282568042928279</v>
      </c>
      <c r="N28" s="147">
        <f>IF(SER_hh_fech!N28=0,0,SER_hh_fech!N28/SER_summary!N$26)</f>
        <v>8.5819000672704586</v>
      </c>
      <c r="O28" s="147">
        <f>IF(SER_hh_fech!O28=0,0,SER_hh_fech!O28/SER_summary!O$26)</f>
        <v>8.4629366533430339</v>
      </c>
      <c r="P28" s="147">
        <f>IF(SER_hh_fech!P28=0,0,SER_hh_fech!P28/SER_summary!P$26)</f>
        <v>8.1675036016099192</v>
      </c>
      <c r="Q28" s="147">
        <f>IF(SER_hh_fech!Q28=0,0,SER_hh_fech!Q28/SER_summary!Q$26)</f>
        <v>8.0234020392520033</v>
      </c>
      <c r="R28" s="147">
        <f>IF(SER_hh_fech!R28=0,0,SER_hh_fech!R28/SER_summary!R$26)</f>
        <v>7.7454209443212925</v>
      </c>
      <c r="S28" s="147">
        <f>IF(SER_hh_fech!S28=0,0,SER_hh_fech!S28/SER_summary!S$26)</f>
        <v>7.7088603268572031</v>
      </c>
      <c r="T28" s="147">
        <f>IF(SER_hh_fech!T28=0,0,SER_hh_fech!T28/SER_summary!T$26)</f>
        <v>8.0433953483104954</v>
      </c>
      <c r="U28" s="147">
        <f>IF(SER_hh_fech!U28=0,0,SER_hh_fech!U28/SER_summary!U$26)</f>
        <v>8.2989230120942317</v>
      </c>
      <c r="V28" s="147">
        <f>IF(SER_hh_fech!V28=0,0,SER_hh_fech!V28/SER_summary!V$26)</f>
        <v>8.1780396558877069</v>
      </c>
      <c r="W28" s="147">
        <f>IF(SER_hh_fech!W28=0,0,SER_hh_fech!W28/SER_summary!W$26)</f>
        <v>8.2767362044443669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20.891279179229066</v>
      </c>
      <c r="C29" s="131">
        <f>IF(SER_hh_fech!C29=0,0,SER_hh_fech!C29/SER_summary!C$26)</f>
        <v>20.751251213787278</v>
      </c>
      <c r="D29" s="131">
        <f>IF(SER_hh_fech!D29=0,0,SER_hh_fech!D29/SER_summary!D$26)</f>
        <v>20.785574516998203</v>
      </c>
      <c r="E29" s="131">
        <f>IF(SER_hh_fech!E29=0,0,SER_hh_fech!E29/SER_summary!E$26)</f>
        <v>20.909234154157726</v>
      </c>
      <c r="F29" s="131">
        <f>IF(SER_hh_fech!F29=0,0,SER_hh_fech!F29/SER_summary!F$26)</f>
        <v>21.172846078132842</v>
      </c>
      <c r="G29" s="131">
        <f>IF(SER_hh_fech!G29=0,0,SER_hh_fech!G29/SER_summary!G$26)</f>
        <v>21.136482980532776</v>
      </c>
      <c r="H29" s="131">
        <f>IF(SER_hh_fech!H29=0,0,SER_hh_fech!H29/SER_summary!H$26)</f>
        <v>20.866939308178925</v>
      </c>
      <c r="I29" s="131">
        <f>IF(SER_hh_fech!I29=0,0,SER_hh_fech!I29/SER_summary!I$26)</f>
        <v>20.513724916817662</v>
      </c>
      <c r="J29" s="131">
        <f>IF(SER_hh_fech!J29=0,0,SER_hh_fech!J29/SER_summary!J$26)</f>
        <v>20.428432843968228</v>
      </c>
      <c r="K29" s="131">
        <f>IF(SER_hh_fech!K29=0,0,SER_hh_fech!K29/SER_summary!K$26)</f>
        <v>20.670312554056586</v>
      </c>
      <c r="L29" s="131">
        <f>IF(SER_hh_fech!L29=0,0,SER_hh_fech!L29/SER_summary!L$26)</f>
        <v>20.565687210431516</v>
      </c>
      <c r="M29" s="131">
        <f>IF(SER_hh_fech!M29=0,0,SER_hh_fech!M29/SER_summary!M$26)</f>
        <v>20.267801771722638</v>
      </c>
      <c r="N29" s="131">
        <f>IF(SER_hh_fech!N29=0,0,SER_hh_fech!N29/SER_summary!N$26)</f>
        <v>20.227294361719796</v>
      </c>
      <c r="O29" s="131">
        <f>IF(SER_hh_fech!O29=0,0,SER_hh_fech!O29/SER_summary!O$26)</f>
        <v>20.378560255464716</v>
      </c>
      <c r="P29" s="131">
        <f>IF(SER_hh_fech!P29=0,0,SER_hh_fech!P29/SER_summary!P$26)</f>
        <v>20.388021800331892</v>
      </c>
      <c r="Q29" s="131">
        <f>IF(SER_hh_fech!Q29=0,0,SER_hh_fech!Q29/SER_summary!Q$26)</f>
        <v>20.150995205281443</v>
      </c>
      <c r="R29" s="131">
        <f>IF(SER_hh_fech!R29=0,0,SER_hh_fech!R29/SER_summary!R$26)</f>
        <v>19.998609072251476</v>
      </c>
      <c r="S29" s="131">
        <f>IF(SER_hh_fech!S29=0,0,SER_hh_fech!S29/SER_summary!S$26)</f>
        <v>19.937596143929643</v>
      </c>
      <c r="T29" s="131">
        <f>IF(SER_hh_fech!T29=0,0,SER_hh_fech!T29/SER_summary!T$26)</f>
        <v>19.811336740186626</v>
      </c>
      <c r="U29" s="131">
        <f>IF(SER_hh_fech!U29=0,0,SER_hh_fech!U29/SER_summary!U$26)</f>
        <v>19.655905539094167</v>
      </c>
      <c r="V29" s="131">
        <f>IF(SER_hh_fech!V29=0,0,SER_hh_fech!V29/SER_summary!V$26)</f>
        <v>19.151015419281631</v>
      </c>
      <c r="W29" s="131">
        <f>IF(SER_hh_fech!W29=0,0,SER_hh_fech!W29/SER_summary!W$26)</f>
        <v>19.090616665435991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23.373429820866885</v>
      </c>
      <c r="C30" s="133">
        <f>IF(SER_hh_fech!C30=0,0,SER_hh_fech!C30/SER_summary!C$26)</f>
        <v>24.47359387829805</v>
      </c>
      <c r="D30" s="133">
        <f>IF(SER_hh_fech!D30=0,0,SER_hh_fech!D30/SER_summary!D$26)</f>
        <v>26.051995770193066</v>
      </c>
      <c r="E30" s="133">
        <f>IF(SER_hh_fech!E30=0,0,SER_hh_fech!E30/SER_summary!E$26)</f>
        <v>23.470873280229217</v>
      </c>
      <c r="F30" s="133">
        <f>IF(SER_hh_fech!F30=0,0,SER_hh_fech!F30/SER_summary!F$26)</f>
        <v>24.877103750486526</v>
      </c>
      <c r="G30" s="133">
        <f>IF(SER_hh_fech!G30=0,0,SER_hh_fech!G30/SER_summary!G$26)</f>
        <v>24.454371817937528</v>
      </c>
      <c r="H30" s="133">
        <f>IF(SER_hh_fech!H30=0,0,SER_hh_fech!H30/SER_summary!H$26)</f>
        <v>31.604572634534932</v>
      </c>
      <c r="I30" s="133">
        <f>IF(SER_hh_fech!I30=0,0,SER_hh_fech!I30/SER_summary!I$26)</f>
        <v>19.546646616520039</v>
      </c>
      <c r="J30" s="133">
        <f>IF(SER_hh_fech!J30=0,0,SER_hh_fech!J30/SER_summary!J$26)</f>
        <v>17.419936501773513</v>
      </c>
      <c r="K30" s="133">
        <f>IF(SER_hh_fech!K30=0,0,SER_hh_fech!K30/SER_summary!K$26)</f>
        <v>26.779051507658103</v>
      </c>
      <c r="L30" s="133">
        <f>IF(SER_hh_fech!L30=0,0,SER_hh_fech!L30/SER_summary!L$26)</f>
        <v>30.332375704349353</v>
      </c>
      <c r="M30" s="133">
        <f>IF(SER_hh_fech!M30=0,0,SER_hh_fech!M30/SER_summary!M$26)</f>
        <v>18.638705098622498</v>
      </c>
      <c r="N30" s="133">
        <f>IF(SER_hh_fech!N30=0,0,SER_hh_fech!N30/SER_summary!N$26)</f>
        <v>27.32604561739894</v>
      </c>
      <c r="O30" s="133">
        <f>IF(SER_hh_fech!O30=0,0,SER_hh_fech!O30/SER_summary!O$26)</f>
        <v>28.80809631249867</v>
      </c>
      <c r="P30" s="133">
        <f>IF(SER_hh_fech!P30=0,0,SER_hh_fech!P30/SER_summary!P$26)</f>
        <v>4.2825058583146127</v>
      </c>
      <c r="Q30" s="133">
        <f>IF(SER_hh_fech!Q30=0,0,SER_hh_fech!Q30/SER_summary!Q$26)</f>
        <v>29.453254176851644</v>
      </c>
      <c r="R30" s="133">
        <f>IF(SER_hh_fech!R30=0,0,SER_hh_fech!R30/SER_summary!R$26)</f>
        <v>23.259528100536496</v>
      </c>
      <c r="S30" s="133">
        <f>IF(SER_hh_fech!S30=0,0,SER_hh_fech!S30/SER_summary!S$26)</f>
        <v>20.854999309622016</v>
      </c>
      <c r="T30" s="133">
        <f>IF(SER_hh_fech!T30=0,0,SER_hh_fech!T30/SER_summary!T$26)</f>
        <v>25.225355659496142</v>
      </c>
      <c r="U30" s="133">
        <f>IF(SER_hh_fech!U30=0,0,SER_hh_fech!U30/SER_summary!U$26)</f>
        <v>31.333640538726588</v>
      </c>
      <c r="V30" s="133">
        <f>IF(SER_hh_fech!V30=0,0,SER_hh_fech!V30/SER_summary!V$26)</f>
        <v>23.36262356730667</v>
      </c>
      <c r="W30" s="133">
        <f>IF(SER_hh_fech!W30=0,0,SER_hh_fech!W30/SER_summary!W$26)</f>
        <v>21.568157680936743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24.342063623938905</v>
      </c>
      <c r="C31" s="133">
        <f>IF(SER_hh_fech!C31=0,0,SER_hh_fech!C31/SER_summary!C$26)</f>
        <v>24.456806362111127</v>
      </c>
      <c r="D31" s="133">
        <f>IF(SER_hh_fech!D31=0,0,SER_hh_fech!D31/SER_summary!D$26)</f>
        <v>24.154167211046435</v>
      </c>
      <c r="E31" s="133">
        <f>IF(SER_hh_fech!E31=0,0,SER_hh_fech!E31/SER_summary!E$26)</f>
        <v>24.848923203569321</v>
      </c>
      <c r="F31" s="133">
        <f>IF(SER_hh_fech!F31=0,0,SER_hh_fech!F31/SER_summary!F$26)</f>
        <v>24.717252255519423</v>
      </c>
      <c r="G31" s="133">
        <f>IF(SER_hh_fech!G31=0,0,SER_hh_fech!G31/SER_summary!G$26)</f>
        <v>24.600579858193896</v>
      </c>
      <c r="H31" s="133">
        <f>IF(SER_hh_fech!H31=0,0,SER_hh_fech!H31/SER_summary!H$26)</f>
        <v>22.914869931840943</v>
      </c>
      <c r="I31" s="133">
        <f>IF(SER_hh_fech!I31=0,0,SER_hh_fech!I31/SER_summary!I$26)</f>
        <v>24.991501077829998</v>
      </c>
      <c r="J31" s="133">
        <f>IF(SER_hh_fech!J31=0,0,SER_hh_fech!J31/SER_summary!J$26)</f>
        <v>25.424271106933645</v>
      </c>
      <c r="K31" s="133">
        <f>IF(SER_hh_fech!K31=0,0,SER_hh_fech!K31/SER_summary!K$26)</f>
        <v>23.96111115262919</v>
      </c>
      <c r="L31" s="133">
        <f>IF(SER_hh_fech!L31=0,0,SER_hh_fech!L31/SER_summary!L$26)</f>
        <v>23.133181132049746</v>
      </c>
      <c r="M31" s="133">
        <f>IF(SER_hh_fech!M31=0,0,SER_hh_fech!M31/SER_summary!M$26)</f>
        <v>24.984421005275891</v>
      </c>
      <c r="N31" s="133">
        <f>IF(SER_hh_fech!N31=0,0,SER_hh_fech!N31/SER_summary!N$26)</f>
        <v>23.554251040985875</v>
      </c>
      <c r="O31" s="133">
        <f>IF(SER_hh_fech!O31=0,0,SER_hh_fech!O31/SER_summary!O$26)</f>
        <v>23.615470208554868</v>
      </c>
      <c r="P31" s="133">
        <f>IF(SER_hh_fech!P31=0,0,SER_hh_fech!P31/SER_summary!P$26)</f>
        <v>26.376181726093531</v>
      </c>
      <c r="Q31" s="133">
        <f>IF(SER_hh_fech!Q31=0,0,SER_hh_fech!Q31/SER_summary!Q$26)</f>
        <v>23.353489863933003</v>
      </c>
      <c r="R31" s="133">
        <f>IF(SER_hh_fech!R31=0,0,SER_hh_fech!R31/SER_summary!R$26)</f>
        <v>24.012806178156175</v>
      </c>
      <c r="S31" s="133">
        <f>IF(SER_hh_fech!S31=0,0,SER_hh_fech!S31/SER_summary!S$26)</f>
        <v>25.119315771843496</v>
      </c>
      <c r="T31" s="133">
        <f>IF(SER_hh_fech!T31=0,0,SER_hh_fech!T31/SER_summary!T$26)</f>
        <v>23.736612030947473</v>
      </c>
      <c r="U31" s="133">
        <f>IF(SER_hh_fech!U31=0,0,SER_hh_fech!U31/SER_summary!U$26)</f>
        <v>21.192729224032185</v>
      </c>
      <c r="V31" s="133">
        <f>IF(SER_hh_fech!V31=0,0,SER_hh_fech!V31/SER_summary!V$26)</f>
        <v>23.664605840448225</v>
      </c>
      <c r="W31" s="133">
        <f>IF(SER_hh_fech!W31=0,0,SER_hh_fech!W31/SER_summary!W$26)</f>
        <v>25.373812196506279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18.968335579077745</v>
      </c>
      <c r="C33" s="68">
        <f>IF(SER_hh_fech!C33=0,0,SER_hh_fech!C33/SER_summary!C$26)</f>
        <v>18.555702855225828</v>
      </c>
      <c r="D33" s="68">
        <f>IF(SER_hh_fech!D33=0,0,SER_hh_fech!D33/SER_summary!D$26)</f>
        <v>18.542685777823049</v>
      </c>
      <c r="E33" s="68">
        <f>IF(SER_hh_fech!E33=0,0,SER_hh_fech!E33/SER_summary!E$26)</f>
        <v>18.642463251230275</v>
      </c>
      <c r="F33" s="68">
        <f>IF(SER_hh_fech!F33=0,0,SER_hh_fech!F33/SER_summary!F$26)</f>
        <v>18.926308701509438</v>
      </c>
      <c r="G33" s="68">
        <f>IF(SER_hh_fech!G33=0,0,SER_hh_fech!G33/SER_summary!G$26)</f>
        <v>18.995532457898072</v>
      </c>
      <c r="H33" s="68">
        <f>IF(SER_hh_fech!H33=0,0,SER_hh_fech!H33/SER_summary!H$26)</f>
        <v>18.621943231064897</v>
      </c>
      <c r="I33" s="68">
        <f>IF(SER_hh_fech!I33=0,0,SER_hh_fech!I33/SER_summary!I$26)</f>
        <v>18.314691242534742</v>
      </c>
      <c r="J33" s="68">
        <f>IF(SER_hh_fech!J33=0,0,SER_hh_fech!J33/SER_summary!J$26)</f>
        <v>18.109630266212424</v>
      </c>
      <c r="K33" s="68">
        <f>IF(SER_hh_fech!K33=0,0,SER_hh_fech!K33/SER_summary!K$26)</f>
        <v>18.486604201280851</v>
      </c>
      <c r="L33" s="68">
        <f>IF(SER_hh_fech!L33=0,0,SER_hh_fech!L33/SER_summary!L$26)</f>
        <v>18.456027656385967</v>
      </c>
      <c r="M33" s="68">
        <f>IF(SER_hh_fech!M33=0,0,SER_hh_fech!M33/SER_summary!M$26)</f>
        <v>18.09212216405875</v>
      </c>
      <c r="N33" s="68">
        <f>IF(SER_hh_fech!N33=0,0,SER_hh_fech!N33/SER_summary!N$26)</f>
        <v>18.118324495887133</v>
      </c>
      <c r="O33" s="68">
        <f>IF(SER_hh_fech!O33=0,0,SER_hh_fech!O33/SER_summary!O$26)</f>
        <v>18.276277256124967</v>
      </c>
      <c r="P33" s="68">
        <f>IF(SER_hh_fech!P33=0,0,SER_hh_fech!P33/SER_summary!P$26)</f>
        <v>18.553072827535637</v>
      </c>
      <c r="Q33" s="68">
        <f>IF(SER_hh_fech!Q33=0,0,SER_hh_fech!Q33/SER_summary!Q$26)</f>
        <v>18.060312688927866</v>
      </c>
      <c r="R33" s="68">
        <f>IF(SER_hh_fech!R33=0,0,SER_hh_fech!R33/SER_summary!R$26)</f>
        <v>18.049010606988659</v>
      </c>
      <c r="S33" s="68">
        <f>IF(SER_hh_fech!S33=0,0,SER_hh_fech!S33/SER_summary!S$26)</f>
        <v>17.894705351764326</v>
      </c>
      <c r="T33" s="68">
        <f>IF(SER_hh_fech!T33=0,0,SER_hh_fech!T33/SER_summary!T$26)</f>
        <v>17.736627036224583</v>
      </c>
      <c r="U33" s="68">
        <f>IF(SER_hh_fech!U33=0,0,SER_hh_fech!U33/SER_summary!U$26)</f>
        <v>17.441218631335531</v>
      </c>
      <c r="V33" s="68">
        <f>IF(SER_hh_fech!V33=0,0,SER_hh_fech!V33/SER_summary!V$26)</f>
        <v>17.234403662713881</v>
      </c>
      <c r="W33" s="68">
        <f>IF(SER_hh_fech!W33=0,0,SER_hh_fech!W33/SER_summary!W$26)</f>
        <v>16.936252825370509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108.77742612053369</v>
      </c>
      <c r="C3" s="126">
        <f>IF(SER_hh_tesh!C3=0,0,SER_hh_tesh!C3/SER_summary!C$26)</f>
        <v>114.56445780468822</v>
      </c>
      <c r="D3" s="126">
        <f>IF(SER_hh_tesh!D3=0,0,SER_hh_tesh!D3/SER_summary!D$26)</f>
        <v>114.28661971606935</v>
      </c>
      <c r="E3" s="126">
        <f>IF(SER_hh_tesh!E3=0,0,SER_hh_tesh!E3/SER_summary!E$26)</f>
        <v>119.98356095021482</v>
      </c>
      <c r="F3" s="126">
        <f>IF(SER_hh_tesh!F3=0,0,SER_hh_tesh!F3/SER_summary!F$26)</f>
        <v>130.15004197157927</v>
      </c>
      <c r="G3" s="126">
        <f>IF(SER_hh_tesh!G3=0,0,SER_hh_tesh!G3/SER_summary!G$26)</f>
        <v>121.71478377109874</v>
      </c>
      <c r="H3" s="126">
        <f>IF(SER_hh_tesh!H3=0,0,SER_hh_tesh!H3/SER_summary!H$26)</f>
        <v>123.40630138035755</v>
      </c>
      <c r="I3" s="126">
        <f>IF(SER_hh_tesh!I3=0,0,SER_hh_tesh!I3/SER_summary!I$26)</f>
        <v>115.86746264493887</v>
      </c>
      <c r="J3" s="126">
        <f>IF(SER_hh_tesh!J3=0,0,SER_hh_tesh!J3/SER_summary!J$26)</f>
        <v>120.91944580957214</v>
      </c>
      <c r="K3" s="126">
        <f>IF(SER_hh_tesh!K3=0,0,SER_hh_tesh!K3/SER_summary!K$26)</f>
        <v>127.80489118137459</v>
      </c>
      <c r="L3" s="126">
        <f>IF(SER_hh_tesh!L3=0,0,SER_hh_tesh!L3/SER_summary!L$26)</f>
        <v>139.09406786419612</v>
      </c>
      <c r="M3" s="126">
        <f>IF(SER_hh_tesh!M3=0,0,SER_hh_tesh!M3/SER_summary!M$26)</f>
        <v>121.50261216439112</v>
      </c>
      <c r="N3" s="126">
        <f>IF(SER_hh_tesh!N3=0,0,SER_hh_tesh!N3/SER_summary!N$26)</f>
        <v>128.43176735242687</v>
      </c>
      <c r="O3" s="126">
        <f>IF(SER_hh_tesh!O3=0,0,SER_hh_tesh!O3/SER_summary!O$26)</f>
        <v>131.26019182768812</v>
      </c>
      <c r="P3" s="126">
        <f>IF(SER_hh_tesh!P3=0,0,SER_hh_tesh!P3/SER_summary!P$26)</f>
        <v>112.28464226575268</v>
      </c>
      <c r="Q3" s="126">
        <f>IF(SER_hh_tesh!Q3=0,0,SER_hh_tesh!Q3/SER_summary!Q$26)</f>
        <v>116.7288892901036</v>
      </c>
      <c r="R3" s="126">
        <f>IF(SER_hh_tesh!R3=0,0,SER_hh_tesh!R3/SER_summary!R$26)</f>
        <v>117.9348262888511</v>
      </c>
      <c r="S3" s="126">
        <f>IF(SER_hh_tesh!S3=0,0,SER_hh_tesh!S3/SER_summary!S$26)</f>
        <v>120.88243826733968</v>
      </c>
      <c r="T3" s="126">
        <f>IF(SER_hh_tesh!T3=0,0,SER_hh_tesh!T3/SER_summary!T$26)</f>
        <v>122.60344709148285</v>
      </c>
      <c r="U3" s="126">
        <f>IF(SER_hh_tesh!U3=0,0,SER_hh_tesh!U3/SER_summary!U$26)</f>
        <v>119.84314234173858</v>
      </c>
      <c r="V3" s="126">
        <f>IF(SER_hh_tesh!V3=0,0,SER_hh_tesh!V3/SER_summary!V$26)</f>
        <v>113.38952807713746</v>
      </c>
      <c r="W3" s="126">
        <f>IF(SER_hh_tesh!W3=0,0,SER_hh_tesh!W3/SER_summary!W$26)</f>
        <v>118.46592148500456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74.217382126988397</v>
      </c>
      <c r="C4" s="131">
        <f>IF(SER_hh_tesh!C4=0,0,SER_hh_tesh!C4/SER_summary!C$26)</f>
        <v>79.831049464369343</v>
      </c>
      <c r="D4" s="131">
        <f>IF(SER_hh_tesh!D4=0,0,SER_hh_tesh!D4/SER_summary!D$26)</f>
        <v>79.114927224713568</v>
      </c>
      <c r="E4" s="131">
        <f>IF(SER_hh_tesh!E4=0,0,SER_hh_tesh!E4/SER_summary!E$26)</f>
        <v>84.013789691472596</v>
      </c>
      <c r="F4" s="131">
        <f>IF(SER_hh_tesh!F4=0,0,SER_hh_tesh!F4/SER_summary!F$26)</f>
        <v>93.73192577587686</v>
      </c>
      <c r="G4" s="131">
        <f>IF(SER_hh_tesh!G4=0,0,SER_hh_tesh!G4/SER_summary!G$26)</f>
        <v>84.883802230893295</v>
      </c>
      <c r="H4" s="131">
        <f>IF(SER_hh_tesh!H4=0,0,SER_hh_tesh!H4/SER_summary!H$26)</f>
        <v>85.926831080638451</v>
      </c>
      <c r="I4" s="131">
        <f>IF(SER_hh_tesh!I4=0,0,SER_hh_tesh!I4/SER_summary!I$26)</f>
        <v>78.706553152018728</v>
      </c>
      <c r="J4" s="131">
        <f>IF(SER_hh_tesh!J4=0,0,SER_hh_tesh!J4/SER_summary!J$26)</f>
        <v>83.316741461195178</v>
      </c>
      <c r="K4" s="131">
        <f>IF(SER_hh_tesh!K4=0,0,SER_hh_tesh!K4/SER_summary!K$26)</f>
        <v>89.100572558428425</v>
      </c>
      <c r="L4" s="131">
        <f>IF(SER_hh_tesh!L4=0,0,SER_hh_tesh!L4/SER_summary!L$26)</f>
        <v>99.73200511518597</v>
      </c>
      <c r="M4" s="131">
        <f>IF(SER_hh_tesh!M4=0,0,SER_hh_tesh!M4/SER_summary!M$26)</f>
        <v>82.302078517947493</v>
      </c>
      <c r="N4" s="131">
        <f>IF(SER_hh_tesh!N4=0,0,SER_hh_tesh!N4/SER_summary!N$26)</f>
        <v>88.814713328985064</v>
      </c>
      <c r="O4" s="131">
        <f>IF(SER_hh_tesh!O4=0,0,SER_hh_tesh!O4/SER_summary!O$26)</f>
        <v>91.070757888371546</v>
      </c>
      <c r="P4" s="131">
        <f>IF(SER_hh_tesh!P4=0,0,SER_hh_tesh!P4/SER_summary!P$26)</f>
        <v>71.832725480971277</v>
      </c>
      <c r="Q4" s="131">
        <f>IF(SER_hh_tesh!Q4=0,0,SER_hh_tesh!Q4/SER_summary!Q$26)</f>
        <v>75.902925269520566</v>
      </c>
      <c r="R4" s="131">
        <f>IF(SER_hh_tesh!R4=0,0,SER_hh_tesh!R4/SER_summary!R$26)</f>
        <v>77.105120596865959</v>
      </c>
      <c r="S4" s="131">
        <f>IF(SER_hh_tesh!S4=0,0,SER_hh_tesh!S4/SER_summary!S$26)</f>
        <v>79.909169446066755</v>
      </c>
      <c r="T4" s="131">
        <f>IF(SER_hh_tesh!T4=0,0,SER_hh_tesh!T4/SER_summary!T$26)</f>
        <v>80.128234299606504</v>
      </c>
      <c r="U4" s="131">
        <f>IF(SER_hh_tesh!U4=0,0,SER_hh_tesh!U4/SER_summary!U$26)</f>
        <v>77.031992041476286</v>
      </c>
      <c r="V4" s="131">
        <f>IF(SER_hh_tesh!V4=0,0,SER_hh_tesh!V4/SER_summary!V$26)</f>
        <v>71.163937752826129</v>
      </c>
      <c r="W4" s="131">
        <f>IF(SER_hh_tesh!W4=0,0,SER_hh_tesh!W4/SER_summary!W$26)</f>
        <v>77.167756848720458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75.065868773367143</v>
      </c>
      <c r="C5" s="133">
        <f>IF(SER_hh_tesh!C5=0,0,SER_hh_tesh!C5/SER_summary!C$26)</f>
        <v>77.000138170652065</v>
      </c>
      <c r="D5" s="133">
        <f>IF(SER_hh_tesh!D5=0,0,SER_hh_tesh!D5/SER_summary!D$26)</f>
        <v>66.925777675746374</v>
      </c>
      <c r="E5" s="133">
        <f>IF(SER_hh_tesh!E5=0,0,SER_hh_tesh!E5/SER_summary!E$26)</f>
        <v>111.46700046236096</v>
      </c>
      <c r="F5" s="133">
        <f>IF(SER_hh_tesh!F5=0,0,SER_hh_tesh!F5/SER_summary!F$26)</f>
        <v>56.395021396769444</v>
      </c>
      <c r="G5" s="133">
        <f>IF(SER_hh_tesh!G5=0,0,SER_hh_tesh!G5/SER_summary!G$26)</f>
        <v>78.643535681691688</v>
      </c>
      <c r="H5" s="133">
        <f>IF(SER_hh_tesh!H5=0,0,SER_hh_tesh!H5/SER_summary!H$26)</f>
        <v>54.189896411558315</v>
      </c>
      <c r="I5" s="133">
        <f>IF(SER_hh_tesh!I5=0,0,SER_hh_tesh!I5/SER_summary!I$26)</f>
        <v>84.943218973810872</v>
      </c>
      <c r="J5" s="133">
        <f>IF(SER_hh_tesh!J5=0,0,SER_hh_tesh!J5/SER_summary!J$26)</f>
        <v>92.987611291750554</v>
      </c>
      <c r="K5" s="133">
        <f>IF(SER_hh_tesh!K5=0,0,SER_hh_tesh!K5/SER_summary!K$26)</f>
        <v>93.591611339572069</v>
      </c>
      <c r="L5" s="133">
        <f>IF(SER_hh_tesh!L5=0,0,SER_hh_tesh!L5/SER_summary!L$26)</f>
        <v>91.327317239261973</v>
      </c>
      <c r="M5" s="133">
        <f>IF(SER_hh_tesh!M5=0,0,SER_hh_tesh!M5/SER_summary!M$26)</f>
        <v>90.818244575288119</v>
      </c>
      <c r="N5" s="133">
        <f>IF(SER_hh_tesh!N5=0,0,SER_hh_tesh!N5/SER_summary!N$26)</f>
        <v>89.670444460258764</v>
      </c>
      <c r="O5" s="133">
        <f>IF(SER_hh_tesh!O5=0,0,SER_hh_tesh!O5/SER_summary!O$26)</f>
        <v>54.462963683130255</v>
      </c>
      <c r="P5" s="133">
        <f>IF(SER_hh_tesh!P5=0,0,SER_hh_tesh!P5/SER_summary!P$26)</f>
        <v>20.721973634862632</v>
      </c>
      <c r="Q5" s="133">
        <f>IF(SER_hh_tesh!Q5=0,0,SER_hh_tesh!Q5/SER_summary!Q$26)</f>
        <v>90.301083936159955</v>
      </c>
      <c r="R5" s="133">
        <f>IF(SER_hh_tesh!R5=0,0,SER_hh_tesh!R5/SER_summary!R$26)</f>
        <v>87.200243806605059</v>
      </c>
      <c r="S5" s="133">
        <f>IF(SER_hh_tesh!S5=0,0,SER_hh_tesh!S5/SER_summary!S$26)</f>
        <v>83.083551400733128</v>
      </c>
      <c r="T5" s="133">
        <f>IF(SER_hh_tesh!T5=0,0,SER_hh_tesh!T5/SER_summary!T$26)</f>
        <v>82.92136123679434</v>
      </c>
      <c r="U5" s="133">
        <f>IF(SER_hh_tesh!U5=0,0,SER_hh_tesh!U5/SER_summary!U$26)</f>
        <v>66.731417258912117</v>
      </c>
      <c r="V5" s="133">
        <f>IF(SER_hh_tesh!V5=0,0,SER_hh_tesh!V5/SER_summary!V$26)</f>
        <v>83.179945025209292</v>
      </c>
      <c r="W5" s="133">
        <f>IF(SER_hh_tesh!W5=0,0,SER_hh_tesh!W5/SER_summary!W$26)</f>
        <v>62.54226261093315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75.253478926273786</v>
      </c>
      <c r="C7" s="133">
        <f>IF(SER_hh_tesh!C7=0,0,SER_hh_tesh!C7/SER_summary!C$26)</f>
        <v>75.560117379169384</v>
      </c>
      <c r="D7" s="133">
        <f>IF(SER_hh_tesh!D7=0,0,SER_hh_tesh!D7/SER_summary!D$26)</f>
        <v>79.370335034133021</v>
      </c>
      <c r="E7" s="133">
        <f>IF(SER_hh_tesh!E7=0,0,SER_hh_tesh!E7/SER_summary!E$26)</f>
        <v>84.332753091948419</v>
      </c>
      <c r="F7" s="133">
        <f>IF(SER_hh_tesh!F7=0,0,SER_hh_tesh!F7/SER_summary!F$26)</f>
        <v>82.149482092229718</v>
      </c>
      <c r="G7" s="133">
        <f>IF(SER_hh_tesh!G7=0,0,SER_hh_tesh!G7/SER_summary!G$26)</f>
        <v>84.997534530379809</v>
      </c>
      <c r="H7" s="133">
        <f>IF(SER_hh_tesh!H7=0,0,SER_hh_tesh!H7/SER_summary!H$26)</f>
        <v>81.539961032730389</v>
      </c>
      <c r="I7" s="133">
        <f>IF(SER_hh_tesh!I7=0,0,SER_hh_tesh!I7/SER_summary!I$26)</f>
        <v>82.609302409412649</v>
      </c>
      <c r="J7" s="133">
        <f>IF(SER_hh_tesh!J7=0,0,SER_hh_tesh!J7/SER_summary!J$26)</f>
        <v>83.092619323738191</v>
      </c>
      <c r="K7" s="133">
        <f>IF(SER_hh_tesh!K7=0,0,SER_hh_tesh!K7/SER_summary!K$26)</f>
        <v>81.586250981575901</v>
      </c>
      <c r="L7" s="133">
        <f>IF(SER_hh_tesh!L7=0,0,SER_hh_tesh!L7/SER_summary!L$26)</f>
        <v>95.270698365871823</v>
      </c>
      <c r="M7" s="133">
        <f>IF(SER_hh_tesh!M7=0,0,SER_hh_tesh!M7/SER_summary!M$26)</f>
        <v>86.499368588538687</v>
      </c>
      <c r="N7" s="133">
        <f>IF(SER_hh_tesh!N7=0,0,SER_hh_tesh!N7/SER_summary!N$26)</f>
        <v>84.634235237776323</v>
      </c>
      <c r="O7" s="133">
        <f>IF(SER_hh_tesh!O7=0,0,SER_hh_tesh!O7/SER_summary!O$26)</f>
        <v>85.161066754822713</v>
      </c>
      <c r="P7" s="133">
        <f>IF(SER_hh_tesh!P7=0,0,SER_hh_tesh!P7/SER_summary!P$26)</f>
        <v>81.523239204333919</v>
      </c>
      <c r="Q7" s="133">
        <f>IF(SER_hh_tesh!Q7=0,0,SER_hh_tesh!Q7/SER_summary!Q$26)</f>
        <v>73.872165987536249</v>
      </c>
      <c r="R7" s="133">
        <f>IF(SER_hh_tesh!R7=0,0,SER_hh_tesh!R7/SER_summary!R$26)</f>
        <v>74.363782913873933</v>
      </c>
      <c r="S7" s="133">
        <f>IF(SER_hh_tesh!S7=0,0,SER_hh_tesh!S7/SER_summary!S$26)</f>
        <v>74.637961474690172</v>
      </c>
      <c r="T7" s="133">
        <f>IF(SER_hh_tesh!T7=0,0,SER_hh_tesh!T7/SER_summary!T$26)</f>
        <v>76.442176693520338</v>
      </c>
      <c r="U7" s="133">
        <f>IF(SER_hh_tesh!U7=0,0,SER_hh_tesh!U7/SER_summary!U$26)</f>
        <v>78.494017480969035</v>
      </c>
      <c r="V7" s="133">
        <f>IF(SER_hh_tesh!V7=0,0,SER_hh_tesh!V7/SER_summary!V$26)</f>
        <v>73.163442054207948</v>
      </c>
      <c r="W7" s="133">
        <f>IF(SER_hh_tesh!W7=0,0,SER_hh_tesh!W7/SER_summary!W$26)</f>
        <v>74.304813051794767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72.952207636016468</v>
      </c>
      <c r="C8" s="133">
        <f>IF(SER_hh_tesh!C8=0,0,SER_hh_tesh!C8/SER_summary!C$26)</f>
        <v>80.241896406909618</v>
      </c>
      <c r="D8" s="133">
        <f>IF(SER_hh_tesh!D8=0,0,SER_hh_tesh!D8/SER_summary!D$26)</f>
        <v>75.672031190244752</v>
      </c>
      <c r="E8" s="133">
        <f>IF(SER_hh_tesh!E8=0,0,SER_hh_tesh!E8/SER_summary!E$26)</f>
        <v>87.366519817009205</v>
      </c>
      <c r="F8" s="133">
        <f>IF(SER_hh_tesh!F8=0,0,SER_hh_tesh!F8/SER_summary!F$26)</f>
        <v>91.30715565106803</v>
      </c>
      <c r="G8" s="133">
        <f>IF(SER_hh_tesh!G8=0,0,SER_hh_tesh!G8/SER_summary!G$26)</f>
        <v>81.6022954830554</v>
      </c>
      <c r="H8" s="133">
        <f>IF(SER_hh_tesh!H8=0,0,SER_hh_tesh!H8/SER_summary!H$26)</f>
        <v>78.087782383049998</v>
      </c>
      <c r="I8" s="133">
        <f>IF(SER_hh_tesh!I8=0,0,SER_hh_tesh!I8/SER_summary!I$26)</f>
        <v>83.213029451393282</v>
      </c>
      <c r="J8" s="133">
        <f>IF(SER_hh_tesh!J8=0,0,SER_hh_tesh!J8/SER_summary!J$26)</f>
        <v>84.729812631992871</v>
      </c>
      <c r="K8" s="133">
        <f>IF(SER_hh_tesh!K8=0,0,SER_hh_tesh!K8/SER_summary!K$26)</f>
        <v>85.959375539466549</v>
      </c>
      <c r="L8" s="133">
        <f>IF(SER_hh_tesh!L8=0,0,SER_hh_tesh!L8/SER_summary!L$26)</f>
        <v>88.494525375912048</v>
      </c>
      <c r="M8" s="133">
        <f>IF(SER_hh_tesh!M8=0,0,SER_hh_tesh!M8/SER_summary!M$26)</f>
        <v>90.801847488644199</v>
      </c>
      <c r="N8" s="133">
        <f>IF(SER_hh_tesh!N8=0,0,SER_hh_tesh!N8/SER_summary!N$26)</f>
        <v>80.362242370212599</v>
      </c>
      <c r="O8" s="133">
        <f>IF(SER_hh_tesh!O8=0,0,SER_hh_tesh!O8/SER_summary!O$26)</f>
        <v>69.246535797366121</v>
      </c>
      <c r="P8" s="133">
        <f>IF(SER_hh_tesh!P8=0,0,SER_hh_tesh!P8/SER_summary!P$26)</f>
        <v>76.950691225780432</v>
      </c>
      <c r="Q8" s="133">
        <f>IF(SER_hh_tesh!Q8=0,0,SER_hh_tesh!Q8/SER_summary!Q$26)</f>
        <v>82.208085298005827</v>
      </c>
      <c r="R8" s="133">
        <f>IF(SER_hh_tesh!R8=0,0,SER_hh_tesh!R8/SER_summary!R$26)</f>
        <v>79.738270196822782</v>
      </c>
      <c r="S8" s="133">
        <f>IF(SER_hh_tesh!S8=0,0,SER_hh_tesh!S8/SER_summary!S$26)</f>
        <v>77.514496055474538</v>
      </c>
      <c r="T8" s="133">
        <f>IF(SER_hh_tesh!T8=0,0,SER_hh_tesh!T8/SER_summary!T$26)</f>
        <v>77.265442942155815</v>
      </c>
      <c r="U8" s="133">
        <f>IF(SER_hh_tesh!U8=0,0,SER_hh_tesh!U8/SER_summary!U$26)</f>
        <v>74.827321819573541</v>
      </c>
      <c r="V8" s="133">
        <f>IF(SER_hh_tesh!V8=0,0,SER_hh_tesh!V8/SER_summary!V$26)</f>
        <v>71.461172873068577</v>
      </c>
      <c r="W8" s="133">
        <f>IF(SER_hh_tesh!W8=0,0,SER_hh_tesh!W8/SER_summary!W$26)</f>
        <v>79.271159194659859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72.733973627433585</v>
      </c>
      <c r="C9" s="133">
        <f>IF(SER_hh_tesh!C9=0,0,SER_hh_tesh!C9/SER_summary!C$26)</f>
        <v>79.641594580140108</v>
      </c>
      <c r="D9" s="133">
        <f>IF(SER_hh_tesh!D9=0,0,SER_hh_tesh!D9/SER_summary!D$26)</f>
        <v>74.658030671816391</v>
      </c>
      <c r="E9" s="133">
        <f>IF(SER_hh_tesh!E9=0,0,SER_hh_tesh!E9/SER_summary!E$26)</f>
        <v>82.155738189876828</v>
      </c>
      <c r="F9" s="133">
        <f>IF(SER_hh_tesh!F9=0,0,SER_hh_tesh!F9/SER_summary!F$26)</f>
        <v>93.713707864535692</v>
      </c>
      <c r="G9" s="133">
        <f>IF(SER_hh_tesh!G9=0,0,SER_hh_tesh!G9/SER_summary!G$26)</f>
        <v>85.168817531920865</v>
      </c>
      <c r="H9" s="133">
        <f>IF(SER_hh_tesh!H9=0,0,SER_hh_tesh!H9/SER_summary!H$26)</f>
        <v>85.66036670458675</v>
      </c>
      <c r="I9" s="133">
        <f>IF(SER_hh_tesh!I9=0,0,SER_hh_tesh!I9/SER_summary!I$26)</f>
        <v>73.958327937189594</v>
      </c>
      <c r="J9" s="133">
        <f>IF(SER_hh_tesh!J9=0,0,SER_hh_tesh!J9/SER_summary!J$26)</f>
        <v>81.485798199487277</v>
      </c>
      <c r="K9" s="133">
        <f>IF(SER_hh_tesh!K9=0,0,SER_hh_tesh!K9/SER_summary!K$26)</f>
        <v>86.565723170474456</v>
      </c>
      <c r="L9" s="133">
        <f>IF(SER_hh_tesh!L9=0,0,SER_hh_tesh!L9/SER_summary!L$26)</f>
        <v>100.80075878633484</v>
      </c>
      <c r="M9" s="133">
        <f>IF(SER_hh_tesh!M9=0,0,SER_hh_tesh!M9/SER_summary!M$26)</f>
        <v>77.578682330988613</v>
      </c>
      <c r="N9" s="133">
        <f>IF(SER_hh_tesh!N9=0,0,SER_hh_tesh!N9/SER_summary!N$26)</f>
        <v>89.121604178972717</v>
      </c>
      <c r="O9" s="133">
        <f>IF(SER_hh_tesh!O9=0,0,SER_hh_tesh!O9/SER_summary!O$26)</f>
        <v>91.150410421203446</v>
      </c>
      <c r="P9" s="133">
        <f>IF(SER_hh_tesh!P9=0,0,SER_hh_tesh!P9/SER_summary!P$26)</f>
        <v>68.976345364547669</v>
      </c>
      <c r="Q9" s="133">
        <f>IF(SER_hh_tesh!Q9=0,0,SER_hh_tesh!Q9/SER_summary!Q$26)</f>
        <v>75.785587289310442</v>
      </c>
      <c r="R9" s="133">
        <f>IF(SER_hh_tesh!R9=0,0,SER_hh_tesh!R9/SER_summary!R$26)</f>
        <v>77.250173995213146</v>
      </c>
      <c r="S9" s="133">
        <f>IF(SER_hh_tesh!S9=0,0,SER_hh_tesh!S9/SER_summary!S$26)</f>
        <v>78.431965238814101</v>
      </c>
      <c r="T9" s="133">
        <f>IF(SER_hh_tesh!T9=0,0,SER_hh_tesh!T9/SER_summary!T$26)</f>
        <v>78.869904165870082</v>
      </c>
      <c r="U9" s="133">
        <f>IF(SER_hh_tesh!U9=0,0,SER_hh_tesh!U9/SER_summary!U$26)</f>
        <v>75.286444007654453</v>
      </c>
      <c r="V9" s="133">
        <f>IF(SER_hh_tesh!V9=0,0,SER_hh_tesh!V9/SER_summary!V$26)</f>
        <v>68.765711390460424</v>
      </c>
      <c r="W9" s="133">
        <f>IF(SER_hh_tesh!W9=0,0,SER_hh_tesh!W9/SER_summary!W$26)</f>
        <v>76.387494983846366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68.495037244418924</v>
      </c>
      <c r="C10" s="133">
        <f>IF(SER_hh_tesh!C10=0,0,SER_hh_tesh!C10/SER_summary!C$26)</f>
        <v>83.000212940715528</v>
      </c>
      <c r="D10" s="133">
        <f>IF(SER_hh_tesh!D10=0,0,SER_hh_tesh!D10/SER_summary!D$26)</f>
        <v>81.796496842372505</v>
      </c>
      <c r="E10" s="133">
        <f>IF(SER_hh_tesh!E10=0,0,SER_hh_tesh!E10/SER_summary!E$26)</f>
        <v>80.122949081648258</v>
      </c>
      <c r="F10" s="133">
        <f>IF(SER_hh_tesh!F10=0,0,SER_hh_tesh!F10/SER_summary!F$26)</f>
        <v>87.921056268131125</v>
      </c>
      <c r="G10" s="133">
        <f>IF(SER_hh_tesh!G10=0,0,SER_hh_tesh!G10/SER_summary!G$26)</f>
        <v>80.894937925013835</v>
      </c>
      <c r="H10" s="133">
        <f>IF(SER_hh_tesh!H10=0,0,SER_hh_tesh!H10/SER_summary!H$26)</f>
        <v>84.179907163802099</v>
      </c>
      <c r="I10" s="133">
        <f>IF(SER_hh_tesh!I10=0,0,SER_hh_tesh!I10/SER_summary!I$26)</f>
        <v>80.272681528702293</v>
      </c>
      <c r="J10" s="133">
        <f>IF(SER_hh_tesh!J10=0,0,SER_hh_tesh!J10/SER_summary!J$26)</f>
        <v>90.278048923384901</v>
      </c>
      <c r="K10" s="133">
        <f>IF(SER_hh_tesh!K10=0,0,SER_hh_tesh!K10/SER_summary!K$26)</f>
        <v>86.428279219242384</v>
      </c>
      <c r="L10" s="133">
        <f>IF(SER_hh_tesh!L10=0,0,SER_hh_tesh!L10/SER_summary!L$26)</f>
        <v>93.941675760547113</v>
      </c>
      <c r="M10" s="133">
        <f>IF(SER_hh_tesh!M10=0,0,SER_hh_tesh!M10/SER_summary!M$26)</f>
        <v>86.246573074320239</v>
      </c>
      <c r="N10" s="133">
        <f>IF(SER_hh_tesh!N10=0,0,SER_hh_tesh!N10/SER_summary!N$26)</f>
        <v>85.562284836347914</v>
      </c>
      <c r="O10" s="133">
        <f>IF(SER_hh_tesh!O10=0,0,SER_hh_tesh!O10/SER_summary!O$26)</f>
        <v>82.92326223825134</v>
      </c>
      <c r="P10" s="133">
        <f>IF(SER_hh_tesh!P10=0,0,SER_hh_tesh!P10/SER_summary!P$26)</f>
        <v>78.70606766256526</v>
      </c>
      <c r="Q10" s="133">
        <f>IF(SER_hh_tesh!Q10=0,0,SER_hh_tesh!Q10/SER_summary!Q$26)</f>
        <v>72.728943542224002</v>
      </c>
      <c r="R10" s="133">
        <f>IF(SER_hh_tesh!R10=0,0,SER_hh_tesh!R10/SER_summary!R$26)</f>
        <v>69.026697448055614</v>
      </c>
      <c r="S10" s="133">
        <f>IF(SER_hh_tesh!S10=0,0,SER_hh_tesh!S10/SER_summary!S$26)</f>
        <v>80.66102560209319</v>
      </c>
      <c r="T10" s="133">
        <f>IF(SER_hh_tesh!T10=0,0,SER_hh_tesh!T10/SER_summary!T$26)</f>
        <v>78.381997331782273</v>
      </c>
      <c r="U10" s="133">
        <f>IF(SER_hh_tesh!U10=0,0,SER_hh_tesh!U10/SER_summary!U$26)</f>
        <v>81.072143503209475</v>
      </c>
      <c r="V10" s="133">
        <f>IF(SER_hh_tesh!V10=0,0,SER_hh_tesh!V10/SER_summary!V$26)</f>
        <v>79.604868767380424</v>
      </c>
      <c r="W10" s="133">
        <f>IF(SER_hh_tesh!W10=0,0,SER_hh_tesh!W10/SER_summary!W$26)</f>
        <v>72.903072577808516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76.551374544985975</v>
      </c>
      <c r="C12" s="133">
        <f>IF(SER_hh_tesh!C12=0,0,SER_hh_tesh!C12/SER_summary!C$26)</f>
        <v>68.193538205675921</v>
      </c>
      <c r="D12" s="133">
        <f>IF(SER_hh_tesh!D12=0,0,SER_hh_tesh!D12/SER_summary!D$26)</f>
        <v>99.984711933875488</v>
      </c>
      <c r="E12" s="133">
        <f>IF(SER_hh_tesh!E12=0,0,SER_hh_tesh!E12/SER_summary!E$26)</f>
        <v>84.116995240976536</v>
      </c>
      <c r="F12" s="133">
        <f>IF(SER_hh_tesh!F12=0,0,SER_hh_tesh!F12/SER_summary!F$26)</f>
        <v>92.620162522140191</v>
      </c>
      <c r="G12" s="133">
        <f>IF(SER_hh_tesh!G12=0,0,SER_hh_tesh!G12/SER_summary!G$26)</f>
        <v>66.973702293431785</v>
      </c>
      <c r="H12" s="133">
        <f>IF(SER_hh_tesh!H12=0,0,SER_hh_tesh!H12/SER_summary!H$26)</f>
        <v>78.972206577108778</v>
      </c>
      <c r="I12" s="133">
        <f>IF(SER_hh_tesh!I12=0,0,SER_hh_tesh!I12/SER_summary!I$26)</f>
        <v>90.952321660880543</v>
      </c>
      <c r="J12" s="133">
        <f>IF(SER_hh_tesh!J12=0,0,SER_hh_tesh!J12/SER_summary!J$26)</f>
        <v>81.567484619147649</v>
      </c>
      <c r="K12" s="133">
        <f>IF(SER_hh_tesh!K12=0,0,SER_hh_tesh!K12/SER_summary!K$26)</f>
        <v>100.13714716678589</v>
      </c>
      <c r="L12" s="133">
        <f>IF(SER_hh_tesh!L12=0,0,SER_hh_tesh!L12/SER_summary!L$26)</f>
        <v>96.183365989437803</v>
      </c>
      <c r="M12" s="133">
        <f>IF(SER_hh_tesh!M12=0,0,SER_hh_tesh!M12/SER_summary!M$26)</f>
        <v>97.363653291819091</v>
      </c>
      <c r="N12" s="133">
        <f>IF(SER_hh_tesh!N12=0,0,SER_hh_tesh!N12/SER_summary!N$26)</f>
        <v>68.831164377009955</v>
      </c>
      <c r="O12" s="133">
        <f>IF(SER_hh_tesh!O12=0,0,SER_hh_tesh!O12/SER_summary!O$26)</f>
        <v>73.86784542775132</v>
      </c>
      <c r="P12" s="133">
        <f>IF(SER_hh_tesh!P12=0,0,SER_hh_tesh!P12/SER_summary!P$26)</f>
        <v>77.457250688391483</v>
      </c>
      <c r="Q12" s="133">
        <f>IF(SER_hh_tesh!Q12=0,0,SER_hh_tesh!Q12/SER_summary!Q$26)</f>
        <v>70.860220522116236</v>
      </c>
      <c r="R12" s="133">
        <f>IF(SER_hh_tesh!R12=0,0,SER_hh_tesh!R12/SER_summary!R$26)</f>
        <v>69.810720900996017</v>
      </c>
      <c r="S12" s="133">
        <f>IF(SER_hh_tesh!S12=0,0,SER_hh_tesh!S12/SER_summary!S$26)</f>
        <v>87.219207754360099</v>
      </c>
      <c r="T12" s="133">
        <f>IF(SER_hh_tesh!T12=0,0,SER_hh_tesh!T12/SER_summary!T$26)</f>
        <v>73.002842122788948</v>
      </c>
      <c r="U12" s="133">
        <f>IF(SER_hh_tesh!U12=0,0,SER_hh_tesh!U12/SER_summary!U$26)</f>
        <v>80.95957747867098</v>
      </c>
      <c r="V12" s="133">
        <f>IF(SER_hh_tesh!V12=0,0,SER_hh_tesh!V12/SER_summary!V$26)</f>
        <v>78.51256837971313</v>
      </c>
      <c r="W12" s="133">
        <f>IF(SER_hh_tesh!W12=0,0,SER_hh_tesh!W12/SER_summary!W$26)</f>
        <v>71.74148154491256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71.304594372346443</v>
      </c>
      <c r="C13" s="133">
        <f>IF(SER_hh_tesh!C13=0,0,SER_hh_tesh!C13/SER_summary!C$26)</f>
        <v>76.777525606546391</v>
      </c>
      <c r="D13" s="133">
        <f>IF(SER_hh_tesh!D13=0,0,SER_hh_tesh!D13/SER_summary!D$26)</f>
        <v>79.77263620026163</v>
      </c>
      <c r="E13" s="133">
        <f>IF(SER_hh_tesh!E13=0,0,SER_hh_tesh!E13/SER_summary!E$26)</f>
        <v>76.139116872179059</v>
      </c>
      <c r="F13" s="133">
        <f>IF(SER_hh_tesh!F13=0,0,SER_hh_tesh!F13/SER_summary!F$26)</f>
        <v>85.047535063989514</v>
      </c>
      <c r="G13" s="133">
        <f>IF(SER_hh_tesh!G13=0,0,SER_hh_tesh!G13/SER_summary!G$26)</f>
        <v>84.556985400585404</v>
      </c>
      <c r="H13" s="133">
        <f>IF(SER_hh_tesh!H13=0,0,SER_hh_tesh!H13/SER_summary!H$26)</f>
        <v>79.495852124865735</v>
      </c>
      <c r="I13" s="133">
        <f>IF(SER_hh_tesh!I13=0,0,SER_hh_tesh!I13/SER_summary!I$26)</f>
        <v>80.631077234839324</v>
      </c>
      <c r="J13" s="133">
        <f>IF(SER_hh_tesh!J13=0,0,SER_hh_tesh!J13/SER_summary!J$26)</f>
        <v>85.326151461052987</v>
      </c>
      <c r="K13" s="133">
        <f>IF(SER_hh_tesh!K13=0,0,SER_hh_tesh!K13/SER_summary!K$26)</f>
        <v>87.827174420376679</v>
      </c>
      <c r="L13" s="133">
        <f>IF(SER_hh_tesh!L13=0,0,SER_hh_tesh!L13/SER_summary!L$26)</f>
        <v>90.971458098185238</v>
      </c>
      <c r="M13" s="133">
        <f>IF(SER_hh_tesh!M13=0,0,SER_hh_tesh!M13/SER_summary!M$26)</f>
        <v>87.786146930691658</v>
      </c>
      <c r="N13" s="133">
        <f>IF(SER_hh_tesh!N13=0,0,SER_hh_tesh!N13/SER_summary!N$26)</f>
        <v>85.720730318823485</v>
      </c>
      <c r="O13" s="133">
        <f>IF(SER_hh_tesh!O13=0,0,SER_hh_tesh!O13/SER_summary!O$26)</f>
        <v>82.85738515527332</v>
      </c>
      <c r="P13" s="133">
        <f>IF(SER_hh_tesh!P13=0,0,SER_hh_tesh!P13/SER_summary!P$26)</f>
        <v>77.019635371432486</v>
      </c>
      <c r="Q13" s="133">
        <f>IF(SER_hh_tesh!Q13=0,0,SER_hh_tesh!Q13/SER_summary!Q$26)</f>
        <v>76.379561915914337</v>
      </c>
      <c r="R13" s="133">
        <f>IF(SER_hh_tesh!R13=0,0,SER_hh_tesh!R13/SER_summary!R$26)</f>
        <v>76.594526222152282</v>
      </c>
      <c r="S13" s="133">
        <f>IF(SER_hh_tesh!S13=0,0,SER_hh_tesh!S13/SER_summary!S$26)</f>
        <v>78.050803710063619</v>
      </c>
      <c r="T13" s="133">
        <f>IF(SER_hh_tesh!T13=0,0,SER_hh_tesh!T13/SER_summary!T$26)</f>
        <v>78.027931550553319</v>
      </c>
      <c r="U13" s="133">
        <f>IF(SER_hh_tesh!U13=0,0,SER_hh_tesh!U13/SER_summary!U$26)</f>
        <v>76.176268082495596</v>
      </c>
      <c r="V13" s="133">
        <f>IF(SER_hh_tesh!V13=0,0,SER_hh_tesh!V13/SER_summary!V$26)</f>
        <v>73.937869205421393</v>
      </c>
      <c r="W13" s="133">
        <f>IF(SER_hh_tesh!W13=0,0,SER_hh_tesh!W13/SER_summary!W$26)</f>
        <v>77.437796001550723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72.329330837127856</v>
      </c>
      <c r="C14" s="65">
        <f>IF(SER_hh_tesh!C14=0,0,SER_hh_tesh!C14/SER_summary!C$26)</f>
        <v>81.15404974792034</v>
      </c>
      <c r="D14" s="65">
        <f>IF(SER_hh_tesh!D14=0,0,SER_hh_tesh!D14/SER_summary!D$26)</f>
        <v>78.217520211112316</v>
      </c>
      <c r="E14" s="65">
        <f>IF(SER_hh_tesh!E14=0,0,SER_hh_tesh!E14/SER_summary!E$26)</f>
        <v>85.19965760646204</v>
      </c>
      <c r="F14" s="65">
        <f>IF(SER_hh_tesh!F14=0,0,SER_hh_tesh!F14/SER_summary!F$26)</f>
        <v>90.511003336191649</v>
      </c>
      <c r="G14" s="65">
        <f>IF(SER_hh_tesh!G14=0,0,SER_hh_tesh!G14/SER_summary!G$26)</f>
        <v>86.136766010607118</v>
      </c>
      <c r="H14" s="65">
        <f>IF(SER_hh_tesh!H14=0,0,SER_hh_tesh!H14/SER_summary!H$26)</f>
        <v>85.471417835996405</v>
      </c>
      <c r="I14" s="65">
        <f>IF(SER_hh_tesh!I14=0,0,SER_hh_tesh!I14/SER_summary!I$26)</f>
        <v>84.69839172754547</v>
      </c>
      <c r="J14" s="65">
        <f>IF(SER_hh_tesh!J14=0,0,SER_hh_tesh!J14/SER_summary!J$26)</f>
        <v>83.973765088934101</v>
      </c>
      <c r="K14" s="65">
        <f>IF(SER_hh_tesh!K14=0,0,SER_hh_tesh!K14/SER_summary!K$26)</f>
        <v>90.138173410026155</v>
      </c>
      <c r="L14" s="65">
        <f>IF(SER_hh_tesh!L14=0,0,SER_hh_tesh!L14/SER_summary!L$26)</f>
        <v>90.902094231223614</v>
      </c>
      <c r="M14" s="65">
        <f>IF(SER_hh_tesh!M14=0,0,SER_hh_tesh!M14/SER_summary!M$26)</f>
        <v>88.622212314880457</v>
      </c>
      <c r="N14" s="65">
        <f>IF(SER_hh_tesh!N14=0,0,SER_hh_tesh!N14/SER_summary!N$26)</f>
        <v>88.43955680756882</v>
      </c>
      <c r="O14" s="65">
        <f>IF(SER_hh_tesh!O14=0,0,SER_hh_tesh!O14/SER_summary!O$26)</f>
        <v>93.740743859638158</v>
      </c>
      <c r="P14" s="65">
        <f>IF(SER_hh_tesh!P14=0,0,SER_hh_tesh!P14/SER_summary!P$26)</f>
        <v>72.605333527607783</v>
      </c>
      <c r="Q14" s="65">
        <f>IF(SER_hh_tesh!Q14=0,0,SER_hh_tesh!Q14/SER_summary!Q$26)</f>
        <v>69.674259674160353</v>
      </c>
      <c r="R14" s="65">
        <f>IF(SER_hh_tesh!R14=0,0,SER_hh_tesh!R14/SER_summary!R$26)</f>
        <v>72.135592322845213</v>
      </c>
      <c r="S14" s="65">
        <f>IF(SER_hh_tesh!S14=0,0,SER_hh_tesh!S14/SER_summary!S$26)</f>
        <v>80.632078696674142</v>
      </c>
      <c r="T14" s="65">
        <f>IF(SER_hh_tesh!T14=0,0,SER_hh_tesh!T14/SER_summary!T$26)</f>
        <v>87.464947503910324</v>
      </c>
      <c r="U14" s="65">
        <f>IF(SER_hh_tesh!U14=0,0,SER_hh_tesh!U14/SER_summary!U$26)</f>
        <v>76.120959159456447</v>
      </c>
      <c r="V14" s="65">
        <f>IF(SER_hh_tesh!V14=0,0,SER_hh_tesh!V14/SER_summary!V$26)</f>
        <v>67.297387693924549</v>
      </c>
      <c r="W14" s="65">
        <f>IF(SER_hh_tesh!W14=0,0,SER_hh_tesh!W14/SER_summary!W$26)</f>
        <v>79.623425439355856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1.3317169400210673</v>
      </c>
      <c r="C15" s="135">
        <f>IF(SER_hh_tesh!C15=0,0,SER_hh_tesh!C15/SER_summary!C$26)</f>
        <v>1.4044154433661062</v>
      </c>
      <c r="D15" s="135">
        <f>IF(SER_hh_tesh!D15=0,0,SER_hh_tesh!D15/SER_summary!D$26)</f>
        <v>1.3145611115074578</v>
      </c>
      <c r="E15" s="135">
        <f>IF(SER_hh_tesh!E15=0,0,SER_hh_tesh!E15/SER_summary!E$26)</f>
        <v>1.4038227355292761</v>
      </c>
      <c r="F15" s="135">
        <f>IF(SER_hh_tesh!F15=0,0,SER_hh_tesh!F15/SER_summary!F$26)</f>
        <v>1.5652389576514181</v>
      </c>
      <c r="G15" s="135">
        <f>IF(SER_hh_tesh!G15=0,0,SER_hh_tesh!G15/SER_summary!G$26)</f>
        <v>1.4055419759805825</v>
      </c>
      <c r="H15" s="135">
        <f>IF(SER_hh_tesh!H15=0,0,SER_hh_tesh!H15/SER_summary!H$26)</f>
        <v>1.3920995886390573</v>
      </c>
      <c r="I15" s="135">
        <f>IF(SER_hh_tesh!I15=0,0,SER_hh_tesh!I15/SER_summary!I$26)</f>
        <v>1.2050034098354991</v>
      </c>
      <c r="J15" s="135">
        <f>IF(SER_hh_tesh!J15=0,0,SER_hh_tesh!J15/SER_summary!J$26)</f>
        <v>1.2960652918281226</v>
      </c>
      <c r="K15" s="135">
        <f>IF(SER_hh_tesh!K15=0,0,SER_hh_tesh!K15/SER_summary!K$26)</f>
        <v>1.3564467131261198</v>
      </c>
      <c r="L15" s="135">
        <f>IF(SER_hh_tesh!L15=0,0,SER_hh_tesh!L15/SER_summary!L$26)</f>
        <v>1.5642259822836202</v>
      </c>
      <c r="M15" s="135">
        <f>IF(SER_hh_tesh!M15=0,0,SER_hh_tesh!M15/SER_summary!M$26)</f>
        <v>1.2256908253862673</v>
      </c>
      <c r="N15" s="135">
        <f>IF(SER_hh_tesh!N15=0,0,SER_hh_tesh!N15/SER_summary!N$26)</f>
        <v>1.3873793419794207</v>
      </c>
      <c r="O15" s="135">
        <f>IF(SER_hh_tesh!O15=0,0,SER_hh_tesh!O15/SER_summary!O$26)</f>
        <v>1.4148302902922627</v>
      </c>
      <c r="P15" s="135">
        <f>IF(SER_hh_tesh!P15=0,0,SER_hh_tesh!P15/SER_summary!P$26)</f>
        <v>1.0876755247408778</v>
      </c>
      <c r="Q15" s="135">
        <f>IF(SER_hh_tesh!Q15=0,0,SER_hh_tesh!Q15/SER_summary!Q$26)</f>
        <v>1.1637400636814135</v>
      </c>
      <c r="R15" s="135">
        <f>IF(SER_hh_tesh!R15=0,0,SER_hh_tesh!R15/SER_summary!R$26)</f>
        <v>1.1703376675815607</v>
      </c>
      <c r="S15" s="135">
        <f>IF(SER_hh_tesh!S15=0,0,SER_hh_tesh!S15/SER_summary!S$26)</f>
        <v>1.1773219426457771</v>
      </c>
      <c r="T15" s="135">
        <f>IF(SER_hh_tesh!T15=0,0,SER_hh_tesh!T15/SER_summary!T$26)</f>
        <v>1.1667008270808756</v>
      </c>
      <c r="U15" s="135">
        <f>IF(SER_hh_tesh!U15=0,0,SER_hh_tesh!U15/SER_summary!U$26)</f>
        <v>1.112790742038456</v>
      </c>
      <c r="V15" s="135">
        <f>IF(SER_hh_tesh!V15=0,0,SER_hh_tesh!V15/SER_summary!V$26)</f>
        <v>1.0140569265000976</v>
      </c>
      <c r="W15" s="135">
        <f>IF(SER_hh_tesh!W15=0,0,SER_hh_tesh!W15/SER_summary!W$26)</f>
        <v>1.1195943956746806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28.133504976706231</v>
      </c>
      <c r="C16" s="131">
        <f>IF(SER_hh_tesh!C16=0,0,SER_hh_tesh!C16/SER_summary!C$26)</f>
        <v>28.799511325276754</v>
      </c>
      <c r="D16" s="131">
        <f>IF(SER_hh_tesh!D16=0,0,SER_hh_tesh!D16/SER_summary!D$26)</f>
        <v>28.54709343964533</v>
      </c>
      <c r="E16" s="131">
        <f>IF(SER_hh_tesh!E16=0,0,SER_hh_tesh!E16/SER_summary!E$26)</f>
        <v>31.376098286998417</v>
      </c>
      <c r="F16" s="131">
        <f>IF(SER_hh_tesh!F16=0,0,SER_hh_tesh!F16/SER_summary!F$26)</f>
        <v>28.708059152445433</v>
      </c>
      <c r="G16" s="131">
        <f>IF(SER_hh_tesh!G16=0,0,SER_hh_tesh!G16/SER_summary!G$26)</f>
        <v>28.381841366395399</v>
      </c>
      <c r="H16" s="131">
        <f>IF(SER_hh_tesh!H16=0,0,SER_hh_tesh!H16/SER_summary!H$26)</f>
        <v>31.103806462439561</v>
      </c>
      <c r="I16" s="131">
        <f>IF(SER_hh_tesh!I16=0,0,SER_hh_tesh!I16/SER_summary!I$26)</f>
        <v>28.501744990925733</v>
      </c>
      <c r="J16" s="131">
        <f>IF(SER_hh_tesh!J16=0,0,SER_hh_tesh!J16/SER_summary!J$26)</f>
        <v>28.703475195835566</v>
      </c>
      <c r="K16" s="131">
        <f>IF(SER_hh_tesh!K16=0,0,SER_hh_tesh!K16/SER_summary!K$26)</f>
        <v>28.923294952136768</v>
      </c>
      <c r="L16" s="131">
        <f>IF(SER_hh_tesh!L16=0,0,SER_hh_tesh!L16/SER_summary!L$26)</f>
        <v>30.006166714580576</v>
      </c>
      <c r="M16" s="131">
        <f>IF(SER_hh_tesh!M16=0,0,SER_hh_tesh!M16/SER_summary!M$26)</f>
        <v>29.136478687112096</v>
      </c>
      <c r="N16" s="131">
        <f>IF(SER_hh_tesh!N16=0,0,SER_hh_tesh!N16/SER_summary!N$26)</f>
        <v>29.401396477825283</v>
      </c>
      <c r="O16" s="131">
        <f>IF(SER_hh_tesh!O16=0,0,SER_hh_tesh!O16/SER_summary!O$26)</f>
        <v>29.711522844513087</v>
      </c>
      <c r="P16" s="131">
        <f>IF(SER_hh_tesh!P16=0,0,SER_hh_tesh!P16/SER_summary!P$26)</f>
        <v>29.508145081347134</v>
      </c>
      <c r="Q16" s="131">
        <f>IF(SER_hh_tesh!Q16=0,0,SER_hh_tesh!Q16/SER_summary!Q$26)</f>
        <v>30.866011727162231</v>
      </c>
      <c r="R16" s="131">
        <f>IF(SER_hh_tesh!R16=0,0,SER_hh_tesh!R16/SER_summary!R$26)</f>
        <v>30.145379063294595</v>
      </c>
      <c r="S16" s="131">
        <f>IF(SER_hh_tesh!S16=0,0,SER_hh_tesh!S16/SER_summary!S$26)</f>
        <v>29.632237071130454</v>
      </c>
      <c r="T16" s="131">
        <f>IF(SER_hh_tesh!T16=0,0,SER_hh_tesh!T16/SER_summary!T$26)</f>
        <v>32.867372182065282</v>
      </c>
      <c r="U16" s="131">
        <f>IF(SER_hh_tesh!U16=0,0,SER_hh_tesh!U16/SER_summary!U$26)</f>
        <v>32.536473984132982</v>
      </c>
      <c r="V16" s="131">
        <f>IF(SER_hh_tesh!V16=0,0,SER_hh_tesh!V16/SER_summary!V$26)</f>
        <v>33.521645258857745</v>
      </c>
      <c r="W16" s="131">
        <f>IF(SER_hh_tesh!W16=0,0,SER_hh_tesh!W16/SER_summary!W$26)</f>
        <v>29.779740863709897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28.133504976706227</v>
      </c>
      <c r="C17" s="133">
        <f>IF(SER_hh_tesh!C17=0,0,SER_hh_tesh!C17/SER_summary!C$26)</f>
        <v>28.799520362408106</v>
      </c>
      <c r="D17" s="133">
        <f>IF(SER_hh_tesh!D17=0,0,SER_hh_tesh!D17/SER_summary!D$26)</f>
        <v>28.547092941708694</v>
      </c>
      <c r="E17" s="133">
        <f>IF(SER_hh_tesh!E17=0,0,SER_hh_tesh!E17/SER_summary!E$26)</f>
        <v>31.376094549493487</v>
      </c>
      <c r="F17" s="133">
        <f>IF(SER_hh_tesh!F17=0,0,SER_hh_tesh!F17/SER_summary!F$26)</f>
        <v>28.708055779983592</v>
      </c>
      <c r="G17" s="133">
        <f>IF(SER_hh_tesh!G17=0,0,SER_hh_tesh!G17/SER_summary!G$26)</f>
        <v>28.381839555613443</v>
      </c>
      <c r="H17" s="133">
        <f>IF(SER_hh_tesh!H17=0,0,SER_hh_tesh!H17/SER_summary!H$26)</f>
        <v>31.103806060054502</v>
      </c>
      <c r="I17" s="133">
        <f>IF(SER_hh_tesh!I17=0,0,SER_hh_tesh!I17/SER_summary!I$26)</f>
        <v>28.501745626466011</v>
      </c>
      <c r="J17" s="133">
        <f>IF(SER_hh_tesh!J17=0,0,SER_hh_tesh!J17/SER_summary!J$26)</f>
        <v>28.70347629876813</v>
      </c>
      <c r="K17" s="133">
        <f>IF(SER_hh_tesh!K17=0,0,SER_hh_tesh!K17/SER_summary!K$26)</f>
        <v>28.923296448348296</v>
      </c>
      <c r="L17" s="133">
        <f>IF(SER_hh_tesh!L17=0,0,SER_hh_tesh!L17/SER_summary!L$26)</f>
        <v>30.006168652900293</v>
      </c>
      <c r="M17" s="133">
        <f>IF(SER_hh_tesh!M17=0,0,SER_hh_tesh!M17/SER_summary!M$26)</f>
        <v>29.136480765438527</v>
      </c>
      <c r="N17" s="133">
        <f>IF(SER_hh_tesh!N17=0,0,SER_hh_tesh!N17/SER_summary!N$26)</f>
        <v>29.401393947549813</v>
      </c>
      <c r="O17" s="133">
        <f>IF(SER_hh_tesh!O17=0,0,SER_hh_tesh!O17/SER_summary!O$26)</f>
        <v>29.711517987128165</v>
      </c>
      <c r="P17" s="133">
        <f>IF(SER_hh_tesh!P17=0,0,SER_hh_tesh!P17/SER_summary!P$26)</f>
        <v>29.508140384984785</v>
      </c>
      <c r="Q17" s="133">
        <f>IF(SER_hh_tesh!Q17=0,0,SER_hh_tesh!Q17/SER_summary!Q$26)</f>
        <v>30.276911592403213</v>
      </c>
      <c r="R17" s="133">
        <f>IF(SER_hh_tesh!R17=0,0,SER_hh_tesh!R17/SER_summary!R$26)</f>
        <v>30.147682627456099</v>
      </c>
      <c r="S17" s="133">
        <f>IF(SER_hh_tesh!S17=0,0,SER_hh_tesh!S17/SER_summary!S$26)</f>
        <v>31.189702249519229</v>
      </c>
      <c r="T17" s="133">
        <f>IF(SER_hh_tesh!T17=0,0,SER_hh_tesh!T17/SER_summary!T$26)</f>
        <v>32.869156121509157</v>
      </c>
      <c r="U17" s="133">
        <f>IF(SER_hh_tesh!U17=0,0,SER_hh_tesh!U17/SER_summary!U$26)</f>
        <v>32.537821920824406</v>
      </c>
      <c r="V17" s="133">
        <f>IF(SER_hh_tesh!V17=0,0,SER_hh_tesh!V17/SER_summary!V$26)</f>
        <v>33.522748351157638</v>
      </c>
      <c r="W17" s="133">
        <f>IF(SER_hh_tesh!W17=0,0,SER_hh_tesh!W17/SER_summary!W$26)</f>
        <v>35.833820443916721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28.133504976706231</v>
      </c>
      <c r="C18" s="133">
        <f>IF(SER_hh_tesh!C18=0,0,SER_hh_tesh!C18/SER_summary!C$26)</f>
        <v>28.799511296324265</v>
      </c>
      <c r="D18" s="133">
        <f>IF(SER_hh_tesh!D18=0,0,SER_hh_tesh!D18/SER_summary!D$26)</f>
        <v>28.54709344136069</v>
      </c>
      <c r="E18" s="133">
        <f>IF(SER_hh_tesh!E18=0,0,SER_hh_tesh!E18/SER_summary!E$26)</f>
        <v>31.376098299691094</v>
      </c>
      <c r="F18" s="133">
        <f>IF(SER_hh_tesh!F18=0,0,SER_hh_tesh!F18/SER_summary!F$26)</f>
        <v>28.708059166266544</v>
      </c>
      <c r="G18" s="133">
        <f>IF(SER_hh_tesh!G18=0,0,SER_hh_tesh!G18/SER_summary!G$26)</f>
        <v>28.381841374150508</v>
      </c>
      <c r="H18" s="133">
        <f>IF(SER_hh_tesh!H18=0,0,SER_hh_tesh!H18/SER_summary!H$26)</f>
        <v>31.10380646435145</v>
      </c>
      <c r="I18" s="133">
        <f>IF(SER_hh_tesh!I18=0,0,SER_hh_tesh!I18/SER_summary!I$26)</f>
        <v>28.501744987471334</v>
      </c>
      <c r="J18" s="133">
        <f>IF(SER_hh_tesh!J18=0,0,SER_hh_tesh!J18/SER_summary!J$26)</f>
        <v>28.703475189273167</v>
      </c>
      <c r="K18" s="133">
        <f>IF(SER_hh_tesh!K18=0,0,SER_hh_tesh!K18/SER_summary!K$26)</f>
        <v>28.923294942824004</v>
      </c>
      <c r="L18" s="133">
        <f>IF(SER_hh_tesh!L18=0,0,SER_hh_tesh!L18/SER_summary!L$26)</f>
        <v>30.006166702077248</v>
      </c>
      <c r="M18" s="133">
        <f>IF(SER_hh_tesh!M18=0,0,SER_hh_tesh!M18/SER_summary!M$26)</f>
        <v>29.136478672810835</v>
      </c>
      <c r="N18" s="133">
        <f>IF(SER_hh_tesh!N18=0,0,SER_hh_tesh!N18/SER_summary!N$26)</f>
        <v>29.401396497026823</v>
      </c>
      <c r="O18" s="133">
        <f>IF(SER_hh_tesh!O18=0,0,SER_hh_tesh!O18/SER_summary!O$26)</f>
        <v>29.71152288841159</v>
      </c>
      <c r="P18" s="133">
        <f>IF(SER_hh_tesh!P18=0,0,SER_hh_tesh!P18/SER_summary!P$26)</f>
        <v>29.508145137278159</v>
      </c>
      <c r="Q18" s="133">
        <f>IF(SER_hh_tesh!Q18=0,0,SER_hh_tesh!Q18/SER_summary!Q$26)</f>
        <v>30.875364308148981</v>
      </c>
      <c r="R18" s="133">
        <f>IF(SER_hh_tesh!R18=0,0,SER_hh_tesh!R18/SER_summary!R$26)</f>
        <v>30.14533296721439</v>
      </c>
      <c r="S18" s="133">
        <f>IF(SER_hh_tesh!S18=0,0,SER_hh_tesh!S18/SER_summary!S$26)</f>
        <v>29.596814692495858</v>
      </c>
      <c r="T18" s="133">
        <f>IF(SER_hh_tesh!T18=0,0,SER_hh_tesh!T18/SER_summary!T$26)</f>
        <v>32.867328968383042</v>
      </c>
      <c r="U18" s="133">
        <f>IF(SER_hh_tesh!U18=0,0,SER_hh_tesh!U18/SER_summary!U$26)</f>
        <v>32.536438444194729</v>
      </c>
      <c r="V18" s="133">
        <f>IF(SER_hh_tesh!V18=0,0,SER_hh_tesh!V18/SER_summary!V$26)</f>
        <v>33.521613604122891</v>
      </c>
      <c r="W18" s="133">
        <f>IF(SER_hh_tesh!W18=0,0,SER_hh_tesh!W18/SER_summary!W$26)</f>
        <v>29.612113707359722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17.048074519209777</v>
      </c>
      <c r="C19" s="131">
        <f>IF(SER_hh_tesh!C19=0,0,SER_hh_tesh!C19/SER_summary!C$26)</f>
        <v>16.83609531196624</v>
      </c>
      <c r="D19" s="131">
        <f>IF(SER_hh_tesh!D19=0,0,SER_hh_tesh!D19/SER_summary!D$26)</f>
        <v>16.79489210200293</v>
      </c>
      <c r="E19" s="131">
        <f>IF(SER_hh_tesh!E19=0,0,SER_hh_tesh!E19/SER_summary!E$26)</f>
        <v>16.689824586018307</v>
      </c>
      <c r="F19" s="131">
        <f>IF(SER_hh_tesh!F19=0,0,SER_hh_tesh!F19/SER_summary!F$26)</f>
        <v>16.775690378247894</v>
      </c>
      <c r="G19" s="131">
        <f>IF(SER_hh_tesh!G19=0,0,SER_hh_tesh!G19/SER_summary!G$26)</f>
        <v>16.529598844768856</v>
      </c>
      <c r="H19" s="131">
        <f>IF(SER_hh_tesh!H19=0,0,SER_hh_tesh!H19/SER_summary!H$26)</f>
        <v>16.121513559242672</v>
      </c>
      <c r="I19" s="131">
        <f>IF(SER_hh_tesh!I19=0,0,SER_hh_tesh!I19/SER_summary!I$26)</f>
        <v>15.648435890837275</v>
      </c>
      <c r="J19" s="131">
        <f>IF(SER_hh_tesh!J19=0,0,SER_hh_tesh!J19/SER_summary!J$26)</f>
        <v>15.394375827350036</v>
      </c>
      <c r="K19" s="131">
        <f>IF(SER_hh_tesh!K19=0,0,SER_hh_tesh!K19/SER_summary!K$26)</f>
        <v>15.532686625516527</v>
      </c>
      <c r="L19" s="131">
        <f>IF(SER_hh_tesh!L19=0,0,SER_hh_tesh!L19/SER_summary!L$26)</f>
        <v>15.440300254426285</v>
      </c>
      <c r="M19" s="131">
        <f>IF(SER_hh_tesh!M19=0,0,SER_hh_tesh!M19/SER_summary!M$26)</f>
        <v>15.330349370217537</v>
      </c>
      <c r="N19" s="131">
        <f>IF(SER_hh_tesh!N19=0,0,SER_hh_tesh!N19/SER_summary!N$26)</f>
        <v>15.380072904101468</v>
      </c>
      <c r="O19" s="131">
        <f>IF(SER_hh_tesh!O19=0,0,SER_hh_tesh!O19/SER_summary!O$26)</f>
        <v>15.442207040408153</v>
      </c>
      <c r="P19" s="131">
        <f>IF(SER_hh_tesh!P19=0,0,SER_hh_tesh!P19/SER_summary!P$26)</f>
        <v>15.427312045369435</v>
      </c>
      <c r="Q19" s="131">
        <f>IF(SER_hh_tesh!Q19=0,0,SER_hh_tesh!Q19/SER_summary!Q$26)</f>
        <v>15.311456840403373</v>
      </c>
      <c r="R19" s="131">
        <f>IF(SER_hh_tesh!R19=0,0,SER_hh_tesh!R19/SER_summary!R$26)</f>
        <v>15.284222840249612</v>
      </c>
      <c r="S19" s="131">
        <f>IF(SER_hh_tesh!S19=0,0,SER_hh_tesh!S19/SER_summary!S$26)</f>
        <v>15.30289804644762</v>
      </c>
      <c r="T19" s="131">
        <f>IF(SER_hh_tesh!T19=0,0,SER_hh_tesh!T19/SER_summary!T$26)</f>
        <v>15.30764741592118</v>
      </c>
      <c r="U19" s="131">
        <f>IF(SER_hh_tesh!U19=0,0,SER_hh_tesh!U19/SER_summary!U$26)</f>
        <v>15.300910523509495</v>
      </c>
      <c r="V19" s="131">
        <f>IF(SER_hh_tesh!V19=0,0,SER_hh_tesh!V19/SER_summary!V$26)</f>
        <v>14.952914418796814</v>
      </c>
      <c r="W19" s="131">
        <f>IF(SER_hh_tesh!W19=0,0,SER_hh_tesh!W19/SER_summary!W$26)</f>
        <v>15.090125824739028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17.101590009372433</v>
      </c>
      <c r="C22" s="133">
        <f>IF(SER_hh_tesh!C22=0,0,SER_hh_tesh!C22/SER_summary!C$26)</f>
        <v>16.851117993776366</v>
      </c>
      <c r="D22" s="133">
        <f>IF(SER_hh_tesh!D22=0,0,SER_hh_tesh!D22/SER_summary!D$26)</f>
        <v>16.739648542872263</v>
      </c>
      <c r="E22" s="133">
        <f>IF(SER_hh_tesh!E22=0,0,SER_hh_tesh!E22/SER_summary!E$26)</f>
        <v>16.601135379716485</v>
      </c>
      <c r="F22" s="133">
        <f>IF(SER_hh_tesh!F22=0,0,SER_hh_tesh!F22/SER_summary!F$26)</f>
        <v>16.611493037044841</v>
      </c>
      <c r="G22" s="133">
        <f>IF(SER_hh_tesh!G22=0,0,SER_hh_tesh!G22/SER_summary!G$26)</f>
        <v>16.432656820804688</v>
      </c>
      <c r="H22" s="133">
        <f>IF(SER_hh_tesh!H22=0,0,SER_hh_tesh!H22/SER_summary!H$26)</f>
        <v>16.00315580557935</v>
      </c>
      <c r="I22" s="133">
        <f>IF(SER_hh_tesh!I22=0,0,SER_hh_tesh!I22/SER_summary!I$26)</f>
        <v>15.646734557806422</v>
      </c>
      <c r="J22" s="133">
        <f>IF(SER_hh_tesh!J22=0,0,SER_hh_tesh!J22/SER_summary!J$26)</f>
        <v>15.580752929653061</v>
      </c>
      <c r="K22" s="133">
        <f>IF(SER_hh_tesh!K22=0,0,SER_hh_tesh!K22/SER_summary!K$26)</f>
        <v>15.51858796219733</v>
      </c>
      <c r="L22" s="133">
        <f>IF(SER_hh_tesh!L22=0,0,SER_hh_tesh!L22/SER_summary!L$26)</f>
        <v>15.285997313605481</v>
      </c>
      <c r="M22" s="133">
        <f>IF(SER_hh_tesh!M22=0,0,SER_hh_tesh!M22/SER_summary!M$26)</f>
        <v>15.213019231740491</v>
      </c>
      <c r="N22" s="133">
        <f>IF(SER_hh_tesh!N22=0,0,SER_hh_tesh!N22/SER_summary!N$26)</f>
        <v>15.438363342407849</v>
      </c>
      <c r="O22" s="133">
        <f>IF(SER_hh_tesh!O22=0,0,SER_hh_tesh!O22/SER_summary!O$26)</f>
        <v>15.412122024588061</v>
      </c>
      <c r="P22" s="133">
        <f>IF(SER_hh_tesh!P22=0,0,SER_hh_tesh!P22/SER_summary!P$26)</f>
        <v>15.338567342206741</v>
      </c>
      <c r="Q22" s="133">
        <f>IF(SER_hh_tesh!Q22=0,0,SER_hh_tesh!Q22/SER_summary!Q$26)</f>
        <v>15.329764605554832</v>
      </c>
      <c r="R22" s="133">
        <f>IF(SER_hh_tesh!R22=0,0,SER_hh_tesh!R22/SER_summary!R$26)</f>
        <v>15.287194186937777</v>
      </c>
      <c r="S22" s="133">
        <f>IF(SER_hh_tesh!S22=0,0,SER_hh_tesh!S22/SER_summary!S$26)</f>
        <v>15.186972762504801</v>
      </c>
      <c r="T22" s="133">
        <f>IF(SER_hh_tesh!T22=0,0,SER_hh_tesh!T22/SER_summary!T$26)</f>
        <v>15.307793545773157</v>
      </c>
      <c r="U22" s="133">
        <f>IF(SER_hh_tesh!U22=0,0,SER_hh_tesh!U22/SER_summary!U$26)</f>
        <v>15.344630560274933</v>
      </c>
      <c r="V22" s="133">
        <f>IF(SER_hh_tesh!V22=0,0,SER_hh_tesh!V22/SER_summary!V$26)</f>
        <v>14.761669156951358</v>
      </c>
      <c r="W22" s="133">
        <f>IF(SER_hh_tesh!W22=0,0,SER_hh_tesh!W22/SER_summary!W$26)</f>
        <v>15.288651938615851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16.788175936547837</v>
      </c>
      <c r="C23" s="133">
        <f>IF(SER_hh_tesh!C23=0,0,SER_hh_tesh!C23/SER_summary!C$26)</f>
        <v>16.66118622012667</v>
      </c>
      <c r="D23" s="133">
        <f>IF(SER_hh_tesh!D23=0,0,SER_hh_tesh!D23/SER_summary!D$26)</f>
        <v>17.353062270300143</v>
      </c>
      <c r="E23" s="133">
        <f>IF(SER_hh_tesh!E23=0,0,SER_hh_tesh!E23/SER_summary!E$26)</f>
        <v>16.654763007549185</v>
      </c>
      <c r="F23" s="133">
        <f>IF(SER_hh_tesh!F23=0,0,SER_hh_tesh!F23/SER_summary!F$26)</f>
        <v>16.507984480478395</v>
      </c>
      <c r="G23" s="133">
        <f>IF(SER_hh_tesh!G23=0,0,SER_hh_tesh!G23/SER_summary!G$26)</f>
        <v>16.376779576791083</v>
      </c>
      <c r="H23" s="133">
        <f>IF(SER_hh_tesh!H23=0,0,SER_hh_tesh!H23/SER_summary!H$26)</f>
        <v>16.192237320279318</v>
      </c>
      <c r="I23" s="133">
        <f>IF(SER_hh_tesh!I23=0,0,SER_hh_tesh!I23/SER_summary!I$26)</f>
        <v>15.67692750391593</v>
      </c>
      <c r="J23" s="133">
        <f>IF(SER_hh_tesh!J23=0,0,SER_hh_tesh!J23/SER_summary!J$26)</f>
        <v>15.394883837219446</v>
      </c>
      <c r="K23" s="133">
        <f>IF(SER_hh_tesh!K23=0,0,SER_hh_tesh!K23/SER_summary!K$26)</f>
        <v>15.457179908346635</v>
      </c>
      <c r="L23" s="133">
        <f>IF(SER_hh_tesh!L23=0,0,SER_hh_tesh!L23/SER_summary!L$26)</f>
        <v>15.30079990971651</v>
      </c>
      <c r="M23" s="133">
        <f>IF(SER_hh_tesh!M23=0,0,SER_hh_tesh!M23/SER_summary!M$26)</f>
        <v>14.971308999023503</v>
      </c>
      <c r="N23" s="133">
        <f>IF(SER_hh_tesh!N23=0,0,SER_hh_tesh!N23/SER_summary!N$26)</f>
        <v>15.885513164180644</v>
      </c>
      <c r="O23" s="133">
        <f>IF(SER_hh_tesh!O23=0,0,SER_hh_tesh!O23/SER_summary!O$26)</f>
        <v>16.011149476613681</v>
      </c>
      <c r="P23" s="133">
        <f>IF(SER_hh_tesh!P23=0,0,SER_hh_tesh!P23/SER_summary!P$26)</f>
        <v>15.052895844818279</v>
      </c>
      <c r="Q23" s="133">
        <f>IF(SER_hh_tesh!Q23=0,0,SER_hh_tesh!Q23/SER_summary!Q$26)</f>
        <v>14.869101334506356</v>
      </c>
      <c r="R23" s="133">
        <f>IF(SER_hh_tesh!R23=0,0,SER_hh_tesh!R23/SER_summary!R$26)</f>
        <v>15.039522679920848</v>
      </c>
      <c r="S23" s="133">
        <f>IF(SER_hh_tesh!S23=0,0,SER_hh_tesh!S23/SER_summary!S$26)</f>
        <v>15.750620954068449</v>
      </c>
      <c r="T23" s="133">
        <f>IF(SER_hh_tesh!T23=0,0,SER_hh_tesh!T23/SER_summary!T$26)</f>
        <v>15.73015271766864</v>
      </c>
      <c r="U23" s="133">
        <f>IF(SER_hh_tesh!U23=0,0,SER_hh_tesh!U23/SER_summary!U$26)</f>
        <v>15.808079984692311</v>
      </c>
      <c r="V23" s="133">
        <f>IF(SER_hh_tesh!V23=0,0,SER_hh_tesh!V23/SER_summary!V$26)</f>
        <v>14.245076625288085</v>
      </c>
      <c r="W23" s="133">
        <f>IF(SER_hh_tesh!W23=0,0,SER_hh_tesh!W23/SER_summary!W$26)</f>
        <v>15.113781723184026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17.090982486504682</v>
      </c>
      <c r="C25" s="133">
        <f>IF(SER_hh_tesh!C25=0,0,SER_hh_tesh!C25/SER_summary!C$26)</f>
        <v>16.840363552530125</v>
      </c>
      <c r="D25" s="133">
        <f>IF(SER_hh_tesh!D25=0,0,SER_hh_tesh!D25/SER_summary!D$26)</f>
        <v>16.946360009319605</v>
      </c>
      <c r="E25" s="133">
        <f>IF(SER_hh_tesh!E25=0,0,SER_hh_tesh!E25/SER_summary!E$26)</f>
        <v>16.681951020692647</v>
      </c>
      <c r="F25" s="133">
        <f>IF(SER_hh_tesh!F25=0,0,SER_hh_tesh!F25/SER_summary!F$26)</f>
        <v>16.458910615830199</v>
      </c>
      <c r="G25" s="133">
        <f>IF(SER_hh_tesh!G25=0,0,SER_hh_tesh!G25/SER_summary!G$26)</f>
        <v>16.325961806468101</v>
      </c>
      <c r="H25" s="133">
        <f>IF(SER_hh_tesh!H25=0,0,SER_hh_tesh!H25/SER_summary!H$26)</f>
        <v>16.001821366250606</v>
      </c>
      <c r="I25" s="133">
        <f>IF(SER_hh_tesh!I25=0,0,SER_hh_tesh!I25/SER_summary!I$26)</f>
        <v>15.686383330334914</v>
      </c>
      <c r="J25" s="133">
        <f>IF(SER_hh_tesh!J25=0,0,SER_hh_tesh!J25/SER_summary!J$26)</f>
        <v>15.376277017614173</v>
      </c>
      <c r="K25" s="133">
        <f>IF(SER_hh_tesh!K25=0,0,SER_hh_tesh!K25/SER_summary!K$26)</f>
        <v>15.555441124901067</v>
      </c>
      <c r="L25" s="133">
        <f>IF(SER_hh_tesh!L25=0,0,SER_hh_tesh!L25/SER_summary!L$26)</f>
        <v>15.470515968153038</v>
      </c>
      <c r="M25" s="133">
        <f>IF(SER_hh_tesh!M25=0,0,SER_hh_tesh!M25/SER_summary!M$26)</f>
        <v>15.498263998657402</v>
      </c>
      <c r="N25" s="133">
        <f>IF(SER_hh_tesh!N25=0,0,SER_hh_tesh!N25/SER_summary!N$26)</f>
        <v>15.682406753870964</v>
      </c>
      <c r="O25" s="133">
        <f>IF(SER_hh_tesh!O25=0,0,SER_hh_tesh!O25/SER_summary!O$26)</f>
        <v>15.456581681480484</v>
      </c>
      <c r="P25" s="133">
        <f>IF(SER_hh_tesh!P25=0,0,SER_hh_tesh!P25/SER_summary!P$26)</f>
        <v>14.947797730029288</v>
      </c>
      <c r="Q25" s="133">
        <f>IF(SER_hh_tesh!Q25=0,0,SER_hh_tesh!Q25/SER_summary!Q$26)</f>
        <v>15.090085359743455</v>
      </c>
      <c r="R25" s="133">
        <f>IF(SER_hh_tesh!R25=0,0,SER_hh_tesh!R25/SER_summary!R$26)</f>
        <v>15.334444949426995</v>
      </c>
      <c r="S25" s="133">
        <f>IF(SER_hh_tesh!S25=0,0,SER_hh_tesh!S25/SER_summary!S$26)</f>
        <v>15.223708358802469</v>
      </c>
      <c r="T25" s="133">
        <f>IF(SER_hh_tesh!T25=0,0,SER_hh_tesh!T25/SER_summary!T$26)</f>
        <v>15.457234989196786</v>
      </c>
      <c r="U25" s="133">
        <f>IF(SER_hh_tesh!U25=0,0,SER_hh_tesh!U25/SER_summary!U$26)</f>
        <v>15.312325374865724</v>
      </c>
      <c r="V25" s="133">
        <f>IF(SER_hh_tesh!V25=0,0,SER_hh_tesh!V25/SER_summary!V$26)</f>
        <v>14.959314780980646</v>
      </c>
      <c r="W25" s="133">
        <f>IF(SER_hh_tesh!W25=0,0,SER_hh_tesh!W25/SER_summary!W$26)</f>
        <v>14.942767244647799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17.046154629444562</v>
      </c>
      <c r="C26" s="65">
        <f>IF(SER_hh_tesh!C26=0,0,SER_hh_tesh!C26/SER_summary!C$26)</f>
        <v>16.788236019324376</v>
      </c>
      <c r="D26" s="65">
        <f>IF(SER_hh_tesh!D26=0,0,SER_hh_tesh!D26/SER_summary!D$26)</f>
        <v>16.325242119048834</v>
      </c>
      <c r="E26" s="65">
        <f>IF(SER_hh_tesh!E26=0,0,SER_hh_tesh!E26/SER_summary!E$26)</f>
        <v>16.548327778577864</v>
      </c>
      <c r="F26" s="65">
        <f>IF(SER_hh_tesh!F26=0,0,SER_hh_tesh!F26/SER_summary!F$26)</f>
        <v>16.79146221669593</v>
      </c>
      <c r="G26" s="65">
        <f>IF(SER_hh_tesh!G26=0,0,SER_hh_tesh!G26/SER_summary!G$26)</f>
        <v>16.453874052269761</v>
      </c>
      <c r="H26" s="65">
        <f>IF(SER_hh_tesh!H26=0,0,SER_hh_tesh!H26/SER_summary!H$26)</f>
        <v>15.907768357408473</v>
      </c>
      <c r="I26" s="65">
        <f>IF(SER_hh_tesh!I26=0,0,SER_hh_tesh!I26/SER_summary!I$26)</f>
        <v>15.427865935213822</v>
      </c>
      <c r="J26" s="65">
        <f>IF(SER_hh_tesh!J26=0,0,SER_hh_tesh!J26/SER_summary!J$26)</f>
        <v>15.175652923309663</v>
      </c>
      <c r="K26" s="65">
        <f>IF(SER_hh_tesh!K26=0,0,SER_hh_tesh!K26/SER_summary!K$26)</f>
        <v>15.341522381246877</v>
      </c>
      <c r="L26" s="65">
        <f>IF(SER_hh_tesh!L26=0,0,SER_hh_tesh!L26/SER_summary!L$26)</f>
        <v>15.279434317506936</v>
      </c>
      <c r="M26" s="65">
        <f>IF(SER_hh_tesh!M26=0,0,SER_hh_tesh!M26/SER_summary!M$26)</f>
        <v>15.279703255617825</v>
      </c>
      <c r="N26" s="65">
        <f>IF(SER_hh_tesh!N26=0,0,SER_hh_tesh!N26/SER_summary!N$26)</f>
        <v>14.727394120212875</v>
      </c>
      <c r="O26" s="65">
        <f>IF(SER_hh_tesh!O26=0,0,SER_hh_tesh!O26/SER_summary!O$26)</f>
        <v>14.771591709080585</v>
      </c>
      <c r="P26" s="65">
        <f>IF(SER_hh_tesh!P26=0,0,SER_hh_tesh!P26/SER_summary!P$26)</f>
        <v>15.442336672459367</v>
      </c>
      <c r="Q26" s="65">
        <f>IF(SER_hh_tesh!Q26=0,0,SER_hh_tesh!Q26/SER_summary!Q$26)</f>
        <v>15.329843006029089</v>
      </c>
      <c r="R26" s="65">
        <f>IF(SER_hh_tesh!R26=0,0,SER_hh_tesh!R26/SER_summary!R$26)</f>
        <v>15.150780687732185</v>
      </c>
      <c r="S26" s="65">
        <f>IF(SER_hh_tesh!S26=0,0,SER_hh_tesh!S26/SER_summary!S$26)</f>
        <v>14.741691034833513</v>
      </c>
      <c r="T26" s="65">
        <f>IF(SER_hh_tesh!T26=0,0,SER_hh_tesh!T26/SER_summary!T$26)</f>
        <v>14.738549904506115</v>
      </c>
      <c r="U26" s="65">
        <f>IF(SER_hh_tesh!U26=0,0,SER_hh_tesh!U26/SER_summary!U$26)</f>
        <v>14.716081599168595</v>
      </c>
      <c r="V26" s="65">
        <f>IF(SER_hh_tesh!V26=0,0,SER_hh_tesh!V26/SER_summary!V$26)</f>
        <v>15.066998931447714</v>
      </c>
      <c r="W26" s="65">
        <f>IF(SER_hh_tesh!W26=0,0,SER_hh_tesh!W26/SER_summary!W$26)</f>
        <v>14.825626397977326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7.2245703098311478E-2</v>
      </c>
      <c r="C27" s="146">
        <f>IF(SER_hh_tesh!C27=0,0,SER_hh_tesh!C27/SER_summary!C$26)</f>
        <v>7.9743523888553575E-2</v>
      </c>
      <c r="D27" s="146">
        <f>IF(SER_hh_tesh!D27=0,0,SER_hh_tesh!D27/SER_summary!D$26)</f>
        <v>8.9149426696046127E-2</v>
      </c>
      <c r="E27" s="146">
        <f>IF(SER_hh_tesh!E27=0,0,SER_hh_tesh!E27/SER_summary!E$26)</f>
        <v>9.6549935788273838E-2</v>
      </c>
      <c r="F27" s="146">
        <f>IF(SER_hh_tesh!F27=0,0,SER_hh_tesh!F27/SER_summary!F$26)</f>
        <v>0.10470709336750433</v>
      </c>
      <c r="G27" s="146">
        <f>IF(SER_hh_tesh!G27=0,0,SER_hh_tesh!G27/SER_summary!G$26)</f>
        <v>0.11002034088027372</v>
      </c>
      <c r="H27" s="146">
        <f>IF(SER_hh_tesh!H27=0,0,SER_hh_tesh!H27/SER_summary!H$26)</f>
        <v>0.11249997830331743</v>
      </c>
      <c r="I27" s="146">
        <f>IF(SER_hh_tesh!I27=0,0,SER_hh_tesh!I27/SER_summary!I$26)</f>
        <v>0.1155742521568528</v>
      </c>
      <c r="J27" s="146">
        <f>IF(SER_hh_tesh!J27=0,0,SER_hh_tesh!J27/SER_summary!J$26)</f>
        <v>0.11994677366794894</v>
      </c>
      <c r="K27" s="146">
        <f>IF(SER_hh_tesh!K27=0,0,SER_hh_tesh!K27/SER_summary!K$26)</f>
        <v>0.13182732912778788</v>
      </c>
      <c r="L27" s="146">
        <f>IF(SER_hh_tesh!L27=0,0,SER_hh_tesh!L27/SER_summary!L$26)</f>
        <v>0.14036411842228741</v>
      </c>
      <c r="M27" s="146">
        <f>IF(SER_hh_tesh!M27=0,0,SER_hh_tesh!M27/SER_summary!M$26)</f>
        <v>0.14482991632525491</v>
      </c>
      <c r="N27" s="146">
        <f>IF(SER_hh_tesh!N27=0,0,SER_hh_tesh!N27/SER_summary!N$26)</f>
        <v>0.14855085480060368</v>
      </c>
      <c r="O27" s="146">
        <f>IF(SER_hh_tesh!O27=0,0,SER_hh_tesh!O27/SER_summary!O$26)</f>
        <v>0.15380616741861972</v>
      </c>
      <c r="P27" s="146">
        <f>IF(SER_hh_tesh!P27=0,0,SER_hh_tesh!P27/SER_summary!P$26)</f>
        <v>0.15724518735316498</v>
      </c>
      <c r="Q27" s="146">
        <f>IF(SER_hh_tesh!Q27=0,0,SER_hh_tesh!Q27/SER_summary!Q$26)</f>
        <v>0.15564174224103425</v>
      </c>
      <c r="R27" s="146">
        <f>IF(SER_hh_tesh!R27=0,0,SER_hh_tesh!R27/SER_summary!R$26)</f>
        <v>0.15633017657843559</v>
      </c>
      <c r="S27" s="146">
        <f>IF(SER_hh_tesh!S27=0,0,SER_hh_tesh!S27/SER_summary!S$26)</f>
        <v>0.15462157764969417</v>
      </c>
      <c r="T27" s="146">
        <f>IF(SER_hh_tesh!T27=0,0,SER_hh_tesh!T27/SER_summary!T$26)</f>
        <v>0.15568775142203833</v>
      </c>
      <c r="U27" s="146">
        <f>IF(SER_hh_tesh!U27=0,0,SER_hh_tesh!U27/SER_summary!U$26)</f>
        <v>0.1581275465375292</v>
      </c>
      <c r="V27" s="146">
        <f>IF(SER_hh_tesh!V27=0,0,SER_hh_tesh!V27/SER_summary!V$26)</f>
        <v>0.15656486882597961</v>
      </c>
      <c r="W27" s="146">
        <f>IF(SER_hh_tesh!W27=0,0,SER_hh_tesh!W27/SER_summary!W$26)</f>
        <v>0.15435831216713128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7.8737973103939698</v>
      </c>
      <c r="C28" s="147">
        <f>IF(SER_hh_tesh!C28=0,0,SER_hh_tesh!C28/SER_summary!C$26)</f>
        <v>8.654491222340102</v>
      </c>
      <c r="D28" s="147">
        <f>IF(SER_hh_tesh!D28=0,0,SER_hh_tesh!D28/SER_summary!D$26)</f>
        <v>8.2108853032245914</v>
      </c>
      <c r="E28" s="147">
        <f>IF(SER_hh_tesh!E28=0,0,SER_hh_tesh!E28/SER_summary!E$26)</f>
        <v>8.3457236854455097</v>
      </c>
      <c r="F28" s="147">
        <f>IF(SER_hh_tesh!F28=0,0,SER_hh_tesh!F28/SER_summary!F$26)</f>
        <v>8.3720689269697832</v>
      </c>
      <c r="G28" s="147">
        <f>IF(SER_hh_tesh!G28=0,0,SER_hh_tesh!G28/SER_summary!G$26)</f>
        <v>8.1380611728299481</v>
      </c>
      <c r="H28" s="147">
        <f>IF(SER_hh_tesh!H28=0,0,SER_hh_tesh!H28/SER_summary!H$26)</f>
        <v>8.079598732479969</v>
      </c>
      <c r="I28" s="147">
        <f>IF(SER_hh_tesh!I28=0,0,SER_hh_tesh!I28/SER_summary!I$26)</f>
        <v>7.3141011338921729</v>
      </c>
      <c r="J28" s="147">
        <f>IF(SER_hh_tesh!J28=0,0,SER_hh_tesh!J28/SER_summary!J$26)</f>
        <v>7.9685563068939178</v>
      </c>
      <c r="K28" s="147">
        <f>IF(SER_hh_tesh!K28=0,0,SER_hh_tesh!K28/SER_summary!K$26)</f>
        <v>7.7927078127680502</v>
      </c>
      <c r="L28" s="147">
        <f>IF(SER_hh_tesh!L28=0,0,SER_hh_tesh!L28/SER_summary!L$26)</f>
        <v>8.9341321689671958</v>
      </c>
      <c r="M28" s="147">
        <f>IF(SER_hh_tesh!M28=0,0,SER_hh_tesh!M28/SER_summary!M$26)</f>
        <v>8.2282568042928279</v>
      </c>
      <c r="N28" s="147">
        <f>IF(SER_hh_tesh!N28=0,0,SER_hh_tesh!N28/SER_summary!N$26)</f>
        <v>8.5819000672704586</v>
      </c>
      <c r="O28" s="147">
        <f>IF(SER_hh_tesh!O28=0,0,SER_hh_tesh!O28/SER_summary!O$26)</f>
        <v>8.4629366533430339</v>
      </c>
      <c r="P28" s="147">
        <f>IF(SER_hh_tesh!P28=0,0,SER_hh_tesh!P28/SER_summary!P$26)</f>
        <v>8.1675036016099192</v>
      </c>
      <c r="Q28" s="147">
        <f>IF(SER_hh_tesh!Q28=0,0,SER_hh_tesh!Q28/SER_summary!Q$26)</f>
        <v>8.0234020392520033</v>
      </c>
      <c r="R28" s="147">
        <f>IF(SER_hh_tesh!R28=0,0,SER_hh_tesh!R28/SER_summary!R$26)</f>
        <v>7.7454209443212925</v>
      </c>
      <c r="S28" s="147">
        <f>IF(SER_hh_tesh!S28=0,0,SER_hh_tesh!S28/SER_summary!S$26)</f>
        <v>7.7088603268572031</v>
      </c>
      <c r="T28" s="147">
        <f>IF(SER_hh_tesh!T28=0,0,SER_hh_tesh!T28/SER_summary!T$26)</f>
        <v>8.0433953483104954</v>
      </c>
      <c r="U28" s="147">
        <f>IF(SER_hh_tesh!U28=0,0,SER_hh_tesh!U28/SER_summary!U$26)</f>
        <v>8.2989230120942317</v>
      </c>
      <c r="V28" s="147">
        <f>IF(SER_hh_tesh!V28=0,0,SER_hh_tesh!V28/SER_summary!V$26)</f>
        <v>8.1780396558877069</v>
      </c>
      <c r="W28" s="147">
        <f>IF(SER_hh_tesh!W28=0,0,SER_hh_tesh!W28/SER_summary!W$26)</f>
        <v>8.2767362044443669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14.82803040366254</v>
      </c>
      <c r="C29" s="131">
        <f>IF(SER_hh_tesh!C29=0,0,SER_hh_tesh!C29/SER_summary!C$26)</f>
        <v>14.710136340618057</v>
      </c>
      <c r="D29" s="131">
        <f>IF(SER_hh_tesh!D29=0,0,SER_hh_tesh!D29/SER_summary!D$26)</f>
        <v>14.738969030817023</v>
      </c>
      <c r="E29" s="131">
        <f>IF(SER_hh_tesh!E29=0,0,SER_hh_tesh!E29/SER_summary!E$26)</f>
        <v>14.837803715666958</v>
      </c>
      <c r="F29" s="131">
        <f>IF(SER_hh_tesh!F29=0,0,SER_hh_tesh!F29/SER_summary!F$26)</f>
        <v>15.038978722247503</v>
      </c>
      <c r="G29" s="131">
        <f>IF(SER_hh_tesh!G29=0,0,SER_hh_tesh!G29/SER_summary!G$26)</f>
        <v>15.065284167940325</v>
      </c>
      <c r="H29" s="131">
        <f>IF(SER_hh_tesh!H29=0,0,SER_hh_tesh!H29/SER_summary!H$26)</f>
        <v>14.903382768300039</v>
      </c>
      <c r="I29" s="131">
        <f>IF(SER_hh_tesh!I29=0,0,SER_hh_tesh!I29/SER_summary!I$26)</f>
        <v>14.715399818845937</v>
      </c>
      <c r="J29" s="131">
        <f>IF(SER_hh_tesh!J29=0,0,SER_hh_tesh!J29/SER_summary!J$26)</f>
        <v>14.685488159317236</v>
      </c>
      <c r="K29" s="131">
        <f>IF(SER_hh_tesh!K29=0,0,SER_hh_tesh!K29/SER_summary!K$26)</f>
        <v>14.910619382932888</v>
      </c>
      <c r="L29" s="131">
        <f>IF(SER_hh_tesh!L29=0,0,SER_hh_tesh!L29/SER_summary!L$26)</f>
        <v>14.888684945131518</v>
      </c>
      <c r="M29" s="131">
        <f>IF(SER_hh_tesh!M29=0,0,SER_hh_tesh!M29/SER_summary!M$26)</f>
        <v>14.695906931780138</v>
      </c>
      <c r="N29" s="131">
        <f>IF(SER_hh_tesh!N29=0,0,SER_hh_tesh!N29/SER_summary!N$26)</f>
        <v>14.700140029591816</v>
      </c>
      <c r="O29" s="131">
        <f>IF(SER_hh_tesh!O29=0,0,SER_hh_tesh!O29/SER_summary!O$26)</f>
        <v>14.842449809967947</v>
      </c>
      <c r="P29" s="131">
        <f>IF(SER_hh_tesh!P29=0,0,SER_hh_tesh!P29/SER_summary!P$26)</f>
        <v>14.89478916876633</v>
      </c>
      <c r="Q29" s="131">
        <f>IF(SER_hh_tesh!Q29=0,0,SER_hh_tesh!Q29/SER_summary!Q$26)</f>
        <v>14.784668228206165</v>
      </c>
      <c r="R29" s="131">
        <f>IF(SER_hh_tesh!R29=0,0,SER_hh_tesh!R29/SER_summary!R$26)</f>
        <v>14.756013616451774</v>
      </c>
      <c r="S29" s="131">
        <f>IF(SER_hh_tesh!S29=0,0,SER_hh_tesh!S29/SER_summary!S$26)</f>
        <v>14.775697974403442</v>
      </c>
      <c r="T29" s="131">
        <f>IF(SER_hh_tesh!T29=0,0,SER_hh_tesh!T29/SER_summary!T$26)</f>
        <v>14.770069795650926</v>
      </c>
      <c r="U29" s="131">
        <f>IF(SER_hh_tesh!U29=0,0,SER_hh_tesh!U29/SER_summary!U$26)</f>
        <v>14.762588864071923</v>
      </c>
      <c r="V29" s="131">
        <f>IF(SER_hh_tesh!V29=0,0,SER_hh_tesh!V29/SER_summary!V$26)</f>
        <v>14.531071834562903</v>
      </c>
      <c r="W29" s="131">
        <f>IF(SER_hh_tesh!W29=0,0,SER_hh_tesh!W29/SER_summary!W$26)</f>
        <v>14.536719071368326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14.053379836702684</v>
      </c>
      <c r="C30" s="133">
        <f>IF(SER_hh_tesh!C30=0,0,SER_hh_tesh!C30/SER_summary!C$26)</f>
        <v>14.743596650027909</v>
      </c>
      <c r="D30" s="133">
        <f>IF(SER_hh_tesh!D30=0,0,SER_hh_tesh!D30/SER_summary!D$26)</f>
        <v>15.718132134541664</v>
      </c>
      <c r="E30" s="133">
        <f>IF(SER_hh_tesh!E30=0,0,SER_hh_tesh!E30/SER_summary!E$26)</f>
        <v>14.177234496071899</v>
      </c>
      <c r="F30" s="133">
        <f>IF(SER_hh_tesh!F30=0,0,SER_hh_tesh!F30/SER_summary!F$26)</f>
        <v>15.047485695478327</v>
      </c>
      <c r="G30" s="133">
        <f>IF(SER_hh_tesh!G30=0,0,SER_hh_tesh!G30/SER_summary!G$26)</f>
        <v>14.80642795103193</v>
      </c>
      <c r="H30" s="133">
        <f>IF(SER_hh_tesh!H30=0,0,SER_hh_tesh!H30/SER_summary!H$26)</f>
        <v>19.154116504602353</v>
      </c>
      <c r="I30" s="133">
        <f>IF(SER_hh_tesh!I30=0,0,SER_hh_tesh!I30/SER_summary!I$26)</f>
        <v>11.854428885875603</v>
      </c>
      <c r="J30" s="133">
        <f>IF(SER_hh_tesh!J30=0,0,SER_hh_tesh!J30/SER_summary!J$26)</f>
        <v>10.572189099439653</v>
      </c>
      <c r="K30" s="133">
        <f>IF(SER_hh_tesh!K30=0,0,SER_hh_tesh!K30/SER_summary!K$26)</f>
        <v>16.279800470964698</v>
      </c>
      <c r="L30" s="133">
        <f>IF(SER_hh_tesh!L30=0,0,SER_hh_tesh!L30/SER_summary!L$26)</f>
        <v>18.462445754823598</v>
      </c>
      <c r="M30" s="133">
        <f>IF(SER_hh_tesh!M30=0,0,SER_hh_tesh!M30/SER_summary!M$26)</f>
        <v>11.346120484980311</v>
      </c>
      <c r="N30" s="133">
        <f>IF(SER_hh_tesh!N30=0,0,SER_hh_tesh!N30/SER_summary!N$26)</f>
        <v>16.638142927765699</v>
      </c>
      <c r="O30" s="133">
        <f>IF(SER_hh_tesh!O30=0,0,SER_hh_tesh!O30/SER_summary!O$26)</f>
        <v>17.547491010827578</v>
      </c>
      <c r="P30" s="133">
        <f>IF(SER_hh_tesh!P30=0,0,SER_hh_tesh!P30/SER_summary!P$26)</f>
        <v>2.6098530244987499</v>
      </c>
      <c r="Q30" s="133">
        <f>IF(SER_hh_tesh!Q30=0,0,SER_hh_tesh!Q30/SER_summary!Q$26)</f>
        <v>17.955292484641422</v>
      </c>
      <c r="R30" s="133">
        <f>IF(SER_hh_tesh!R30=0,0,SER_hh_tesh!R30/SER_summary!R$26)</f>
        <v>14.187904163491126</v>
      </c>
      <c r="S30" s="133">
        <f>IF(SER_hh_tesh!S30=0,0,SER_hh_tesh!S30/SER_summary!S$26)</f>
        <v>12.733892168629481</v>
      </c>
      <c r="T30" s="133">
        <f>IF(SER_hh_tesh!T30=0,0,SER_hh_tesh!T30/SER_summary!T$26)</f>
        <v>15.419583835264977</v>
      </c>
      <c r="U30" s="133">
        <f>IF(SER_hh_tesh!U30=0,0,SER_hh_tesh!U30/SER_summary!U$26)</f>
        <v>19.166770557325272</v>
      </c>
      <c r="V30" s="133">
        <f>IF(SER_hh_tesh!V30=0,0,SER_hh_tesh!V30/SER_summary!V$26)</f>
        <v>14.297519612207012</v>
      </c>
      <c r="W30" s="133">
        <f>IF(SER_hh_tesh!W30=0,0,SER_hh_tesh!W30/SER_summary!W$26)</f>
        <v>13.208122753122934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14.712966321516971</v>
      </c>
      <c r="C31" s="133">
        <f>IF(SER_hh_tesh!C31=0,0,SER_hh_tesh!C31/SER_summary!C$26)</f>
        <v>14.800101611881203</v>
      </c>
      <c r="D31" s="133">
        <f>IF(SER_hh_tesh!D31=0,0,SER_hh_tesh!D31/SER_summary!D$26)</f>
        <v>14.635684431350482</v>
      </c>
      <c r="E31" s="133">
        <f>IF(SER_hh_tesh!E31=0,0,SER_hh_tesh!E31/SER_summary!E$26)</f>
        <v>15.076865250185444</v>
      </c>
      <c r="F31" s="133">
        <f>IF(SER_hh_tesh!F31=0,0,SER_hh_tesh!F31/SER_summary!F$26)</f>
        <v>15.015958375624161</v>
      </c>
      <c r="G31" s="133">
        <f>IF(SER_hh_tesh!G31=0,0,SER_hh_tesh!G31/SER_summary!G$26)</f>
        <v>14.966836418241344</v>
      </c>
      <c r="H31" s="133">
        <f>IF(SER_hh_tesh!H31=0,0,SER_hh_tesh!H31/SER_summary!H$26)</f>
        <v>13.963294431454463</v>
      </c>
      <c r="I31" s="133">
        <f>IF(SER_hh_tesh!I31=0,0,SER_hh_tesh!I31/SER_summary!I$26)</f>
        <v>15.255809716161339</v>
      </c>
      <c r="J31" s="133">
        <f>IF(SER_hh_tesh!J31=0,0,SER_hh_tesh!J31/SER_summary!J$26)</f>
        <v>15.544715406806977</v>
      </c>
      <c r="K31" s="133">
        <f>IF(SER_hh_tesh!K31=0,0,SER_hh_tesh!K31/SER_summary!K$26)</f>
        <v>14.672667913487189</v>
      </c>
      <c r="L31" s="133">
        <f>IF(SER_hh_tesh!L31=0,0,SER_hh_tesh!L31/SER_summary!L$26)</f>
        <v>14.180669319137987</v>
      </c>
      <c r="M31" s="133">
        <f>IF(SER_hh_tesh!M31=0,0,SER_hh_tesh!M31/SER_summary!M$26)</f>
        <v>15.320262131864018</v>
      </c>
      <c r="N31" s="133">
        <f>IF(SER_hh_tesh!N31=0,0,SER_hh_tesh!N31/SER_summary!N$26)</f>
        <v>14.44865712712145</v>
      </c>
      <c r="O31" s="133">
        <f>IF(SER_hh_tesh!O31=0,0,SER_hh_tesh!O31/SER_summary!O$26)</f>
        <v>14.492883479538115</v>
      </c>
      <c r="P31" s="133">
        <f>IF(SER_hh_tesh!P31=0,0,SER_hh_tesh!P31/SER_summary!P$26)</f>
        <v>16.19358149210257</v>
      </c>
      <c r="Q31" s="133">
        <f>IF(SER_hh_tesh!Q31=0,0,SER_hh_tesh!Q31/SER_summary!Q$26)</f>
        <v>14.341822821980559</v>
      </c>
      <c r="R31" s="133">
        <f>IF(SER_hh_tesh!R31=0,0,SER_hh_tesh!R31/SER_summary!R$26)</f>
        <v>14.752284238211008</v>
      </c>
      <c r="S31" s="133">
        <f>IF(SER_hh_tesh!S31=0,0,SER_hh_tesh!S31/SER_summary!S$26)</f>
        <v>15.439566778057529</v>
      </c>
      <c r="T31" s="133">
        <f>IF(SER_hh_tesh!T31=0,0,SER_hh_tesh!T31/SER_summary!T$26)</f>
        <v>14.599724402538751</v>
      </c>
      <c r="U31" s="133">
        <f>IF(SER_hh_tesh!U31=0,0,SER_hh_tesh!U31/SER_summary!U$26)</f>
        <v>13.050913891706431</v>
      </c>
      <c r="V31" s="133">
        <f>IF(SER_hh_tesh!V31=0,0,SER_hh_tesh!V31/SER_summary!V$26)</f>
        <v>14.60590645896351</v>
      </c>
      <c r="W31" s="133">
        <f>IF(SER_hh_tesh!W31=0,0,SER_hh_tesh!W31/SER_summary!W$26)</f>
        <v>15.703003888212141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14.957758288145216</v>
      </c>
      <c r="C33" s="68">
        <f>IF(SER_hh_tesh!C33=0,0,SER_hh_tesh!C33/SER_summary!C$26)</f>
        <v>14.662718493939252</v>
      </c>
      <c r="D33" s="68">
        <f>IF(SER_hh_tesh!D33=0,0,SER_hh_tesh!D33/SER_summary!D$26)</f>
        <v>14.682260640364126</v>
      </c>
      <c r="E33" s="68">
        <f>IF(SER_hh_tesh!E33=0,0,SER_hh_tesh!E33/SER_summary!E$26)</f>
        <v>14.792372938535713</v>
      </c>
      <c r="F33" s="68">
        <f>IF(SER_hh_tesh!F33=0,0,SER_hh_tesh!F33/SER_summary!F$26)</f>
        <v>15.049609372522362</v>
      </c>
      <c r="G33" s="68">
        <f>IF(SER_hh_tesh!G33=0,0,SER_hh_tesh!G33/SER_summary!G$26)</f>
        <v>15.145741110407473</v>
      </c>
      <c r="H33" s="68">
        <f>IF(SER_hh_tesh!H33=0,0,SER_hh_tesh!H33/SER_summary!H$26)</f>
        <v>14.891750702886224</v>
      </c>
      <c r="I33" s="68">
        <f>IF(SER_hh_tesh!I33=0,0,SER_hh_tesh!I33/SER_summary!I$26)</f>
        <v>14.691743972055038</v>
      </c>
      <c r="J33" s="68">
        <f>IF(SER_hh_tesh!J33=0,0,SER_hh_tesh!J33/SER_summary!J$26)</f>
        <v>14.571102885648845</v>
      </c>
      <c r="K33" s="68">
        <f>IF(SER_hh_tesh!K33=0,0,SER_hh_tesh!K33/SER_summary!K$26)</f>
        <v>14.919334576455158</v>
      </c>
      <c r="L33" s="68">
        <f>IF(SER_hh_tesh!L33=0,0,SER_hh_tesh!L33/SER_summary!L$26)</f>
        <v>14.92942823854716</v>
      </c>
      <c r="M33" s="68">
        <f>IF(SER_hh_tesh!M33=0,0,SER_hh_tesh!M33/SER_summary!M$26)</f>
        <v>14.647966085536124</v>
      </c>
      <c r="N33" s="68">
        <f>IF(SER_hh_tesh!N33=0,0,SER_hh_tesh!N33/SER_summary!N$26)</f>
        <v>14.687259056210298</v>
      </c>
      <c r="O33" s="68">
        <f>IF(SER_hh_tesh!O33=0,0,SER_hh_tesh!O33/SER_summary!O$26)</f>
        <v>14.8432299392516</v>
      </c>
      <c r="P33" s="68">
        <f>IF(SER_hh_tesh!P33=0,0,SER_hh_tesh!P33/SER_summary!P$26)</f>
        <v>15.101065673117517</v>
      </c>
      <c r="Q33" s="68">
        <f>IF(SER_hh_tesh!Q33=0,0,SER_hh_tesh!Q33/SER_summary!Q$26)</f>
        <v>14.755203223739224</v>
      </c>
      <c r="R33" s="68">
        <f>IF(SER_hh_tesh!R33=0,0,SER_hh_tesh!R33/SER_summary!R$26)</f>
        <v>14.80725928721033</v>
      </c>
      <c r="S33" s="68">
        <f>IF(SER_hh_tesh!S33=0,0,SER_hh_tesh!S33/SER_summary!S$26)</f>
        <v>14.763326306769581</v>
      </c>
      <c r="T33" s="68">
        <f>IF(SER_hh_tesh!T33=0,0,SER_hh_tesh!T33/SER_summary!T$26)</f>
        <v>14.733945080843169</v>
      </c>
      <c r="U33" s="68">
        <f>IF(SER_hh_tesh!U33=0,0,SER_hh_tesh!U33/SER_summary!U$26)</f>
        <v>14.605676026254562</v>
      </c>
      <c r="V33" s="68">
        <f>IF(SER_hh_tesh!V33=0,0,SER_hh_tesh!V33/SER_summary!V$26)</f>
        <v>14.544363769624979</v>
      </c>
      <c r="W33" s="68">
        <f>IF(SER_hh_tesh!W33=0,0,SER_hh_tesh!W33/SER_summary!W$26)</f>
        <v>14.397801454077063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24.629131448671185</v>
      </c>
      <c r="C3" s="126">
        <f>IF(SER_hh_emih!C3=0,0,SER_hh_emih!C3/SER_summary!C$26)</f>
        <v>25.942643034991196</v>
      </c>
      <c r="D3" s="126">
        <f>IF(SER_hh_emih!D3=0,0,SER_hh_emih!D3/SER_summary!D$26)</f>
        <v>24.440422633655427</v>
      </c>
      <c r="E3" s="126">
        <f>IF(SER_hh_emih!E3=0,0,SER_hh_emih!E3/SER_summary!E$26)</f>
        <v>25.92079980298227</v>
      </c>
      <c r="F3" s="126">
        <f>IF(SER_hh_emih!F3=0,0,SER_hh_emih!F3/SER_summary!F$26)</f>
        <v>28.37177338905704</v>
      </c>
      <c r="G3" s="126">
        <f>IF(SER_hh_emih!G3=0,0,SER_hh_emih!G3/SER_summary!G$26)</f>
        <v>25.806144024565384</v>
      </c>
      <c r="H3" s="126">
        <f>IF(SER_hh_emih!H3=0,0,SER_hh_emih!H3/SER_summary!H$26)</f>
        <v>25.282386823567752</v>
      </c>
      <c r="I3" s="126">
        <f>IF(SER_hh_emih!I3=0,0,SER_hh_emih!I3/SER_summary!I$26)</f>
        <v>22.059656508149338</v>
      </c>
      <c r="J3" s="126">
        <f>IF(SER_hh_emih!J3=0,0,SER_hh_emih!J3/SER_summary!J$26)</f>
        <v>23.384511450969867</v>
      </c>
      <c r="K3" s="126">
        <f>IF(SER_hh_emih!K3=0,0,SER_hh_emih!K3/SER_summary!K$26)</f>
        <v>24.138432733632367</v>
      </c>
      <c r="L3" s="126">
        <f>IF(SER_hh_emih!L3=0,0,SER_hh_emih!L3/SER_summary!L$26)</f>
        <v>27.279168912173947</v>
      </c>
      <c r="M3" s="126">
        <f>IF(SER_hh_emih!M3=0,0,SER_hh_emih!M3/SER_summary!M$26)</f>
        <v>21.761516025229227</v>
      </c>
      <c r="N3" s="126">
        <f>IF(SER_hh_emih!N3=0,0,SER_hh_emih!N3/SER_summary!N$26)</f>
        <v>24.087929711867055</v>
      </c>
      <c r="O3" s="126">
        <f>IF(SER_hh_emih!O3=0,0,SER_hh_emih!O3/SER_summary!O$26)</f>
        <v>24.230621685119221</v>
      </c>
      <c r="P3" s="126">
        <f>IF(SER_hh_emih!P3=0,0,SER_hh_emih!P3/SER_summary!P$26)</f>
        <v>19.425286786106376</v>
      </c>
      <c r="Q3" s="126">
        <f>IF(SER_hh_emih!Q3=0,0,SER_hh_emih!Q3/SER_summary!Q$26)</f>
        <v>20.564765588658705</v>
      </c>
      <c r="R3" s="126">
        <f>IF(SER_hh_emih!R3=0,0,SER_hh_emih!R3/SER_summary!R$26)</f>
        <v>20.496286350077746</v>
      </c>
      <c r="S3" s="126">
        <f>IF(SER_hh_emih!S3=0,0,SER_hh_emih!S3/SER_summary!S$26)</f>
        <v>20.23926574927458</v>
      </c>
      <c r="T3" s="126">
        <f>IF(SER_hh_emih!T3=0,0,SER_hh_emih!T3/SER_summary!T$26)</f>
        <v>19.756800918922572</v>
      </c>
      <c r="U3" s="126">
        <f>IF(SER_hh_emih!U3=0,0,SER_hh_emih!U3/SER_summary!U$26)</f>
        <v>18.583847423158861</v>
      </c>
      <c r="V3" s="126">
        <f>IF(SER_hh_emih!V3=0,0,SER_hh_emih!V3/SER_summary!V$26)</f>
        <v>16.588189185646783</v>
      </c>
      <c r="W3" s="126">
        <f>IF(SER_hh_emih!W3=0,0,SER_hh_emih!W3/SER_summary!W$26)</f>
        <v>17.707483229155443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20.801808177751614</v>
      </c>
      <c r="C4" s="131">
        <f>IF(SER_hh_emih!C4=0,0,SER_hh_emih!C4/SER_summary!C$26)</f>
        <v>22.076873435704012</v>
      </c>
      <c r="D4" s="131">
        <f>IF(SER_hh_emih!D4=0,0,SER_hh_emih!D4/SER_summary!D$26)</f>
        <v>20.454472660248577</v>
      </c>
      <c r="E4" s="131">
        <f>IF(SER_hh_emih!E4=0,0,SER_hh_emih!E4/SER_summary!E$26)</f>
        <v>21.985244285813945</v>
      </c>
      <c r="F4" s="131">
        <f>IF(SER_hh_emih!F4=0,0,SER_hh_emih!F4/SER_summary!F$26)</f>
        <v>24.394331751307803</v>
      </c>
      <c r="G4" s="131">
        <f>IF(SER_hh_emih!G4=0,0,SER_hh_emih!G4/SER_summary!G$26)</f>
        <v>21.885341952739211</v>
      </c>
      <c r="H4" s="131">
        <f>IF(SER_hh_emih!H4=0,0,SER_hh_emih!H4/SER_summary!H$26)</f>
        <v>21.410396828224545</v>
      </c>
      <c r="I4" s="131">
        <f>IF(SER_hh_emih!I4=0,0,SER_hh_emih!I4/SER_summary!I$26)</f>
        <v>18.364759972115685</v>
      </c>
      <c r="J4" s="131">
        <f>IF(SER_hh_emih!J4=0,0,SER_hh_emih!J4/SER_summary!J$26)</f>
        <v>19.735963681163526</v>
      </c>
      <c r="K4" s="131">
        <f>IF(SER_hh_emih!K4=0,0,SER_hh_emih!K4/SER_summary!K$26)</f>
        <v>20.446617529366652</v>
      </c>
      <c r="L4" s="131">
        <f>IF(SER_hh_emih!L4=0,0,SER_hh_emih!L4/SER_summary!L$26)</f>
        <v>23.627357469511608</v>
      </c>
      <c r="M4" s="131">
        <f>IF(SER_hh_emih!M4=0,0,SER_hh_emih!M4/SER_summary!M$26)</f>
        <v>18.199736950637337</v>
      </c>
      <c r="N4" s="131">
        <f>IF(SER_hh_emih!N4=0,0,SER_hh_emih!N4/SER_summary!N$26)</f>
        <v>20.412095597398483</v>
      </c>
      <c r="O4" s="131">
        <f>IF(SER_hh_emih!O4=0,0,SER_hh_emih!O4/SER_summary!O$26)</f>
        <v>20.551672230488848</v>
      </c>
      <c r="P4" s="131">
        <f>IF(SER_hh_emih!P4=0,0,SER_hh_emih!P4/SER_summary!P$26)</f>
        <v>15.938081370843898</v>
      </c>
      <c r="Q4" s="131">
        <f>IF(SER_hh_emih!Q4=0,0,SER_hh_emih!Q4/SER_summary!Q$26)</f>
        <v>17.142475517052777</v>
      </c>
      <c r="R4" s="131">
        <f>IF(SER_hh_emih!R4=0,0,SER_hh_emih!R4/SER_summary!R$26)</f>
        <v>17.116315830873067</v>
      </c>
      <c r="S4" s="131">
        <f>IF(SER_hh_emih!S4=0,0,SER_hh_emih!S4/SER_summary!S$26)</f>
        <v>16.795202411137478</v>
      </c>
      <c r="T4" s="131">
        <f>IF(SER_hh_emih!T4=0,0,SER_hh_emih!T4/SER_summary!T$26)</f>
        <v>16.375845588223257</v>
      </c>
      <c r="U4" s="131">
        <f>IF(SER_hh_emih!U4=0,0,SER_hh_emih!U4/SER_summary!U$26)</f>
        <v>15.295699789364429</v>
      </c>
      <c r="V4" s="131">
        <f>IF(SER_hh_emih!V4=0,0,SER_hh_emih!V4/SER_summary!V$26)</f>
        <v>13.688899283331626</v>
      </c>
      <c r="W4" s="131">
        <f>IF(SER_hh_emih!W4=0,0,SER_hh_emih!W4/SER_summary!W$26)</f>
        <v>14.778647091178794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45.309264105829648</v>
      </c>
      <c r="C5" s="133">
        <f>IF(SER_hh_emih!C5=0,0,SER_hh_emih!C5/SER_summary!C$26)</f>
        <v>46.117710033164897</v>
      </c>
      <c r="D5" s="133">
        <f>IF(SER_hh_emih!D5=0,0,SER_hh_emih!D5/SER_summary!D$26)</f>
        <v>38.930677221248978</v>
      </c>
      <c r="E5" s="133">
        <f>IF(SER_hh_emih!E5=0,0,SER_hh_emih!E5/SER_summary!E$26)</f>
        <v>62.968140709730399</v>
      </c>
      <c r="F5" s="133">
        <f>IF(SER_hh_emih!F5=0,0,SER_hh_emih!F5/SER_summary!F$26)</f>
        <v>31.589382037624741</v>
      </c>
      <c r="G5" s="133">
        <f>IF(SER_hh_emih!G5=0,0,SER_hh_emih!G5/SER_summary!G$26)</f>
        <v>42.457673797103112</v>
      </c>
      <c r="H5" s="133">
        <f>IF(SER_hh_emih!H5=0,0,SER_hh_emih!H5/SER_summary!H$26)</f>
        <v>28.48885109747053</v>
      </c>
      <c r="I5" s="133">
        <f>IF(SER_hh_emih!I5=0,0,SER_hh_emih!I5/SER_summary!I$26)</f>
        <v>43.667843255968528</v>
      </c>
      <c r="J5" s="133">
        <f>IF(SER_hh_emih!J5=0,0,SER_hh_emih!J5/SER_summary!J$26)</f>
        <v>47.280570382588664</v>
      </c>
      <c r="K5" s="133">
        <f>IF(SER_hh_emih!K5=0,0,SER_hh_emih!K5/SER_summary!K$26)</f>
        <v>47.25843746817759</v>
      </c>
      <c r="L5" s="133">
        <f>IF(SER_hh_emih!L5=0,0,SER_hh_emih!L5/SER_summary!L$26)</f>
        <v>45.943898124358931</v>
      </c>
      <c r="M5" s="133">
        <f>IF(SER_hh_emih!M5=0,0,SER_hh_emih!M5/SER_summary!M$26)</f>
        <v>45.532974797583073</v>
      </c>
      <c r="N5" s="133">
        <f>IF(SER_hh_emih!N5=0,0,SER_hh_emih!N5/SER_summary!N$26)</f>
        <v>44.76863406427875</v>
      </c>
      <c r="O5" s="133">
        <f>IF(SER_hh_emih!O5=0,0,SER_hh_emih!O5/SER_summary!O$26)</f>
        <v>27.055340514407415</v>
      </c>
      <c r="P5" s="133">
        <f>IF(SER_hh_emih!P5=0,0,SER_hh_emih!P5/SER_summary!P$26)</f>
        <v>10.247099420140307</v>
      </c>
      <c r="Q5" s="133">
        <f>IF(SER_hh_emih!Q5=0,0,SER_hh_emih!Q5/SER_summary!Q$26)</f>
        <v>45.575079850588217</v>
      </c>
      <c r="R5" s="133">
        <f>IF(SER_hh_emih!R5=0,0,SER_hh_emih!R5/SER_summary!R$26)</f>
        <v>43.18960232543256</v>
      </c>
      <c r="S5" s="133">
        <f>IF(SER_hh_emih!S5=0,0,SER_hh_emih!S5/SER_summary!S$26)</f>
        <v>40.840215705383251</v>
      </c>
      <c r="T5" s="133">
        <f>IF(SER_hh_emih!T5=0,0,SER_hh_emih!T5/SER_summary!T$26)</f>
        <v>40.671877306056594</v>
      </c>
      <c r="U5" s="133">
        <f>IF(SER_hh_emih!U5=0,0,SER_hh_emih!U5/SER_summary!U$26)</f>
        <v>32.399494905986728</v>
      </c>
      <c r="V5" s="133">
        <f>IF(SER_hh_emih!V5=0,0,SER_hh_emih!V5/SER_summary!V$26)</f>
        <v>40.897070488771057</v>
      </c>
      <c r="W5" s="133">
        <f>IF(SER_hh_emih!W5=0,0,SER_hh_emih!W5/SER_summary!W$26)</f>
        <v>30.512409937745577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39.531852410572995</v>
      </c>
      <c r="C7" s="133">
        <f>IF(SER_hh_emih!C7=0,0,SER_hh_emih!C7/SER_summary!C$26)</f>
        <v>39.563343440278857</v>
      </c>
      <c r="D7" s="133">
        <f>IF(SER_hh_emih!D7=0,0,SER_hh_emih!D7/SER_summary!D$26)</f>
        <v>41.202147734203969</v>
      </c>
      <c r="E7" s="133">
        <f>IF(SER_hh_emih!E7=0,0,SER_hh_emih!E7/SER_summary!E$26)</f>
        <v>43.462179503329011</v>
      </c>
      <c r="F7" s="133">
        <f>IF(SER_hh_emih!F7=0,0,SER_hh_emih!F7/SER_summary!F$26)</f>
        <v>41.855314656525834</v>
      </c>
      <c r="G7" s="133">
        <f>IF(SER_hh_emih!G7=0,0,SER_hh_emih!G7/SER_summary!G$26)</f>
        <v>42.675343154372797</v>
      </c>
      <c r="H7" s="133">
        <f>IF(SER_hh_emih!H7=0,0,SER_hh_emih!H7/SER_summary!H$26)</f>
        <v>40.319737455566461</v>
      </c>
      <c r="I7" s="133">
        <f>IF(SER_hh_emih!I7=0,0,SER_hh_emih!I7/SER_summary!I$26)</f>
        <v>40.047631569227057</v>
      </c>
      <c r="J7" s="133">
        <f>IF(SER_hh_emih!J7=0,0,SER_hh_emih!J7/SER_summary!J$26)</f>
        <v>39.647422168213936</v>
      </c>
      <c r="K7" s="133">
        <f>IF(SER_hh_emih!K7=0,0,SER_hh_emih!K7/SER_summary!K$26)</f>
        <v>38.266378633822818</v>
      </c>
      <c r="L7" s="133">
        <f>IF(SER_hh_emih!L7=0,0,SER_hh_emih!L7/SER_summary!L$26)</f>
        <v>43.773307267594276</v>
      </c>
      <c r="M7" s="133">
        <f>IF(SER_hh_emih!M7=0,0,SER_hh_emih!M7/SER_summary!M$26)</f>
        <v>38.790909924743083</v>
      </c>
      <c r="N7" s="133">
        <f>IF(SER_hh_emih!N7=0,0,SER_hh_emih!N7/SER_summary!N$26)</f>
        <v>36.993282863460955</v>
      </c>
      <c r="O7" s="133">
        <f>IF(SER_hh_emih!O7=0,0,SER_hh_emih!O7/SER_summary!O$26)</f>
        <v>36.294311827767061</v>
      </c>
      <c r="P7" s="133">
        <f>IF(SER_hh_emih!P7=0,0,SER_hh_emih!P7/SER_summary!P$26)</f>
        <v>34.541394259306834</v>
      </c>
      <c r="Q7" s="133">
        <f>IF(SER_hh_emih!Q7=0,0,SER_hh_emih!Q7/SER_summary!Q$26)</f>
        <v>31.01753928175243</v>
      </c>
      <c r="R7" s="133">
        <f>IF(SER_hh_emih!R7=0,0,SER_hh_emih!R7/SER_summary!R$26)</f>
        <v>31.011736447977928</v>
      </c>
      <c r="S7" s="133">
        <f>IF(SER_hh_emih!S7=0,0,SER_hh_emih!S7/SER_summary!S$26)</f>
        <v>30.692163228560357</v>
      </c>
      <c r="T7" s="133">
        <f>IF(SER_hh_emih!T7=0,0,SER_hh_emih!T7/SER_summary!T$26)</f>
        <v>29.717888292441604</v>
      </c>
      <c r="U7" s="133">
        <f>IF(SER_hh_emih!U7=0,0,SER_hh_emih!U7/SER_summary!U$26)</f>
        <v>29.852000244128039</v>
      </c>
      <c r="V7" s="133">
        <f>IF(SER_hh_emih!V7=0,0,SER_hh_emih!V7/SER_summary!V$26)</f>
        <v>27.283580372299557</v>
      </c>
      <c r="W7" s="133">
        <f>IF(SER_hh_emih!W7=0,0,SER_hh_emih!W7/SER_summary!W$26)</f>
        <v>27.281437323956933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13.986003054335749</v>
      </c>
      <c r="C8" s="133">
        <f>IF(SER_hh_emih!C8=0,0,SER_hh_emih!C8/SER_summary!C$26)</f>
        <v>15.117421732721491</v>
      </c>
      <c r="D8" s="133">
        <f>IF(SER_hh_emih!D8=0,0,SER_hh_emih!D8/SER_summary!D$26)</f>
        <v>13.865823149636762</v>
      </c>
      <c r="E8" s="133">
        <f>IF(SER_hh_emih!E8=0,0,SER_hh_emih!E8/SER_summary!E$26)</f>
        <v>15.489991014538671</v>
      </c>
      <c r="F8" s="133">
        <f>IF(SER_hh_emih!F8=0,0,SER_hh_emih!F8/SER_summary!F$26)</f>
        <v>15.709111949080556</v>
      </c>
      <c r="G8" s="133">
        <f>IF(SER_hh_emih!G8=0,0,SER_hh_emih!G8/SER_summary!G$26)</f>
        <v>13.424036751302673</v>
      </c>
      <c r="H8" s="133">
        <f>IF(SER_hh_emih!H8=0,0,SER_hh_emih!H8/SER_summary!H$26)</f>
        <v>12.207883910097319</v>
      </c>
      <c r="I8" s="133">
        <f>IF(SER_hh_emih!I8=0,0,SER_hh_emih!I8/SER_summary!I$26)</f>
        <v>12.209831885943878</v>
      </c>
      <c r="J8" s="133">
        <f>IF(SER_hh_emih!J8=0,0,SER_hh_emih!J8/SER_summary!J$26)</f>
        <v>11.840148815319747</v>
      </c>
      <c r="K8" s="133">
        <f>IF(SER_hh_emih!K8=0,0,SER_hh_emih!K8/SER_summary!K$26)</f>
        <v>11.378917155705832</v>
      </c>
      <c r="L8" s="133">
        <f>IF(SER_hh_emih!L8=0,0,SER_hh_emih!L8/SER_summary!L$26)</f>
        <v>11.120861285824548</v>
      </c>
      <c r="M8" s="133">
        <f>IF(SER_hh_emih!M8=0,0,SER_hh_emih!M8/SER_summary!M$26)</f>
        <v>10.679892409662283</v>
      </c>
      <c r="N8" s="133">
        <f>IF(SER_hh_emih!N8=0,0,SER_hh_emih!N8/SER_summary!N$26)</f>
        <v>8.8733608927252678</v>
      </c>
      <c r="O8" s="133">
        <f>IF(SER_hh_emih!O8=0,0,SER_hh_emih!O8/SER_summary!O$26)</f>
        <v>7.1193024736423176</v>
      </c>
      <c r="P8" s="133">
        <f>IF(SER_hh_emih!P8=0,0,SER_hh_emih!P8/SER_summary!P$26)</f>
        <v>7.4102756233934626</v>
      </c>
      <c r="Q8" s="133">
        <f>IF(SER_hh_emih!Q8=0,0,SER_hh_emih!Q8/SER_summary!Q$26)</f>
        <v>7.6478270103168065</v>
      </c>
      <c r="R8" s="133">
        <f>IF(SER_hh_emih!R8=0,0,SER_hh_emih!R8/SER_summary!R$26)</f>
        <v>7.2284531018851643</v>
      </c>
      <c r="S8" s="133">
        <f>IF(SER_hh_emih!S8=0,0,SER_hh_emih!S8/SER_summary!S$26)</f>
        <v>6.9005354322629335</v>
      </c>
      <c r="T8" s="133">
        <f>IF(SER_hh_emih!T8=0,0,SER_hh_emih!T8/SER_summary!T$26)</f>
        <v>6.7432299351061351</v>
      </c>
      <c r="U8" s="133">
        <f>IF(SER_hh_emih!U8=0,0,SER_hh_emih!U8/SER_summary!U$26)</f>
        <v>6.3832810030431668</v>
      </c>
      <c r="V8" s="133">
        <f>IF(SER_hh_emih!V8=0,0,SER_hh_emih!V8/SER_summary!V$26)</f>
        <v>5.9576353100287216</v>
      </c>
      <c r="W8" s="133">
        <f>IF(SER_hh_emih!W8=0,0,SER_hh_emih!W8/SER_summary!W$26)</f>
        <v>6.5213883967119743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26.255525315155751</v>
      </c>
      <c r="C9" s="133">
        <f>IF(SER_hh_emih!C9=0,0,SER_hh_emih!C9/SER_summary!C$26)</f>
        <v>28.382279162220467</v>
      </c>
      <c r="D9" s="133">
        <f>IF(SER_hh_emih!D9=0,0,SER_hh_emih!D9/SER_summary!D$26)</f>
        <v>26.248028224488699</v>
      </c>
      <c r="E9" s="133">
        <f>IF(SER_hh_emih!E9=0,0,SER_hh_emih!E9/SER_summary!E$26)</f>
        <v>28.508235699792728</v>
      </c>
      <c r="F9" s="133">
        <f>IF(SER_hh_emih!F9=0,0,SER_hh_emih!F9/SER_summary!F$26)</f>
        <v>32.061350633050772</v>
      </c>
      <c r="G9" s="133">
        <f>IF(SER_hh_emih!G9=0,0,SER_hh_emih!G9/SER_summary!G$26)</f>
        <v>28.628109071915464</v>
      </c>
      <c r="H9" s="133">
        <f>IF(SER_hh_emih!H9=0,0,SER_hh_emih!H9/SER_summary!H$26)</f>
        <v>28.23520437852256</v>
      </c>
      <c r="I9" s="133">
        <f>IF(SER_hh_emih!I9=0,0,SER_hh_emih!I9/SER_summary!I$26)</f>
        <v>23.842975624487199</v>
      </c>
      <c r="J9" s="133">
        <f>IF(SER_hh_emih!J9=0,0,SER_hh_emih!J9/SER_summary!J$26)</f>
        <v>25.701413372824884</v>
      </c>
      <c r="K9" s="133">
        <f>IF(SER_hh_emih!K9=0,0,SER_hh_emih!K9/SER_summary!K$26)</f>
        <v>26.737700149146956</v>
      </c>
      <c r="L9" s="133">
        <f>IF(SER_hh_emih!L9=0,0,SER_hh_emih!L9/SER_summary!L$26)</f>
        <v>30.372293239399639</v>
      </c>
      <c r="M9" s="133">
        <f>IF(SER_hh_emih!M9=0,0,SER_hh_emih!M9/SER_summary!M$26)</f>
        <v>22.719533810514278</v>
      </c>
      <c r="N9" s="133">
        <f>IF(SER_hh_emih!N9=0,0,SER_hh_emih!N9/SER_summary!N$26)</f>
        <v>25.378784606375522</v>
      </c>
      <c r="O9" s="133">
        <f>IF(SER_hh_emih!O9=0,0,SER_hh_emih!O9/SER_summary!O$26)</f>
        <v>25.294655448465512</v>
      </c>
      <c r="P9" s="133">
        <f>IF(SER_hh_emih!P9=0,0,SER_hh_emih!P9/SER_summary!P$26)</f>
        <v>18.926632450924572</v>
      </c>
      <c r="Q9" s="133">
        <f>IF(SER_hh_emih!Q9=0,0,SER_hh_emih!Q9/SER_summary!Q$26)</f>
        <v>20.66585822171059</v>
      </c>
      <c r="R9" s="133">
        <f>IF(SER_hh_emih!R9=0,0,SER_hh_emih!R9/SER_summary!R$26)</f>
        <v>20.834766499498784</v>
      </c>
      <c r="S9" s="133">
        <f>IF(SER_hh_emih!S9=0,0,SER_hh_emih!S9/SER_summary!S$26)</f>
        <v>20.890059735054653</v>
      </c>
      <c r="T9" s="133">
        <f>IF(SER_hh_emih!T9=0,0,SER_hh_emih!T9/SER_summary!T$26)</f>
        <v>20.743605808603352</v>
      </c>
      <c r="U9" s="133">
        <f>IF(SER_hh_emih!U9=0,0,SER_hh_emih!U9/SER_summary!U$26)</f>
        <v>19.518564864218181</v>
      </c>
      <c r="V9" s="133">
        <f>IF(SER_hh_emih!V9=0,0,SER_hh_emih!V9/SER_summary!V$26)</f>
        <v>17.55194468022999</v>
      </c>
      <c r="W9" s="133">
        <f>IF(SER_hh_emih!W9=0,0,SER_hh_emih!W9/SER_summary!W$26)</f>
        <v>19.284713965774927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13.233160295430512</v>
      </c>
      <c r="C10" s="133">
        <f>IF(SER_hh_emih!C10=0,0,SER_hh_emih!C10/SER_summary!C$26)</f>
        <v>16.40784500998079</v>
      </c>
      <c r="D10" s="133">
        <f>IF(SER_hh_emih!D10=0,0,SER_hh_emih!D10/SER_summary!D$26)</f>
        <v>16.168249699923184</v>
      </c>
      <c r="E10" s="133">
        <f>IF(SER_hh_emih!E10=0,0,SER_hh_emih!E10/SER_summary!E$26)</f>
        <v>16.361055867446478</v>
      </c>
      <c r="F10" s="133">
        <f>IF(SER_hh_emih!F10=0,0,SER_hh_emih!F10/SER_summary!F$26)</f>
        <v>19.164680893692164</v>
      </c>
      <c r="G10" s="133">
        <f>IF(SER_hh_emih!G10=0,0,SER_hh_emih!G10/SER_summary!G$26)</f>
        <v>19.073551325896933</v>
      </c>
      <c r="H10" s="133">
        <f>IF(SER_hh_emih!H10=0,0,SER_hh_emih!H10/SER_summary!H$26)</f>
        <v>19.678446700837608</v>
      </c>
      <c r="I10" s="133">
        <f>IF(SER_hh_emih!I10=0,0,SER_hh_emih!I10/SER_summary!I$26)</f>
        <v>17.814414981181638</v>
      </c>
      <c r="J10" s="133">
        <f>IF(SER_hh_emih!J10=0,0,SER_hh_emih!J10/SER_summary!J$26)</f>
        <v>19.579694661303392</v>
      </c>
      <c r="K10" s="133">
        <f>IF(SER_hh_emih!K10=0,0,SER_hh_emih!K10/SER_summary!K$26)</f>
        <v>20.471372959381103</v>
      </c>
      <c r="L10" s="133">
        <f>IF(SER_hh_emih!L10=0,0,SER_hh_emih!L10/SER_summary!L$26)</f>
        <v>21.579232942492826</v>
      </c>
      <c r="M10" s="133">
        <f>IF(SER_hh_emih!M10=0,0,SER_hh_emih!M10/SER_summary!M$26)</f>
        <v>18.459330619640543</v>
      </c>
      <c r="N10" s="133">
        <f>IF(SER_hh_emih!N10=0,0,SER_hh_emih!N10/SER_summary!N$26)</f>
        <v>15.459891284693011</v>
      </c>
      <c r="O10" s="133">
        <f>IF(SER_hh_emih!O10=0,0,SER_hh_emih!O10/SER_summary!O$26)</f>
        <v>15.658415957803125</v>
      </c>
      <c r="P10" s="133">
        <f>IF(SER_hh_emih!P10=0,0,SER_hh_emih!P10/SER_summary!P$26)</f>
        <v>14.83436875028249</v>
      </c>
      <c r="Q10" s="133">
        <f>IF(SER_hh_emih!Q10=0,0,SER_hh_emih!Q10/SER_summary!Q$26)</f>
        <v>12.830622987783558</v>
      </c>
      <c r="R10" s="133">
        <f>IF(SER_hh_emih!R10=0,0,SER_hh_emih!R10/SER_summary!R$26)</f>
        <v>11.648190542808237</v>
      </c>
      <c r="S10" s="133">
        <f>IF(SER_hh_emih!S10=0,0,SER_hh_emih!S10/SER_summary!S$26)</f>
        <v>9.2411458321398179</v>
      </c>
      <c r="T10" s="133">
        <f>IF(SER_hh_emih!T10=0,0,SER_hh_emih!T10/SER_summary!T$26)</f>
        <v>10.328406050345093</v>
      </c>
      <c r="U10" s="133">
        <f>IF(SER_hh_emih!U10=0,0,SER_hh_emih!U10/SER_summary!U$26)</f>
        <v>9.5851603392072757</v>
      </c>
      <c r="V10" s="133">
        <f>IF(SER_hh_emih!V10=0,0,SER_hh_emih!V10/SER_summary!V$26)</f>
        <v>8.6693435312841469</v>
      </c>
      <c r="W10" s="133">
        <f>IF(SER_hh_emih!W10=0,0,SER_hh_emih!W10/SER_summary!W$26)</f>
        <v>8.1874436649426823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1.4368159023382693E-2</v>
      </c>
      <c r="C16" s="131">
        <f>IF(SER_hh_emih!C16=0,0,SER_hh_emih!C16/SER_summary!C$26)</f>
        <v>1.4054486912585699E-2</v>
      </c>
      <c r="D16" s="131">
        <f>IF(SER_hh_emih!D16=0,0,SER_hh_emih!D16/SER_summary!D$26)</f>
        <v>1.4813588597141079E-2</v>
      </c>
      <c r="E16" s="131">
        <f>IF(SER_hh_emih!E16=0,0,SER_hh_emih!E16/SER_summary!E$26)</f>
        <v>1.5968903538189933E-2</v>
      </c>
      <c r="F16" s="131">
        <f>IF(SER_hh_emih!F16=0,0,SER_hh_emih!F16/SER_summary!F$26)</f>
        <v>1.7458904104320737E-2</v>
      </c>
      <c r="G16" s="131">
        <f>IF(SER_hh_emih!G16=0,0,SER_hh_emih!G16/SER_summary!G$26)</f>
        <v>1.7918670314054905E-2</v>
      </c>
      <c r="H16" s="131">
        <f>IF(SER_hh_emih!H16=0,0,SER_hh_emih!H16/SER_summary!H$26)</f>
        <v>2.1660256400653673E-2</v>
      </c>
      <c r="I16" s="131">
        <f>IF(SER_hh_emih!I16=0,0,SER_hh_emih!I16/SER_summary!I$26)</f>
        <v>2.2563732823702252E-2</v>
      </c>
      <c r="J16" s="131">
        <f>IF(SER_hh_emih!J16=0,0,SER_hh_emih!J16/SER_summary!J$26)</f>
        <v>2.4788179054184695E-2</v>
      </c>
      <c r="K16" s="131">
        <f>IF(SER_hh_emih!K16=0,0,SER_hh_emih!K16/SER_summary!K$26)</f>
        <v>2.6077053200328826E-2</v>
      </c>
      <c r="L16" s="131">
        <f>IF(SER_hh_emih!L16=0,0,SER_hh_emih!L16/SER_summary!L$26)</f>
        <v>2.8000907496928351E-2</v>
      </c>
      <c r="M16" s="131">
        <f>IF(SER_hh_emih!M16=0,0,SER_hh_emih!M16/SER_summary!M$26)</f>
        <v>2.883311520568178E-2</v>
      </c>
      <c r="N16" s="131">
        <f>IF(SER_hh_emih!N16=0,0,SER_hh_emih!N16/SER_summary!N$26)</f>
        <v>3.1941060312917838E-2</v>
      </c>
      <c r="O16" s="131">
        <f>IF(SER_hh_emih!O16=0,0,SER_hh_emih!O16/SER_summary!O$26)</f>
        <v>3.7994567409199084E-2</v>
      </c>
      <c r="P16" s="131">
        <f>IF(SER_hh_emih!P16=0,0,SER_hh_emih!P16/SER_summary!P$26)</f>
        <v>4.8507902933790772E-2</v>
      </c>
      <c r="Q16" s="131">
        <f>IF(SER_hh_emih!Q16=0,0,SER_hh_emih!Q16/SER_summary!Q$26)</f>
        <v>6.5104971241623927E-2</v>
      </c>
      <c r="R16" s="131">
        <f>IF(SER_hh_emih!R16=0,0,SER_hh_emih!R16/SER_summary!R$26)</f>
        <v>7.9842219251321872E-2</v>
      </c>
      <c r="S16" s="131">
        <f>IF(SER_hh_emih!S16=0,0,SER_hh_emih!S16/SER_summary!S$26)</f>
        <v>9.2286968994905905E-2</v>
      </c>
      <c r="T16" s="131">
        <f>IF(SER_hh_emih!T16=0,0,SER_hh_emih!T16/SER_summary!T$26)</f>
        <v>0.10216646357060762</v>
      </c>
      <c r="U16" s="131">
        <f>IF(SER_hh_emih!U16=0,0,SER_hh_emih!U16/SER_summary!U$26)</f>
        <v>0.10793806114706352</v>
      </c>
      <c r="V16" s="131">
        <f>IF(SER_hh_emih!V16=0,0,SER_hh_emih!V16/SER_summary!V$26)</f>
        <v>0.1190694258439088</v>
      </c>
      <c r="W16" s="131">
        <f>IF(SER_hh_emih!W16=0,0,SER_hh_emih!W16/SER_summary!W$26)</f>
        <v>0.12193826891732594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4.336256242951789</v>
      </c>
      <c r="C17" s="133">
        <f>IF(SER_hh_emih!C17=0,0,SER_hh_emih!C17/SER_summary!C$26)</f>
        <v>4.4009745093264687</v>
      </c>
      <c r="D17" s="133">
        <f>IF(SER_hh_emih!D17=0,0,SER_hh_emih!D17/SER_summary!D$26)</f>
        <v>4.3149318159989267</v>
      </c>
      <c r="E17" s="133">
        <f>IF(SER_hh_emih!E17=0,0,SER_hh_emih!E17/SER_summary!E$26)</f>
        <v>4.7181973336312755</v>
      </c>
      <c r="F17" s="133">
        <f>IF(SER_hh_emih!F17=0,0,SER_hh_emih!F17/SER_summary!F$26)</f>
        <v>4.2775719747777421</v>
      </c>
      <c r="G17" s="133">
        <f>IF(SER_hh_emih!G17=0,0,SER_hh_emih!G17/SER_summary!G$26)</f>
        <v>4.2018431689540812</v>
      </c>
      <c r="H17" s="133">
        <f>IF(SER_hh_emih!H17=0,0,SER_hh_emih!H17/SER_summary!H$26)</f>
        <v>4.5803831618249058</v>
      </c>
      <c r="I17" s="133">
        <f>IF(SER_hh_emih!I17=0,0,SER_hh_emih!I17/SER_summary!I$26)</f>
        <v>4.1738315679517548</v>
      </c>
      <c r="J17" s="133">
        <f>IF(SER_hh_emih!J17=0,0,SER_hh_emih!J17/SER_summary!J$26)</f>
        <v>4.1909003636597149</v>
      </c>
      <c r="K17" s="133">
        <f>IF(SER_hh_emih!K17=0,0,SER_hh_emih!K17/SER_summary!K$26)</f>
        <v>4.2156804639274066</v>
      </c>
      <c r="L17" s="133">
        <f>IF(SER_hh_emih!L17=0,0,SER_hh_emih!L17/SER_summary!L$26)</f>
        <v>4.3688191713715154</v>
      </c>
      <c r="M17" s="133">
        <f>IF(SER_hh_emih!M17=0,0,SER_hh_emih!M17/SER_summary!M$26)</f>
        <v>4.218997669895109</v>
      </c>
      <c r="N17" s="133">
        <f>IF(SER_hh_emih!N17=0,0,SER_hh_emih!N17/SER_summary!N$26)</f>
        <v>4.2409628256922085</v>
      </c>
      <c r="O17" s="133">
        <f>IF(SER_hh_emih!O17=0,0,SER_hh_emih!O17/SER_summary!O$26)</f>
        <v>4.2421070604043978</v>
      </c>
      <c r="P17" s="133">
        <f>IF(SER_hh_emih!P17=0,0,SER_hh_emih!P17/SER_summary!P$26)</f>
        <v>4.1215724797174582</v>
      </c>
      <c r="Q17" s="133">
        <f>IF(SER_hh_emih!Q17=0,0,SER_hh_emih!Q17/SER_summary!Q$26)</f>
        <v>4.1659352539479677</v>
      </c>
      <c r="R17" s="133">
        <f>IF(SER_hh_emih!R17=0,0,SER_hh_emih!R17/SER_summary!R$26)</f>
        <v>4.0698056621140628</v>
      </c>
      <c r="S17" s="133">
        <f>IF(SER_hh_emih!S17=0,0,SER_hh_emih!S17/SER_summary!S$26)</f>
        <v>4.1499969864760766</v>
      </c>
      <c r="T17" s="133">
        <f>IF(SER_hh_emih!T17=0,0,SER_hh_emih!T17/SER_summary!T$26)</f>
        <v>4.3197840034858981</v>
      </c>
      <c r="U17" s="133">
        <f>IF(SER_hh_emih!U17=0,0,SER_hh_emih!U17/SER_summary!U$26)</f>
        <v>4.2017457655899788</v>
      </c>
      <c r="V17" s="133">
        <f>IF(SER_hh_emih!V17=0,0,SER_hh_emih!V17/SER_summary!V$26)</f>
        <v>4.2683560155611691</v>
      </c>
      <c r="W17" s="133">
        <f>IF(SER_hh_emih!W17=0,0,SER_hh_emih!W17/SER_summary!W$26)</f>
        <v>4.5259023996216268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2.0070057477084813</v>
      </c>
      <c r="C19" s="131">
        <f>IF(SER_hh_emih!C19=0,0,SER_hh_emih!C19/SER_summary!C$26)</f>
        <v>2.0034926361692764</v>
      </c>
      <c r="D19" s="131">
        <f>IF(SER_hh_emih!D19=0,0,SER_hh_emih!D19/SER_summary!D$26)</f>
        <v>2.0925370474068834</v>
      </c>
      <c r="E19" s="131">
        <f>IF(SER_hh_emih!E19=0,0,SER_hh_emih!E19/SER_summary!E$26)</f>
        <v>2.0156915588983928</v>
      </c>
      <c r="F19" s="131">
        <f>IF(SER_hh_emih!F19=0,0,SER_hh_emih!F19/SER_summary!F$26)</f>
        <v>2.0131145464096094</v>
      </c>
      <c r="G19" s="131">
        <f>IF(SER_hh_emih!G19=0,0,SER_hh_emih!G19/SER_summary!G$26)</f>
        <v>1.981572865097305</v>
      </c>
      <c r="H19" s="131">
        <f>IF(SER_hh_emih!H19=0,0,SER_hh_emih!H19/SER_summary!H$26)</f>
        <v>1.9396919318191919</v>
      </c>
      <c r="I19" s="131">
        <f>IF(SER_hh_emih!I19=0,0,SER_hh_emih!I19/SER_summary!I$26)</f>
        <v>1.8493366431831935</v>
      </c>
      <c r="J19" s="131">
        <f>IF(SER_hh_emih!J19=0,0,SER_hh_emih!J19/SER_summary!J$26)</f>
        <v>1.8086284071357654</v>
      </c>
      <c r="K19" s="131">
        <f>IF(SER_hh_emih!K19=0,0,SER_hh_emih!K19/SER_summary!K$26)</f>
        <v>1.8331000586088813</v>
      </c>
      <c r="L19" s="131">
        <f>IF(SER_hh_emih!L19=0,0,SER_hh_emih!L19/SER_summary!L$26)</f>
        <v>1.8206193338016239</v>
      </c>
      <c r="M19" s="131">
        <f>IF(SER_hh_emih!M19=0,0,SER_hh_emih!M19/SER_summary!M$26)</f>
        <v>1.7900565672862883</v>
      </c>
      <c r="N19" s="131">
        <f>IF(SER_hh_emih!N19=0,0,SER_hh_emih!N19/SER_summary!N$26)</f>
        <v>1.9182707588737899</v>
      </c>
      <c r="O19" s="131">
        <f>IF(SER_hh_emih!O19=0,0,SER_hh_emih!O19/SER_summary!O$26)</f>
        <v>1.9207464751588625</v>
      </c>
      <c r="P19" s="131">
        <f>IF(SER_hh_emih!P19=0,0,SER_hh_emih!P19/SER_summary!P$26)</f>
        <v>1.7760794607749408</v>
      </c>
      <c r="Q19" s="131">
        <f>IF(SER_hh_emih!Q19=0,0,SER_hh_emih!Q19/SER_summary!Q$26)</f>
        <v>1.715447848328949</v>
      </c>
      <c r="R19" s="131">
        <f>IF(SER_hh_emih!R19=0,0,SER_hh_emih!R19/SER_summary!R$26)</f>
        <v>1.7205931332026505</v>
      </c>
      <c r="S19" s="131">
        <f>IF(SER_hh_emih!S19=0,0,SER_hh_emih!S19/SER_summary!S$26)</f>
        <v>1.7843593790162529</v>
      </c>
      <c r="T19" s="131">
        <f>IF(SER_hh_emih!T19=0,0,SER_hh_emih!T19/SER_summary!T$26)</f>
        <v>1.7222135092825852</v>
      </c>
      <c r="U19" s="131">
        <f>IF(SER_hh_emih!U19=0,0,SER_hh_emih!U19/SER_summary!U$26)</f>
        <v>1.6405178509353604</v>
      </c>
      <c r="V19" s="131">
        <f>IF(SER_hh_emih!V19=0,0,SER_hh_emih!V19/SER_summary!V$26)</f>
        <v>1.3661672376701444</v>
      </c>
      <c r="W19" s="131">
        <f>IF(SER_hh_emih!W19=0,0,SER_hh_emih!W19/SER_summary!W$26)</f>
        <v>1.3718838604773003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7.9186198553735387</v>
      </c>
      <c r="C22" s="133">
        <f>IF(SER_hh_emih!C22=0,0,SER_hh_emih!C22/SER_summary!C$26)</f>
        <v>7.801674039804789</v>
      </c>
      <c r="D22" s="133">
        <f>IF(SER_hh_emih!D22=0,0,SER_hh_emih!D22/SER_summary!D$26)</f>
        <v>7.7246205083795152</v>
      </c>
      <c r="E22" s="133">
        <f>IF(SER_hh_emih!E22=0,0,SER_hh_emih!E22/SER_summary!E$26)</f>
        <v>7.6428107543102524</v>
      </c>
      <c r="F22" s="133">
        <f>IF(SER_hh_emih!F22=0,0,SER_hh_emih!F22/SER_summary!F$26)</f>
        <v>7.6229599841935443</v>
      </c>
      <c r="G22" s="133">
        <f>IF(SER_hh_emih!G22=0,0,SER_hh_emih!G22/SER_summary!G$26)</f>
        <v>7.5056327850375517</v>
      </c>
      <c r="H22" s="133">
        <f>IF(SER_hh_emih!H22=0,0,SER_hh_emih!H22/SER_summary!H$26)</f>
        <v>7.2880568714686547</v>
      </c>
      <c r="I22" s="133">
        <f>IF(SER_hh_emih!I22=0,0,SER_hh_emih!I22/SER_summary!I$26)</f>
        <v>7.0859620467253084</v>
      </c>
      <c r="J22" s="133">
        <f>IF(SER_hh_emih!J22=0,0,SER_hh_emih!J22/SER_summary!J$26)</f>
        <v>7.0088458547526811</v>
      </c>
      <c r="K22" s="133">
        <f>IF(SER_hh_emih!K22=0,0,SER_hh_emih!K22/SER_summary!K$26)</f>
        <v>6.9383664067321984</v>
      </c>
      <c r="L22" s="133">
        <f>IF(SER_hh_emih!L22=0,0,SER_hh_emih!L22/SER_summary!L$26)</f>
        <v>6.7908323555774377</v>
      </c>
      <c r="M22" s="133">
        <f>IF(SER_hh_emih!M22=0,0,SER_hh_emih!M22/SER_summary!M$26)</f>
        <v>6.701928846241425</v>
      </c>
      <c r="N22" s="133">
        <f>IF(SER_hh_emih!N22=0,0,SER_hh_emih!N22/SER_summary!N$26)</f>
        <v>6.7186041234867755</v>
      </c>
      <c r="O22" s="133">
        <f>IF(SER_hh_emih!O22=0,0,SER_hh_emih!O22/SER_summary!O$26)</f>
        <v>6.6084269815176642</v>
      </c>
      <c r="P22" s="133">
        <f>IF(SER_hh_emih!P22=0,0,SER_hh_emih!P22/SER_summary!P$26)</f>
        <v>6.5199339768972502</v>
      </c>
      <c r="Q22" s="133">
        <f>IF(SER_hh_emih!Q22=0,0,SER_hh_emih!Q22/SER_summary!Q$26)</f>
        <v>6.4418388332333354</v>
      </c>
      <c r="R22" s="133">
        <f>IF(SER_hh_emih!R22=0,0,SER_hh_emih!R22/SER_summary!R$26)</f>
        <v>6.3240808389419048</v>
      </c>
      <c r="S22" s="133">
        <f>IF(SER_hh_emih!S22=0,0,SER_hh_emih!S22/SER_summary!S$26)</f>
        <v>6.1621158014979045</v>
      </c>
      <c r="T22" s="133">
        <f>IF(SER_hh_emih!T22=0,0,SER_hh_emih!T22/SER_summary!T$26)</f>
        <v>5.8379464971806589</v>
      </c>
      <c r="U22" s="133">
        <f>IF(SER_hh_emih!U22=0,0,SER_hh_emih!U22/SER_summary!U$26)</f>
        <v>5.7125432700556251</v>
      </c>
      <c r="V22" s="133">
        <f>IF(SER_hh_emih!V22=0,0,SER_hh_emih!V22/SER_summary!V$26)</f>
        <v>5.3588815033448665</v>
      </c>
      <c r="W22" s="133">
        <f>IF(SER_hh_emih!W22=0,0,SER_hh_emih!W22/SER_summary!W$26)</f>
        <v>5.4222534981926627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5.7473786178228119</v>
      </c>
      <c r="C23" s="133">
        <f>IF(SER_hh_emih!C23=0,0,SER_hh_emih!C23/SER_summary!C$26)</f>
        <v>5.6448094366972397</v>
      </c>
      <c r="D23" s="133">
        <f>IF(SER_hh_emih!D23=0,0,SER_hh_emih!D23/SER_summary!D$26)</f>
        <v>5.8154129308218776</v>
      </c>
      <c r="E23" s="133">
        <f>IF(SER_hh_emih!E23=0,0,SER_hh_emih!E23/SER_summary!E$26)</f>
        <v>5.5364926813329882</v>
      </c>
      <c r="F23" s="133">
        <f>IF(SER_hh_emih!F23=0,0,SER_hh_emih!F23/SER_summary!F$26)</f>
        <v>5.4373446014722866</v>
      </c>
      <c r="G23" s="133">
        <f>IF(SER_hh_emih!G23=0,0,SER_hh_emih!G23/SER_summary!G$26)</f>
        <v>5.3328856484852922</v>
      </c>
      <c r="H23" s="133">
        <f>IF(SER_hh_emih!H23=0,0,SER_hh_emih!H23/SER_summary!H$26)</f>
        <v>5.209121765229221</v>
      </c>
      <c r="I23" s="133">
        <f>IF(SER_hh_emih!I23=0,0,SER_hh_emih!I23/SER_summary!I$26)</f>
        <v>4.9769001297622326</v>
      </c>
      <c r="J23" s="133">
        <f>IF(SER_hh_emih!J23=0,0,SER_hh_emih!J23/SER_summary!J$26)</f>
        <v>4.8263256291671102</v>
      </c>
      <c r="K23" s="133">
        <f>IF(SER_hh_emih!K23=0,0,SER_hh_emih!K23/SER_summary!K$26)</f>
        <v>4.7791383242699093</v>
      </c>
      <c r="L23" s="133">
        <f>IF(SER_hh_emih!L23=0,0,SER_hh_emih!L23/SER_summary!L$26)</f>
        <v>4.6618134824044164</v>
      </c>
      <c r="M23" s="133">
        <f>IF(SER_hh_emih!M23=0,0,SER_hh_emih!M23/SER_summary!M$26)</f>
        <v>4.4717873082792092</v>
      </c>
      <c r="N23" s="133">
        <f>IF(SER_hh_emih!N23=0,0,SER_hh_emih!N23/SER_summary!N$26)</f>
        <v>4.656029019953885</v>
      </c>
      <c r="O23" s="133">
        <f>IF(SER_hh_emih!O23=0,0,SER_hh_emih!O23/SER_summary!O$26)</f>
        <v>4.6075009562273914</v>
      </c>
      <c r="P23" s="133">
        <f>IF(SER_hh_emih!P23=0,0,SER_hh_emih!P23/SER_summary!P$26)</f>
        <v>4.2923153258073983</v>
      </c>
      <c r="Q23" s="133">
        <f>IF(SER_hh_emih!Q23=0,0,SER_hh_emih!Q23/SER_summary!Q$26)</f>
        <v>4.2183552743144217</v>
      </c>
      <c r="R23" s="133">
        <f>IF(SER_hh_emih!R23=0,0,SER_hh_emih!R23/SER_summary!R$26)</f>
        <v>4.1981737126563896</v>
      </c>
      <c r="S23" s="133">
        <f>IF(SER_hh_emih!S23=0,0,SER_hh_emih!S23/SER_summary!S$26)</f>
        <v>4.3015638579027016</v>
      </c>
      <c r="T23" s="133">
        <f>IF(SER_hh_emih!T23=0,0,SER_hh_emih!T23/SER_summary!T$26)</f>
        <v>4.223955515498659</v>
      </c>
      <c r="U23" s="133">
        <f>IF(SER_hh_emih!U23=0,0,SER_hh_emih!U23/SER_summary!U$26)</f>
        <v>4.1838224959881005</v>
      </c>
      <c r="V23" s="133">
        <f>IF(SER_hh_emih!V23=0,0,SER_hh_emih!V23/SER_summary!V$26)</f>
        <v>3.7325538751489993</v>
      </c>
      <c r="W23" s="133">
        <f>IF(SER_hh_emih!W23=0,0,SER_hh_emih!W23/SER_summary!W$26)</f>
        <v>3.9099425202542251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1.8189467994634307</v>
      </c>
      <c r="C29" s="131">
        <f>IF(SER_hh_emih!C29=0,0,SER_hh_emih!C29/SER_summary!C$26)</f>
        <v>1.8607215848845731</v>
      </c>
      <c r="D29" s="131">
        <f>IF(SER_hh_emih!D29=0,0,SER_hh_emih!D29/SER_summary!D$26)</f>
        <v>1.8915251913608868</v>
      </c>
      <c r="E29" s="131">
        <f>IF(SER_hh_emih!E29=0,0,SER_hh_emih!E29/SER_summary!E$26)</f>
        <v>1.9176031241874023</v>
      </c>
      <c r="F29" s="131">
        <f>IF(SER_hh_emih!F29=0,0,SER_hh_emih!F29/SER_summary!F$26)</f>
        <v>1.9615274892851049</v>
      </c>
      <c r="G29" s="131">
        <f>IF(SER_hh_emih!G29=0,0,SER_hh_emih!G29/SER_summary!G$26)</f>
        <v>1.9359234337864111</v>
      </c>
      <c r="H29" s="131">
        <f>IF(SER_hh_emih!H29=0,0,SER_hh_emih!H29/SER_summary!H$26)</f>
        <v>1.927803188359362</v>
      </c>
      <c r="I29" s="131">
        <f>IF(SER_hh_emih!I29=0,0,SER_hh_emih!I29/SER_summary!I$26)</f>
        <v>1.8401789115499572</v>
      </c>
      <c r="J29" s="131">
        <f>IF(SER_hh_emih!J29=0,0,SER_hh_emih!J29/SER_summary!J$26)</f>
        <v>1.833422674983467</v>
      </c>
      <c r="K29" s="131">
        <f>IF(SER_hh_emih!K29=0,0,SER_hh_emih!K29/SER_summary!K$26)</f>
        <v>1.851267070816359</v>
      </c>
      <c r="L29" s="131">
        <f>IF(SER_hh_emih!L29=0,0,SER_hh_emih!L29/SER_summary!L$26)</f>
        <v>1.822762695957663</v>
      </c>
      <c r="M29" s="131">
        <f>IF(SER_hh_emih!M29=0,0,SER_hh_emih!M29/SER_summary!M$26)</f>
        <v>1.7626437507941548</v>
      </c>
      <c r="N29" s="131">
        <f>IF(SER_hh_emih!N29=0,0,SER_hh_emih!N29/SER_summary!N$26)</f>
        <v>1.747202731511083</v>
      </c>
      <c r="O29" s="131">
        <f>IF(SER_hh_emih!O29=0,0,SER_hh_emih!O29/SER_summary!O$26)</f>
        <v>1.7455369265482632</v>
      </c>
      <c r="P29" s="131">
        <f>IF(SER_hh_emih!P29=0,0,SER_hh_emih!P29/SER_summary!P$26)</f>
        <v>1.6944737349365144</v>
      </c>
      <c r="Q29" s="131">
        <f>IF(SER_hh_emih!Q29=0,0,SER_hh_emih!Q29/SER_summary!Q$26)</f>
        <v>1.684210019849774</v>
      </c>
      <c r="R29" s="131">
        <f>IF(SER_hh_emih!R29=0,0,SER_hh_emih!R29/SER_summary!R$26)</f>
        <v>1.630800695475757</v>
      </c>
      <c r="S29" s="131">
        <f>IF(SER_hh_emih!S29=0,0,SER_hh_emih!S29/SER_summary!S$26)</f>
        <v>1.6257734688737357</v>
      </c>
      <c r="T29" s="131">
        <f>IF(SER_hh_emih!T29=0,0,SER_hh_emih!T29/SER_summary!T$26)</f>
        <v>1.6202048713510016</v>
      </c>
      <c r="U29" s="131">
        <f>IF(SER_hh_emih!U29=0,0,SER_hh_emih!U29/SER_summary!U$26)</f>
        <v>1.6053401135985004</v>
      </c>
      <c r="V29" s="131">
        <f>IF(SER_hh_emih!V29=0,0,SER_hh_emih!V29/SER_summary!V$26)</f>
        <v>1.4878642810142828</v>
      </c>
      <c r="W29" s="131">
        <f>IF(SER_hh_emih!W29=0,0,SER_hh_emih!W29/SER_summary!W$26)</f>
        <v>1.5091620522045401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5.3095083181081222</v>
      </c>
      <c r="C30" s="133">
        <f>IF(SER_hh_emih!C30=0,0,SER_hh_emih!C30/SER_summary!C$26)</f>
        <v>5.559421585394186</v>
      </c>
      <c r="D30" s="133">
        <f>IF(SER_hh_emih!D30=0,0,SER_hh_emih!D30/SER_summary!D$26)</f>
        <v>5.9179713591570575</v>
      </c>
      <c r="E30" s="133">
        <f>IF(SER_hh_emih!E30=0,0,SER_hh_emih!E30/SER_summary!E$26)</f>
        <v>5.3316435743368711</v>
      </c>
      <c r="F30" s="133">
        <f>IF(SER_hh_emih!F30=0,0,SER_hh_emih!F30/SER_summary!F$26)</f>
        <v>5.6510828879605199</v>
      </c>
      <c r="G30" s="133">
        <f>IF(SER_hh_emih!G30=0,0,SER_hh_emih!G30/SER_summary!G$26)</f>
        <v>5.5550551021626902</v>
      </c>
      <c r="H30" s="133">
        <f>IF(SER_hh_emih!H30=0,0,SER_hh_emih!H30/SER_summary!H$26)</f>
        <v>7.1792947196609553</v>
      </c>
      <c r="I30" s="133">
        <f>IF(SER_hh_emih!I30=0,0,SER_hh_emih!I30/SER_summary!I$26)</f>
        <v>4.4402162454086929</v>
      </c>
      <c r="J30" s="133">
        <f>IF(SER_hh_emih!J30=0,0,SER_hh_emih!J30/SER_summary!J$26)</f>
        <v>3.9571127757428712</v>
      </c>
      <c r="K30" s="133">
        <f>IF(SER_hh_emih!K30=0,0,SER_hh_emih!K30/SER_summary!K$26)</f>
        <v>6.0831293404796147</v>
      </c>
      <c r="L30" s="133">
        <f>IF(SER_hh_emih!L30=0,0,SER_hh_emih!L30/SER_summary!L$26)</f>
        <v>6.8903024649999995</v>
      </c>
      <c r="M30" s="133">
        <f>IF(SER_hh_emih!M30=0,0,SER_hh_emih!M30/SER_summary!M$26)</f>
        <v>4.2339682502030875</v>
      </c>
      <c r="N30" s="133">
        <f>IF(SER_hh_emih!N30=0,0,SER_hh_emih!N30/SER_summary!N$26)</f>
        <v>6.2073845224483444</v>
      </c>
      <c r="O30" s="133">
        <f>IF(SER_hh_emih!O30=0,0,SER_hh_emih!O30/SER_summary!O$26)</f>
        <v>6.5440471583471984</v>
      </c>
      <c r="P30" s="133">
        <f>IF(SER_hh_emih!P30=0,0,SER_hh_emih!P30/SER_summary!P$26)</f>
        <v>0.97281403077474771</v>
      </c>
      <c r="Q30" s="133">
        <f>IF(SER_hh_emih!Q30=0,0,SER_hh_emih!Q30/SER_summary!Q$26)</f>
        <v>6.6906012188136188</v>
      </c>
      <c r="R30" s="133">
        <f>IF(SER_hh_emih!R30=0,0,SER_hh_emih!R30/SER_summary!R$26)</f>
        <v>5.2836344033178717</v>
      </c>
      <c r="S30" s="133">
        <f>IF(SER_hh_emih!S30=0,0,SER_hh_emih!S30/SER_summary!S$26)</f>
        <v>4.7374216431737368</v>
      </c>
      <c r="T30" s="133">
        <f>IF(SER_hh_emih!T30=0,0,SER_hh_emih!T30/SER_summary!T$26)</f>
        <v>5.7301917916111442</v>
      </c>
      <c r="U30" s="133">
        <f>IF(SER_hh_emih!U30=0,0,SER_hh_emih!U30/SER_summary!U$26)</f>
        <v>7.1177497847771329</v>
      </c>
      <c r="V30" s="133">
        <f>IF(SER_hh_emih!V30=0,0,SER_hh_emih!V30/SER_summary!V$26)</f>
        <v>5.3070535695493852</v>
      </c>
      <c r="W30" s="133">
        <f>IF(SER_hh_emih!W30=0,0,SER_hh_emih!W30/SER_summary!W$26)</f>
        <v>4.8994226988015921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4.8615431189799612</v>
      </c>
      <c r="C31" s="133">
        <f>IF(SER_hh_emih!C31=0,0,SER_hh_emih!C31/SER_summary!C$26)</f>
        <v>4.8860016001926105</v>
      </c>
      <c r="D31" s="133">
        <f>IF(SER_hh_emih!D31=0,0,SER_hh_emih!D31/SER_summary!D$26)</f>
        <v>4.8248396273403156</v>
      </c>
      <c r="E31" s="133">
        <f>IF(SER_hh_emih!E31=0,0,SER_hh_emih!E31/SER_summary!E$26)</f>
        <v>4.9699955675446557</v>
      </c>
      <c r="F31" s="133">
        <f>IF(SER_hh_emih!F31=0,0,SER_hh_emih!F31/SER_summary!F$26)</f>
        <v>4.9470162114918033</v>
      </c>
      <c r="G31" s="133">
        <f>IF(SER_hh_emih!G31=0,0,SER_hh_emih!G31/SER_summary!G$26)</f>
        <v>4.9218856748727946</v>
      </c>
      <c r="H31" s="133">
        <f>IF(SER_hh_emih!H31=0,0,SER_hh_emih!H31/SER_summary!H$26)</f>
        <v>4.5858523551248087</v>
      </c>
      <c r="I31" s="133">
        <f>IF(SER_hh_emih!I31=0,0,SER_hh_emih!I31/SER_summary!I$26)</f>
        <v>4.9985144065742881</v>
      </c>
      <c r="J31" s="133">
        <f>IF(SER_hh_emih!J31=0,0,SER_hh_emih!J31/SER_summary!J$26)</f>
        <v>5.0876500260577346</v>
      </c>
      <c r="K31" s="133">
        <f>IF(SER_hh_emih!K31=0,0,SER_hh_emih!K31/SER_summary!K$26)</f>
        <v>4.793844062778021</v>
      </c>
      <c r="L31" s="133">
        <f>IF(SER_hh_emih!L31=0,0,SER_hh_emih!L31/SER_summary!L$26)</f>
        <v>4.6310274337973523</v>
      </c>
      <c r="M31" s="133">
        <f>IF(SER_hh_emih!M31=0,0,SER_hh_emih!M31/SER_summary!M$26)</f>
        <v>4.9884737808315602</v>
      </c>
      <c r="N31" s="133">
        <f>IF(SER_hh_emih!N31=0,0,SER_hh_emih!N31/SER_summary!N$26)</f>
        <v>4.7072976291418067</v>
      </c>
      <c r="O31" s="133">
        <f>IF(SER_hh_emih!O31=0,0,SER_hh_emih!O31/SER_summary!O$26)</f>
        <v>4.7162320662128598</v>
      </c>
      <c r="P31" s="133">
        <f>IF(SER_hh_emih!P31=0,0,SER_hh_emih!P31/SER_summary!P$26)</f>
        <v>5.2444968731787673</v>
      </c>
      <c r="Q31" s="133">
        <f>IF(SER_hh_emih!Q31=0,0,SER_hh_emih!Q31/SER_summary!Q$26)</f>
        <v>4.6633979652589428</v>
      </c>
      <c r="R31" s="133">
        <f>IF(SER_hh_emih!R31=0,0,SER_hh_emih!R31/SER_summary!R$26)</f>
        <v>4.7933943583882943</v>
      </c>
      <c r="S31" s="133">
        <f>IF(SER_hh_emih!S31=0,0,SER_hh_emih!S31/SER_summary!S$26)</f>
        <v>5.0137578212220291</v>
      </c>
      <c r="T31" s="133">
        <f>IF(SER_hh_emih!T31=0,0,SER_hh_emih!T31/SER_summary!T$26)</f>
        <v>4.7362947351075286</v>
      </c>
      <c r="U31" s="133">
        <f>IF(SER_hh_emih!U31=0,0,SER_hh_emih!U31/SER_summary!U$26)</f>
        <v>4.2220306534863727</v>
      </c>
      <c r="V31" s="133">
        <f>IF(SER_hh_emih!V31=0,0,SER_hh_emih!V31/SER_summary!V$26)</f>
        <v>4.7062346207220829</v>
      </c>
      <c r="W31" s="133">
        <f>IF(SER_hh_emih!W31=0,0,SER_hh_emih!W31/SER_summary!W$26)</f>
        <v>5.0644236853122546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7568.5483931700073</v>
      </c>
      <c r="D3" s="125">
        <f t="shared" si="0"/>
        <v>4932.831450459913</v>
      </c>
      <c r="E3" s="125">
        <f t="shared" si="0"/>
        <v>3045.6445532202088</v>
      </c>
      <c r="F3" s="125">
        <f t="shared" si="0"/>
        <v>1598.413653696251</v>
      </c>
      <c r="G3" s="125">
        <f t="shared" si="0"/>
        <v>7622.1425209456884</v>
      </c>
      <c r="H3" s="125">
        <f t="shared" si="0"/>
        <v>11911.993730582797</v>
      </c>
      <c r="I3" s="125">
        <f t="shared" si="0"/>
        <v>14672.150006192522</v>
      </c>
      <c r="J3" s="125">
        <f t="shared" si="0"/>
        <v>9291.4857255400748</v>
      </c>
      <c r="K3" s="125">
        <f t="shared" si="0"/>
        <v>1739.4381992931483</v>
      </c>
      <c r="L3" s="125">
        <f t="shared" si="0"/>
        <v>6174.8185850043674</v>
      </c>
      <c r="M3" s="125">
        <f t="shared" si="0"/>
        <v>7437.4326227675265</v>
      </c>
      <c r="N3" s="125">
        <f t="shared" si="0"/>
        <v>3131.3305805979967</v>
      </c>
      <c r="O3" s="125">
        <f t="shared" si="0"/>
        <v>1778.4536355389764</v>
      </c>
      <c r="P3" s="125">
        <f t="shared" si="0"/>
        <v>1889.6995922371093</v>
      </c>
      <c r="Q3" s="125">
        <f t="shared" si="0"/>
        <v>8328.9981027232552</v>
      </c>
      <c r="R3" s="125">
        <f t="shared" si="0"/>
        <v>4282.6692270857775</v>
      </c>
      <c r="S3" s="125">
        <f t="shared" si="0"/>
        <v>5328.7067014948007</v>
      </c>
      <c r="T3" s="125">
        <f t="shared" si="0"/>
        <v>5181.3469399437254</v>
      </c>
      <c r="U3" s="125">
        <f t="shared" si="0"/>
        <v>5054.814757506364</v>
      </c>
      <c r="V3" s="125">
        <f t="shared" si="0"/>
        <v>4999.1908802615708</v>
      </c>
      <c r="W3" s="125">
        <f t="shared" si="0"/>
        <v>5008.1296756247275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7568.5483931700073</v>
      </c>
      <c r="D4" s="140">
        <f t="shared" si="1"/>
        <v>4932.831450459913</v>
      </c>
      <c r="E4" s="140">
        <f t="shared" si="1"/>
        <v>3045.6445532202088</v>
      </c>
      <c r="F4" s="140">
        <f t="shared" si="1"/>
        <v>1598.413653696251</v>
      </c>
      <c r="G4" s="140">
        <f t="shared" si="1"/>
        <v>7622.1425209456884</v>
      </c>
      <c r="H4" s="140">
        <f t="shared" si="1"/>
        <v>11911.993730582797</v>
      </c>
      <c r="I4" s="140">
        <f t="shared" si="1"/>
        <v>14672.150006192522</v>
      </c>
      <c r="J4" s="140">
        <f t="shared" si="1"/>
        <v>9291.4857255400748</v>
      </c>
      <c r="K4" s="140">
        <f t="shared" si="1"/>
        <v>1739.4381992931483</v>
      </c>
      <c r="L4" s="140">
        <f t="shared" si="1"/>
        <v>6174.8185850043674</v>
      </c>
      <c r="M4" s="140">
        <f t="shared" si="1"/>
        <v>7437.4326227675265</v>
      </c>
      <c r="N4" s="140">
        <f t="shared" si="1"/>
        <v>3131.3305805979967</v>
      </c>
      <c r="O4" s="140">
        <f t="shared" si="1"/>
        <v>1778.4536355389764</v>
      </c>
      <c r="P4" s="140">
        <f t="shared" si="1"/>
        <v>1889.6995922371093</v>
      </c>
      <c r="Q4" s="140">
        <f t="shared" si="1"/>
        <v>8328.9981027232552</v>
      </c>
      <c r="R4" s="140">
        <f t="shared" ref="R4:W4" si="2">SUM(R5:R14)</f>
        <v>4282.6692270857775</v>
      </c>
      <c r="S4" s="140">
        <f t="shared" si="2"/>
        <v>5328.7067014948007</v>
      </c>
      <c r="T4" s="140">
        <f t="shared" si="2"/>
        <v>5181.3469399437254</v>
      </c>
      <c r="U4" s="140">
        <f t="shared" si="2"/>
        <v>5054.814757506364</v>
      </c>
      <c r="V4" s="140">
        <f t="shared" si="2"/>
        <v>4999.1908802615708</v>
      </c>
      <c r="W4" s="140">
        <f t="shared" si="2"/>
        <v>5008.1296756247275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0.60277471251848835</v>
      </c>
      <c r="D5" s="141">
        <v>1.8147655929731934</v>
      </c>
      <c r="E5" s="141">
        <v>1.6139738521675873</v>
      </c>
      <c r="F5" s="141">
        <v>0.19384810027492777</v>
      </c>
      <c r="G5" s="141">
        <v>7.7598264237618055</v>
      </c>
      <c r="H5" s="141">
        <v>15.436842503448778</v>
      </c>
      <c r="I5" s="141">
        <v>32.537444491064775</v>
      </c>
      <c r="J5" s="141">
        <v>17.60904562616123</v>
      </c>
      <c r="K5" s="141">
        <v>2.715477247028617</v>
      </c>
      <c r="L5" s="141">
        <v>2.5842517920635739</v>
      </c>
      <c r="M5" s="141">
        <v>1.9562779694415215</v>
      </c>
      <c r="N5" s="141">
        <v>1.1538418403262767</v>
      </c>
      <c r="O5" s="141">
        <v>1.2171206672023858</v>
      </c>
      <c r="P5" s="141">
        <v>3.2054673864149783</v>
      </c>
      <c r="Q5" s="141">
        <v>22.482206359227803</v>
      </c>
      <c r="R5" s="141">
        <v>20.337578037365901</v>
      </c>
      <c r="S5" s="141">
        <v>8.7850237550037722</v>
      </c>
      <c r="T5" s="141">
        <v>0.55976458788027261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185.50497778360869</v>
      </c>
      <c r="D7" s="141">
        <v>165.16840620570696</v>
      </c>
      <c r="E7" s="141">
        <v>94.349767378766359</v>
      </c>
      <c r="F7" s="141">
        <v>77.801377341517437</v>
      </c>
      <c r="G7" s="141">
        <v>351.36102402548011</v>
      </c>
      <c r="H7" s="141">
        <v>596.31721474267215</v>
      </c>
      <c r="I7" s="141">
        <v>815.36451098392627</v>
      </c>
      <c r="J7" s="141">
        <v>335.37091977685043</v>
      </c>
      <c r="K7" s="141">
        <v>86.339180088133489</v>
      </c>
      <c r="L7" s="141">
        <v>347.88774341722416</v>
      </c>
      <c r="M7" s="141">
        <v>489.10618847905005</v>
      </c>
      <c r="N7" s="141">
        <v>181.9080738935458</v>
      </c>
      <c r="O7" s="141">
        <v>119.6547027667237</v>
      </c>
      <c r="P7" s="141">
        <v>65.520415706361618</v>
      </c>
      <c r="Q7" s="141">
        <v>342.86669545593435</v>
      </c>
      <c r="R7" s="141">
        <v>82.025590196187295</v>
      </c>
      <c r="S7" s="141">
        <v>220.46624089315503</v>
      </c>
      <c r="T7" s="141">
        <v>234.97946358995236</v>
      </c>
      <c r="U7" s="141">
        <v>362.74216281280144</v>
      </c>
      <c r="V7" s="141">
        <v>285.11244927302806</v>
      </c>
      <c r="W7" s="141">
        <v>237.17015284579441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2.8245048048128236</v>
      </c>
      <c r="D8" s="141">
        <v>2.6787661131525948</v>
      </c>
      <c r="E8" s="141">
        <v>2.0124315785470501</v>
      </c>
      <c r="F8" s="141">
        <v>0.92045655807504689</v>
      </c>
      <c r="G8" s="141">
        <v>5.3392960041986992</v>
      </c>
      <c r="H8" s="141">
        <v>9.0779970873600586</v>
      </c>
      <c r="I8" s="141">
        <v>15.04985131446217</v>
      </c>
      <c r="J8" s="141">
        <v>8.3729022238515931</v>
      </c>
      <c r="K8" s="141">
        <v>2.3476336119958776</v>
      </c>
      <c r="L8" s="141">
        <v>7.2153214213744317</v>
      </c>
      <c r="M8" s="141">
        <v>12.293832083055003</v>
      </c>
      <c r="N8" s="141">
        <v>6.0549437350715341</v>
      </c>
      <c r="O8" s="141">
        <v>6.9214430422435029</v>
      </c>
      <c r="P8" s="141">
        <v>21.117489573828369</v>
      </c>
      <c r="Q8" s="141">
        <v>53.875912096807866</v>
      </c>
      <c r="R8" s="141">
        <v>20.191469027714128</v>
      </c>
      <c r="S8" s="141">
        <v>11.139694359294925</v>
      </c>
      <c r="T8" s="141">
        <v>14.438211542907277</v>
      </c>
      <c r="U8" s="141">
        <v>20.071210212873144</v>
      </c>
      <c r="V8" s="141">
        <v>25.335136225193377</v>
      </c>
      <c r="W8" s="141">
        <v>20.461208978447534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4756.2369235364868</v>
      </c>
      <c r="D9" s="141">
        <v>3148.798239395825</v>
      </c>
      <c r="E9" s="141">
        <v>2045.2918254079148</v>
      </c>
      <c r="F9" s="141">
        <v>1109.7356415454947</v>
      </c>
      <c r="G9" s="141">
        <v>4830.4581276591489</v>
      </c>
      <c r="H9" s="141">
        <v>7685.3001924857008</v>
      </c>
      <c r="I9" s="141">
        <v>9656.3249287921517</v>
      </c>
      <c r="J9" s="141">
        <v>6915.3914920468942</v>
      </c>
      <c r="K9" s="141">
        <v>1257.8260516511471</v>
      </c>
      <c r="L9" s="141">
        <v>5196.1719612745692</v>
      </c>
      <c r="M9" s="141">
        <v>5516.3995262130793</v>
      </c>
      <c r="N9" s="141">
        <v>2545.5678439396806</v>
      </c>
      <c r="O9" s="141">
        <v>1366.680385894482</v>
      </c>
      <c r="P9" s="141">
        <v>1354.1436795685227</v>
      </c>
      <c r="Q9" s="141">
        <v>6329.7314497827228</v>
      </c>
      <c r="R9" s="141">
        <v>2873.209496883092</v>
      </c>
      <c r="S9" s="141">
        <v>2773.2931248945952</v>
      </c>
      <c r="T9" s="141">
        <v>2654.5825458648878</v>
      </c>
      <c r="U9" s="141">
        <v>2746.245584408141</v>
      </c>
      <c r="V9" s="141">
        <v>3098.3397132328623</v>
      </c>
      <c r="W9" s="141">
        <v>3358.1571639717376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233.03532416058746</v>
      </c>
      <c r="D10" s="141">
        <v>73.931162996235969</v>
      </c>
      <c r="E10" s="141">
        <v>42.805818381185382</v>
      </c>
      <c r="F10" s="141">
        <v>35.1067953520065</v>
      </c>
      <c r="G10" s="141">
        <v>235.10159386946506</v>
      </c>
      <c r="H10" s="141">
        <v>456.71433171396603</v>
      </c>
      <c r="I10" s="141">
        <v>510.38226645686268</v>
      </c>
      <c r="J10" s="141">
        <v>270.96271445584097</v>
      </c>
      <c r="K10" s="141">
        <v>25.038270445851044</v>
      </c>
      <c r="L10" s="141">
        <v>64.630679501653233</v>
      </c>
      <c r="M10" s="141">
        <v>111.52438481907349</v>
      </c>
      <c r="N10" s="141">
        <v>50.385180088635778</v>
      </c>
      <c r="O10" s="141">
        <v>41.599164971220297</v>
      </c>
      <c r="P10" s="141">
        <v>87.686775501262076</v>
      </c>
      <c r="Q10" s="141">
        <v>195.31852440669564</v>
      </c>
      <c r="R10" s="141">
        <v>189.65081455326404</v>
      </c>
      <c r="S10" s="141">
        <v>309.91251308777737</v>
      </c>
      <c r="T10" s="141">
        <v>326.04154829222949</v>
      </c>
      <c r="U10" s="141">
        <v>242.35608483507434</v>
      </c>
      <c r="V10" s="141">
        <v>213.13316131015856</v>
      </c>
      <c r="W10" s="141">
        <v>187.15315106448756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1124.5979774357777</v>
      </c>
      <c r="D12" s="141">
        <v>608.2111363037144</v>
      </c>
      <c r="E12" s="141">
        <v>172.65462965136712</v>
      </c>
      <c r="F12" s="141">
        <v>0</v>
      </c>
      <c r="G12" s="141">
        <v>272.21595776330224</v>
      </c>
      <c r="H12" s="141">
        <v>819.17241783474901</v>
      </c>
      <c r="I12" s="141">
        <v>1272.839200439568</v>
      </c>
      <c r="J12" s="141">
        <v>672.95424285495926</v>
      </c>
      <c r="K12" s="141">
        <v>150.64516204688653</v>
      </c>
      <c r="L12" s="141">
        <v>106.94104079258413</v>
      </c>
      <c r="M12" s="141">
        <v>0</v>
      </c>
      <c r="N12" s="141">
        <v>0</v>
      </c>
      <c r="O12" s="141">
        <v>0</v>
      </c>
      <c r="P12" s="141">
        <v>0</v>
      </c>
      <c r="Q12" s="141">
        <v>524.19405429408891</v>
      </c>
      <c r="R12" s="141">
        <v>478.52919975494797</v>
      </c>
      <c r="S12" s="141">
        <v>712.1332127222239</v>
      </c>
      <c r="T12" s="141">
        <v>525.56519410980718</v>
      </c>
      <c r="U12" s="141">
        <v>549.29952080083683</v>
      </c>
      <c r="V12" s="141">
        <v>327.89275790951206</v>
      </c>
      <c r="W12" s="141">
        <v>162.14285389298323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54.970370465209186</v>
      </c>
      <c r="D13" s="141">
        <v>59.967847318578308</v>
      </c>
      <c r="E13" s="141">
        <v>48.616810518114022</v>
      </c>
      <c r="F13" s="141">
        <v>40.658499421701684</v>
      </c>
      <c r="G13" s="141">
        <v>231.44125683002946</v>
      </c>
      <c r="H13" s="141">
        <v>371.59921229644692</v>
      </c>
      <c r="I13" s="141">
        <v>528.49873647356048</v>
      </c>
      <c r="J13" s="141">
        <v>340.46140070504367</v>
      </c>
      <c r="K13" s="141">
        <v>88.225679137199066</v>
      </c>
      <c r="L13" s="141">
        <v>265.05633184279662</v>
      </c>
      <c r="M13" s="141">
        <v>407.89393434370334</v>
      </c>
      <c r="N13" s="141">
        <v>169.6602756615282</v>
      </c>
      <c r="O13" s="141">
        <v>143.76771076592627</v>
      </c>
      <c r="P13" s="141">
        <v>358.0257645007199</v>
      </c>
      <c r="Q13" s="141">
        <v>860.52926032777839</v>
      </c>
      <c r="R13" s="141">
        <v>480.9389997812853</v>
      </c>
      <c r="S13" s="141">
        <v>472.77133669826367</v>
      </c>
      <c r="T13" s="141">
        <v>629.5806446789411</v>
      </c>
      <c r="U13" s="141">
        <v>704.98783801137301</v>
      </c>
      <c r="V13" s="141">
        <v>799.76380108454021</v>
      </c>
      <c r="W13" s="141">
        <v>448.95787638048557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1210.7755402710063</v>
      </c>
      <c r="D14" s="142">
        <v>872.26112653372672</v>
      </c>
      <c r="E14" s="142">
        <v>638.29929645214611</v>
      </c>
      <c r="F14" s="142">
        <v>333.99703537718062</v>
      </c>
      <c r="G14" s="142">
        <v>1688.4654383703016</v>
      </c>
      <c r="H14" s="142">
        <v>1958.3755219184545</v>
      </c>
      <c r="I14" s="142">
        <v>1841.1530672409242</v>
      </c>
      <c r="J14" s="142">
        <v>730.36300785047388</v>
      </c>
      <c r="K14" s="142">
        <v>126.30074506490647</v>
      </c>
      <c r="L14" s="142">
        <v>184.33125496210127</v>
      </c>
      <c r="M14" s="142">
        <v>898.25847886012343</v>
      </c>
      <c r="N14" s="142">
        <v>176.60042143920822</v>
      </c>
      <c r="O14" s="142">
        <v>98.613107431178307</v>
      </c>
      <c r="P14" s="142">
        <v>0</v>
      </c>
      <c r="Q14" s="142">
        <v>0</v>
      </c>
      <c r="R14" s="142">
        <v>137.78607885192079</v>
      </c>
      <c r="S14" s="142">
        <v>820.20555508448717</v>
      </c>
      <c r="T14" s="142">
        <v>795.59956727712006</v>
      </c>
      <c r="U14" s="142">
        <v>429.11235642526418</v>
      </c>
      <c r="V14" s="142">
        <v>249.61386122627653</v>
      </c>
      <c r="W14" s="142">
        <v>594.08726849079187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6302.8024824337917</v>
      </c>
      <c r="D15" s="144">
        <f t="shared" si="3"/>
        <v>4000.602476607608</v>
      </c>
      <c r="E15" s="144">
        <f t="shared" si="3"/>
        <v>2358.7284462499483</v>
      </c>
      <c r="F15" s="144">
        <f t="shared" si="3"/>
        <v>1223.7581188973686</v>
      </c>
      <c r="G15" s="144">
        <f t="shared" si="3"/>
        <v>5702.235825745357</v>
      </c>
      <c r="H15" s="144">
        <f t="shared" si="3"/>
        <v>9582.0189963678949</v>
      </c>
      <c r="I15" s="144">
        <f t="shared" si="3"/>
        <v>12302.498202478037</v>
      </c>
      <c r="J15" s="144">
        <f t="shared" si="3"/>
        <v>8220.6613169845568</v>
      </c>
      <c r="K15" s="144">
        <f t="shared" si="3"/>
        <v>1524.9117750910427</v>
      </c>
      <c r="L15" s="144">
        <f t="shared" si="3"/>
        <v>5725.4309981994693</v>
      </c>
      <c r="M15" s="144">
        <f t="shared" si="3"/>
        <v>6131.2802095636998</v>
      </c>
      <c r="N15" s="144">
        <f t="shared" si="3"/>
        <v>2785.06988349726</v>
      </c>
      <c r="O15" s="144">
        <f t="shared" si="3"/>
        <v>1536.0728173418718</v>
      </c>
      <c r="P15" s="144">
        <f t="shared" si="3"/>
        <v>1531.6738277363895</v>
      </c>
      <c r="Q15" s="144">
        <f t="shared" si="3"/>
        <v>7468.4688423954776</v>
      </c>
      <c r="R15" s="144">
        <f t="shared" ref="R15:W15" si="4">SUM(R5:R12)</f>
        <v>3663.9441484525714</v>
      </c>
      <c r="S15" s="144">
        <f t="shared" si="4"/>
        <v>4035.7298097120502</v>
      </c>
      <c r="T15" s="144">
        <f t="shared" si="4"/>
        <v>3756.1667279876642</v>
      </c>
      <c r="U15" s="144">
        <f t="shared" si="4"/>
        <v>3920.7145630697269</v>
      </c>
      <c r="V15" s="144">
        <f t="shared" si="4"/>
        <v>3949.8132179507543</v>
      </c>
      <c r="W15" s="144">
        <f t="shared" si="4"/>
        <v>3965.0845307534505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7568.5483931700073</v>
      </c>
      <c r="D16" s="140">
        <f t="shared" si="5"/>
        <v>4932.831450459912</v>
      </c>
      <c r="E16" s="140">
        <f t="shared" si="5"/>
        <v>3045.6445532202088</v>
      </c>
      <c r="F16" s="140">
        <f t="shared" si="5"/>
        <v>1598.4136536962508</v>
      </c>
      <c r="G16" s="140">
        <f t="shared" si="5"/>
        <v>7622.1425209456875</v>
      </c>
      <c r="H16" s="140">
        <f t="shared" si="5"/>
        <v>11911.993730582797</v>
      </c>
      <c r="I16" s="140">
        <f t="shared" si="5"/>
        <v>14672.150006192522</v>
      </c>
      <c r="J16" s="140">
        <f t="shared" si="5"/>
        <v>9291.4857255400748</v>
      </c>
      <c r="K16" s="140">
        <f t="shared" si="5"/>
        <v>1739.4381992931485</v>
      </c>
      <c r="L16" s="140">
        <f t="shared" si="5"/>
        <v>6174.8185850043665</v>
      </c>
      <c r="M16" s="140">
        <f t="shared" si="5"/>
        <v>7437.4326227675265</v>
      </c>
      <c r="N16" s="140">
        <f t="shared" si="5"/>
        <v>3131.3305805979967</v>
      </c>
      <c r="O16" s="140">
        <f t="shared" si="5"/>
        <v>1778.4536355389764</v>
      </c>
      <c r="P16" s="140">
        <f t="shared" si="5"/>
        <v>1889.6995922371095</v>
      </c>
      <c r="Q16" s="140">
        <f t="shared" si="5"/>
        <v>8328.9981027232552</v>
      </c>
      <c r="R16" s="140">
        <f t="shared" ref="R16:W16" si="6">SUM(R17:R18)</f>
        <v>4282.6692270857775</v>
      </c>
      <c r="S16" s="140">
        <f t="shared" si="6"/>
        <v>5328.7067014948007</v>
      </c>
      <c r="T16" s="140">
        <f t="shared" si="6"/>
        <v>5181.3469399437263</v>
      </c>
      <c r="U16" s="140">
        <f t="shared" si="6"/>
        <v>5054.814757506364</v>
      </c>
      <c r="V16" s="140">
        <f t="shared" si="6"/>
        <v>4999.1908802615717</v>
      </c>
      <c r="W16" s="140">
        <f t="shared" si="6"/>
        <v>5008.1296756247284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21.547202213391245</v>
      </c>
      <c r="D17" s="141">
        <v>21.114305361342655</v>
      </c>
      <c r="E17" s="141">
        <v>9.4935751537654109</v>
      </c>
      <c r="F17" s="141">
        <v>11.197177450290251</v>
      </c>
      <c r="G17" s="141">
        <v>35.647867104390073</v>
      </c>
      <c r="H17" s="141">
        <v>74.330151867556836</v>
      </c>
      <c r="I17" s="141">
        <v>107.6339907058065</v>
      </c>
      <c r="J17" s="141">
        <v>69.308581657008773</v>
      </c>
      <c r="K17" s="141">
        <v>12.801118679363947</v>
      </c>
      <c r="L17" s="141">
        <v>43.101733062720719</v>
      </c>
      <c r="M17" s="141">
        <v>60.876470952707066</v>
      </c>
      <c r="N17" s="141">
        <v>35.061820386280118</v>
      </c>
      <c r="O17" s="141">
        <v>31.210855603062342</v>
      </c>
      <c r="P17" s="141">
        <v>51.656918705799157</v>
      </c>
      <c r="Q17" s="141">
        <v>285.6123400299283</v>
      </c>
      <c r="R17" s="141">
        <v>152.35603175559712</v>
      </c>
      <c r="S17" s="141">
        <v>150.65743869499434</v>
      </c>
      <c r="T17" s="141">
        <v>118.7211577679071</v>
      </c>
      <c r="U17" s="141">
        <v>150.98096731069268</v>
      </c>
      <c r="V17" s="141">
        <v>189.41410666442238</v>
      </c>
      <c r="W17" s="141">
        <v>72.780225815476669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7547.0011909566165</v>
      </c>
      <c r="D18" s="141">
        <v>4911.7171450985697</v>
      </c>
      <c r="E18" s="141">
        <v>3036.1509780664433</v>
      </c>
      <c r="F18" s="141">
        <v>1587.2164762459606</v>
      </c>
      <c r="G18" s="141">
        <v>7586.4946538412978</v>
      </c>
      <c r="H18" s="141">
        <v>11837.663578715241</v>
      </c>
      <c r="I18" s="141">
        <v>14564.516015486715</v>
      </c>
      <c r="J18" s="141">
        <v>9222.1771438830656</v>
      </c>
      <c r="K18" s="141">
        <v>1726.6370806137845</v>
      </c>
      <c r="L18" s="141">
        <v>6131.7168519416455</v>
      </c>
      <c r="M18" s="141">
        <v>7376.5561518148197</v>
      </c>
      <c r="N18" s="141">
        <v>3096.2687602117167</v>
      </c>
      <c r="O18" s="141">
        <v>1747.2427799359141</v>
      </c>
      <c r="P18" s="141">
        <v>1838.0426735313104</v>
      </c>
      <c r="Q18" s="141">
        <v>8043.3857626933277</v>
      </c>
      <c r="R18" s="141">
        <v>4130.31319533018</v>
      </c>
      <c r="S18" s="141">
        <v>5178.0492627998065</v>
      </c>
      <c r="T18" s="141">
        <v>5062.625782175819</v>
      </c>
      <c r="U18" s="141">
        <v>4903.8337901956711</v>
      </c>
      <c r="V18" s="141">
        <v>4809.7767735971493</v>
      </c>
      <c r="W18" s="141">
        <v>4935.3494498092514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7568.5483931700073</v>
      </c>
      <c r="D19" s="140">
        <f t="shared" si="7"/>
        <v>4932.831450459913</v>
      </c>
      <c r="E19" s="140">
        <f t="shared" si="7"/>
        <v>3045.6445532202088</v>
      </c>
      <c r="F19" s="140">
        <f t="shared" si="7"/>
        <v>1598.413653696251</v>
      </c>
      <c r="G19" s="140">
        <f t="shared" si="7"/>
        <v>7622.1425209456902</v>
      </c>
      <c r="H19" s="140">
        <f t="shared" si="7"/>
        <v>11911.993730582799</v>
      </c>
      <c r="I19" s="140">
        <f t="shared" si="7"/>
        <v>14672.150006192522</v>
      </c>
      <c r="J19" s="140">
        <f t="shared" si="7"/>
        <v>9291.4857255400748</v>
      </c>
      <c r="K19" s="140">
        <f t="shared" si="7"/>
        <v>1739.4381992931485</v>
      </c>
      <c r="L19" s="140">
        <f t="shared" si="7"/>
        <v>6174.8185850043656</v>
      </c>
      <c r="M19" s="140">
        <f t="shared" si="7"/>
        <v>7437.4326227675265</v>
      </c>
      <c r="N19" s="140">
        <f t="shared" si="7"/>
        <v>3131.3305805979967</v>
      </c>
      <c r="O19" s="140">
        <f t="shared" si="7"/>
        <v>1778.4536355389766</v>
      </c>
      <c r="P19" s="140">
        <f t="shared" si="7"/>
        <v>1889.6995922371095</v>
      </c>
      <c r="Q19" s="140">
        <f t="shared" si="7"/>
        <v>8328.9981027232552</v>
      </c>
      <c r="R19" s="140">
        <f t="shared" ref="R19:W19" si="8">SUM(R20:R26)</f>
        <v>4282.6692270857775</v>
      </c>
      <c r="S19" s="140">
        <f t="shared" si="8"/>
        <v>5328.7067014948007</v>
      </c>
      <c r="T19" s="140">
        <f t="shared" si="8"/>
        <v>5181.3469399437254</v>
      </c>
      <c r="U19" s="140">
        <f t="shared" si="8"/>
        <v>5054.814757506364</v>
      </c>
      <c r="V19" s="140">
        <f t="shared" si="8"/>
        <v>4999.1908802615717</v>
      </c>
      <c r="W19" s="140">
        <f t="shared" si="8"/>
        <v>5008.1296756247275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219.82991037398472</v>
      </c>
      <c r="D22" s="141">
        <v>143.94362942420724</v>
      </c>
      <c r="E22" s="141">
        <v>100.58706725722584</v>
      </c>
      <c r="F22" s="141">
        <v>63.915368401753064</v>
      </c>
      <c r="G22" s="141">
        <v>276.38904132021918</v>
      </c>
      <c r="H22" s="141">
        <v>424.91711897562226</v>
      </c>
      <c r="I22" s="141">
        <v>516.17175916081248</v>
      </c>
      <c r="J22" s="141">
        <v>360.36790352065634</v>
      </c>
      <c r="K22" s="141">
        <v>77.890801735787051</v>
      </c>
      <c r="L22" s="141">
        <v>230.28369278351849</v>
      </c>
      <c r="M22" s="141">
        <v>282.45035479495203</v>
      </c>
      <c r="N22" s="141">
        <v>137.45529408954258</v>
      </c>
      <c r="O22" s="141">
        <v>82.145502897951246</v>
      </c>
      <c r="P22" s="141">
        <v>93.193777932475669</v>
      </c>
      <c r="Q22" s="141">
        <v>310.02733191790583</v>
      </c>
      <c r="R22" s="141">
        <v>179.86985469302104</v>
      </c>
      <c r="S22" s="141">
        <v>211.92003800444374</v>
      </c>
      <c r="T22" s="141">
        <v>217.81174638375103</v>
      </c>
      <c r="U22" s="141">
        <v>223.65675494575433</v>
      </c>
      <c r="V22" s="141">
        <v>217.35645304372147</v>
      </c>
      <c r="W22" s="141">
        <v>223.05908922954629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2796.3747993068769</v>
      </c>
      <c r="D23" s="141">
        <v>1930.4227199342565</v>
      </c>
      <c r="E23" s="141">
        <v>1014.3282710845621</v>
      </c>
      <c r="F23" s="141">
        <v>587.44169730850365</v>
      </c>
      <c r="G23" s="141">
        <v>2408.2606380947818</v>
      </c>
      <c r="H23" s="141">
        <v>3786.0112965906064</v>
      </c>
      <c r="I23" s="141">
        <v>4311.0132265093634</v>
      </c>
      <c r="J23" s="141">
        <v>3031.9195050971625</v>
      </c>
      <c r="K23" s="141">
        <v>711.82445323311526</v>
      </c>
      <c r="L23" s="141">
        <v>2354.1791358236587</v>
      </c>
      <c r="M23" s="141">
        <v>2927.5695590481027</v>
      </c>
      <c r="N23" s="141">
        <v>1392.3438873695081</v>
      </c>
      <c r="O23" s="141">
        <v>645.83355789060727</v>
      </c>
      <c r="P23" s="141">
        <v>343.7082143314239</v>
      </c>
      <c r="Q23" s="141">
        <v>1999.3170582684552</v>
      </c>
      <c r="R23" s="141">
        <v>1704.3777519622188</v>
      </c>
      <c r="S23" s="141">
        <v>2330.1489040527117</v>
      </c>
      <c r="T23" s="141">
        <v>1460.2061488057261</v>
      </c>
      <c r="U23" s="141">
        <v>799.73179908698114</v>
      </c>
      <c r="V23" s="141">
        <v>13.336353187175089</v>
      </c>
      <c r="W23" s="141">
        <v>923.61011121522768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451.59494046303843</v>
      </c>
      <c r="D25" s="141">
        <v>251.02240109486524</v>
      </c>
      <c r="E25" s="141">
        <v>152.97631546549317</v>
      </c>
      <c r="F25" s="141">
        <v>92.596541399209528</v>
      </c>
      <c r="G25" s="141">
        <v>453.65140110098486</v>
      </c>
      <c r="H25" s="141">
        <v>756.74958770393005</v>
      </c>
      <c r="I25" s="141">
        <v>974.68139672705672</v>
      </c>
      <c r="J25" s="141">
        <v>689.95323644745406</v>
      </c>
      <c r="K25" s="141">
        <v>162.84382832487697</v>
      </c>
      <c r="L25" s="141">
        <v>453.98817237507791</v>
      </c>
      <c r="M25" s="141">
        <v>476.07142679020546</v>
      </c>
      <c r="N25" s="141">
        <v>178.05252281884742</v>
      </c>
      <c r="O25" s="141">
        <v>77.353730831942642</v>
      </c>
      <c r="P25" s="141">
        <v>0</v>
      </c>
      <c r="Q25" s="141">
        <v>234.12975372863966</v>
      </c>
      <c r="R25" s="141">
        <v>234.96777060074419</v>
      </c>
      <c r="S25" s="141">
        <v>300.94622363011871</v>
      </c>
      <c r="T25" s="141">
        <v>294.64209834579492</v>
      </c>
      <c r="U25" s="141">
        <v>256.78452634799481</v>
      </c>
      <c r="V25" s="141">
        <v>252.04435341612296</v>
      </c>
      <c r="W25" s="141">
        <v>261.86841503356698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4100.7487430261081</v>
      </c>
      <c r="D26" s="142">
        <v>2607.4427000065839</v>
      </c>
      <c r="E26" s="142">
        <v>1777.7528994129277</v>
      </c>
      <c r="F26" s="142">
        <v>854.46004658678476</v>
      </c>
      <c r="G26" s="142">
        <v>4483.8414404297037</v>
      </c>
      <c r="H26" s="142">
        <v>6944.315727312639</v>
      </c>
      <c r="I26" s="142">
        <v>8870.2836237952906</v>
      </c>
      <c r="J26" s="142">
        <v>5209.2450804748014</v>
      </c>
      <c r="K26" s="142">
        <v>786.87911599936911</v>
      </c>
      <c r="L26" s="142">
        <v>3136.3675840221108</v>
      </c>
      <c r="M26" s="142">
        <v>3751.3412821342663</v>
      </c>
      <c r="N26" s="142">
        <v>1423.4788763200986</v>
      </c>
      <c r="O26" s="142">
        <v>973.12084391847543</v>
      </c>
      <c r="P26" s="142">
        <v>1452.79759997321</v>
      </c>
      <c r="Q26" s="142">
        <v>5785.523958808255</v>
      </c>
      <c r="R26" s="142">
        <v>2163.4538498297934</v>
      </c>
      <c r="S26" s="142">
        <v>2485.6915358075262</v>
      </c>
      <c r="T26" s="142">
        <v>3208.6869464084534</v>
      </c>
      <c r="U26" s="142">
        <v>3774.6416771256336</v>
      </c>
      <c r="V26" s="142">
        <v>4516.4537206145524</v>
      </c>
      <c r="W26" s="142">
        <v>3599.5920601463868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324.41620739683435</v>
      </c>
      <c r="D27" s="151">
        <v>863.14165574678009</v>
      </c>
      <c r="E27" s="151">
        <v>487.21790146615433</v>
      </c>
      <c r="F27" s="151">
        <v>473.97984513965065</v>
      </c>
      <c r="G27" s="151">
        <v>716.73630106305654</v>
      </c>
      <c r="H27" s="151">
        <v>574.64696720482334</v>
      </c>
      <c r="I27" s="151">
        <v>1242.2435600542085</v>
      </c>
      <c r="J27" s="151">
        <v>116.40685208873508</v>
      </c>
      <c r="K27" s="151">
        <v>838.08975863912463</v>
      </c>
      <c r="L27" s="151">
        <v>2.3941618518159109E-12</v>
      </c>
      <c r="M27" s="151">
        <v>1193.5784529235818</v>
      </c>
      <c r="N27" s="151">
        <v>302.17090247525817</v>
      </c>
      <c r="O27" s="151">
        <v>611.83017429608515</v>
      </c>
      <c r="P27" s="151">
        <v>705.97011115615499</v>
      </c>
      <c r="Q27" s="151">
        <v>605.15085166840697</v>
      </c>
      <c r="R27" s="151">
        <v>836.79947814159777</v>
      </c>
      <c r="S27" s="151">
        <v>598.2592337740715</v>
      </c>
      <c r="T27" s="151">
        <v>419.12885019897118</v>
      </c>
      <c r="U27" s="151">
        <v>532.7236379483827</v>
      </c>
      <c r="V27" s="151">
        <v>708.3854576741212</v>
      </c>
      <c r="W27" s="151">
        <v>481.03593813122529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7568.5483931700073</v>
      </c>
      <c r="D29" s="140">
        <f t="shared" si="9"/>
        <v>4932.831450459913</v>
      </c>
      <c r="E29" s="140">
        <f t="shared" si="9"/>
        <v>3045.6445532202088</v>
      </c>
      <c r="F29" s="140">
        <f t="shared" si="9"/>
        <v>1598.413653696251</v>
      </c>
      <c r="G29" s="140">
        <f t="shared" si="9"/>
        <v>7622.1425209456884</v>
      </c>
      <c r="H29" s="140">
        <f t="shared" si="9"/>
        <v>11911.993730582799</v>
      </c>
      <c r="I29" s="140">
        <f t="shared" si="9"/>
        <v>14672.150006192524</v>
      </c>
      <c r="J29" s="140">
        <f t="shared" si="9"/>
        <v>9291.4857255400748</v>
      </c>
      <c r="K29" s="140">
        <f t="shared" si="9"/>
        <v>1739.4381992931485</v>
      </c>
      <c r="L29" s="140">
        <f t="shared" si="9"/>
        <v>6174.8185850043656</v>
      </c>
      <c r="M29" s="140">
        <f t="shared" si="9"/>
        <v>7437.4326227675256</v>
      </c>
      <c r="N29" s="140">
        <f t="shared" si="9"/>
        <v>3131.3305805979962</v>
      </c>
      <c r="O29" s="140">
        <f t="shared" si="9"/>
        <v>1778.4536355389764</v>
      </c>
      <c r="P29" s="140">
        <f t="shared" si="9"/>
        <v>1889.6995922371098</v>
      </c>
      <c r="Q29" s="140">
        <f t="shared" si="9"/>
        <v>8328.9981027232552</v>
      </c>
      <c r="R29" s="140">
        <f t="shared" ref="R29:W29" si="10">SUM(R30:R33)</f>
        <v>4282.6692270857766</v>
      </c>
      <c r="S29" s="140">
        <f t="shared" si="10"/>
        <v>5328.7067014948007</v>
      </c>
      <c r="T29" s="140">
        <f t="shared" si="10"/>
        <v>5181.3469399437254</v>
      </c>
      <c r="U29" s="140">
        <f t="shared" si="10"/>
        <v>5054.8147575063631</v>
      </c>
      <c r="V29" s="140">
        <f t="shared" si="10"/>
        <v>4999.1908802615708</v>
      </c>
      <c r="W29" s="140">
        <f t="shared" si="10"/>
        <v>5008.1296756247284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780.79032568333923</v>
      </c>
      <c r="D30" s="141">
        <v>459.36492217610612</v>
      </c>
      <c r="E30" s="141">
        <v>221.90928076125161</v>
      </c>
      <c r="F30" s="141">
        <v>172.97589008199805</v>
      </c>
      <c r="G30" s="141">
        <v>400.15610118056333</v>
      </c>
      <c r="H30" s="141">
        <v>485.61117018494463</v>
      </c>
      <c r="I30" s="141">
        <v>0</v>
      </c>
      <c r="J30" s="141">
        <v>0</v>
      </c>
      <c r="K30" s="141">
        <v>124.11494171642964</v>
      </c>
      <c r="L30" s="141">
        <v>543.24254834019678</v>
      </c>
      <c r="M30" s="141">
        <v>0</v>
      </c>
      <c r="N30" s="141">
        <v>52.934152601450123</v>
      </c>
      <c r="O30" s="141">
        <v>55.332350513104089</v>
      </c>
      <c r="P30" s="141">
        <v>185.64980293716917</v>
      </c>
      <c r="Q30" s="141">
        <v>652.0544478967978</v>
      </c>
      <c r="R30" s="141">
        <v>629.00913380835732</v>
      </c>
      <c r="S30" s="141">
        <v>1054.7717019456102</v>
      </c>
      <c r="T30" s="141">
        <v>1010.7149833833713</v>
      </c>
      <c r="U30" s="141">
        <v>499.99047148828879</v>
      </c>
      <c r="V30" s="141">
        <v>223.24423644923377</v>
      </c>
      <c r="W30" s="141">
        <v>270.61335138500624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2217.3114935131125</v>
      </c>
      <c r="D31" s="141">
        <v>1567.4380923566875</v>
      </c>
      <c r="E31" s="141">
        <v>1024.7670282818099</v>
      </c>
      <c r="F31" s="141">
        <v>498.82526072122317</v>
      </c>
      <c r="G31" s="141">
        <v>2307.4833891233529</v>
      </c>
      <c r="H31" s="141">
        <v>3666.0204401407941</v>
      </c>
      <c r="I31" s="141">
        <v>5244.8676776609263</v>
      </c>
      <c r="J31" s="141">
        <v>3133.0985020836961</v>
      </c>
      <c r="K31" s="141">
        <v>527.86251237601789</v>
      </c>
      <c r="L31" s="141">
        <v>1466.842106945837</v>
      </c>
      <c r="M31" s="141">
        <v>2270.3089880448879</v>
      </c>
      <c r="N31" s="141">
        <v>1003.6908113515284</v>
      </c>
      <c r="O31" s="141">
        <v>592.88790963278586</v>
      </c>
      <c r="P31" s="141">
        <v>619.99403220329634</v>
      </c>
      <c r="Q31" s="141">
        <v>1173.5681428110431</v>
      </c>
      <c r="R31" s="141">
        <v>679.38371318744532</v>
      </c>
      <c r="S31" s="141">
        <v>549.58175195268927</v>
      </c>
      <c r="T31" s="141">
        <v>492.61888293075242</v>
      </c>
      <c r="U31" s="141">
        <v>678.27560562346969</v>
      </c>
      <c r="V31" s="141">
        <v>1199.9718109719249</v>
      </c>
      <c r="W31" s="141">
        <v>1342.0060151702303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4570.4465739735551</v>
      </c>
      <c r="D33" s="153">
        <v>2906.0284359271191</v>
      </c>
      <c r="E33" s="153">
        <v>1798.968244177147</v>
      </c>
      <c r="F33" s="153">
        <v>926.61250289302973</v>
      </c>
      <c r="G33" s="153">
        <v>4914.5030306417721</v>
      </c>
      <c r="H33" s="153">
        <v>7760.3621202570594</v>
      </c>
      <c r="I33" s="153">
        <v>9427.2823285315972</v>
      </c>
      <c r="J33" s="153">
        <v>6158.3872234563778</v>
      </c>
      <c r="K33" s="153">
        <v>1087.460745200701</v>
      </c>
      <c r="L33" s="153">
        <v>4164.7339297183316</v>
      </c>
      <c r="M33" s="153">
        <v>5167.1236347226377</v>
      </c>
      <c r="N33" s="153">
        <v>2074.7056166450179</v>
      </c>
      <c r="O33" s="153">
        <v>1130.2333753930864</v>
      </c>
      <c r="P33" s="153">
        <v>1084.0557570966441</v>
      </c>
      <c r="Q33" s="153">
        <v>6503.3755120154146</v>
      </c>
      <c r="R33" s="153">
        <v>2974.2763800899743</v>
      </c>
      <c r="S33" s="153">
        <v>3724.3532475965012</v>
      </c>
      <c r="T33" s="153">
        <v>3678.0130736296019</v>
      </c>
      <c r="U33" s="153">
        <v>3876.5486803946051</v>
      </c>
      <c r="V33" s="153">
        <v>3575.9748328404125</v>
      </c>
      <c r="W33" s="153">
        <v>3395.5103090694915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97.894063196868373</v>
      </c>
      <c r="D3" s="126">
        <f t="shared" si="0"/>
        <v>62.327147862651969</v>
      </c>
      <c r="E3" s="126">
        <f t="shared" si="0"/>
        <v>39.661223688311054</v>
      </c>
      <c r="F3" s="126">
        <f t="shared" si="0"/>
        <v>22.036822110041477</v>
      </c>
      <c r="G3" s="126">
        <f t="shared" si="0"/>
        <v>95.835594665135375</v>
      </c>
      <c r="H3" s="126">
        <f t="shared" si="0"/>
        <v>147.12803155984273</v>
      </c>
      <c r="I3" s="126">
        <f t="shared" si="0"/>
        <v>165.126736496207</v>
      </c>
      <c r="J3" s="126">
        <f t="shared" si="0"/>
        <v>106.46092024220462</v>
      </c>
      <c r="K3" s="126">
        <f t="shared" si="0"/>
        <v>19.950719846637536</v>
      </c>
      <c r="L3" s="126">
        <f t="shared" si="0"/>
        <v>77.203586377313428</v>
      </c>
      <c r="M3" s="126">
        <f t="shared" si="0"/>
        <v>75.898105581216214</v>
      </c>
      <c r="N3" s="126">
        <f t="shared" si="0"/>
        <v>33.070283674340629</v>
      </c>
      <c r="O3" s="126">
        <f t="shared" si="0"/>
        <v>17.879026612864934</v>
      </c>
      <c r="P3" s="126">
        <f t="shared" si="0"/>
        <v>14.649084797466376</v>
      </c>
      <c r="Q3" s="126">
        <f t="shared" si="0"/>
        <v>66.445191297576159</v>
      </c>
      <c r="R3" s="126">
        <f t="shared" ref="R3:W3" si="1">SUM(R4,R16,R19,R29)</f>
        <v>32.519708750768402</v>
      </c>
      <c r="S3" s="126">
        <f t="shared" si="1"/>
        <v>40.018419186840546</v>
      </c>
      <c r="T3" s="126">
        <f t="shared" si="1"/>
        <v>36.699766766290061</v>
      </c>
      <c r="U3" s="126">
        <f t="shared" si="1"/>
        <v>32.756363421745363</v>
      </c>
      <c r="V3" s="126">
        <f t="shared" si="1"/>
        <v>29.022794342643966</v>
      </c>
      <c r="W3" s="126">
        <f t="shared" si="1"/>
        <v>27.587752262442255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65.46637804407456</v>
      </c>
      <c r="D4" s="131">
        <f t="shared" si="2"/>
        <v>41.476763664073722</v>
      </c>
      <c r="E4" s="131">
        <f t="shared" si="2"/>
        <v>26.778714389049288</v>
      </c>
      <c r="F4" s="131">
        <f t="shared" si="2"/>
        <v>15.448994469678237</v>
      </c>
      <c r="G4" s="131">
        <f t="shared" si="2"/>
        <v>65.01463151627074</v>
      </c>
      <c r="H4" s="131">
        <f t="shared" si="2"/>
        <v>99.493451200028304</v>
      </c>
      <c r="I4" s="131">
        <f t="shared" si="2"/>
        <v>108.55576708259977</v>
      </c>
      <c r="J4" s="131">
        <f t="shared" si="2"/>
        <v>71.147626734424009</v>
      </c>
      <c r="K4" s="131">
        <f t="shared" si="2"/>
        <v>13.495586044133736</v>
      </c>
      <c r="L4" s="131">
        <f t="shared" si="2"/>
        <v>54.059347914860865</v>
      </c>
      <c r="M4" s="131">
        <f t="shared" si="2"/>
        <v>49.094093508335916</v>
      </c>
      <c r="N4" s="131">
        <f t="shared" si="2"/>
        <v>21.921066864251614</v>
      </c>
      <c r="O4" s="131">
        <f t="shared" si="2"/>
        <v>11.703418208282216</v>
      </c>
      <c r="P4" s="131">
        <f t="shared" si="2"/>
        <v>8.33462541980807</v>
      </c>
      <c r="Q4" s="131">
        <f t="shared" si="2"/>
        <v>38.965564904013014</v>
      </c>
      <c r="R4" s="131">
        <f t="shared" ref="R4:W4" si="3">SUM(R5:R15)</f>
        <v>18.725175035499873</v>
      </c>
      <c r="S4" s="131">
        <f t="shared" si="3"/>
        <v>23.372052365759913</v>
      </c>
      <c r="T4" s="131">
        <f t="shared" si="3"/>
        <v>20.505860522621571</v>
      </c>
      <c r="U4" s="131">
        <f t="shared" si="3"/>
        <v>17.522836159264276</v>
      </c>
      <c r="V4" s="131">
        <f t="shared" si="3"/>
        <v>14.25076616887716</v>
      </c>
      <c r="W4" s="131">
        <f t="shared" si="3"/>
        <v>13.257695418253034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5.3480275454263317E-3</v>
      </c>
      <c r="D5" s="133">
        <v>1.3713871816850152E-2</v>
      </c>
      <c r="E5" s="133">
        <v>1.9877013665147759E-2</v>
      </c>
      <c r="F5" s="133">
        <v>1.1794379306720299E-3</v>
      </c>
      <c r="G5" s="133">
        <v>6.4453987093862283E-2</v>
      </c>
      <c r="H5" s="133">
        <v>8.6504477461841686E-2</v>
      </c>
      <c r="I5" s="133">
        <v>0.2798847079159687</v>
      </c>
      <c r="J5" s="133">
        <v>0.16097506400581385</v>
      </c>
      <c r="K5" s="133">
        <v>2.4105732985179838E-2</v>
      </c>
      <c r="L5" s="133">
        <v>2.1588474173662466E-2</v>
      </c>
      <c r="M5" s="133">
        <v>1.5633597547846614E-2</v>
      </c>
      <c r="N5" s="133">
        <v>8.7279447367371588E-3</v>
      </c>
      <c r="O5" s="133">
        <v>5.3406292236044834E-3</v>
      </c>
      <c r="P5" s="133">
        <v>5.0955210916258341E-3</v>
      </c>
      <c r="Q5" s="133">
        <v>0.14896292470461295</v>
      </c>
      <c r="R5" s="133">
        <v>0.12261975156021646</v>
      </c>
      <c r="S5" s="133">
        <v>4.6947807278154334E-2</v>
      </c>
      <c r="T5" s="133">
        <v>2.7454685583116864E-3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1.8741604362593978</v>
      </c>
      <c r="D7" s="133">
        <v>1.7170431637348853</v>
      </c>
      <c r="E7" s="133">
        <v>1.0190472007300564</v>
      </c>
      <c r="F7" s="133">
        <v>0.79921571945628112</v>
      </c>
      <c r="G7" s="133">
        <v>3.6427179291576826</v>
      </c>
      <c r="H7" s="133">
        <v>5.7806137419410648</v>
      </c>
      <c r="I7" s="133">
        <v>7.7981057050452067</v>
      </c>
      <c r="J7" s="133">
        <v>3.1275477006606796</v>
      </c>
      <c r="K7" s="133">
        <v>0.76279884852904012</v>
      </c>
      <c r="L7" s="133">
        <v>3.4574812237035677</v>
      </c>
      <c r="M7" s="133">
        <v>4.2144192399983069</v>
      </c>
      <c r="N7" s="133">
        <v>1.4438220606175913</v>
      </c>
      <c r="O7" s="133">
        <v>0.88788343872475517</v>
      </c>
      <c r="P7" s="133">
        <v>0.42875938286913395</v>
      </c>
      <c r="Q7" s="133">
        <v>1.8844259196966435</v>
      </c>
      <c r="R7" s="133">
        <v>0.42356767253893912</v>
      </c>
      <c r="S7" s="133">
        <v>1.0652046752922968</v>
      </c>
      <c r="T7" s="133">
        <v>1.0778209490536563</v>
      </c>
      <c r="U7" s="133">
        <v>1.5718934715038584</v>
      </c>
      <c r="V7" s="133">
        <v>1.0444014191915332</v>
      </c>
      <c r="W7" s="133">
        <v>0.72055792362878734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1.3433447183098808E-2</v>
      </c>
      <c r="D8" s="133">
        <v>1.127166863078222E-2</v>
      </c>
      <c r="E8" s="133">
        <v>9.1711168621799871E-3</v>
      </c>
      <c r="F8" s="133">
        <v>4.111503556956035E-3</v>
      </c>
      <c r="G8" s="133">
        <v>2.0011053349404E-2</v>
      </c>
      <c r="H8" s="133">
        <v>3.0594131292069608E-2</v>
      </c>
      <c r="I8" s="133">
        <v>5.0849735697874245E-2</v>
      </c>
      <c r="J8" s="133">
        <v>2.6993678078344976E-2</v>
      </c>
      <c r="K8" s="133">
        <v>7.1607618660903772E-3</v>
      </c>
      <c r="L8" s="133">
        <v>2.1143406916374063E-2</v>
      </c>
      <c r="M8" s="133">
        <v>3.4358567929293642E-2</v>
      </c>
      <c r="N8" s="133">
        <v>1.3781621442938116E-2</v>
      </c>
      <c r="O8" s="133">
        <v>1.2405348034887452E-2</v>
      </c>
      <c r="P8" s="133">
        <v>3.855730053755959E-2</v>
      </c>
      <c r="Q8" s="133">
        <v>9.7744979933467868E-2</v>
      </c>
      <c r="R8" s="133">
        <v>3.3170373682590765E-2</v>
      </c>
      <c r="S8" s="133">
        <v>1.6561607036700138E-2</v>
      </c>
      <c r="T8" s="133">
        <v>1.982651049247685E-2</v>
      </c>
      <c r="U8" s="133">
        <v>2.451664622991858E-2</v>
      </c>
      <c r="V8" s="133">
        <v>2.6758435213275478E-2</v>
      </c>
      <c r="W8" s="133">
        <v>1.9488590536922999E-2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44.203633662507741</v>
      </c>
      <c r="D9" s="133">
        <v>26.769534321468132</v>
      </c>
      <c r="E9" s="133">
        <v>18.645939233218844</v>
      </c>
      <c r="F9" s="133">
        <v>11.230173879106765</v>
      </c>
      <c r="G9" s="133">
        <v>43.201977067519778</v>
      </c>
      <c r="H9" s="133">
        <v>67.182212771647713</v>
      </c>
      <c r="I9" s="133">
        <v>70.762481692928972</v>
      </c>
      <c r="J9" s="133">
        <v>54.054114886462102</v>
      </c>
      <c r="K9" s="133">
        <v>10.064183731426025</v>
      </c>
      <c r="L9" s="133">
        <v>46.599704732503092</v>
      </c>
      <c r="M9" s="133">
        <v>36.436593536504368</v>
      </c>
      <c r="N9" s="133">
        <v>18.311024990907274</v>
      </c>
      <c r="O9" s="133">
        <v>9.4465637077568623</v>
      </c>
      <c r="P9" s="133">
        <v>6.6108536148542454</v>
      </c>
      <c r="Q9" s="133">
        <v>31.807081358260209</v>
      </c>
      <c r="R9" s="133">
        <v>13.7938952527174</v>
      </c>
      <c r="S9" s="133">
        <v>12.615642782710781</v>
      </c>
      <c r="T9" s="133">
        <v>11.253311957504806</v>
      </c>
      <c r="U9" s="133">
        <v>10.199660325030399</v>
      </c>
      <c r="V9" s="133">
        <v>9.5238527902795642</v>
      </c>
      <c r="W9" s="133">
        <v>9.3644994394301673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2.5704401883056889</v>
      </c>
      <c r="D10" s="133">
        <v>0.79423176421320518</v>
      </c>
      <c r="E10" s="133">
        <v>0.4444749679981464</v>
      </c>
      <c r="F10" s="133">
        <v>0.39405915038020001</v>
      </c>
      <c r="G10" s="133">
        <v>2.391400597557134</v>
      </c>
      <c r="H10" s="133">
        <v>4.7615124589017324</v>
      </c>
      <c r="I10" s="133">
        <v>4.9906076998188977</v>
      </c>
      <c r="J10" s="133">
        <v>2.9183090775296003</v>
      </c>
      <c r="K10" s="133">
        <v>0.25170956418361179</v>
      </c>
      <c r="L10" s="133">
        <v>0.68716776465942253</v>
      </c>
      <c r="M10" s="133">
        <v>1.0568139434855528</v>
      </c>
      <c r="N10" s="133">
        <v>0.45776143645989081</v>
      </c>
      <c r="O10" s="133">
        <v>0.35243454581562156</v>
      </c>
      <c r="P10" s="133">
        <v>0.67603122128141968</v>
      </c>
      <c r="Q10" s="133">
        <v>1.3314861916484479</v>
      </c>
      <c r="R10" s="133">
        <v>1.1659197195518056</v>
      </c>
      <c r="S10" s="133">
        <v>2.1043031590337367</v>
      </c>
      <c r="T10" s="133">
        <v>2.0140260051771586</v>
      </c>
      <c r="U10" s="133">
        <v>1.4312021783576145</v>
      </c>
      <c r="V10" s="133">
        <v>1.1257227395371379</v>
      </c>
      <c r="W10" s="133">
        <v>0.74138583921724532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6.6160951078645871</v>
      </c>
      <c r="D12" s="133">
        <v>5.1787538257158339</v>
      </c>
      <c r="E12" s="133">
        <v>1.2187605580999012</v>
      </c>
      <c r="F12" s="133">
        <v>0</v>
      </c>
      <c r="G12" s="133">
        <v>1.4784362888531102</v>
      </c>
      <c r="H12" s="133">
        <v>5.1508206856644163</v>
      </c>
      <c r="I12" s="133">
        <v>9.0452578865655902</v>
      </c>
      <c r="J12" s="133">
        <v>4.1934834423703302</v>
      </c>
      <c r="K12" s="133">
        <v>1.1219931454706151</v>
      </c>
      <c r="L12" s="133">
        <v>0.74307022006645962</v>
      </c>
      <c r="M12" s="133">
        <v>0</v>
      </c>
      <c r="N12" s="133">
        <v>0</v>
      </c>
      <c r="O12" s="133">
        <v>0</v>
      </c>
      <c r="P12" s="133">
        <v>0</v>
      </c>
      <c r="Q12" s="133">
        <v>2.1770682548671338</v>
      </c>
      <c r="R12" s="133">
        <v>1.8592478545727016</v>
      </c>
      <c r="S12" s="133">
        <v>3.2649198816745315</v>
      </c>
      <c r="T12" s="133">
        <v>1.8811074883072465</v>
      </c>
      <c r="U12" s="133">
        <v>2.0091495816110863</v>
      </c>
      <c r="V12" s="133">
        <v>1.0548110761210241</v>
      </c>
      <c r="W12" s="133">
        <v>0.38846699486076758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0.19239253427730124</v>
      </c>
      <c r="D13" s="133">
        <v>0.20376707993003512</v>
      </c>
      <c r="E13" s="133">
        <v>0.14732228739172704</v>
      </c>
      <c r="F13" s="133">
        <v>0.12856514812816039</v>
      </c>
      <c r="G13" s="133">
        <v>0.68153305615636783</v>
      </c>
      <c r="H13" s="133">
        <v>0.96445837424726355</v>
      </c>
      <c r="I13" s="133">
        <v>1.3046228219930398</v>
      </c>
      <c r="J13" s="133">
        <v>0.83023520176303645</v>
      </c>
      <c r="K13" s="133">
        <v>0.20555324375861445</v>
      </c>
      <c r="L13" s="133">
        <v>0.59455287749974217</v>
      </c>
      <c r="M13" s="133">
        <v>0.81730915352192801</v>
      </c>
      <c r="N13" s="133">
        <v>0.30436154211954469</v>
      </c>
      <c r="O13" s="133">
        <v>0.22718345019716937</v>
      </c>
      <c r="P13" s="133">
        <v>0.48001492288890024</v>
      </c>
      <c r="Q13" s="133">
        <v>1.0570905831942718</v>
      </c>
      <c r="R13" s="133">
        <v>0.55315190277263049</v>
      </c>
      <c r="S13" s="133">
        <v>0.51667354350040429</v>
      </c>
      <c r="T13" s="133">
        <v>0.63880591728929204</v>
      </c>
      <c r="U13" s="133">
        <v>0.64240162901511078</v>
      </c>
      <c r="V13" s="133">
        <v>0.64094002797098659</v>
      </c>
      <c r="W13" s="133">
        <v>0.30603838916992521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9.357885020123609</v>
      </c>
      <c r="D14" s="65">
        <v>6.4011131291584658</v>
      </c>
      <c r="E14" s="65">
        <v>5.0184720010122259</v>
      </c>
      <c r="F14" s="65">
        <v>2.7390093338827013</v>
      </c>
      <c r="G14" s="65">
        <v>12.931850374214852</v>
      </c>
      <c r="H14" s="65">
        <v>14.586457151568423</v>
      </c>
      <c r="I14" s="65">
        <v>13.2938364356589</v>
      </c>
      <c r="J14" s="65">
        <v>5.0963113444257013</v>
      </c>
      <c r="K14" s="65">
        <v>0.91875747492867688</v>
      </c>
      <c r="L14" s="65">
        <v>1.3099178736378683</v>
      </c>
      <c r="M14" s="65">
        <v>6.0111560400496398</v>
      </c>
      <c r="N14" s="65">
        <v>1.131325951260439</v>
      </c>
      <c r="O14" s="65">
        <v>0.63815346897421266</v>
      </c>
      <c r="P14" s="65">
        <v>0</v>
      </c>
      <c r="Q14" s="65">
        <v>0</v>
      </c>
      <c r="R14" s="65">
        <v>0.57060836254483183</v>
      </c>
      <c r="S14" s="65">
        <v>3.5372058189086459</v>
      </c>
      <c r="T14" s="65">
        <v>3.4372592861921558</v>
      </c>
      <c r="U14" s="65">
        <v>1.4729538536903266</v>
      </c>
      <c r="V14" s="65">
        <v>0.68353000231001149</v>
      </c>
      <c r="W14" s="65">
        <v>1.5752742468045491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0.63298962000770997</v>
      </c>
      <c r="D15" s="135">
        <v>0.38733483940553021</v>
      </c>
      <c r="E15" s="135">
        <v>0.25565001007106153</v>
      </c>
      <c r="F15" s="135">
        <v>0.15268029723650076</v>
      </c>
      <c r="G15" s="135">
        <v>0.60225116236854526</v>
      </c>
      <c r="H15" s="135">
        <v>0.95027740730379373</v>
      </c>
      <c r="I15" s="135">
        <v>1.0301203969753265</v>
      </c>
      <c r="J15" s="135">
        <v>0.73965633912840811</v>
      </c>
      <c r="K15" s="135">
        <v>0.13932354098588162</v>
      </c>
      <c r="L15" s="135">
        <v>0.6247213417006795</v>
      </c>
      <c r="M15" s="135">
        <v>0.50780942929897965</v>
      </c>
      <c r="N15" s="135">
        <v>0.25026131670720086</v>
      </c>
      <c r="O15" s="135">
        <v>0.13345361955510412</v>
      </c>
      <c r="P15" s="135">
        <v>9.5313456285184991E-2</v>
      </c>
      <c r="Q15" s="135">
        <v>0.46170469170823408</v>
      </c>
      <c r="R15" s="135">
        <v>0.20299414555876</v>
      </c>
      <c r="S15" s="135">
        <v>0.20459309032466422</v>
      </c>
      <c r="T15" s="135">
        <v>0.18095694004646731</v>
      </c>
      <c r="U15" s="135">
        <v>0.17105847382596137</v>
      </c>
      <c r="V15" s="135">
        <v>0.15074967825362989</v>
      </c>
      <c r="W15" s="135">
        <v>0.14198399460466923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6.5191418555910117</v>
      </c>
      <c r="D16" s="131">
        <f t="shared" si="4"/>
        <v>4.039728504933322</v>
      </c>
      <c r="E16" s="131">
        <f t="shared" si="4"/>
        <v>2.6212803152559125</v>
      </c>
      <c r="F16" s="131">
        <f t="shared" si="4"/>
        <v>1.2090484420266161</v>
      </c>
      <c r="G16" s="131">
        <f t="shared" si="4"/>
        <v>5.4576723620029339</v>
      </c>
      <c r="H16" s="131">
        <f t="shared" si="4"/>
        <v>9.0131142212047077</v>
      </c>
      <c r="I16" s="131">
        <f t="shared" si="4"/>
        <v>9.8078364596343839</v>
      </c>
      <c r="J16" s="131">
        <f t="shared" si="4"/>
        <v>5.9928218728194311</v>
      </c>
      <c r="K16" s="131">
        <f t="shared" si="4"/>
        <v>1.0743987344163279</v>
      </c>
      <c r="L16" s="131">
        <f t="shared" si="4"/>
        <v>3.7719900517508935</v>
      </c>
      <c r="M16" s="131">
        <f t="shared" si="4"/>
        <v>4.1944302256392412</v>
      </c>
      <c r="N16" s="131">
        <f t="shared" si="4"/>
        <v>1.6789581887130542</v>
      </c>
      <c r="O16" s="131">
        <f t="shared" si="4"/>
        <v>0.90432620005002307</v>
      </c>
      <c r="P16" s="131">
        <f t="shared" si="4"/>
        <v>0.89717050670374276</v>
      </c>
      <c r="Q16" s="131">
        <f t="shared" si="4"/>
        <v>3.9320039653063601</v>
      </c>
      <c r="R16" s="131">
        <f t="shared" ref="R16:W16" si="5">SUM(R17:R18)</f>
        <v>1.8693038323848457</v>
      </c>
      <c r="S16" s="131">
        <f t="shared" si="5"/>
        <v>2.1405980990362843</v>
      </c>
      <c r="T16" s="131">
        <f t="shared" si="5"/>
        <v>2.15126304193288</v>
      </c>
      <c r="U16" s="131">
        <f t="shared" si="5"/>
        <v>1.9718914206702187</v>
      </c>
      <c r="V16" s="131">
        <f t="shared" si="5"/>
        <v>1.9092585185641564</v>
      </c>
      <c r="W16" s="131">
        <f t="shared" si="5"/>
        <v>1.4346454503090555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3.5381521947072725E-2</v>
      </c>
      <c r="D17" s="133">
        <v>3.3954382318192596E-2</v>
      </c>
      <c r="E17" s="133">
        <v>1.6557529592062317E-2</v>
      </c>
      <c r="F17" s="133">
        <v>1.7610661079348715E-2</v>
      </c>
      <c r="G17" s="133">
        <v>5.4821738946263833E-2</v>
      </c>
      <c r="H17" s="133">
        <v>0.12438239548657973</v>
      </c>
      <c r="I17" s="133">
        <v>0.16380890603806086</v>
      </c>
      <c r="J17" s="133">
        <v>0.10461303673120061</v>
      </c>
      <c r="K17" s="133">
        <v>1.9005102964468321E-2</v>
      </c>
      <c r="L17" s="133">
        <v>6.50422349463433E-2</v>
      </c>
      <c r="M17" s="133">
        <v>8.7141266489883781E-2</v>
      </c>
      <c r="N17" s="133">
        <v>4.8832160385114294E-2</v>
      </c>
      <c r="O17" s="133">
        <v>4.1862758895452393E-2</v>
      </c>
      <c r="P17" s="133">
        <v>6.5037632750645849E-2</v>
      </c>
      <c r="Q17" s="133">
        <v>0.35633941974284022</v>
      </c>
      <c r="R17" s="133">
        <v>0.17901080309017756</v>
      </c>
      <c r="S17" s="133">
        <v>0.17276781002439603</v>
      </c>
      <c r="T17" s="133">
        <v>0.13406553481996755</v>
      </c>
      <c r="U17" s="133">
        <v>0.15651524806057057</v>
      </c>
      <c r="V17" s="133">
        <v>0.18865275761048469</v>
      </c>
      <c r="W17" s="133">
        <v>6.7285105833812558E-2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6.4837603336439393</v>
      </c>
      <c r="D18" s="133">
        <v>4.0057741226151293</v>
      </c>
      <c r="E18" s="133">
        <v>2.6047227856638502</v>
      </c>
      <c r="F18" s="133">
        <v>1.1914377809472674</v>
      </c>
      <c r="G18" s="133">
        <v>5.4028506230566702</v>
      </c>
      <c r="H18" s="133">
        <v>8.8887318257181285</v>
      </c>
      <c r="I18" s="133">
        <v>9.6440275535963238</v>
      </c>
      <c r="J18" s="133">
        <v>5.8882088360882303</v>
      </c>
      <c r="K18" s="133">
        <v>1.0553936314518597</v>
      </c>
      <c r="L18" s="133">
        <v>3.7069478168045502</v>
      </c>
      <c r="M18" s="133">
        <v>4.1072889591493578</v>
      </c>
      <c r="N18" s="133">
        <v>1.63012602832794</v>
      </c>
      <c r="O18" s="133">
        <v>0.86246344115457063</v>
      </c>
      <c r="P18" s="133">
        <v>0.83213287395309687</v>
      </c>
      <c r="Q18" s="133">
        <v>3.5756645455635199</v>
      </c>
      <c r="R18" s="133">
        <v>1.6902930292946681</v>
      </c>
      <c r="S18" s="133">
        <v>1.9678302890118882</v>
      </c>
      <c r="T18" s="133">
        <v>2.0171975071129125</v>
      </c>
      <c r="U18" s="133">
        <v>1.8153761726096482</v>
      </c>
      <c r="V18" s="133">
        <v>1.7206057609536718</v>
      </c>
      <c r="W18" s="133">
        <v>1.3673603444752429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13.829280851997062</v>
      </c>
      <c r="D19" s="131">
        <f t="shared" si="6"/>
        <v>8.8821758007017184</v>
      </c>
      <c r="E19" s="131">
        <f t="shared" si="6"/>
        <v>5.3493078362886015</v>
      </c>
      <c r="F19" s="131">
        <f t="shared" si="6"/>
        <v>2.7625191078482163</v>
      </c>
      <c r="G19" s="131">
        <f t="shared" si="6"/>
        <v>13.113375829586273</v>
      </c>
      <c r="H19" s="131">
        <f t="shared" si="6"/>
        <v>19.91629288172858</v>
      </c>
      <c r="I19" s="131">
        <f t="shared" si="6"/>
        <v>23.431420309301675</v>
      </c>
      <c r="J19" s="131">
        <f t="shared" si="6"/>
        <v>14.616725760838284</v>
      </c>
      <c r="K19" s="131">
        <f t="shared" si="6"/>
        <v>2.6025397854623757</v>
      </c>
      <c r="L19" s="131">
        <f t="shared" si="6"/>
        <v>9.5662677940248013</v>
      </c>
      <c r="M19" s="131">
        <f t="shared" si="6"/>
        <v>11.04916936054965</v>
      </c>
      <c r="N19" s="131">
        <f t="shared" si="6"/>
        <v>4.6504967991168433</v>
      </c>
      <c r="O19" s="131">
        <f t="shared" si="6"/>
        <v>2.4861334696702162</v>
      </c>
      <c r="P19" s="131">
        <f t="shared" si="6"/>
        <v>2.5583172131490644</v>
      </c>
      <c r="Q19" s="131">
        <f t="shared" si="6"/>
        <v>11.016511781371081</v>
      </c>
      <c r="R19" s="131">
        <f t="shared" ref="R19:W19" si="7">SUM(R20:R27)</f>
        <v>5.4765944077993769</v>
      </c>
      <c r="S19" s="131">
        <f t="shared" si="7"/>
        <v>6.7362866700423885</v>
      </c>
      <c r="T19" s="131">
        <f t="shared" si="7"/>
        <v>6.3036598510475654</v>
      </c>
      <c r="U19" s="131">
        <f t="shared" si="7"/>
        <v>5.9208467650488537</v>
      </c>
      <c r="V19" s="131">
        <f t="shared" si="7"/>
        <v>5.7112978326163759</v>
      </c>
      <c r="W19" s="131">
        <f t="shared" si="7"/>
        <v>5.5717957663350166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0.48276309086163299</v>
      </c>
      <c r="D22" s="133">
        <v>0.30769978322280717</v>
      </c>
      <c r="E22" s="133">
        <v>0.213496836679577</v>
      </c>
      <c r="F22" s="133">
        <v>0.13347963311276004</v>
      </c>
      <c r="G22" s="133">
        <v>0.57487197030952797</v>
      </c>
      <c r="H22" s="133">
        <v>0.85736556611061687</v>
      </c>
      <c r="I22" s="133">
        <v>1.0072848707306321</v>
      </c>
      <c r="J22" s="133">
        <v>0.69678849144285271</v>
      </c>
      <c r="K22" s="133">
        <v>0.14328658868750418</v>
      </c>
      <c r="L22" s="133">
        <v>0.42703764933253519</v>
      </c>
      <c r="M22" s="133">
        <v>0.50236650507000891</v>
      </c>
      <c r="N22" s="133">
        <v>0.23814891080390338</v>
      </c>
      <c r="O22" s="133">
        <v>0.13395854937175047</v>
      </c>
      <c r="P22" s="133">
        <v>0.14560062176204933</v>
      </c>
      <c r="Q22" s="133">
        <v>0.46536301602469504</v>
      </c>
      <c r="R22" s="133">
        <v>0.25680660730783816</v>
      </c>
      <c r="S22" s="133">
        <v>0.29209400584892953</v>
      </c>
      <c r="T22" s="133">
        <v>0.29519864354245801</v>
      </c>
      <c r="U22" s="133">
        <v>0.29570834164454873</v>
      </c>
      <c r="V22" s="133">
        <v>0.27201847489398201</v>
      </c>
      <c r="W22" s="133">
        <v>0.27873563591179412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5.567698742088572</v>
      </c>
      <c r="D23" s="133">
        <v>3.9132047713612228</v>
      </c>
      <c r="E23" s="133">
        <v>1.9656338950694463</v>
      </c>
      <c r="F23" s="133">
        <v>1.1017158451833473</v>
      </c>
      <c r="G23" s="133">
        <v>4.4782052074521337</v>
      </c>
      <c r="H23" s="133">
        <v>6.8962355038092662</v>
      </c>
      <c r="I23" s="133">
        <v>7.4895984752819187</v>
      </c>
      <c r="J23" s="133">
        <v>5.1280810240424453</v>
      </c>
      <c r="K23" s="133">
        <v>1.1474207945388344</v>
      </c>
      <c r="L23" s="133">
        <v>3.8385798969278997</v>
      </c>
      <c r="M23" s="133">
        <v>4.5032996638967777</v>
      </c>
      <c r="N23" s="133">
        <v>2.1739236092479155</v>
      </c>
      <c r="O23" s="133">
        <v>0.9689557294200426</v>
      </c>
      <c r="P23" s="133">
        <v>0.48215574104133263</v>
      </c>
      <c r="Q23" s="133">
        <v>2.6672935401817339</v>
      </c>
      <c r="R23" s="133">
        <v>2.1971114347080305</v>
      </c>
      <c r="S23" s="133">
        <v>3.0664067045818921</v>
      </c>
      <c r="T23" s="133">
        <v>1.9022389480205784</v>
      </c>
      <c r="U23" s="133">
        <v>1.0277483167316377</v>
      </c>
      <c r="V23" s="133">
        <v>1.5138973155332122E-2</v>
      </c>
      <c r="W23" s="133">
        <v>1.0863865508825137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0.64961619992155906</v>
      </c>
      <c r="D25" s="133">
        <v>0.35550672094402969</v>
      </c>
      <c r="E25" s="133">
        <v>0.21472315065603273</v>
      </c>
      <c r="F25" s="133">
        <v>0.12641501512418266</v>
      </c>
      <c r="G25" s="133">
        <v>0.61955358347138001</v>
      </c>
      <c r="H25" s="133">
        <v>1.0125096533122848</v>
      </c>
      <c r="I25" s="133">
        <v>1.2693923194902854</v>
      </c>
      <c r="J25" s="133">
        <v>0.88097025593097822</v>
      </c>
      <c r="K25" s="133">
        <v>0.20182989597117484</v>
      </c>
      <c r="L25" s="133">
        <v>0.57675395404606933</v>
      </c>
      <c r="M25" s="133">
        <v>0.59164472110322142</v>
      </c>
      <c r="N25" s="133">
        <v>0.22117600448660346</v>
      </c>
      <c r="O25" s="133">
        <v>9.2983049320078573E-2</v>
      </c>
      <c r="P25" s="133">
        <v>0</v>
      </c>
      <c r="Q25" s="133">
        <v>0.27476551129897053</v>
      </c>
      <c r="R25" s="133">
        <v>0.27173530953725233</v>
      </c>
      <c r="S25" s="133">
        <v>0.34471656711537307</v>
      </c>
      <c r="T25" s="133">
        <v>0.34035928083569378</v>
      </c>
      <c r="U25" s="133">
        <v>0.29165882454793374</v>
      </c>
      <c r="V25" s="133">
        <v>0.27696020292724027</v>
      </c>
      <c r="W25" s="133">
        <v>0.27925075515849701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6.9123725281331225</v>
      </c>
      <c r="D26" s="65">
        <v>3.7586061600170111</v>
      </c>
      <c r="E26" s="65">
        <v>2.6423964347402413</v>
      </c>
      <c r="F26" s="65">
        <v>1.0959931538168142</v>
      </c>
      <c r="G26" s="65">
        <v>6.9933857723507993</v>
      </c>
      <c r="H26" s="65">
        <v>10.794782295628615</v>
      </c>
      <c r="I26" s="65">
        <v>12.970344390276487</v>
      </c>
      <c r="J26" s="65">
        <v>7.8401912143633865</v>
      </c>
      <c r="K26" s="65">
        <v>0.61345438503229821</v>
      </c>
      <c r="L26" s="65">
        <v>4.7238962937182958</v>
      </c>
      <c r="M26" s="65">
        <v>4.7092564658558356</v>
      </c>
      <c r="N26" s="65">
        <v>1.8198535593427918</v>
      </c>
      <c r="O26" s="65">
        <v>0.90152000481984529</v>
      </c>
      <c r="P26" s="65">
        <v>1.4979825275878245</v>
      </c>
      <c r="Q26" s="65">
        <v>7.2463349212128714</v>
      </c>
      <c r="R26" s="65">
        <v>2.2697070215816399</v>
      </c>
      <c r="S26" s="65">
        <v>2.6906342279149693</v>
      </c>
      <c r="T26" s="65">
        <v>3.5181898049033173</v>
      </c>
      <c r="U26" s="65">
        <v>3.9829468166944952</v>
      </c>
      <c r="V26" s="65">
        <v>4.7225829597463678</v>
      </c>
      <c r="W26" s="65">
        <v>3.6407494491742325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0.21683029099217471</v>
      </c>
      <c r="D27" s="148">
        <v>0.5471583651566474</v>
      </c>
      <c r="E27" s="148">
        <v>0.31305751914330415</v>
      </c>
      <c r="F27" s="148">
        <v>0.30491546061111191</v>
      </c>
      <c r="G27" s="148">
        <v>0.44735929600243191</v>
      </c>
      <c r="H27" s="148">
        <v>0.3553998628677979</v>
      </c>
      <c r="I27" s="148">
        <v>0.6948002535223532</v>
      </c>
      <c r="J27" s="148">
        <v>7.0694775058620846E-2</v>
      </c>
      <c r="K27" s="148">
        <v>0.49654812123256431</v>
      </c>
      <c r="L27" s="148">
        <v>1.604506401155055E-15</v>
      </c>
      <c r="M27" s="148">
        <v>0.74260200462380721</v>
      </c>
      <c r="N27" s="148">
        <v>0.1973947152356289</v>
      </c>
      <c r="O27" s="148">
        <v>0.38871613673849914</v>
      </c>
      <c r="P27" s="148">
        <v>0.43257832275785818</v>
      </c>
      <c r="Q27" s="148">
        <v>0.36275479265280985</v>
      </c>
      <c r="R27" s="148">
        <v>0.48123403466461617</v>
      </c>
      <c r="S27" s="148">
        <v>0.34243516458122386</v>
      </c>
      <c r="T27" s="148">
        <v>0.24767317374551817</v>
      </c>
      <c r="U27" s="148">
        <v>0.32278446543023864</v>
      </c>
      <c r="V27" s="148">
        <v>0.4245972218934535</v>
      </c>
      <c r="W27" s="148">
        <v>0.28667337520797848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12.079262445205742</v>
      </c>
      <c r="D29" s="131">
        <f t="shared" si="8"/>
        <v>7.9284798929432085</v>
      </c>
      <c r="E29" s="131">
        <f t="shared" si="8"/>
        <v>4.911921147717254</v>
      </c>
      <c r="F29" s="131">
        <f t="shared" si="8"/>
        <v>2.6162600904884048</v>
      </c>
      <c r="G29" s="131">
        <f t="shared" si="8"/>
        <v>12.24991495727542</v>
      </c>
      <c r="H29" s="131">
        <f t="shared" si="8"/>
        <v>18.705173256881139</v>
      </c>
      <c r="I29" s="131">
        <f t="shared" si="8"/>
        <v>23.331712644671164</v>
      </c>
      <c r="J29" s="131">
        <f t="shared" si="8"/>
        <v>14.7037458741229</v>
      </c>
      <c r="K29" s="131">
        <f t="shared" si="8"/>
        <v>2.7781952826250995</v>
      </c>
      <c r="L29" s="131">
        <f t="shared" si="8"/>
        <v>9.8059806166768784</v>
      </c>
      <c r="M29" s="131">
        <f t="shared" si="8"/>
        <v>11.560412486691405</v>
      </c>
      <c r="N29" s="131">
        <f t="shared" si="8"/>
        <v>4.8197618222591139</v>
      </c>
      <c r="O29" s="131">
        <f t="shared" si="8"/>
        <v>2.7851487348624797</v>
      </c>
      <c r="P29" s="131">
        <f t="shared" si="8"/>
        <v>2.8589716578054976</v>
      </c>
      <c r="Q29" s="131">
        <f t="shared" si="8"/>
        <v>12.531110646885702</v>
      </c>
      <c r="R29" s="131">
        <f t="shared" ref="R29:W29" si="9">SUM(R30:R33)</f>
        <v>6.4486354750843091</v>
      </c>
      <c r="S29" s="131">
        <f t="shared" si="9"/>
        <v>7.7694820520019618</v>
      </c>
      <c r="T29" s="131">
        <f t="shared" si="9"/>
        <v>7.7389833506880468</v>
      </c>
      <c r="U29" s="131">
        <f t="shared" si="9"/>
        <v>7.3407890767620136</v>
      </c>
      <c r="V29" s="131">
        <f t="shared" si="9"/>
        <v>7.1514718225862772</v>
      </c>
      <c r="W29" s="131">
        <f t="shared" si="9"/>
        <v>7.3236156275451485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1.4662004152253818</v>
      </c>
      <c r="D30" s="133">
        <v>0.91924259235515215</v>
      </c>
      <c r="E30" s="133">
        <v>0.40036576795646345</v>
      </c>
      <c r="F30" s="133">
        <v>0.33109945462950302</v>
      </c>
      <c r="G30" s="133">
        <v>0.75337318695474675</v>
      </c>
      <c r="H30" s="133">
        <v>1.182237930354197</v>
      </c>
      <c r="I30" s="133">
        <v>0</v>
      </c>
      <c r="J30" s="133">
        <v>0</v>
      </c>
      <c r="K30" s="133">
        <v>0.25652069646890341</v>
      </c>
      <c r="L30" s="133">
        <v>1.2728489433465036</v>
      </c>
      <c r="M30" s="133">
        <v>0</v>
      </c>
      <c r="N30" s="133">
        <v>0.11175090903743619</v>
      </c>
      <c r="O30" s="133">
        <v>0.12319820971257421</v>
      </c>
      <c r="P30" s="133">
        <v>6.1478150226718688E-2</v>
      </c>
      <c r="Q30" s="133">
        <v>1.4855476769564999</v>
      </c>
      <c r="R30" s="133">
        <v>1.1309869974745985</v>
      </c>
      <c r="S30" s="133">
        <v>1.6987923705071171</v>
      </c>
      <c r="T30" s="133">
        <v>1.9666125321847177</v>
      </c>
      <c r="U30" s="133">
        <v>1.2064004971892306</v>
      </c>
      <c r="V30" s="133">
        <v>0.40092107966659241</v>
      </c>
      <c r="W30" s="133">
        <v>0.44804184394803381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4.1566809640591718</v>
      </c>
      <c r="D31" s="133">
        <v>2.9037490018363847</v>
      </c>
      <c r="E31" s="133">
        <v>1.9543242339954776</v>
      </c>
      <c r="F31" s="133">
        <v>0.94682010428609853</v>
      </c>
      <c r="G31" s="133">
        <v>4.3625881057432458</v>
      </c>
      <c r="H31" s="133">
        <v>6.4620706441821714</v>
      </c>
      <c r="I31" s="133">
        <v>10.094306960891275</v>
      </c>
      <c r="J31" s="133">
        <v>6.1402933092597003</v>
      </c>
      <c r="K31" s="133">
        <v>0.97588446152199604</v>
      </c>
      <c r="L31" s="133">
        <v>2.6193657769127854</v>
      </c>
      <c r="M31" s="133">
        <v>4.3785612414568975</v>
      </c>
      <c r="N31" s="133">
        <v>1.825608701893944</v>
      </c>
      <c r="O31" s="133">
        <v>1.0817020641161939</v>
      </c>
      <c r="P31" s="133">
        <v>1.2638940928311528</v>
      </c>
      <c r="Q31" s="133">
        <v>2.1188144616435665</v>
      </c>
      <c r="R31" s="133">
        <v>1.2592088975879063</v>
      </c>
      <c r="S31" s="133">
        <v>1.0626573006032294</v>
      </c>
      <c r="T31" s="133">
        <v>0.8973393236102295</v>
      </c>
      <c r="U31" s="133">
        <v>1.1001999861460574</v>
      </c>
      <c r="V31" s="133">
        <v>2.1705460934733338</v>
      </c>
      <c r="W31" s="133">
        <v>2.6011879471679475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6.4563810659211889</v>
      </c>
      <c r="D33" s="68">
        <v>4.1054882987516716</v>
      </c>
      <c r="E33" s="68">
        <v>2.557231145765313</v>
      </c>
      <c r="F33" s="68">
        <v>1.3383405315728034</v>
      </c>
      <c r="G33" s="68">
        <v>7.1339536645774277</v>
      </c>
      <c r="H33" s="68">
        <v>11.06086468234477</v>
      </c>
      <c r="I33" s="68">
        <v>13.237405683779887</v>
      </c>
      <c r="J33" s="68">
        <v>8.5634525648631996</v>
      </c>
      <c r="K33" s="68">
        <v>1.5457901246342001</v>
      </c>
      <c r="L33" s="68">
        <v>5.9137658964175897</v>
      </c>
      <c r="M33" s="68">
        <v>7.1818512452345065</v>
      </c>
      <c r="N33" s="68">
        <v>2.8824022113277339</v>
      </c>
      <c r="O33" s="68">
        <v>1.580248461033712</v>
      </c>
      <c r="P33" s="68">
        <v>1.5335994147476262</v>
      </c>
      <c r="Q33" s="68">
        <v>8.9267485082856357</v>
      </c>
      <c r="R33" s="68">
        <v>4.0584395800218047</v>
      </c>
      <c r="S33" s="68">
        <v>5.0080323808916152</v>
      </c>
      <c r="T33" s="68">
        <v>4.8750314948930997</v>
      </c>
      <c r="U33" s="68">
        <v>5.0341885934267259</v>
      </c>
      <c r="V33" s="68">
        <v>4.5800046494463516</v>
      </c>
      <c r="W33" s="68">
        <v>4.2743858364291674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81.171168749244686</v>
      </c>
      <c r="D3" s="126">
        <f t="shared" si="0"/>
        <v>52.601611804488641</v>
      </c>
      <c r="E3" s="126">
        <f t="shared" si="0"/>
        <v>33.765412570882596</v>
      </c>
      <c r="F3" s="126">
        <f t="shared" si="0"/>
        <v>18.354892460684901</v>
      </c>
      <c r="G3" s="126">
        <f t="shared" si="0"/>
        <v>81.972597171026337</v>
      </c>
      <c r="H3" s="126">
        <f t="shared" si="0"/>
        <v>128.56331778973185</v>
      </c>
      <c r="I3" s="126">
        <f t="shared" si="0"/>
        <v>146.09940937095553</v>
      </c>
      <c r="J3" s="126">
        <f t="shared" si="0"/>
        <v>94.087543647661235</v>
      </c>
      <c r="K3" s="126">
        <f t="shared" si="0"/>
        <v>18.006831452458755</v>
      </c>
      <c r="L3" s="126">
        <f t="shared" si="0"/>
        <v>68.101743809530717</v>
      </c>
      <c r="M3" s="126">
        <f t="shared" si="0"/>
        <v>70.322709500115437</v>
      </c>
      <c r="N3" s="126">
        <f t="shared" si="0"/>
        <v>30.599571902198509</v>
      </c>
      <c r="O3" s="126">
        <f t="shared" si="0"/>
        <v>17.103450673235955</v>
      </c>
      <c r="P3" s="126">
        <f t="shared" si="0"/>
        <v>15.513354179253021</v>
      </c>
      <c r="Q3" s="126">
        <f t="shared" si="0"/>
        <v>69.430366589451452</v>
      </c>
      <c r="R3" s="126">
        <f t="shared" ref="R3:W3" si="1">SUM(R4,R16,R19,R29)</f>
        <v>34.248537935863169</v>
      </c>
      <c r="S3" s="126">
        <f t="shared" si="1"/>
        <v>41.798692408193467</v>
      </c>
      <c r="T3" s="126">
        <f t="shared" si="1"/>
        <v>39.813800568768713</v>
      </c>
      <c r="U3" s="126">
        <f t="shared" si="1"/>
        <v>36.263149725624835</v>
      </c>
      <c r="V3" s="126">
        <f t="shared" si="1"/>
        <v>33.025875997511221</v>
      </c>
      <c r="W3" s="126">
        <f t="shared" si="1"/>
        <v>29.59642693929921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45.965667932942544</v>
      </c>
      <c r="D4" s="131">
        <f t="shared" si="2"/>
        <v>29.816205965291793</v>
      </c>
      <c r="E4" s="131">
        <f t="shared" si="2"/>
        <v>19.136221010597151</v>
      </c>
      <c r="F4" s="131">
        <f t="shared" si="2"/>
        <v>11.01052858890886</v>
      </c>
      <c r="G4" s="131">
        <f t="shared" si="2"/>
        <v>47.413739338013293</v>
      </c>
      <c r="H4" s="131">
        <f t="shared" si="2"/>
        <v>73.024204038290065</v>
      </c>
      <c r="I4" s="131">
        <f t="shared" si="2"/>
        <v>81.173920924076668</v>
      </c>
      <c r="J4" s="131">
        <f t="shared" si="2"/>
        <v>53.293502923975389</v>
      </c>
      <c r="K4" s="131">
        <f t="shared" si="2"/>
        <v>10.397729733046365</v>
      </c>
      <c r="L4" s="131">
        <f t="shared" si="2"/>
        <v>40.875728788796494</v>
      </c>
      <c r="M4" s="131">
        <f t="shared" si="2"/>
        <v>38.463922784258791</v>
      </c>
      <c r="N4" s="131">
        <f t="shared" si="2"/>
        <v>17.314451177909827</v>
      </c>
      <c r="O4" s="131">
        <f t="shared" si="2"/>
        <v>9.6058950112860053</v>
      </c>
      <c r="P4" s="131">
        <f t="shared" si="2"/>
        <v>7.7600395611111157</v>
      </c>
      <c r="Q4" s="131">
        <f t="shared" si="2"/>
        <v>34.655797375658366</v>
      </c>
      <c r="R4" s="131">
        <f t="shared" ref="R4:W4" si="3">SUM(R5:R15)</f>
        <v>16.971831217205995</v>
      </c>
      <c r="S4" s="131">
        <f t="shared" si="3"/>
        <v>20.928760702438332</v>
      </c>
      <c r="T4" s="131">
        <f t="shared" si="3"/>
        <v>18.887210283378256</v>
      </c>
      <c r="U4" s="131">
        <f t="shared" si="3"/>
        <v>16.461251210829332</v>
      </c>
      <c r="V4" s="131">
        <f t="shared" si="3"/>
        <v>13.727498805890907</v>
      </c>
      <c r="W4" s="131">
        <f t="shared" si="3"/>
        <v>12.153107051931293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3.5563151345417848E-3</v>
      </c>
      <c r="D5" s="133">
        <v>9.2058878499924994E-3</v>
      </c>
      <c r="E5" s="133">
        <v>1.3468186352186842E-2</v>
      </c>
      <c r="F5" s="133">
        <v>8.0657893527887265E-4</v>
      </c>
      <c r="G5" s="133">
        <v>4.4482699513662884E-2</v>
      </c>
      <c r="H5" s="133">
        <v>6.0243042581152477E-2</v>
      </c>
      <c r="I5" s="133">
        <v>0.19666683347661093</v>
      </c>
      <c r="J5" s="133">
        <v>0.11411571596002872</v>
      </c>
      <c r="K5" s="133">
        <v>1.7238086031689036E-2</v>
      </c>
      <c r="L5" s="133">
        <v>1.5571094298122092E-2</v>
      </c>
      <c r="M5" s="133">
        <v>1.1367212316154824E-2</v>
      </c>
      <c r="N5" s="133">
        <v>6.3932151086028644E-3</v>
      </c>
      <c r="O5" s="133">
        <v>3.9385577195335097E-3</v>
      </c>
      <c r="P5" s="133">
        <v>3.7827527956767562E-3</v>
      </c>
      <c r="Q5" s="133">
        <v>0.11145691724930976</v>
      </c>
      <c r="R5" s="133">
        <v>9.2742248240794786E-2</v>
      </c>
      <c r="S5" s="133">
        <v>3.5950511084361245E-2</v>
      </c>
      <c r="T5" s="133">
        <v>2.1293873268051359E-3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1.0739567643827084</v>
      </c>
      <c r="D7" s="133">
        <v>0.99313526558204679</v>
      </c>
      <c r="E7" s="133">
        <v>0.59507669685230502</v>
      </c>
      <c r="F7" s="133">
        <v>0.47112407552977675</v>
      </c>
      <c r="G7" s="133">
        <v>2.1680521684621916</v>
      </c>
      <c r="H7" s="133">
        <v>3.4741441765906758</v>
      </c>
      <c r="I7" s="133">
        <v>4.7334375660256347</v>
      </c>
      <c r="J7" s="133">
        <v>1.9182880668133864</v>
      </c>
      <c r="K7" s="133">
        <v>0.47309287868309369</v>
      </c>
      <c r="L7" s="133">
        <v>2.1698753479980004</v>
      </c>
      <c r="M7" s="133">
        <v>2.6947910444468</v>
      </c>
      <c r="N7" s="133">
        <v>0.94837506856149301</v>
      </c>
      <c r="O7" s="133">
        <v>0.60422426418444564</v>
      </c>
      <c r="P7" s="133">
        <v>0.30341516967454374</v>
      </c>
      <c r="Q7" s="133">
        <v>1.3758504579210242</v>
      </c>
      <c r="R7" s="133">
        <v>0.31390660013838512</v>
      </c>
      <c r="S7" s="133">
        <v>0.79779673817193364</v>
      </c>
      <c r="T7" s="133">
        <v>0.813451755599638</v>
      </c>
      <c r="U7" s="133">
        <v>1.1933876962196661</v>
      </c>
      <c r="V7" s="133">
        <v>0.79697773100828495</v>
      </c>
      <c r="W7" s="133">
        <v>0.55166636355266063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1.7366950494571574E-2</v>
      </c>
      <c r="D8" s="133">
        <v>1.5360666782639518E-2</v>
      </c>
      <c r="E8" s="133">
        <v>1.3155462559984553E-2</v>
      </c>
      <c r="F8" s="133">
        <v>6.1982051006451051E-3</v>
      </c>
      <c r="G8" s="133">
        <v>3.1662955405663842E-2</v>
      </c>
      <c r="H8" s="133">
        <v>5.0744336945708492E-2</v>
      </c>
      <c r="I8" s="133">
        <v>8.8307737820598087E-2</v>
      </c>
      <c r="J8" s="133">
        <v>4.9035019123854801E-2</v>
      </c>
      <c r="K8" s="133">
        <v>1.3594642887922842E-2</v>
      </c>
      <c r="L8" s="133">
        <v>4.191695013945667E-2</v>
      </c>
      <c r="M8" s="133">
        <v>7.1297883175036825E-2</v>
      </c>
      <c r="N8" s="133">
        <v>3.001655277907405E-2</v>
      </c>
      <c r="O8" s="133">
        <v>2.8412570264762158E-2</v>
      </c>
      <c r="P8" s="133">
        <v>9.2673713295221255E-2</v>
      </c>
      <c r="Q8" s="133">
        <v>0.24400964432175126</v>
      </c>
      <c r="R8" s="133">
        <v>8.4200583898726533E-2</v>
      </c>
      <c r="S8" s="133">
        <v>4.2488135480920501E-2</v>
      </c>
      <c r="T8" s="133">
        <v>5.1215196062248183E-2</v>
      </c>
      <c r="U8" s="133">
        <v>6.3677821943328564E-2</v>
      </c>
      <c r="V8" s="133">
        <v>6.994363035752979E-2</v>
      </c>
      <c r="W8" s="133">
        <v>5.1297941400420412E-2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29.025289922990499</v>
      </c>
      <c r="D9" s="133">
        <v>17.811688115423458</v>
      </c>
      <c r="E9" s="133">
        <v>12.569587001628539</v>
      </c>
      <c r="F9" s="133">
        <v>7.6675021735488453</v>
      </c>
      <c r="G9" s="133">
        <v>29.869541977776581</v>
      </c>
      <c r="H9" s="133">
        <v>47.028199254661295</v>
      </c>
      <c r="I9" s="133">
        <v>50.144803492994257</v>
      </c>
      <c r="J9" s="133">
        <v>38.777089693880399</v>
      </c>
      <c r="K9" s="133">
        <v>7.3098184429380755</v>
      </c>
      <c r="L9" s="133">
        <v>34.273903721128214</v>
      </c>
      <c r="M9" s="133">
        <v>27.226350024200229</v>
      </c>
      <c r="N9" s="133">
        <v>13.958067469573637</v>
      </c>
      <c r="O9" s="133">
        <v>7.3786566521479608</v>
      </c>
      <c r="P9" s="133">
        <v>5.3018602872141951</v>
      </c>
      <c r="Q9" s="133">
        <v>26.072723292111551</v>
      </c>
      <c r="R9" s="133">
        <v>11.445989412237077</v>
      </c>
      <c r="S9" s="133">
        <v>10.566379824708378</v>
      </c>
      <c r="T9" s="133">
        <v>9.4950683555951514</v>
      </c>
      <c r="U9" s="133">
        <v>8.6586614694649278</v>
      </c>
      <c r="V9" s="133">
        <v>8.1276113581047209</v>
      </c>
      <c r="W9" s="133">
        <v>8.0206357667739852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1.4822877328310522</v>
      </c>
      <c r="D10" s="133">
        <v>0.45823681856935766</v>
      </c>
      <c r="E10" s="133">
        <v>0.25657226767801744</v>
      </c>
      <c r="F10" s="133">
        <v>0.22758584303497581</v>
      </c>
      <c r="G10" s="133">
        <v>1.3818443084159489</v>
      </c>
      <c r="H10" s="133">
        <v>2.7528081176134123</v>
      </c>
      <c r="I10" s="133">
        <v>2.886753044978529</v>
      </c>
      <c r="J10" s="133">
        <v>1.6889349121348853</v>
      </c>
      <c r="K10" s="133">
        <v>0.14574916593401985</v>
      </c>
      <c r="L10" s="133">
        <v>0.39810015833894524</v>
      </c>
      <c r="M10" s="133">
        <v>0.6125387588047746</v>
      </c>
      <c r="N10" s="133">
        <v>0.26543200359351787</v>
      </c>
      <c r="O10" s="133">
        <v>0.20442805446411963</v>
      </c>
      <c r="P10" s="133">
        <v>0.39224581578284756</v>
      </c>
      <c r="Q10" s="133">
        <v>0.77282721138624377</v>
      </c>
      <c r="R10" s="133">
        <v>0.67708253038822264</v>
      </c>
      <c r="S10" s="133">
        <v>1.222744706162624</v>
      </c>
      <c r="T10" s="133">
        <v>1.1709764626616703</v>
      </c>
      <c r="U10" s="133">
        <v>0.83256738958345966</v>
      </c>
      <c r="V10" s="133">
        <v>0.65515943006890021</v>
      </c>
      <c r="W10" s="133">
        <v>0.43163669544490935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5.8772011809524312</v>
      </c>
      <c r="D12" s="133">
        <v>4.6085462563380961</v>
      </c>
      <c r="E12" s="133">
        <v>1.0865414719459443</v>
      </c>
      <c r="F12" s="133">
        <v>0</v>
      </c>
      <c r="G12" s="133">
        <v>1.3229071339756846</v>
      </c>
      <c r="H12" s="133">
        <v>4.6177124384123758</v>
      </c>
      <c r="I12" s="133">
        <v>8.1248341510389377</v>
      </c>
      <c r="J12" s="133">
        <v>3.7743929813106232</v>
      </c>
      <c r="K12" s="133">
        <v>1.0120224128531368</v>
      </c>
      <c r="L12" s="133">
        <v>0.67175360144689766</v>
      </c>
      <c r="M12" s="133">
        <v>0</v>
      </c>
      <c r="N12" s="133">
        <v>0</v>
      </c>
      <c r="O12" s="133">
        <v>0</v>
      </c>
      <c r="P12" s="133">
        <v>0</v>
      </c>
      <c r="Q12" s="133">
        <v>2.0181216819794727</v>
      </c>
      <c r="R12" s="133">
        <v>1.7313387881616806</v>
      </c>
      <c r="S12" s="133">
        <v>3.0536884581335153</v>
      </c>
      <c r="T12" s="133">
        <v>1.7668485146256334</v>
      </c>
      <c r="U12" s="133">
        <v>1.8947234937297286</v>
      </c>
      <c r="V12" s="133">
        <v>0.99852493049243829</v>
      </c>
      <c r="W12" s="133">
        <v>0.36902297280354329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0.32345940726039712</v>
      </c>
      <c r="D13" s="133">
        <v>0.36267257345478837</v>
      </c>
      <c r="E13" s="133">
        <v>0.27715068305154045</v>
      </c>
      <c r="F13" s="133">
        <v>0.25521104684096246</v>
      </c>
      <c r="G13" s="133">
        <v>1.4255229082596708</v>
      </c>
      <c r="H13" s="133">
        <v>2.1226742517660391</v>
      </c>
      <c r="I13" s="133">
        <v>3.0174650219871739</v>
      </c>
      <c r="J13" s="133">
        <v>2.0157806783903909</v>
      </c>
      <c r="K13" s="133">
        <v>0.52340216348820534</v>
      </c>
      <c r="L13" s="133">
        <v>1.58623131418966</v>
      </c>
      <c r="M13" s="133">
        <v>2.2898404049046093</v>
      </c>
      <c r="N13" s="133">
        <v>0.89779915034068891</v>
      </c>
      <c r="O13" s="133">
        <v>0.70670701828913274</v>
      </c>
      <c r="P13" s="133">
        <v>1.5707483660634476</v>
      </c>
      <c r="Q13" s="133">
        <v>3.5991034789807834</v>
      </c>
      <c r="R13" s="133">
        <v>1.9159964309994439</v>
      </c>
      <c r="S13" s="133">
        <v>1.808956151993891</v>
      </c>
      <c r="T13" s="133">
        <v>2.251875473345073</v>
      </c>
      <c r="U13" s="133">
        <v>2.2768076636673351</v>
      </c>
      <c r="V13" s="133">
        <v>2.2863893135187983</v>
      </c>
      <c r="W13" s="133">
        <v>1.0997714715589755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7.5295600388886355</v>
      </c>
      <c r="D14" s="65">
        <v>5.170025541885888</v>
      </c>
      <c r="E14" s="65">
        <v>4.0690192304575712</v>
      </c>
      <c r="F14" s="65">
        <v>2.229420368681875</v>
      </c>
      <c r="G14" s="65">
        <v>10.567474023835343</v>
      </c>
      <c r="H14" s="65">
        <v>11.967401012415614</v>
      </c>
      <c r="I14" s="65">
        <v>10.951532678779621</v>
      </c>
      <c r="J14" s="65">
        <v>4.2162095172334064</v>
      </c>
      <c r="K14" s="65">
        <v>0.76348839924434209</v>
      </c>
      <c r="L14" s="65">
        <v>1.0936552595565228</v>
      </c>
      <c r="M14" s="65">
        <v>5.0499280271121982</v>
      </c>
      <c r="N14" s="65">
        <v>0.9581064012456143</v>
      </c>
      <c r="O14" s="65">
        <v>0.54607427466094571</v>
      </c>
      <c r="P14" s="65">
        <v>0</v>
      </c>
      <c r="Q14" s="65">
        <v>0</v>
      </c>
      <c r="R14" s="65">
        <v>0.50758047758290492</v>
      </c>
      <c r="S14" s="65">
        <v>3.1961630863780477</v>
      </c>
      <c r="T14" s="65">
        <v>3.1546881981155659</v>
      </c>
      <c r="U14" s="65">
        <v>1.3703672023949254</v>
      </c>
      <c r="V14" s="65">
        <v>0.64214273408660216</v>
      </c>
      <c r="W14" s="65">
        <v>1.4870918457921301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0.63298962000770997</v>
      </c>
      <c r="D15" s="135">
        <v>0.38733483940553021</v>
      </c>
      <c r="E15" s="135">
        <v>0.25565001007106153</v>
      </c>
      <c r="F15" s="135">
        <v>0.15268029723650076</v>
      </c>
      <c r="G15" s="135">
        <v>0.60225116236854526</v>
      </c>
      <c r="H15" s="135">
        <v>0.95027740730379373</v>
      </c>
      <c r="I15" s="135">
        <v>1.0301203969753265</v>
      </c>
      <c r="J15" s="135">
        <v>0.73965633912840811</v>
      </c>
      <c r="K15" s="135">
        <v>0.13932354098588162</v>
      </c>
      <c r="L15" s="135">
        <v>0.6247213417006795</v>
      </c>
      <c r="M15" s="135">
        <v>0.50780942929897965</v>
      </c>
      <c r="N15" s="135">
        <v>0.25026131670720086</v>
      </c>
      <c r="O15" s="135">
        <v>0.13345361955510412</v>
      </c>
      <c r="P15" s="135">
        <v>9.5313456285184991E-2</v>
      </c>
      <c r="Q15" s="135">
        <v>0.46170469170823408</v>
      </c>
      <c r="R15" s="135">
        <v>0.20299414555876</v>
      </c>
      <c r="S15" s="135">
        <v>0.20459309032466422</v>
      </c>
      <c r="T15" s="135">
        <v>0.18095694004646731</v>
      </c>
      <c r="U15" s="135">
        <v>0.17105847382596137</v>
      </c>
      <c r="V15" s="135">
        <v>0.15074967825362989</v>
      </c>
      <c r="W15" s="135">
        <v>0.14198399460466923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16.756160038537953</v>
      </c>
      <c r="D16" s="131">
        <f t="shared" si="4"/>
        <v>10.742105350379063</v>
      </c>
      <c r="E16" s="131">
        <f t="shared" si="4"/>
        <v>7.2229132894291039</v>
      </c>
      <c r="F16" s="131">
        <f t="shared" si="4"/>
        <v>3.4299359105499994</v>
      </c>
      <c r="G16" s="131">
        <f t="shared" si="4"/>
        <v>16.034157142186274</v>
      </c>
      <c r="H16" s="131">
        <f t="shared" si="4"/>
        <v>27.279633452871884</v>
      </c>
      <c r="I16" s="131">
        <f t="shared" si="4"/>
        <v>30.572857283611672</v>
      </c>
      <c r="J16" s="131">
        <f t="shared" si="4"/>
        <v>19.254442276097187</v>
      </c>
      <c r="K16" s="131">
        <f t="shared" si="4"/>
        <v>3.5583364835033757</v>
      </c>
      <c r="L16" s="131">
        <f t="shared" si="4"/>
        <v>12.880869296482443</v>
      </c>
      <c r="M16" s="131">
        <f t="shared" si="4"/>
        <v>14.802707068064816</v>
      </c>
      <c r="N16" s="131">
        <f t="shared" si="4"/>
        <v>6.1399906203822932</v>
      </c>
      <c r="O16" s="131">
        <f t="shared" si="4"/>
        <v>3.426629666112385</v>
      </c>
      <c r="P16" s="131">
        <f t="shared" si="4"/>
        <v>3.5054373938826631</v>
      </c>
      <c r="Q16" s="131">
        <f t="shared" si="4"/>
        <v>15.78627305804403</v>
      </c>
      <c r="R16" s="131">
        <f t="shared" ref="R16:W16" si="5">SUM(R17:R18)</f>
        <v>7.6610054550640818</v>
      </c>
      <c r="S16" s="131">
        <f t="shared" si="5"/>
        <v>9.0331902441876721</v>
      </c>
      <c r="T16" s="131">
        <f t="shared" si="5"/>
        <v>9.3372933572318146</v>
      </c>
      <c r="U16" s="131">
        <f t="shared" si="5"/>
        <v>8.5818196517784386</v>
      </c>
      <c r="V16" s="131">
        <f t="shared" si="5"/>
        <v>8.3183609040586024</v>
      </c>
      <c r="W16" s="131">
        <f t="shared" si="5"/>
        <v>6.5598576122364518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4.7696609365454834E-2</v>
      </c>
      <c r="D17" s="133">
        <v>4.5989595506046171E-2</v>
      </c>
      <c r="E17" s="133">
        <v>2.2516985240728631E-2</v>
      </c>
      <c r="F17" s="133">
        <v>2.4031822809271838E-2</v>
      </c>
      <c r="G17" s="133">
        <v>7.5028303697589199E-2</v>
      </c>
      <c r="H17" s="133">
        <v>0.17066380246911447</v>
      </c>
      <c r="I17" s="133">
        <v>0.22527211870806887</v>
      </c>
      <c r="J17" s="133">
        <v>0.14418161477400271</v>
      </c>
      <c r="K17" s="133">
        <v>2.6256710120616394E-2</v>
      </c>
      <c r="L17" s="133">
        <v>9.0111710512003826E-2</v>
      </c>
      <c r="M17" s="133">
        <v>0.12141942605836605</v>
      </c>
      <c r="N17" s="133">
        <v>6.8848499610289438E-2</v>
      </c>
      <c r="O17" s="133">
        <v>6.0144471174054741E-2</v>
      </c>
      <c r="P17" s="133">
        <v>9.5809794050668709E-2</v>
      </c>
      <c r="Q17" s="133">
        <v>0.53864390946867702</v>
      </c>
      <c r="R17" s="133">
        <v>0.27622337165383704</v>
      </c>
      <c r="S17" s="133">
        <v>0.27194083288626525</v>
      </c>
      <c r="T17" s="133">
        <v>0.21584784630468615</v>
      </c>
      <c r="U17" s="133">
        <v>0.25794869295333039</v>
      </c>
      <c r="V17" s="133">
        <v>0.31786944037331993</v>
      </c>
      <c r="W17" s="133">
        <v>0.11540416670231625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16.708463429172497</v>
      </c>
      <c r="D18" s="133">
        <v>10.696115754873016</v>
      </c>
      <c r="E18" s="133">
        <v>7.2003963041883754</v>
      </c>
      <c r="F18" s="133">
        <v>3.4059040877407276</v>
      </c>
      <c r="G18" s="133">
        <v>15.959128838488686</v>
      </c>
      <c r="H18" s="133">
        <v>27.10896965040277</v>
      </c>
      <c r="I18" s="133">
        <v>30.347585164903602</v>
      </c>
      <c r="J18" s="133">
        <v>19.110260661323185</v>
      </c>
      <c r="K18" s="133">
        <v>3.5320797733827591</v>
      </c>
      <c r="L18" s="133">
        <v>12.790757585970439</v>
      </c>
      <c r="M18" s="133">
        <v>14.681287642006449</v>
      </c>
      <c r="N18" s="133">
        <v>6.071142120772004</v>
      </c>
      <c r="O18" s="133">
        <v>3.3664851949383303</v>
      </c>
      <c r="P18" s="133">
        <v>3.4096275998319943</v>
      </c>
      <c r="Q18" s="133">
        <v>15.247629148575353</v>
      </c>
      <c r="R18" s="133">
        <v>7.3847820834102444</v>
      </c>
      <c r="S18" s="133">
        <v>8.7612494113014066</v>
      </c>
      <c r="T18" s="133">
        <v>9.1214455109271277</v>
      </c>
      <c r="U18" s="133">
        <v>8.3238709588251076</v>
      </c>
      <c r="V18" s="133">
        <v>8.0004914636852824</v>
      </c>
      <c r="W18" s="133">
        <v>6.4444534455341351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9.8329230571655923</v>
      </c>
      <c r="D19" s="131">
        <f t="shared" si="6"/>
        <v>6.4074312472644195</v>
      </c>
      <c r="E19" s="131">
        <f t="shared" si="6"/>
        <v>3.9078596007956072</v>
      </c>
      <c r="F19" s="131">
        <f t="shared" si="6"/>
        <v>2.0541946841455672</v>
      </c>
      <c r="G19" s="131">
        <f t="shared" si="6"/>
        <v>9.6334745908031536</v>
      </c>
      <c r="H19" s="131">
        <f t="shared" si="6"/>
        <v>14.635155414007723</v>
      </c>
      <c r="I19" s="131">
        <f t="shared" si="6"/>
        <v>17.442387875226366</v>
      </c>
      <c r="J19" s="131">
        <f t="shared" si="6"/>
        <v>10.826455149297237</v>
      </c>
      <c r="K19" s="131">
        <f t="shared" si="6"/>
        <v>2.0395083418434474</v>
      </c>
      <c r="L19" s="131">
        <f t="shared" si="6"/>
        <v>7.1476619107589432</v>
      </c>
      <c r="M19" s="131">
        <f t="shared" si="6"/>
        <v>8.5072728962417479</v>
      </c>
      <c r="N19" s="131">
        <f t="shared" si="6"/>
        <v>3.5966344612770511</v>
      </c>
      <c r="O19" s="131">
        <f t="shared" si="6"/>
        <v>2.0325836165638895</v>
      </c>
      <c r="P19" s="131">
        <f t="shared" si="6"/>
        <v>2.1665912578423141</v>
      </c>
      <c r="Q19" s="131">
        <f t="shared" si="6"/>
        <v>9.3539190431503858</v>
      </c>
      <c r="R19" s="131">
        <f t="shared" ref="R19:W19" si="7">SUM(R20:R27)</f>
        <v>4.741333417195567</v>
      </c>
      <c r="S19" s="131">
        <f t="shared" si="7"/>
        <v>5.8857142908636808</v>
      </c>
      <c r="T19" s="131">
        <f t="shared" si="7"/>
        <v>5.6330035247505617</v>
      </c>
      <c r="U19" s="131">
        <f t="shared" si="7"/>
        <v>5.4118725029315087</v>
      </c>
      <c r="V19" s="131">
        <f t="shared" si="7"/>
        <v>5.3518207324521567</v>
      </c>
      <c r="W19" s="131">
        <f t="shared" si="7"/>
        <v>5.1928231545052057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0.28521602450820255</v>
      </c>
      <c r="D22" s="133">
        <v>0.18237672695800072</v>
      </c>
      <c r="E22" s="133">
        <v>0.12701718810811585</v>
      </c>
      <c r="F22" s="133">
        <v>7.9715020020582728E-2</v>
      </c>
      <c r="G22" s="133">
        <v>0.34479035761856336</v>
      </c>
      <c r="H22" s="133">
        <v>0.51664118039262008</v>
      </c>
      <c r="I22" s="133">
        <v>0.61014880066584953</v>
      </c>
      <c r="J22" s="133">
        <v>0.42466005790053962</v>
      </c>
      <c r="K22" s="133">
        <v>8.7971683441973786E-2</v>
      </c>
      <c r="L22" s="133">
        <v>0.26446509900303267</v>
      </c>
      <c r="M22" s="133">
        <v>0.31676434332775488</v>
      </c>
      <c r="N22" s="133">
        <v>0.15462738548304891</v>
      </c>
      <c r="O22" s="133">
        <v>9.0673043582016638E-2</v>
      </c>
      <c r="P22" s="133">
        <v>0.10344709281351298</v>
      </c>
      <c r="Q22" s="133">
        <v>0.34483526913901608</v>
      </c>
      <c r="R22" s="133">
        <v>0.19558347957265068</v>
      </c>
      <c r="S22" s="133">
        <v>0.22825538958990615</v>
      </c>
      <c r="T22" s="133">
        <v>0.23598748858614835</v>
      </c>
      <c r="U22" s="133">
        <v>0.24082424856737822</v>
      </c>
      <c r="V22" s="133">
        <v>0.22448525204172395</v>
      </c>
      <c r="W22" s="133">
        <v>0.23145246865464317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3.5874377508088915</v>
      </c>
      <c r="D23" s="133">
        <v>2.5439729287073791</v>
      </c>
      <c r="E23" s="133">
        <v>1.2896882565516283</v>
      </c>
      <c r="F23" s="133">
        <v>0.72954027400546706</v>
      </c>
      <c r="G23" s="133">
        <v>2.9935927183785846</v>
      </c>
      <c r="H23" s="133">
        <v>4.6548132288268711</v>
      </c>
      <c r="I23" s="133">
        <v>5.10582760147049</v>
      </c>
      <c r="J23" s="133">
        <v>3.5326723157087137</v>
      </c>
      <c r="K23" s="133">
        <v>0.7993184821790642</v>
      </c>
      <c r="L23" s="133">
        <v>2.7060423734961399</v>
      </c>
      <c r="M23" s="133">
        <v>3.231421057852506</v>
      </c>
      <c r="N23" s="133">
        <v>1.5990846527231599</v>
      </c>
      <c r="O23" s="133">
        <v>0.7362287546367543</v>
      </c>
      <c r="P23" s="133">
        <v>0.37995096400170519</v>
      </c>
      <c r="Q23" s="133">
        <v>2.1687559306345272</v>
      </c>
      <c r="R23" s="133">
        <v>1.8226675904486378</v>
      </c>
      <c r="S23" s="133">
        <v>2.5899281594135091</v>
      </c>
      <c r="T23" s="133">
        <v>1.631776015389754</v>
      </c>
      <c r="U23" s="133">
        <v>0.8928617327017192</v>
      </c>
      <c r="V23" s="133">
        <v>1.3276060034378367E-2</v>
      </c>
      <c r="W23" s="133">
        <v>0.95729469371380349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0.58555250415775884</v>
      </c>
      <c r="D25" s="133">
        <v>0.32092989587281717</v>
      </c>
      <c r="E25" s="133">
        <v>0.19413829531165336</v>
      </c>
      <c r="F25" s="133">
        <v>0.11447281092403307</v>
      </c>
      <c r="G25" s="133">
        <v>0.56191293021585642</v>
      </c>
      <c r="H25" s="133">
        <v>0.919791002711982</v>
      </c>
      <c r="I25" s="133">
        <v>1.1550541979521778</v>
      </c>
      <c r="J25" s="133">
        <v>0.80299839120306249</v>
      </c>
      <c r="K25" s="133">
        <v>0.18430106917943367</v>
      </c>
      <c r="L25" s="133">
        <v>0.52767530022106712</v>
      </c>
      <c r="M25" s="133">
        <v>0.54273656317759211</v>
      </c>
      <c r="N25" s="133">
        <v>0.20361964129944796</v>
      </c>
      <c r="O25" s="133">
        <v>8.6002590472576551E-2</v>
      </c>
      <c r="P25" s="133">
        <v>0</v>
      </c>
      <c r="Q25" s="133">
        <v>0.25681785207603258</v>
      </c>
      <c r="R25" s="133">
        <v>0.25497139103162203</v>
      </c>
      <c r="S25" s="133">
        <v>0.32466687944066297</v>
      </c>
      <c r="T25" s="133">
        <v>0.32172267308241814</v>
      </c>
      <c r="U25" s="133">
        <v>0.27664006261614205</v>
      </c>
      <c r="V25" s="133">
        <v>0.26355472681180941</v>
      </c>
      <c r="W25" s="133">
        <v>0.26652983683530101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5.1578864866985654</v>
      </c>
      <c r="D26" s="65">
        <v>2.8129933305695745</v>
      </c>
      <c r="E26" s="65">
        <v>1.9839583416809057</v>
      </c>
      <c r="F26" s="65">
        <v>0.82555111858437236</v>
      </c>
      <c r="G26" s="65">
        <v>5.2858192885877182</v>
      </c>
      <c r="H26" s="65">
        <v>8.1885101392084536</v>
      </c>
      <c r="I26" s="65">
        <v>9.8765570216154952</v>
      </c>
      <c r="J26" s="65">
        <v>5.9954296094262993</v>
      </c>
      <c r="K26" s="65">
        <v>0.47136898581041131</v>
      </c>
      <c r="L26" s="65">
        <v>3.6494791380387017</v>
      </c>
      <c r="M26" s="65">
        <v>3.6737489272600881</v>
      </c>
      <c r="N26" s="65">
        <v>1.4419080665357655</v>
      </c>
      <c r="O26" s="65">
        <v>0.73096309113404301</v>
      </c>
      <c r="P26" s="65">
        <v>1.2506148782692377</v>
      </c>
      <c r="Q26" s="65">
        <v>6.2207551986479999</v>
      </c>
      <c r="R26" s="65">
        <v>1.9868769214780404</v>
      </c>
      <c r="S26" s="65">
        <v>2.4004286978383784</v>
      </c>
      <c r="T26" s="65">
        <v>3.1958441739467234</v>
      </c>
      <c r="U26" s="65">
        <v>3.6787619936160305</v>
      </c>
      <c r="V26" s="65">
        <v>4.4259074716707918</v>
      </c>
      <c r="W26" s="65">
        <v>3.4508727800934791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0.21683029099217471</v>
      </c>
      <c r="D27" s="148">
        <v>0.5471583651566474</v>
      </c>
      <c r="E27" s="148">
        <v>0.31305751914330415</v>
      </c>
      <c r="F27" s="148">
        <v>0.30491546061111191</v>
      </c>
      <c r="G27" s="148">
        <v>0.44735929600243191</v>
      </c>
      <c r="H27" s="148">
        <v>0.3553998628677979</v>
      </c>
      <c r="I27" s="148">
        <v>0.6948002535223532</v>
      </c>
      <c r="J27" s="148">
        <v>7.0694775058620846E-2</v>
      </c>
      <c r="K27" s="148">
        <v>0.49654812123256431</v>
      </c>
      <c r="L27" s="148">
        <v>1.604506401155055E-15</v>
      </c>
      <c r="M27" s="148">
        <v>0.74260200462380721</v>
      </c>
      <c r="N27" s="148">
        <v>0.1973947152356289</v>
      </c>
      <c r="O27" s="148">
        <v>0.38871613673849914</v>
      </c>
      <c r="P27" s="148">
        <v>0.43257832275785818</v>
      </c>
      <c r="Q27" s="148">
        <v>0.36275479265280985</v>
      </c>
      <c r="R27" s="148">
        <v>0.48123403466461617</v>
      </c>
      <c r="S27" s="148">
        <v>0.34243516458122386</v>
      </c>
      <c r="T27" s="148">
        <v>0.24767317374551817</v>
      </c>
      <c r="U27" s="148">
        <v>0.32278446543023864</v>
      </c>
      <c r="V27" s="148">
        <v>0.4245972218934535</v>
      </c>
      <c r="W27" s="148">
        <v>0.28667337520797848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8.6164177205985997</v>
      </c>
      <c r="D29" s="131">
        <f t="shared" si="8"/>
        <v>5.6358692415533662</v>
      </c>
      <c r="E29" s="131">
        <f t="shared" si="8"/>
        <v>3.49841867006073</v>
      </c>
      <c r="F29" s="131">
        <f t="shared" si="8"/>
        <v>1.8602332770804761</v>
      </c>
      <c r="G29" s="131">
        <f t="shared" si="8"/>
        <v>8.891226100023621</v>
      </c>
      <c r="H29" s="131">
        <f t="shared" si="8"/>
        <v>13.624324884562178</v>
      </c>
      <c r="I29" s="131">
        <f t="shared" si="8"/>
        <v>16.91024328804081</v>
      </c>
      <c r="J29" s="131">
        <f t="shared" si="8"/>
        <v>10.713143298291428</v>
      </c>
      <c r="K29" s="131">
        <f t="shared" si="8"/>
        <v>2.0112568940655677</v>
      </c>
      <c r="L29" s="131">
        <f t="shared" si="8"/>
        <v>7.1974838134928429</v>
      </c>
      <c r="M29" s="131">
        <f t="shared" si="8"/>
        <v>8.5488067515500887</v>
      </c>
      <c r="N29" s="131">
        <f t="shared" si="8"/>
        <v>3.5484956426293373</v>
      </c>
      <c r="O29" s="131">
        <f t="shared" si="8"/>
        <v>2.0383423792736739</v>
      </c>
      <c r="P29" s="131">
        <f t="shared" si="8"/>
        <v>2.0812859664169272</v>
      </c>
      <c r="Q29" s="131">
        <f t="shared" si="8"/>
        <v>9.6343771125986724</v>
      </c>
      <c r="R29" s="131">
        <f t="shared" ref="R29:W29" si="9">SUM(R30:R33)</f>
        <v>4.8743678463975284</v>
      </c>
      <c r="S29" s="131">
        <f t="shared" si="9"/>
        <v>5.9510271707037843</v>
      </c>
      <c r="T29" s="131">
        <f t="shared" si="9"/>
        <v>5.9562934034080826</v>
      </c>
      <c r="U29" s="131">
        <f t="shared" si="9"/>
        <v>5.808206360085558</v>
      </c>
      <c r="V29" s="131">
        <f t="shared" si="9"/>
        <v>5.6281955551095502</v>
      </c>
      <c r="W29" s="131">
        <f t="shared" si="9"/>
        <v>5.6906391206262574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0.89084194902039315</v>
      </c>
      <c r="D30" s="133">
        <v>0.55875517543110353</v>
      </c>
      <c r="E30" s="133">
        <v>0.24346121403149001</v>
      </c>
      <c r="F30" s="133">
        <v>0.20142450632023612</v>
      </c>
      <c r="G30" s="133">
        <v>0.45850337344507897</v>
      </c>
      <c r="H30" s="133">
        <v>0.71980289223498217</v>
      </c>
      <c r="I30" s="133">
        <v>0</v>
      </c>
      <c r="J30" s="133">
        <v>0</v>
      </c>
      <c r="K30" s="133">
        <v>0.15636370059742027</v>
      </c>
      <c r="L30" s="133">
        <v>0.77615025558028472</v>
      </c>
      <c r="M30" s="133">
        <v>0</v>
      </c>
      <c r="N30" s="133">
        <v>6.8155924081580319E-2</v>
      </c>
      <c r="O30" s="133">
        <v>7.5137534902234723E-2</v>
      </c>
      <c r="P30" s="133">
        <v>3.7494998256565042E-2</v>
      </c>
      <c r="Q30" s="133">
        <v>0.90602282847021109</v>
      </c>
      <c r="R30" s="133">
        <v>0.69061815800431481</v>
      </c>
      <c r="S30" s="133">
        <v>1.0393993296291895</v>
      </c>
      <c r="T30" s="133">
        <v>1.2060467736762261</v>
      </c>
      <c r="U30" s="133">
        <v>0.74160639579350218</v>
      </c>
      <c r="V30" s="133">
        <v>0.24700386621243242</v>
      </c>
      <c r="W30" s="133">
        <v>0.27660059564526546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2.5395349843738195</v>
      </c>
      <c r="D31" s="133">
        <v>1.7752774167557539</v>
      </c>
      <c r="E31" s="133">
        <v>1.1956360239392982</v>
      </c>
      <c r="F31" s="133">
        <v>0.57964792919430586</v>
      </c>
      <c r="G31" s="133">
        <v>2.6725841599773452</v>
      </c>
      <c r="H31" s="133">
        <v>3.9613714976504348</v>
      </c>
      <c r="I31" s="133">
        <v>6.1920234694029324</v>
      </c>
      <c r="J31" s="133">
        <v>3.7689434308465914</v>
      </c>
      <c r="K31" s="133">
        <v>0.59936682831170252</v>
      </c>
      <c r="L31" s="133">
        <v>1.6096923968863182</v>
      </c>
      <c r="M31" s="133">
        <v>2.6916213186119635</v>
      </c>
      <c r="N31" s="133">
        <v>1.1222515868765712</v>
      </c>
      <c r="O31" s="133">
        <v>0.66495183591241624</v>
      </c>
      <c r="P31" s="133">
        <v>0.77695025766046433</v>
      </c>
      <c r="Q31" s="133">
        <v>1.302493184552457</v>
      </c>
      <c r="R31" s="133">
        <v>0.77559892342022141</v>
      </c>
      <c r="S31" s="133">
        <v>0.65664434594564591</v>
      </c>
      <c r="T31" s="133">
        <v>0.55656835199036403</v>
      </c>
      <c r="U31" s="133">
        <v>0.68503051345255639</v>
      </c>
      <c r="V31" s="133">
        <v>1.3563205865867654</v>
      </c>
      <c r="W31" s="133">
        <v>1.6307973436629404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5.1860407872043872</v>
      </c>
      <c r="D33" s="68">
        <v>3.3018366493665088</v>
      </c>
      <c r="E33" s="68">
        <v>2.0593214320899418</v>
      </c>
      <c r="F33" s="68">
        <v>1.0791608415659342</v>
      </c>
      <c r="G33" s="68">
        <v>5.7601385666011966</v>
      </c>
      <c r="H33" s="68">
        <v>8.943150494676761</v>
      </c>
      <c r="I33" s="68">
        <v>10.718219818637877</v>
      </c>
      <c r="J33" s="68">
        <v>6.9441998674448353</v>
      </c>
      <c r="K33" s="68">
        <v>1.255526365156445</v>
      </c>
      <c r="L33" s="68">
        <v>4.8116411610262402</v>
      </c>
      <c r="M33" s="68">
        <v>5.8571854329381248</v>
      </c>
      <c r="N33" s="68">
        <v>2.3580881316711855</v>
      </c>
      <c r="O33" s="68">
        <v>1.2982530084590229</v>
      </c>
      <c r="P33" s="68">
        <v>1.2668407104998978</v>
      </c>
      <c r="Q33" s="68">
        <v>7.4258610995760046</v>
      </c>
      <c r="R33" s="68">
        <v>3.4081507649729921</v>
      </c>
      <c r="S33" s="68">
        <v>4.2549834951289487</v>
      </c>
      <c r="T33" s="68">
        <v>4.1936782777414923</v>
      </c>
      <c r="U33" s="68">
        <v>4.3815694508394989</v>
      </c>
      <c r="V33" s="68">
        <v>4.0248711023103523</v>
      </c>
      <c r="W33" s="68">
        <v>3.7832411813180515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0.82917355862537478</v>
      </c>
      <c r="D3" s="127">
        <f>IF(SER_hh_tes_in!D3=0,"",SER_hh_tes_in!D3/SER_hh_fec_in!D3)</f>
        <v>0.84395987315840071</v>
      </c>
      <c r="E3" s="127">
        <f>IF(SER_hh_tes_in!E3=0,"",SER_hh_tes_in!E3/SER_hh_fec_in!E3)</f>
        <v>0.85134570824737132</v>
      </c>
      <c r="F3" s="127">
        <f>IF(SER_hh_tes_in!F3=0,"",SER_hh_tes_in!F3/SER_hh_fec_in!F3)</f>
        <v>0.8329192099037348</v>
      </c>
      <c r="G3" s="127">
        <f>IF(SER_hh_tes_in!G3=0,"",SER_hh_tes_in!G3/SER_hh_fec_in!G3)</f>
        <v>0.8553460481718872</v>
      </c>
      <c r="H3" s="127">
        <f>IF(SER_hh_tes_in!H3=0,"",SER_hh_tes_in!H3/SER_hh_fec_in!H3)</f>
        <v>0.87381932883021085</v>
      </c>
      <c r="I3" s="127">
        <f>IF(SER_hh_tes_in!I3=0,"",SER_hh_tes_in!I3/SER_hh_fec_in!I3)</f>
        <v>0.88477137301330644</v>
      </c>
      <c r="J3" s="127">
        <f>IF(SER_hh_tes_in!J3=0,"",SER_hh_tes_in!J3/SER_hh_fec_in!J3)</f>
        <v>0.88377541198786136</v>
      </c>
      <c r="K3" s="127">
        <f>IF(SER_hh_tes_in!K3=0,"",SER_hh_tes_in!K3/SER_hh_fec_in!K3)</f>
        <v>0.90256550093823296</v>
      </c>
      <c r="L3" s="127">
        <f>IF(SER_hh_tes_in!L3=0,"",SER_hh_tes_in!L3/SER_hh_fec_in!L3)</f>
        <v>0.88210596171919131</v>
      </c>
      <c r="M3" s="127">
        <f>IF(SER_hh_tes_in!M3=0,"",SER_hh_tes_in!M3/SER_hh_fec_in!M3)</f>
        <v>0.92654103763980356</v>
      </c>
      <c r="N3" s="127">
        <f>IF(SER_hh_tes_in!N3=0,"",SER_hh_tes_in!N3/SER_hh_fec_in!N3)</f>
        <v>0.92528906626648755</v>
      </c>
      <c r="O3" s="127">
        <f>IF(SER_hh_tes_in!O3=0,"",SER_hh_tes_in!O3/SER_hh_fec_in!O3)</f>
        <v>0.95662090803808586</v>
      </c>
      <c r="P3" s="127">
        <f>IF(SER_hh_tes_in!P3=0,"",SER_hh_tes_in!P3/SER_hh_fec_in!P3)</f>
        <v>1.0589981827353558</v>
      </c>
      <c r="Q3" s="127">
        <f>IF(SER_hh_tes_in!Q3=0,"",SER_hh_tes_in!Q3/SER_hh_fec_in!Q3)</f>
        <v>1.0449268823458739</v>
      </c>
      <c r="R3" s="127">
        <f>IF(SER_hh_tes_in!R3=0,"",SER_hh_tes_in!R3/SER_hh_fec_in!R3)</f>
        <v>1.0531625051855336</v>
      </c>
      <c r="S3" s="127">
        <f>IF(SER_hh_tes_in!S3=0,"",SER_hh_tes_in!S3/SER_hh_fec_in!S3)</f>
        <v>1.0444863454760935</v>
      </c>
      <c r="T3" s="127">
        <f>IF(SER_hh_tes_in!T3=0,"",SER_hh_tes_in!T3/SER_hh_fec_in!T3)</f>
        <v>1.0848515965321881</v>
      </c>
      <c r="U3" s="127">
        <f>IF(SER_hh_tes_in!U3=0,"",SER_hh_tes_in!U3/SER_hh_fec_in!U3)</f>
        <v>1.1070566429712856</v>
      </c>
      <c r="V3" s="127">
        <f>IF(SER_hh_tes_in!V3=0,"",SER_hh_tes_in!V3/SER_hh_fec_in!V3)</f>
        <v>1.1379288847106435</v>
      </c>
      <c r="W3" s="127">
        <f>IF(SER_hh_tes_in!W3=0,"",SER_hh_tes_in!W3/SER_hh_fec_in!W3)</f>
        <v>1.0728103782340959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0.70212633272603897</v>
      </c>
      <c r="D4" s="136">
        <f>IF(SER_hh_tes_in!D4=0,"",SER_hh_tes_in!D4/SER_hh_fec_in!D4)</f>
        <v>0.71886529544053956</v>
      </c>
      <c r="E4" s="136">
        <f>IF(SER_hh_tes_in!E4=0,"",SER_hh_tes_in!E4/SER_hh_fec_in!E4)</f>
        <v>0.71460566525264524</v>
      </c>
      <c r="F4" s="136">
        <f>IF(SER_hh_tes_in!F4=0,"",SER_hh_tes_in!F4/SER_hh_fec_in!F4)</f>
        <v>0.71270195678555259</v>
      </c>
      <c r="G4" s="136">
        <f>IF(SER_hh_tes_in!G4=0,"",SER_hh_tes_in!G4/SER_hh_fec_in!G4)</f>
        <v>0.72927798300521629</v>
      </c>
      <c r="H4" s="136">
        <f>IF(SER_hh_tes_in!H4=0,"",SER_hh_tes_in!H4/SER_hh_fec_in!H4)</f>
        <v>0.73395990547636458</v>
      </c>
      <c r="I4" s="136">
        <f>IF(SER_hh_tes_in!I4=0,"",SER_hh_tes_in!I4/SER_hh_fec_in!I4)</f>
        <v>0.74776239996822702</v>
      </c>
      <c r="J4" s="136">
        <f>IF(SER_hh_tes_in!J4=0,"",SER_hh_tes_in!J4/SER_hh_fec_in!J4)</f>
        <v>0.74905524428673464</v>
      </c>
      <c r="K4" s="136">
        <f>IF(SER_hh_tes_in!K4=0,"",SER_hh_tes_in!K4/SER_hh_fec_in!K4)</f>
        <v>0.77045410988773266</v>
      </c>
      <c r="L4" s="136">
        <f>IF(SER_hh_tes_in!L4=0,"",SER_hh_tes_in!L4/SER_hh_fec_in!L4)</f>
        <v>0.7561269302243987</v>
      </c>
      <c r="M4" s="136">
        <f>IF(SER_hh_tes_in!M4=0,"",SER_hh_tes_in!M4/SER_hh_fec_in!M4)</f>
        <v>0.78347353083783533</v>
      </c>
      <c r="N4" s="136">
        <f>IF(SER_hh_tes_in!N4=0,"",SER_hh_tes_in!N4/SER_hh_fec_in!N4)</f>
        <v>0.78985440285052222</v>
      </c>
      <c r="O4" s="136">
        <f>IF(SER_hh_tes_in!O4=0,"",SER_hh_tes_in!O4/SER_hh_fec_in!O4)</f>
        <v>0.82077687392971688</v>
      </c>
      <c r="P4" s="136">
        <f>IF(SER_hh_tes_in!P4=0,"",SER_hh_tes_in!P4/SER_hh_fec_in!P4)</f>
        <v>0.93106038606949348</v>
      </c>
      <c r="Q4" s="136">
        <f>IF(SER_hh_tes_in!Q4=0,"",SER_hh_tes_in!Q4/SER_hh_fec_in!Q4)</f>
        <v>0.88939548190893059</v>
      </c>
      <c r="R4" s="136">
        <f>IF(SER_hh_tes_in!R4=0,"",SER_hh_tes_in!R4/SER_hh_fec_in!R4)</f>
        <v>0.90636435627598544</v>
      </c>
      <c r="S4" s="136">
        <f>IF(SER_hh_tes_in!S4=0,"",SER_hh_tes_in!S4/SER_hh_fec_in!S4)</f>
        <v>0.89546097086017973</v>
      </c>
      <c r="T4" s="136">
        <f>IF(SER_hh_tes_in!T4=0,"",SER_hh_tes_in!T4/SER_hh_fec_in!T4)</f>
        <v>0.92106401789587622</v>
      </c>
      <c r="U4" s="136">
        <f>IF(SER_hh_tes_in!U4=0,"",SER_hh_tes_in!U4/SER_hh_fec_in!U4)</f>
        <v>0.93941705904305406</v>
      </c>
      <c r="V4" s="136">
        <f>IF(SER_hh_tes_in!V4=0,"",SER_hh_tes_in!V4/SER_hh_fec_in!V4)</f>
        <v>0.96328145751706751</v>
      </c>
      <c r="W4" s="136">
        <f>IF(SER_hh_tes_in!W4=0,"",SER_hh_tes_in!W4/SER_hh_fec_in!W4)</f>
        <v>0.91668322951506664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0.66497696661700423</v>
      </c>
      <c r="D5" s="137">
        <f>IF(SER_hh_tes_in!D5=0,"",SER_hh_tes_in!D5/SER_hh_fec_in!D5)</f>
        <v>0.67128291506132354</v>
      </c>
      <c r="E5" s="137">
        <f>IF(SER_hh_tes_in!E5=0,"",SER_hh_tes_in!E5/SER_hh_fec_in!E5)</f>
        <v>0.67757594672291654</v>
      </c>
      <c r="F5" s="137">
        <f>IF(SER_hh_tes_in!F5=0,"",SER_hh_tes_in!F5/SER_hh_fec_in!F5)</f>
        <v>0.68386721700504705</v>
      </c>
      <c r="G5" s="137">
        <f>IF(SER_hh_tes_in!G5=0,"",SER_hh_tes_in!G5/SER_hh_fec_in!G5)</f>
        <v>0.69014659169004</v>
      </c>
      <c r="H5" s="137">
        <f>IF(SER_hh_tes_in!H5=0,"",SER_hh_tes_in!H5/SER_hh_fec_in!H5)</f>
        <v>0.69641531107712329</v>
      </c>
      <c r="I5" s="137">
        <f>IF(SER_hh_tes_in!I5=0,"",SER_hh_tes_in!I5/SER_hh_fec_in!I5)</f>
        <v>0.70267087809476636</v>
      </c>
      <c r="J5" s="137">
        <f>IF(SER_hh_tes_in!J5=0,"",SER_hh_tes_in!J5/SER_hh_fec_in!J5)</f>
        <v>0.70890306312229368</v>
      </c>
      <c r="K5" s="137">
        <f>IF(SER_hh_tes_in!K5=0,"",SER_hh_tes_in!K5/SER_hh_fec_in!K5)</f>
        <v>0.71510316829141773</v>
      </c>
      <c r="L5" s="137">
        <f>IF(SER_hh_tes_in!L5=0,"",SER_hh_tes_in!L5/SER_hh_fec_in!L5)</f>
        <v>0.72126886656577771</v>
      </c>
      <c r="M5" s="137">
        <f>IF(SER_hh_tes_in!M5=0,"",SER_hh_tes_in!M5/SER_hh_fec_in!M5)</f>
        <v>0.72710150567490806</v>
      </c>
      <c r="N5" s="137">
        <f>IF(SER_hh_tes_in!N5=0,"",SER_hh_tes_in!N5/SER_hh_fec_in!N5)</f>
        <v>0.7324994946052894</v>
      </c>
      <c r="O5" s="137">
        <f>IF(SER_hh_tes_in!O5=0,"",SER_hh_tes_in!O5/SER_hh_fec_in!O5)</f>
        <v>0.73747072762997556</v>
      </c>
      <c r="P5" s="137">
        <f>IF(SER_hh_tes_in!P5=0,"",SER_hh_tes_in!P5/SER_hh_fec_in!P5)</f>
        <v>0.74236819505927876</v>
      </c>
      <c r="Q5" s="137">
        <f>IF(SER_hh_tes_in!Q5=0,"",SER_hh_tes_in!Q5/SER_hh_fec_in!Q5)</f>
        <v>0.74821917917041447</v>
      </c>
      <c r="R5" s="137">
        <f>IF(SER_hh_tes_in!R5=0,"",SER_hh_tes_in!R5/SER_hh_fec_in!R5)</f>
        <v>0.75634020670194113</v>
      </c>
      <c r="S5" s="137">
        <f>IF(SER_hh_tes_in!S5=0,"",SER_hh_tes_in!S5/SER_hh_fec_in!S5)</f>
        <v>0.76575484923850046</v>
      </c>
      <c r="T5" s="137">
        <f>IF(SER_hh_tes_in!T5=0,"",SER_hh_tes_in!T5/SER_hh_fec_in!T5)</f>
        <v>0.7756006967767255</v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0.57303352669539798</v>
      </c>
      <c r="D7" s="137">
        <f>IF(SER_hh_tes_in!D7=0,"",SER_hh_tes_in!D7/SER_hh_fec_in!D7)</f>
        <v>0.57839854382099198</v>
      </c>
      <c r="E7" s="137">
        <f>IF(SER_hh_tes_in!E7=0,"",SER_hh_tes_in!E7/SER_hh_fec_in!E7)</f>
        <v>0.583954007651447</v>
      </c>
      <c r="F7" s="137">
        <f>IF(SER_hh_tes_in!F7=0,"",SER_hh_tes_in!F7/SER_hh_fec_in!F7)</f>
        <v>0.58948299446648744</v>
      </c>
      <c r="G7" s="137">
        <f>IF(SER_hh_tes_in!G7=0,"",SER_hh_tes_in!G7/SER_hh_fec_in!G7)</f>
        <v>0.59517432055561803</v>
      </c>
      <c r="H7" s="137">
        <f>IF(SER_hh_tes_in!H7=0,"",SER_hh_tes_in!H7/SER_hh_fec_in!H7)</f>
        <v>0.60099918999675239</v>
      </c>
      <c r="I7" s="137">
        <f>IF(SER_hh_tes_in!I7=0,"",SER_hh_tes_in!I7/SER_hh_fec_in!I7)</f>
        <v>0.60699838461579236</v>
      </c>
      <c r="J7" s="137">
        <f>IF(SER_hh_tes_in!J7=0,"",SER_hh_tes_in!J7/SER_hh_fec_in!J7)</f>
        <v>0.61335213733371907</v>
      </c>
      <c r="K7" s="137">
        <f>IF(SER_hh_tes_in!K7=0,"",SER_hh_tes_in!K7/SER_hh_fec_in!K7)</f>
        <v>0.62020659784082355</v>
      </c>
      <c r="L7" s="137">
        <f>IF(SER_hh_tes_in!L7=0,"",SER_hh_tes_in!L7/SER_hh_fec_in!L7)</f>
        <v>0.62758846906294519</v>
      </c>
      <c r="M7" s="137">
        <f>IF(SER_hh_tes_in!M7=0,"",SER_hh_tes_in!M7/SER_hh_fec_in!M7)</f>
        <v>0.63942168327038162</v>
      </c>
      <c r="N7" s="137">
        <f>IF(SER_hh_tes_in!N7=0,"",SER_hh_tes_in!N7/SER_hh_fec_in!N7)</f>
        <v>0.65685037957920378</v>
      </c>
      <c r="O7" s="137">
        <f>IF(SER_hh_tes_in!O7=0,"",SER_hh_tes_in!O7/SER_hh_fec_in!O7)</f>
        <v>0.68052205709825819</v>
      </c>
      <c r="P7" s="137">
        <f>IF(SER_hh_tes_in!P7=0,"",SER_hh_tes_in!P7/SER_hh_fec_in!P7)</f>
        <v>0.70765837856230007</v>
      </c>
      <c r="Q7" s="137">
        <f>IF(SER_hh_tes_in!Q7=0,"",SER_hh_tes_in!Q7/SER_hh_fec_in!Q7)</f>
        <v>0.73011650048971399</v>
      </c>
      <c r="R7" s="137">
        <f>IF(SER_hh_tes_in!R7=0,"",SER_hh_tes_in!R7/SER_hh_fec_in!R7)</f>
        <v>0.74110141186359613</v>
      </c>
      <c r="S7" s="137">
        <f>IF(SER_hh_tes_in!S7=0,"",SER_hh_tes_in!S7/SER_hh_fec_in!S7)</f>
        <v>0.74896098062376115</v>
      </c>
      <c r="T7" s="137">
        <f>IF(SER_hh_tes_in!T7=0,"",SER_hh_tes_in!T7/SER_hh_fec_in!T7)</f>
        <v>0.75471882070381113</v>
      </c>
      <c r="U7" s="137">
        <f>IF(SER_hh_tes_in!U7=0,"",SER_hh_tes_in!U7/SER_hh_fec_in!U7)</f>
        <v>0.75920392689075233</v>
      </c>
      <c r="V7" s="137">
        <f>IF(SER_hh_tes_in!V7=0,"",SER_hh_tes_in!V7/SER_hh_fec_in!V7)</f>
        <v>0.76309522025087073</v>
      </c>
      <c r="W7" s="137">
        <f>IF(SER_hh_tes_in!W7=0,"",SER_hh_tes_in!W7/SER_hh_fec_in!W7)</f>
        <v>0.76561001615862423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1.2928141420336006</v>
      </c>
      <c r="D8" s="137">
        <f>IF(SER_hh_tes_in!D8=0,"",SER_hh_tes_in!D8/SER_hh_fec_in!D8)</f>
        <v>1.3627677751890701</v>
      </c>
      <c r="E8" s="137">
        <f>IF(SER_hh_tes_in!E8=0,"",SER_hh_tes_in!E8/SER_hh_fec_in!E8)</f>
        <v>1.4344449817486549</v>
      </c>
      <c r="F8" s="137">
        <f>IF(SER_hh_tes_in!F8=0,"",SER_hh_tes_in!F8/SER_hh_fec_in!F8)</f>
        <v>1.5075276026841058</v>
      </c>
      <c r="G8" s="137">
        <f>IF(SER_hh_tes_in!G8=0,"",SER_hh_tes_in!G8/SER_hh_fec_in!G8)</f>
        <v>1.5822732993017021</v>
      </c>
      <c r="H8" s="137">
        <f>IF(SER_hh_tes_in!H8=0,"",SER_hh_tes_in!H8/SER_hh_fec_in!H8)</f>
        <v>1.6586297699147965</v>
      </c>
      <c r="I8" s="137">
        <f>IF(SER_hh_tes_in!I8=0,"",SER_hh_tes_in!I8/SER_hh_fec_in!I8)</f>
        <v>1.7366410387122182</v>
      </c>
      <c r="J8" s="137">
        <f>IF(SER_hh_tes_in!J8=0,"",SER_hh_tes_in!J8/SER_hh_fec_in!J8)</f>
        <v>1.8165371529414496</v>
      </c>
      <c r="K8" s="137">
        <f>IF(SER_hh_tes_in!K8=0,"",SER_hh_tes_in!K8/SER_hh_fec_in!K8)</f>
        <v>1.8984911301547338</v>
      </c>
      <c r="L8" s="137">
        <f>IF(SER_hh_tes_in!L8=0,"",SER_hh_tes_in!L8/SER_hh_fec_in!L8)</f>
        <v>1.9825069018084771</v>
      </c>
      <c r="M8" s="137">
        <f>IF(SER_hh_tes_in!M8=0,"",SER_hh_tes_in!M8/SER_hh_fec_in!M8)</f>
        <v>2.075112190990045</v>
      </c>
      <c r="N8" s="137">
        <f>IF(SER_hh_tes_in!N8=0,"",SER_hh_tes_in!N8/SER_hh_fec_in!N8)</f>
        <v>2.1780131534852836</v>
      </c>
      <c r="O8" s="137">
        <f>IF(SER_hh_tes_in!O8=0,"",SER_hh_tes_in!O8/SER_hh_fec_in!O8)</f>
        <v>2.2903485000870378</v>
      </c>
      <c r="P8" s="137">
        <f>IF(SER_hh_tes_in!P8=0,"",SER_hh_tes_in!P8/SER_hh_fec_in!P8)</f>
        <v>2.4035321976170394</v>
      </c>
      <c r="Q8" s="137">
        <f>IF(SER_hh_tes_in!Q8=0,"",SER_hh_tes_in!Q8/SER_hh_fec_in!Q8)</f>
        <v>2.4963905510834565</v>
      </c>
      <c r="R8" s="137">
        <f>IF(SER_hh_tes_in!R8=0,"",SER_hh_tes_in!R8/SER_hh_fec_in!R8)</f>
        <v>2.538427354013157</v>
      </c>
      <c r="S8" s="137">
        <f>IF(SER_hh_tes_in!S8=0,"",SER_hh_tes_in!S8/SER_hh_fec_in!S8)</f>
        <v>2.5654597036850215</v>
      </c>
      <c r="T8" s="137">
        <f>IF(SER_hh_tes_in!T8=0,"",SER_hh_tes_in!T8/SER_hh_fec_in!T8)</f>
        <v>2.5831674253359784</v>
      </c>
      <c r="U8" s="137">
        <f>IF(SER_hh_tes_in!U8=0,"",SER_hh_tes_in!U8/SER_hh_fec_in!U8)</f>
        <v>2.5973300485781836</v>
      </c>
      <c r="V8" s="137">
        <f>IF(SER_hh_tes_in!V8=0,"",SER_hh_tes_in!V8/SER_hh_fec_in!V8)</f>
        <v>2.6138909020669914</v>
      </c>
      <c r="W8" s="137">
        <f>IF(SER_hh_tes_in!W8=0,"",SER_hh_tes_in!W8/SER_hh_fec_in!W8)</f>
        <v>2.6322037657485571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0.65662678648992878</v>
      </c>
      <c r="D9" s="137">
        <f>IF(SER_hh_tes_in!D9=0,"",SER_hh_tes_in!D9/SER_hh_fec_in!D9)</f>
        <v>0.66537160869246692</v>
      </c>
      <c r="E9" s="137">
        <f>IF(SER_hh_tes_in!E9=0,"",SER_hh_tes_in!E9/SER_hh_fec_in!E9)</f>
        <v>0.67411927307126884</v>
      </c>
      <c r="F9" s="137">
        <f>IF(SER_hh_tes_in!F9=0,"",SER_hh_tes_in!F9/SER_hh_fec_in!F9)</f>
        <v>0.68275898985089534</v>
      </c>
      <c r="G9" s="137">
        <f>IF(SER_hh_tes_in!G9=0,"",SER_hh_tes_in!G9/SER_hh_fec_in!G9)</f>
        <v>0.69139294090855807</v>
      </c>
      <c r="H9" s="137">
        <f>IF(SER_hh_tes_in!H9=0,"",SER_hh_tes_in!H9/SER_hh_fec_in!H9)</f>
        <v>0.70000967986139584</v>
      </c>
      <c r="I9" s="137">
        <f>IF(SER_hh_tes_in!I9=0,"",SER_hh_tes_in!I9/SER_hh_fec_in!I9)</f>
        <v>0.70863545615310208</v>
      </c>
      <c r="J9" s="137">
        <f>IF(SER_hh_tes_in!J9=0,"",SER_hh_tes_in!J9/SER_hh_fec_in!J9)</f>
        <v>0.71737535200288982</v>
      </c>
      <c r="K9" s="137">
        <f>IF(SER_hh_tes_in!K9=0,"",SER_hh_tes_in!K9/SER_hh_fec_in!K9)</f>
        <v>0.72632005118435217</v>
      </c>
      <c r="L9" s="137">
        <f>IF(SER_hh_tes_in!L9=0,"",SER_hh_tes_in!L9/SER_hh_fec_in!L9)</f>
        <v>0.73549615642140143</v>
      </c>
      <c r="M9" s="137">
        <f>IF(SER_hh_tes_in!M9=0,"",SER_hh_tes_in!M9/SER_hh_fec_in!M9)</f>
        <v>0.74722545061527879</v>
      </c>
      <c r="N9" s="137">
        <f>IF(SER_hh_tes_in!N9=0,"",SER_hh_tes_in!N9/SER_hh_fec_in!N9)</f>
        <v>0.76227668721465947</v>
      </c>
      <c r="O9" s="137">
        <f>IF(SER_hh_tes_in!O9=0,"",SER_hh_tes_in!O9/SER_hh_fec_in!O9)</f>
        <v>0.7810942561144345</v>
      </c>
      <c r="P9" s="137">
        <f>IF(SER_hh_tes_in!P9=0,"",SER_hh_tes_in!P9/SER_hh_fec_in!P9)</f>
        <v>0.80199329709875744</v>
      </c>
      <c r="Q9" s="137">
        <f>IF(SER_hh_tes_in!Q9=0,"",SER_hh_tes_in!Q9/SER_hh_fec_in!Q9)</f>
        <v>0.81971442140322437</v>
      </c>
      <c r="R9" s="137">
        <f>IF(SER_hh_tes_in!R9=0,"",SER_hh_tes_in!R9/SER_hh_fec_in!R9)</f>
        <v>0.82978659780544695</v>
      </c>
      <c r="S9" s="137">
        <f>IF(SER_hh_tes_in!S9=0,"",SER_hh_tes_in!S9/SER_hh_fec_in!S9)</f>
        <v>0.83756174827565399</v>
      </c>
      <c r="T9" s="137">
        <f>IF(SER_hh_tes_in!T9=0,"",SER_hh_tes_in!T9/SER_hh_fec_in!T9)</f>
        <v>0.84375767697996795</v>
      </c>
      <c r="U9" s="137">
        <f>IF(SER_hh_tes_in!U9=0,"",SER_hh_tes_in!U9/SER_hh_fec_in!U9)</f>
        <v>0.84891664952961277</v>
      </c>
      <c r="V9" s="137">
        <f>IF(SER_hh_tes_in!V9=0,"",SER_hh_tes_in!V9/SER_hh_fec_in!V9)</f>
        <v>0.85339531564369575</v>
      </c>
      <c r="W9" s="137">
        <f>IF(SER_hh_tes_in!W9=0,"",SER_hh_tes_in!W9/SER_hh_fec_in!W9)</f>
        <v>0.85649380606530778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0.5766668835846771</v>
      </c>
      <c r="D10" s="137">
        <f>IF(SER_hh_tes_in!D10=0,"",SER_hh_tes_in!D10/SER_hh_fec_in!D10)</f>
        <v>0.57695604635418185</v>
      </c>
      <c r="E10" s="137">
        <f>IF(SER_hh_tes_in!E10=0,"",SER_hh_tes_in!E10/SER_hh_fec_in!E10)</f>
        <v>0.57724795804268425</v>
      </c>
      <c r="F10" s="137">
        <f>IF(SER_hh_tes_in!F10=0,"",SER_hh_tes_in!F10/SER_hh_fec_in!F10)</f>
        <v>0.57754233803578525</v>
      </c>
      <c r="G10" s="137">
        <f>IF(SER_hh_tes_in!G10=0,"",SER_hh_tes_in!G10/SER_hh_fec_in!G10)</f>
        <v>0.57783890738654653</v>
      </c>
      <c r="H10" s="137">
        <f>IF(SER_hh_tes_in!H10=0,"",SER_hh_tes_in!H10/SER_hh_fec_in!H10)</f>
        <v>0.57813733375137732</v>
      </c>
      <c r="I10" s="137">
        <f>IF(SER_hh_tes_in!I10=0,"",SER_hh_tes_in!I10/SER_hh_fec_in!I10)</f>
        <v>0.57843718012202905</v>
      </c>
      <c r="J10" s="137">
        <f>IF(SER_hh_tes_in!J10=0,"",SER_hh_tes_in!J10/SER_hh_fec_in!J10)</f>
        <v>0.57873750424153092</v>
      </c>
      <c r="K10" s="137">
        <f>IF(SER_hh_tes_in!K10=0,"",SER_hh_tes_in!K10/SER_hh_fec_in!K10)</f>
        <v>0.57903705966334207</v>
      </c>
      <c r="L10" s="137">
        <f>IF(SER_hh_tes_in!L10=0,"",SER_hh_tes_in!L10/SER_hh_fec_in!L10)</f>
        <v>0.57933474009255015</v>
      </c>
      <c r="M10" s="137">
        <f>IF(SER_hh_tes_in!M10=0,"",SER_hh_tes_in!M10/SER_hh_fec_in!M10)</f>
        <v>0.57960889197252374</v>
      </c>
      <c r="N10" s="137">
        <f>IF(SER_hh_tes_in!N10=0,"",SER_hh_tes_in!N10/SER_hh_fec_in!N10)</f>
        <v>0.57984789117720947</v>
      </c>
      <c r="O10" s="137">
        <f>IF(SER_hh_tes_in!O10=0,"",SER_hh_tes_in!O10/SER_hh_fec_in!O10)</f>
        <v>0.58004544926497503</v>
      </c>
      <c r="P10" s="137">
        <f>IF(SER_hh_tes_in!P10=0,"",SER_hh_tes_in!P10/SER_hh_fec_in!P10)</f>
        <v>0.58021849203849518</v>
      </c>
      <c r="Q10" s="137">
        <f>IF(SER_hh_tes_in!Q10=0,"",SER_hh_tes_in!Q10/SER_hh_fec_in!Q10)</f>
        <v>0.58042450326085937</v>
      </c>
      <c r="R10" s="137">
        <f>IF(SER_hh_tes_in!R10=0,"",SER_hh_tes_in!R10/SER_hh_fec_in!R10)</f>
        <v>0.58072826030294933</v>
      </c>
      <c r="S10" s="137">
        <f>IF(SER_hh_tes_in!S10=0,"",SER_hh_tes_in!S10/SER_hh_fec_in!S10)</f>
        <v>0.58106870244118691</v>
      </c>
      <c r="T10" s="137">
        <f>IF(SER_hh_tes_in!T10=0,"",SER_hh_tes_in!T10/SER_hh_fec_in!T10)</f>
        <v>0.58141079591406186</v>
      </c>
      <c r="U10" s="137">
        <f>IF(SER_hh_tes_in!U10=0,"",SER_hh_tes_in!U10/SER_hh_fec_in!U10)</f>
        <v>0.5817259099890959</v>
      </c>
      <c r="V10" s="137">
        <f>IF(SER_hh_tes_in!V10=0,"",SER_hh_tes_in!V10/SER_hh_fec_in!V10)</f>
        <v>0.58199004697931334</v>
      </c>
      <c r="W10" s="137">
        <f>IF(SER_hh_tes_in!W10=0,"",SER_hh_tes_in!W10/SER_hh_fec_in!W10)</f>
        <v>0.58220250861633815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0.88831872655007194</v>
      </c>
      <c r="D12" s="137">
        <f>IF(SER_hh_tes_in!D12=0,"",SER_hh_tes_in!D12/SER_hh_fec_in!D12)</f>
        <v>0.88989483019133064</v>
      </c>
      <c r="E12" s="137">
        <f>IF(SER_hh_tes_in!E12=0,"",SER_hh_tes_in!E12/SER_hh_fec_in!E12)</f>
        <v>0.89151348451898371</v>
      </c>
      <c r="F12" s="137" t="str">
        <f>IF(SER_hh_tes_in!F12=0,"",SER_hh_tes_in!F12/SER_hh_fec_in!F12)</f>
        <v/>
      </c>
      <c r="G12" s="137">
        <f>IF(SER_hh_tes_in!G12=0,"",SER_hh_tes_in!G12/SER_hh_fec_in!G12)</f>
        <v>0.8948015845863222</v>
      </c>
      <c r="H12" s="137">
        <f>IF(SER_hh_tes_in!H12=0,"",SER_hh_tes_in!H12/SER_hh_fec_in!H12)</f>
        <v>0.89650032882414865</v>
      </c>
      <c r="I12" s="137">
        <f>IF(SER_hh_tes_in!I12=0,"",SER_hh_tes_in!I12/SER_hh_fec_in!I12)</f>
        <v>0.8982423998221537</v>
      </c>
      <c r="J12" s="137">
        <f>IF(SER_hh_tes_in!J12=0,"",SER_hh_tes_in!J12/SER_hh_fec_in!J12)</f>
        <v>0.90006149617158859</v>
      </c>
      <c r="K12" s="137">
        <f>IF(SER_hh_tes_in!K12=0,"",SER_hh_tes_in!K12/SER_hh_fec_in!K12)</f>
        <v>0.90198627053879943</v>
      </c>
      <c r="L12" s="137">
        <f>IF(SER_hh_tes_in!L12=0,"",SER_hh_tes_in!L12/SER_hh_fec_in!L12)</f>
        <v>0.90402438868673352</v>
      </c>
      <c r="M12" s="137" t="str">
        <f>IF(SER_hh_tes_in!M12=0,"",SER_hh_tes_in!M12/SER_hh_fec_in!M12)</f>
        <v/>
      </c>
      <c r="N12" s="137" t="str">
        <f>IF(SER_hh_tes_in!N12=0,"",SER_hh_tes_in!N12/SER_hh_fec_in!N12)</f>
        <v/>
      </c>
      <c r="O12" s="137" t="str">
        <f>IF(SER_hh_tes_in!O12=0,"",SER_hh_tes_in!O12/SER_hh_fec_in!O12)</f>
        <v/>
      </c>
      <c r="P12" s="137" t="str">
        <f>IF(SER_hh_tes_in!P12=0,"",SER_hh_tes_in!P12/SER_hh_fec_in!P12)</f>
        <v/>
      </c>
      <c r="Q12" s="137">
        <f>IF(SER_hh_tes_in!Q12=0,"",SER_hh_tes_in!Q12/SER_hh_fec_in!Q12)</f>
        <v>0.92699054219714316</v>
      </c>
      <c r="R12" s="137">
        <f>IF(SER_hh_tes_in!R12=0,"",SER_hh_tes_in!R12/SER_hh_fec_in!R12)</f>
        <v>0.93120386499495655</v>
      </c>
      <c r="S12" s="137">
        <f>IF(SER_hh_tes_in!S12=0,"",SER_hh_tes_in!S12/SER_hh_fec_in!S12)</f>
        <v>0.93530272374319989</v>
      </c>
      <c r="T12" s="137">
        <f>IF(SER_hh_tes_in!T12=0,"",SER_hh_tes_in!T12/SER_hh_fec_in!T12)</f>
        <v>0.93925973162520804</v>
      </c>
      <c r="U12" s="137">
        <f>IF(SER_hh_tes_in!U12=0,"",SER_hh_tes_in!U12/SER_hh_fec_in!U12)</f>
        <v>0.94304750182432795</v>
      </c>
      <c r="V12" s="137">
        <f>IF(SER_hh_tes_in!V12=0,"",SER_hh_tes_in!V12/SER_hh_fec_in!V12)</f>
        <v>0.94663864752390237</v>
      </c>
      <c r="W12" s="137">
        <f>IF(SER_hh_tes_in!W12=0,"",SER_hh_tes_in!W12/SER_hh_fec_in!W12)</f>
        <v>0.94994678488916851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1.681247188075319</v>
      </c>
      <c r="D13" s="137">
        <f>IF(SER_hh_tes_in!D13=0,"",SER_hh_tes_in!D13/SER_hh_fec_in!D13)</f>
        <v>1.7798388904592173</v>
      </c>
      <c r="E13" s="137">
        <f>IF(SER_hh_tes_in!E13=0,"",SER_hh_tes_in!E13/SER_hh_fec_in!E13)</f>
        <v>1.8812542756317805</v>
      </c>
      <c r="F13" s="137">
        <f>IF(SER_hh_tes_in!F13=0,"",SER_hh_tes_in!F13/SER_hh_fec_in!F13)</f>
        <v>1.9850717753349056</v>
      </c>
      <c r="G13" s="137">
        <f>IF(SER_hh_tes_in!G13=0,"",SER_hh_tes_in!G13/SER_hh_fec_in!G13)</f>
        <v>2.0916416238108417</v>
      </c>
      <c r="H13" s="137">
        <f>IF(SER_hh_tes_in!H13=0,"",SER_hh_tes_in!H13/SER_hh_fec_in!H13)</f>
        <v>2.2008977353975854</v>
      </c>
      <c r="I13" s="137">
        <f>IF(SER_hh_tes_in!I13=0,"",SER_hh_tes_in!I13/SER_hh_fec_in!I13)</f>
        <v>2.3129022205647667</v>
      </c>
      <c r="J13" s="137">
        <f>IF(SER_hh_tes_in!J13=0,"",SER_hh_tes_in!J13/SER_hh_fec_in!J13)</f>
        <v>2.4279633941198866</v>
      </c>
      <c r="K13" s="137">
        <f>IF(SER_hh_tes_in!K13=0,"",SER_hh_tes_in!K13/SER_hh_fec_in!K13)</f>
        <v>2.5463094326200353</v>
      </c>
      <c r="L13" s="137">
        <f>IF(SER_hh_tes_in!L13=0,"",SER_hh_tes_in!L13/SER_hh_fec_in!L13)</f>
        <v>2.6679398489503532</v>
      </c>
      <c r="M13" s="137">
        <f>IF(SER_hh_tes_in!M13=0,"",SER_hh_tes_in!M13/SER_hh_fec_in!M13)</f>
        <v>2.8016820746926503</v>
      </c>
      <c r="N13" s="137">
        <f>IF(SER_hh_tes_in!N13=0,"",SER_hh_tes_in!N13/SER_hh_fec_in!N13)</f>
        <v>2.9497785564118955</v>
      </c>
      <c r="O13" s="137">
        <f>IF(SER_hh_tes_in!O13=0,"",SER_hh_tes_in!O13/SER_hh_fec_in!O13)</f>
        <v>3.1107328358460595</v>
      </c>
      <c r="P13" s="137">
        <f>IF(SER_hh_tes_in!P13=0,"",SER_hh_tes_in!P13/SER_hh_fec_in!P13)</f>
        <v>3.2722906959019653</v>
      </c>
      <c r="Q13" s="137">
        <f>IF(SER_hh_tes_in!Q13=0,"",SER_hh_tes_in!Q13/SER_hh_fec_in!Q13)</f>
        <v>3.4047257029810671</v>
      </c>
      <c r="R13" s="137">
        <f>IF(SER_hh_tes_in!R13=0,"",SER_hh_tes_in!R13/SER_hh_fec_in!R13)</f>
        <v>3.4637798792622103</v>
      </c>
      <c r="S13" s="137">
        <f>IF(SER_hh_tes_in!S13=0,"",SER_hh_tes_in!S13/SER_hh_fec_in!S13)</f>
        <v>3.5011588550449471</v>
      </c>
      <c r="T13" s="137">
        <f>IF(SER_hh_tes_in!T13=0,"",SER_hh_tes_in!T13/SER_hh_fec_in!T13)</f>
        <v>3.5251324579156651</v>
      </c>
      <c r="U13" s="137">
        <f>IF(SER_hh_tes_in!U13=0,"",SER_hh_tes_in!U13/SER_hh_fec_in!U13)</f>
        <v>3.5442121576777312</v>
      </c>
      <c r="V13" s="137">
        <f>IF(SER_hh_tes_in!V13=0,"",SER_hh_tes_in!V13/SER_hh_fec_in!V13)</f>
        <v>3.5672437571995363</v>
      </c>
      <c r="W13" s="137">
        <f>IF(SER_hh_tes_in!W13=0,"",SER_hh_tes_in!W13/SER_hh_fec_in!W13)</f>
        <v>3.5935735857906921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0.80462198698709564</v>
      </c>
      <c r="D14" s="138">
        <f>IF(SER_hh_tes_in!D14=0,"",SER_hh_tes_in!D14/SER_hh_fec_in!D14)</f>
        <v>0.80767601471301842</v>
      </c>
      <c r="E14" s="138">
        <f>IF(SER_hh_tes_in!E14=0,"",SER_hh_tes_in!E14/SER_hh_fec_in!E14)</f>
        <v>0.8108083953914359</v>
      </c>
      <c r="F14" s="138">
        <f>IF(SER_hh_tes_in!F14=0,"",SER_hh_tes_in!F14/SER_hh_fec_in!F14)</f>
        <v>0.8139513586547531</v>
      </c>
      <c r="G14" s="138">
        <f>IF(SER_hh_tes_in!G14=0,"",SER_hh_tes_in!G14/SER_hh_fec_in!G14)</f>
        <v>0.81716643156543944</v>
      </c>
      <c r="H14" s="138">
        <f>IF(SER_hh_tes_in!H14=0,"",SER_hh_tes_in!H14/SER_hh_fec_in!H14)</f>
        <v>0.82044604032781243</v>
      </c>
      <c r="I14" s="138">
        <f>IF(SER_hh_tes_in!I14=0,"",SER_hh_tes_in!I14/SER_hh_fec_in!I14)</f>
        <v>0.82380528237910544</v>
      </c>
      <c r="J14" s="138">
        <f>IF(SER_hh_tes_in!J14=0,"",SER_hh_tes_in!J14/SER_hh_fec_in!J14)</f>
        <v>0.82730611069220839</v>
      </c>
      <c r="K14" s="138">
        <f>IF(SER_hh_tes_in!K14=0,"",SER_hh_tes_in!K14/SER_hh_fec_in!K14)</f>
        <v>0.83100102048542424</v>
      </c>
      <c r="L14" s="138">
        <f>IF(SER_hh_tes_in!L14=0,"",SER_hh_tes_in!L14/SER_hh_fec_in!L14)</f>
        <v>0.8349036848541147</v>
      </c>
      <c r="M14" s="138">
        <f>IF(SER_hh_tes_in!M14=0,"",SER_hh_tes_in!M14/SER_hh_fec_in!M14)</f>
        <v>0.84009265330442096</v>
      </c>
      <c r="N14" s="138">
        <f>IF(SER_hh_tes_in!N14=0,"",SER_hh_tes_in!N14/SER_hh_fec_in!N14)</f>
        <v>0.84688802566418953</v>
      </c>
      <c r="O14" s="138">
        <f>IF(SER_hh_tes_in!O14=0,"",SER_hh_tes_in!O14/SER_hh_fec_in!O14)</f>
        <v>0.85570995255846871</v>
      </c>
      <c r="P14" s="138" t="str">
        <f>IF(SER_hh_tes_in!P14=0,"",SER_hh_tes_in!P14/SER_hh_fec_in!P14)</f>
        <v/>
      </c>
      <c r="Q14" s="138" t="str">
        <f>IF(SER_hh_tes_in!Q14=0,"",SER_hh_tes_in!Q14/SER_hh_fec_in!Q14)</f>
        <v/>
      </c>
      <c r="R14" s="138">
        <f>IF(SER_hh_tes_in!R14=0,"",SER_hh_tes_in!R14/SER_hh_fec_in!R14)</f>
        <v>0.88954265464874793</v>
      </c>
      <c r="S14" s="138">
        <f>IF(SER_hh_tes_in!S14=0,"",SER_hh_tes_in!S14/SER_hh_fec_in!S14)</f>
        <v>0.90358414240203244</v>
      </c>
      <c r="T14" s="138">
        <f>IF(SER_hh_tes_in!T14=0,"",SER_hh_tes_in!T14/SER_hh_fec_in!T14)</f>
        <v>0.91779174494874194</v>
      </c>
      <c r="U14" s="138">
        <f>IF(SER_hh_tes_in!U14=0,"",SER_hh_tes_in!U14/SER_hh_fec_in!U14)</f>
        <v>0.93035311253072761</v>
      </c>
      <c r="V14" s="138">
        <f>IF(SER_hh_tes_in!V14=0,"",SER_hh_tes_in!V14/SER_hh_fec_in!V14)</f>
        <v>0.93945069260524083</v>
      </c>
      <c r="W14" s="138">
        <f>IF(SER_hh_tes_in!W14=0,"",SER_hh_tes_in!W14/SER_hh_fec_in!W14)</f>
        <v>0.94402092131494086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2.5703014920847851</v>
      </c>
      <c r="D16" s="136">
        <f>IF(SER_hh_tes_in!D16=0,"",SER_hh_tes_in!D16/SER_hh_fec_in!D16)</f>
        <v>2.6591156651395731</v>
      </c>
      <c r="E16" s="136">
        <f>IF(SER_hh_tes_in!E16=0,"",SER_hh_tes_in!E16/SER_hh_fec_in!E16)</f>
        <v>2.7554906079260504</v>
      </c>
      <c r="F16" s="136">
        <f>IF(SER_hh_tes_in!F16=0,"",SER_hh_tes_in!F16/SER_hh_fec_in!F16)</f>
        <v>2.836888739379801</v>
      </c>
      <c r="G16" s="136">
        <f>IF(SER_hh_tes_in!G16=0,"",SER_hh_tes_in!G16/SER_hh_fec_in!G16)</f>
        <v>2.9379112703463628</v>
      </c>
      <c r="H16" s="136">
        <f>IF(SER_hh_tes_in!H16=0,"",SER_hh_tes_in!H16/SER_hh_fec_in!H16)</f>
        <v>3.0266601291585147</v>
      </c>
      <c r="I16" s="136">
        <f>IF(SER_hh_tes_in!I16=0,"",SER_hh_tes_in!I16/SER_hh_fec_in!I16)</f>
        <v>3.1171866914215824</v>
      </c>
      <c r="J16" s="136">
        <f>IF(SER_hh_tes_in!J16=0,"",SER_hh_tes_in!J16/SER_hh_fec_in!J16)</f>
        <v>3.2129175010901148</v>
      </c>
      <c r="K16" s="136">
        <f>IF(SER_hh_tes_in!K16=0,"",SER_hh_tes_in!K16/SER_hh_fec_in!K16)</f>
        <v>3.3119328695379173</v>
      </c>
      <c r="L16" s="136">
        <f>IF(SER_hh_tes_in!L16=0,"",SER_hh_tes_in!L16/SER_hh_fec_in!L16)</f>
        <v>3.4148736130688793</v>
      </c>
      <c r="M16" s="136">
        <f>IF(SER_hh_tes_in!M16=0,"",SER_hh_tes_in!M16/SER_hh_fec_in!M16)</f>
        <v>3.5291341783636057</v>
      </c>
      <c r="N16" s="136">
        <f>IF(SER_hh_tes_in!N16=0,"",SER_hh_tes_in!N16/SER_hh_fec_in!N16)</f>
        <v>3.6570241365502287</v>
      </c>
      <c r="O16" s="136">
        <f>IF(SER_hh_tes_in!O16=0,"",SER_hh_tes_in!O16/SER_hh_fec_in!O16)</f>
        <v>3.7891522615653952</v>
      </c>
      <c r="P16" s="136">
        <f>IF(SER_hh_tes_in!P16=0,"",SER_hh_tes_in!P16/SER_hh_fec_in!P16)</f>
        <v>3.9072142560301568</v>
      </c>
      <c r="Q16" s="136">
        <f>IF(SER_hh_tes_in!Q16=0,"",SER_hh_tes_in!Q16/SER_hh_fec_in!Q16)</f>
        <v>4.0148161592237992</v>
      </c>
      <c r="R16" s="136">
        <f>IF(SER_hh_tes_in!R16=0,"",SER_hh_tes_in!R16/SER_hh_fec_in!R16)</f>
        <v>4.098320092400507</v>
      </c>
      <c r="S16" s="136">
        <f>IF(SER_hh_tes_in!S16=0,"",SER_hh_tes_in!S16/SER_hh_fec_in!S16)</f>
        <v>4.2199375250564284</v>
      </c>
      <c r="T16" s="136">
        <f>IF(SER_hh_tes_in!T16=0,"",SER_hh_tes_in!T16/SER_hh_fec_in!T16)</f>
        <v>4.3403773389061646</v>
      </c>
      <c r="U16" s="136">
        <f>IF(SER_hh_tes_in!U16=0,"",SER_hh_tes_in!U16/SER_hh_fec_in!U16)</f>
        <v>4.3520751507005375</v>
      </c>
      <c r="V16" s="136">
        <f>IF(SER_hh_tes_in!V16=0,"",SER_hh_tes_in!V16/SER_hh_fec_in!V16)</f>
        <v>4.3568541521105084</v>
      </c>
      <c r="W16" s="136">
        <f>IF(SER_hh_tes_in!W16=0,"",SER_hh_tes_in!W16/SER_hh_fec_in!W16)</f>
        <v>4.5724590774837841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1.3480655082278334</v>
      </c>
      <c r="D17" s="137">
        <f>IF(SER_hh_tes_in!D17=0,"",SER_hh_tes_in!D17/SER_hh_fec_in!D17)</f>
        <v>1.3544524260541522</v>
      </c>
      <c r="E17" s="137">
        <f>IF(SER_hh_tes_in!E17=0,"",SER_hh_tes_in!E17/SER_hh_fec_in!E17)</f>
        <v>1.3599242033982701</v>
      </c>
      <c r="F17" s="137">
        <f>IF(SER_hh_tes_in!F17=0,"",SER_hh_tes_in!F17/SER_hh_fec_in!F17)</f>
        <v>1.364617869879567</v>
      </c>
      <c r="G17" s="137">
        <f>IF(SER_hh_tes_in!G17=0,"",SER_hh_tes_in!G17/SER_hh_fec_in!G17)</f>
        <v>1.3685867165055052</v>
      </c>
      <c r="H17" s="137">
        <f>IF(SER_hh_tes_in!H17=0,"",SER_hh_tes_in!H17/SER_hh_fec_in!H17)</f>
        <v>1.3720896900359849</v>
      </c>
      <c r="I17" s="137">
        <f>IF(SER_hh_tes_in!I17=0,"",SER_hh_tes_in!I17/SER_hh_fec_in!I17)</f>
        <v>1.3752128877274052</v>
      </c>
      <c r="J17" s="137">
        <f>IF(SER_hh_tes_in!J17=0,"",SER_hh_tes_in!J17/SER_hh_fec_in!J17)</f>
        <v>1.3782375436100964</v>
      </c>
      <c r="K17" s="137">
        <f>IF(SER_hh_tes_in!K17=0,"",SER_hh_tes_in!K17/SER_hh_fec_in!K17)</f>
        <v>1.38156105598089</v>
      </c>
      <c r="L17" s="137">
        <f>IF(SER_hh_tes_in!L17=0,"",SER_hh_tes_in!L17/SER_hh_fec_in!L17)</f>
        <v>1.3854337967682326</v>
      </c>
      <c r="M17" s="137">
        <f>IF(SER_hh_tes_in!M17=0,"",SER_hh_tes_in!M17/SER_hh_fec_in!M17)</f>
        <v>1.3933631096865182</v>
      </c>
      <c r="N17" s="137">
        <f>IF(SER_hh_tes_in!N17=0,"",SER_hh_tes_in!N17/SER_hh_fec_in!N17)</f>
        <v>1.4099007512122443</v>
      </c>
      <c r="O17" s="137">
        <f>IF(SER_hh_tes_in!O17=0,"",SER_hh_tes_in!O17/SER_hh_fec_in!O17)</f>
        <v>1.4367058636593661</v>
      </c>
      <c r="P17" s="137">
        <f>IF(SER_hh_tes_in!P17=0,"",SER_hh_tes_in!P17/SER_hh_fec_in!P17)</f>
        <v>1.4731439321908173</v>
      </c>
      <c r="Q17" s="137">
        <f>IF(SER_hh_tes_in!Q17=0,"",SER_hh_tes_in!Q17/SER_hh_fec_in!Q17)</f>
        <v>1.5116034870837491</v>
      </c>
      <c r="R17" s="137">
        <f>IF(SER_hh_tes_in!R17=0,"",SER_hh_tes_in!R17/SER_hh_fec_in!R17)</f>
        <v>1.5430542005595504</v>
      </c>
      <c r="S17" s="137">
        <f>IF(SER_hh_tes_in!S17=0,"",SER_hh_tes_in!S17/SER_hh_fec_in!S17)</f>
        <v>1.574024888362394</v>
      </c>
      <c r="T17" s="137">
        <f>IF(SER_hh_tes_in!T17=0,"",SER_hh_tes_in!T17/SER_hh_fec_in!T17)</f>
        <v>1.6100174186791671</v>
      </c>
      <c r="U17" s="137">
        <f>IF(SER_hh_tes_in!U17=0,"",SER_hh_tes_in!U17/SER_hh_fec_in!U17)</f>
        <v>1.6480738851303844</v>
      </c>
      <c r="V17" s="137">
        <f>IF(SER_hh_tes_in!V17=0,"",SER_hh_tes_in!V17/SER_hh_fec_in!V17)</f>
        <v>1.6849445743572518</v>
      </c>
      <c r="W17" s="137">
        <f>IF(SER_hh_tes_in!W17=0,"",SER_hh_tes_in!W17/SER_hh_fec_in!W17)</f>
        <v>1.7151517452815328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2.5769711663265893</v>
      </c>
      <c r="D18" s="137">
        <f>IF(SER_hh_tes_in!D18=0,"",SER_hh_tes_in!D18/SER_hh_fec_in!D18)</f>
        <v>2.6701744600342479</v>
      </c>
      <c r="E18" s="137">
        <f>IF(SER_hh_tes_in!E18=0,"",SER_hh_tes_in!E18/SER_hh_fec_in!E18)</f>
        <v>2.7643618521781592</v>
      </c>
      <c r="F18" s="137">
        <f>IF(SER_hh_tes_in!F18=0,"",SER_hh_tes_in!F18/SER_hh_fec_in!F18)</f>
        <v>2.8586503988759038</v>
      </c>
      <c r="G18" s="137">
        <f>IF(SER_hh_tes_in!G18=0,"",SER_hh_tes_in!G18/SER_hh_fec_in!G18)</f>
        <v>2.9538349201036742</v>
      </c>
      <c r="H18" s="137">
        <f>IF(SER_hh_tes_in!H18=0,"",SER_hh_tes_in!H18/SER_hh_fec_in!H18)</f>
        <v>3.0498129746661147</v>
      </c>
      <c r="I18" s="137">
        <f>IF(SER_hh_tes_in!I18=0,"",SER_hh_tes_in!I18/SER_hh_fec_in!I18)</f>
        <v>3.1467750373221177</v>
      </c>
      <c r="J18" s="137">
        <f>IF(SER_hh_tes_in!J18=0,"",SER_hh_tes_in!J18/SER_hh_fec_in!J18)</f>
        <v>3.2455133969091499</v>
      </c>
      <c r="K18" s="137">
        <f>IF(SER_hh_tes_in!K18=0,"",SER_hh_tes_in!K18/SER_hh_fec_in!K18)</f>
        <v>3.3466942268012634</v>
      </c>
      <c r="L18" s="137">
        <f>IF(SER_hh_tes_in!L18=0,"",SER_hh_tes_in!L18/SER_hh_fec_in!L18)</f>
        <v>3.4504822344643316</v>
      </c>
      <c r="M18" s="137">
        <f>IF(SER_hh_tes_in!M18=0,"",SER_hh_tes_in!M18/SER_hh_fec_in!M18)</f>
        <v>3.5744472297968111</v>
      </c>
      <c r="N18" s="137">
        <f>IF(SER_hh_tes_in!N18=0,"",SER_hh_tes_in!N18/SER_hh_fec_in!N18)</f>
        <v>3.7243391095345695</v>
      </c>
      <c r="O18" s="137">
        <f>IF(SER_hh_tes_in!O18=0,"",SER_hh_tes_in!O18/SER_hh_fec_in!O18)</f>
        <v>3.9033366915027172</v>
      </c>
      <c r="P18" s="137">
        <f>IF(SER_hh_tes_in!P18=0,"",SER_hh_tes_in!P18/SER_hh_fec_in!P18)</f>
        <v>4.0974557147758803</v>
      </c>
      <c r="Q18" s="137">
        <f>IF(SER_hh_tes_in!Q18=0,"",SER_hh_tes_in!Q18/SER_hh_fec_in!Q18)</f>
        <v>4.2642784171389172</v>
      </c>
      <c r="R18" s="137">
        <f>IF(SER_hh_tes_in!R18=0,"",SER_hh_tes_in!R18/SER_hh_fec_in!R18)</f>
        <v>4.3689360101613826</v>
      </c>
      <c r="S18" s="137">
        <f>IF(SER_hh_tes_in!S18=0,"",SER_hh_tes_in!S18/SER_hh_fec_in!S18)</f>
        <v>4.4522383155819378</v>
      </c>
      <c r="T18" s="137">
        <f>IF(SER_hh_tes_in!T18=0,"",SER_hh_tes_in!T18/SER_hh_fec_in!T18)</f>
        <v>4.5218405628420975</v>
      </c>
      <c r="U18" s="137">
        <f>IF(SER_hh_tes_in!U18=0,"",SER_hh_tes_in!U18/SER_hh_fec_in!U18)</f>
        <v>4.5852044796089491</v>
      </c>
      <c r="V18" s="137">
        <f>IF(SER_hh_tes_in!V18=0,"",SER_hh_tes_in!V18/SER_hh_fec_in!V18)</f>
        <v>4.6498109242938304</v>
      </c>
      <c r="W18" s="137">
        <f>IF(SER_hh_tes_in!W18=0,"",SER_hh_tes_in!W18/SER_hh_fec_in!W18)</f>
        <v>4.7130615360995769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0.71102200919909997</v>
      </c>
      <c r="D19" s="136">
        <f>IF(SER_hh_tes_in!D19=0,"",SER_hh_tes_in!D19/SER_hh_fec_in!D19)</f>
        <v>0.72138081828533651</v>
      </c>
      <c r="E19" s="136">
        <f>IF(SER_hh_tes_in!E19=0,"",SER_hh_tes_in!E19/SER_hh_fec_in!E19)</f>
        <v>0.73053556093472383</v>
      </c>
      <c r="F19" s="136">
        <f>IF(SER_hh_tes_in!F19=0,"",SER_hh_tes_in!F19/SER_hh_fec_in!F19)</f>
        <v>0.74359474231677702</v>
      </c>
      <c r="G19" s="136">
        <f>IF(SER_hh_tes_in!G19=0,"",SER_hh_tes_in!G19/SER_hh_fec_in!G19)</f>
        <v>0.73462964197733127</v>
      </c>
      <c r="H19" s="136">
        <f>IF(SER_hh_tes_in!H19=0,"",SER_hh_tes_in!H19/SER_hh_fec_in!H19)</f>
        <v>0.73483330963837001</v>
      </c>
      <c r="I19" s="136">
        <f>IF(SER_hh_tes_in!I19=0,"",SER_hh_tes_in!I19/SER_hh_fec_in!I19)</f>
        <v>0.74440164723186597</v>
      </c>
      <c r="J19" s="136">
        <f>IF(SER_hh_tes_in!J19=0,"",SER_hh_tes_in!J19/SER_hh_fec_in!J19)</f>
        <v>0.74068949000219386</v>
      </c>
      <c r="K19" s="136">
        <f>IF(SER_hh_tes_in!K19=0,"",SER_hh_tes_in!K19/SER_hh_fec_in!K19)</f>
        <v>0.78366077369345644</v>
      </c>
      <c r="L19" s="136">
        <f>IF(SER_hh_tes_in!L19=0,"",SER_hh_tes_in!L19/SER_hh_fec_in!L19)</f>
        <v>0.74717351266535248</v>
      </c>
      <c r="M19" s="136">
        <f>IF(SER_hh_tes_in!M19=0,"",SER_hh_tes_in!M19/SER_hh_fec_in!M19)</f>
        <v>0.76994682755216148</v>
      </c>
      <c r="N19" s="136">
        <f>IF(SER_hh_tes_in!N19=0,"",SER_hh_tes_in!N19/SER_hh_fec_in!N19)</f>
        <v>0.77338714908051831</v>
      </c>
      <c r="O19" s="136">
        <f>IF(SER_hh_tes_in!O19=0,"",SER_hh_tes_in!O19/SER_hh_fec_in!O19)</f>
        <v>0.81756818021258937</v>
      </c>
      <c r="P19" s="136">
        <f>IF(SER_hh_tes_in!P19=0,"",SER_hh_tes_in!P19/SER_hh_fec_in!P19)</f>
        <v>0.84688139793869821</v>
      </c>
      <c r="Q19" s="136">
        <f>IF(SER_hh_tes_in!Q19=0,"",SER_hh_tes_in!Q19/SER_hh_fec_in!Q19)</f>
        <v>0.84908174463788622</v>
      </c>
      <c r="R19" s="136">
        <f>IF(SER_hh_tes_in!R19=0,"",SER_hh_tes_in!R19/SER_hh_fec_in!R19)</f>
        <v>0.86574485239281118</v>
      </c>
      <c r="S19" s="136">
        <f>IF(SER_hh_tes_in!S19=0,"",SER_hh_tes_in!S19/SER_hh_fec_in!S19)</f>
        <v>0.87373275205739498</v>
      </c>
      <c r="T19" s="136">
        <f>IF(SER_hh_tes_in!T19=0,"",SER_hh_tes_in!T19/SER_hh_fec_in!T19)</f>
        <v>0.89360842079929936</v>
      </c>
      <c r="U19" s="136">
        <f>IF(SER_hh_tes_in!U19=0,"",SER_hh_tes_in!U19/SER_hh_fec_in!U19)</f>
        <v>0.91403691358441275</v>
      </c>
      <c r="V19" s="136">
        <f>IF(SER_hh_tes_in!V19=0,"",SER_hh_tes_in!V19/SER_hh_fec_in!V19)</f>
        <v>0.93705859671486602</v>
      </c>
      <c r="W19" s="136">
        <f>IF(SER_hh_tes_in!W19=0,"",SER_hh_tes_in!W19/SER_hh_fec_in!W19)</f>
        <v>0.93198375753117579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0.59079915160695173</v>
      </c>
      <c r="D22" s="137">
        <f>IF(SER_hh_tes_in!D22=0,"",SER_hh_tes_in!D22/SER_hh_fec_in!D22)</f>
        <v>0.59270996244394714</v>
      </c>
      <c r="E22" s="137">
        <f>IF(SER_hh_tes_in!E22=0,"",SER_hh_tes_in!E22/SER_hh_fec_in!E22)</f>
        <v>0.59493709641584702</v>
      </c>
      <c r="F22" s="137">
        <f>IF(SER_hh_tes_in!F22=0,"",SER_hh_tes_in!F22/SER_hh_fec_in!F22)</f>
        <v>0.59720736536068841</v>
      </c>
      <c r="G22" s="137">
        <f>IF(SER_hh_tes_in!G22=0,"",SER_hh_tes_in!G22/SER_hh_fec_in!G22)</f>
        <v>0.59976894930695279</v>
      </c>
      <c r="H22" s="137">
        <f>IF(SER_hh_tes_in!H22=0,"",SER_hh_tes_in!H22/SER_hh_fec_in!H22)</f>
        <v>0.60259147417866243</v>
      </c>
      <c r="I22" s="137">
        <f>IF(SER_hh_tes_in!I22=0,"",SER_hh_tes_in!I22/SER_hh_fec_in!I22)</f>
        <v>0.60573609154208707</v>
      </c>
      <c r="J22" s="137">
        <f>IF(SER_hh_tes_in!J22=0,"",SER_hh_tes_in!J22/SER_hh_fec_in!J22)</f>
        <v>0.6094533177796726</v>
      </c>
      <c r="K22" s="137">
        <f>IF(SER_hh_tes_in!K22=0,"",SER_hh_tes_in!K22/SER_hh_fec_in!K22)</f>
        <v>0.61395615771014356</v>
      </c>
      <c r="L22" s="137">
        <f>IF(SER_hh_tes_in!L22=0,"",SER_hh_tes_in!L22/SER_hh_fec_in!L22)</f>
        <v>0.61930159885526415</v>
      </c>
      <c r="M22" s="137">
        <f>IF(SER_hh_tes_in!M22=0,"",SER_hh_tes_in!M22/SER_hh_fec_in!M22)</f>
        <v>0.63054431402350597</v>
      </c>
      <c r="N22" s="137">
        <f>IF(SER_hh_tes_in!N22=0,"",SER_hh_tes_in!N22/SER_hh_fec_in!N22)</f>
        <v>0.64928865288983928</v>
      </c>
      <c r="O22" s="137">
        <f>IF(SER_hh_tes_in!O22=0,"",SER_hh_tes_in!O22/SER_hh_fec_in!O22)</f>
        <v>0.67687388380407476</v>
      </c>
      <c r="P22" s="137">
        <f>IF(SER_hh_tes_in!P22=0,"",SER_hh_tes_in!P22/SER_hh_fec_in!P22)</f>
        <v>0.71048524080187947</v>
      </c>
      <c r="Q22" s="137">
        <f>IF(SER_hh_tes_in!Q22=0,"",SER_hh_tes_in!Q22/SER_hh_fec_in!Q22)</f>
        <v>0.74100273821656037</v>
      </c>
      <c r="R22" s="137">
        <f>IF(SER_hh_tes_in!R22=0,"",SER_hh_tes_in!R22/SER_hh_fec_in!R22)</f>
        <v>0.76159831564692437</v>
      </c>
      <c r="S22" s="137">
        <f>IF(SER_hh_tes_in!S22=0,"",SER_hh_tes_in!S22/SER_hh_fec_in!S22)</f>
        <v>0.78144496298893384</v>
      </c>
      <c r="T22" s="137">
        <f>IF(SER_hh_tes_in!T22=0,"",SER_hh_tes_in!T22/SER_hh_fec_in!T22)</f>
        <v>0.7994192851099825</v>
      </c>
      <c r="U22" s="137">
        <f>IF(SER_hh_tes_in!U22=0,"",SER_hh_tes_in!U22/SER_hh_fec_in!U22)</f>
        <v>0.81439788687752668</v>
      </c>
      <c r="V22" s="137">
        <f>IF(SER_hh_tes_in!V22=0,"",SER_hh_tes_in!V22/SER_hh_fec_in!V22)</f>
        <v>0.82525737315899617</v>
      </c>
      <c r="W22" s="137">
        <f>IF(SER_hh_tes_in!W22=0,"",SER_hh_tes_in!W22/SER_hh_fec_in!W22)</f>
        <v>0.83036554654205141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0.6443304347072415</v>
      </c>
      <c r="D23" s="137">
        <f>IF(SER_hh_tes_in!D23=0,"",SER_hh_tes_in!D23/SER_hh_fec_in!D23)</f>
        <v>0.65009961843178699</v>
      </c>
      <c r="E23" s="137">
        <f>IF(SER_hh_tes_in!E23=0,"",SER_hh_tes_in!E23/SER_hh_fec_in!E23)</f>
        <v>0.65611824245941963</v>
      </c>
      <c r="F23" s="137">
        <f>IF(SER_hh_tes_in!F23=0,"",SER_hh_tes_in!F23/SER_hh_fec_in!F23)</f>
        <v>0.66218551470870157</v>
      </c>
      <c r="G23" s="137">
        <f>IF(SER_hh_tes_in!G23=0,"",SER_hh_tes_in!G23/SER_hh_fec_in!G23)</f>
        <v>0.66848046922838167</v>
      </c>
      <c r="H23" s="137">
        <f>IF(SER_hh_tes_in!H23=0,"",SER_hh_tes_in!H23/SER_hh_fec_in!H23)</f>
        <v>0.67497886727558776</v>
      </c>
      <c r="I23" s="137">
        <f>IF(SER_hh_tes_in!I23=0,"",SER_hh_tes_in!I23/SER_hh_fec_in!I23)</f>
        <v>0.68172247395122199</v>
      </c>
      <c r="J23" s="137">
        <f>IF(SER_hh_tes_in!J23=0,"",SER_hh_tes_in!J23/SER_hh_fec_in!J23)</f>
        <v>0.68888777286204472</v>
      </c>
      <c r="K23" s="137">
        <f>IF(SER_hh_tes_in!K23=0,"",SER_hh_tes_in!K23/SER_hh_fec_in!K23)</f>
        <v>0.69662192456632466</v>
      </c>
      <c r="L23" s="137">
        <f>IF(SER_hh_tes_in!L23=0,"",SER_hh_tes_in!L23/SER_hh_fec_in!L23)</f>
        <v>0.70495924173985425</v>
      </c>
      <c r="M23" s="137">
        <f>IF(SER_hh_tes_in!M23=0,"",SER_hh_tes_in!M23/SER_hh_fec_in!M23)</f>
        <v>0.71756740590882762</v>
      </c>
      <c r="N23" s="137">
        <f>IF(SER_hh_tes_in!N23=0,"",SER_hh_tes_in!N23/SER_hh_fec_in!N23)</f>
        <v>0.73557536516951239</v>
      </c>
      <c r="O23" s="137">
        <f>IF(SER_hh_tes_in!O23=0,"",SER_hh_tes_in!O23/SER_hh_fec_in!O23)</f>
        <v>0.75981671017871544</v>
      </c>
      <c r="P23" s="137">
        <f>IF(SER_hh_tes_in!P23=0,"",SER_hh_tes_in!P23/SER_hh_fec_in!P23)</f>
        <v>0.78802538611509354</v>
      </c>
      <c r="Q23" s="137">
        <f>IF(SER_hh_tes_in!Q23=0,"",SER_hh_tes_in!Q23/SER_hh_fec_in!Q23)</f>
        <v>0.8130923342193378</v>
      </c>
      <c r="R23" s="137">
        <f>IF(SER_hh_tes_in!R23=0,"",SER_hh_tes_in!R23/SER_hh_fec_in!R23)</f>
        <v>0.8295744865989686</v>
      </c>
      <c r="S23" s="137">
        <f>IF(SER_hh_tes_in!S23=0,"",SER_hh_tes_in!S23/SER_hh_fec_in!S23)</f>
        <v>0.84461338919706297</v>
      </c>
      <c r="T23" s="137">
        <f>IF(SER_hh_tes_in!T23=0,"",SER_hh_tes_in!T23/SER_hh_fec_in!T23)</f>
        <v>0.85781863371462286</v>
      </c>
      <c r="U23" s="137">
        <f>IF(SER_hh_tes_in!U23=0,"",SER_hh_tes_in!U23/SER_hh_fec_in!U23)</f>
        <v>0.86875523721714876</v>
      </c>
      <c r="V23" s="137">
        <f>IF(SER_hh_tes_in!V23=0,"",SER_hh_tes_in!V23/SER_hh_fec_in!V23)</f>
        <v>0.87694587328747486</v>
      </c>
      <c r="W23" s="137">
        <f>IF(SER_hh_tes_in!W23=0,"",SER_hh_tes_in!W23/SER_hh_fec_in!W23)</f>
        <v>0.88117318180730064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0.90138223804834938</v>
      </c>
      <c r="D25" s="137">
        <f>IF(SER_hh_tes_in!D25=0,"",SER_hh_tes_in!D25/SER_hh_fec_in!D25)</f>
        <v>0.90273932099118814</v>
      </c>
      <c r="E25" s="137">
        <f>IF(SER_hh_tes_in!E25=0,"",SER_hh_tes_in!E25/SER_hh_fec_in!E25)</f>
        <v>0.90413304163297015</v>
      </c>
      <c r="F25" s="137">
        <f>IF(SER_hh_tes_in!F25=0,"",SER_hh_tes_in!F25/SER_hh_fec_in!F25)</f>
        <v>0.9055317583246083</v>
      </c>
      <c r="G25" s="137">
        <f>IF(SER_hh_tes_in!G25=0,"",SER_hh_tes_in!G25/SER_hh_fec_in!G25)</f>
        <v>0.90696421618197887</v>
      </c>
      <c r="H25" s="137">
        <f>IF(SER_hh_tes_in!H25=0,"",SER_hh_tes_in!H25/SER_hh_fec_in!H25)</f>
        <v>0.90842689716884517</v>
      </c>
      <c r="I25" s="137">
        <f>IF(SER_hh_tes_in!I25=0,"",SER_hh_tes_in!I25/SER_hh_fec_in!I25)</f>
        <v>0.90992688408259847</v>
      </c>
      <c r="J25" s="137">
        <f>IF(SER_hh_tes_in!J25=0,"",SER_hh_tes_in!J25/SER_hh_fec_in!J25)</f>
        <v>0.91149319264415141</v>
      </c>
      <c r="K25" s="137">
        <f>IF(SER_hh_tes_in!K25=0,"",SER_hh_tes_in!K25/SER_hh_fec_in!K25)</f>
        <v>0.91315049384832159</v>
      </c>
      <c r="L25" s="137">
        <f>IF(SER_hh_tes_in!L25=0,"",SER_hh_tes_in!L25/SER_hh_fec_in!L25)</f>
        <v>0.91490538819768208</v>
      </c>
      <c r="M25" s="137">
        <f>IF(SER_hh_tes_in!M25=0,"",SER_hh_tes_in!M25/SER_hh_fec_in!M25)</f>
        <v>0.91733525850711251</v>
      </c>
      <c r="N25" s="137">
        <f>IF(SER_hh_tes_in!N25=0,"",SER_hh_tes_in!N25/SER_hh_fec_in!N25)</f>
        <v>0.92062265873774352</v>
      </c>
      <c r="O25" s="137">
        <f>IF(SER_hh_tes_in!O25=0,"",SER_hh_tes_in!O25/SER_hh_fec_in!O25)</f>
        <v>0.92492761961943237</v>
      </c>
      <c r="P25" s="137" t="str">
        <f>IF(SER_hh_tes_in!P25=0,"",SER_hh_tes_in!P25/SER_hh_fec_in!P25)</f>
        <v/>
      </c>
      <c r="Q25" s="137">
        <f>IF(SER_hh_tes_in!Q25=0,"",SER_hh_tes_in!Q25/SER_hh_fec_in!Q25)</f>
        <v>0.93468008725662366</v>
      </c>
      <c r="R25" s="137">
        <f>IF(SER_hh_tes_in!R25=0,"",SER_hh_tes_in!R25/SER_hh_fec_in!R25)</f>
        <v>0.93830791245282708</v>
      </c>
      <c r="S25" s="137">
        <f>IF(SER_hh_tes_in!S25=0,"",SER_hh_tes_in!S25/SER_hh_fec_in!S25)</f>
        <v>0.9418371799113453</v>
      </c>
      <c r="T25" s="137">
        <f>IF(SER_hh_tes_in!T25=0,"",SER_hh_tes_in!T25/SER_hh_fec_in!T25)</f>
        <v>0.94524430858028419</v>
      </c>
      <c r="U25" s="137">
        <f>IF(SER_hh_tes_in!U25=0,"",SER_hh_tes_in!U25/SER_hh_fec_in!U25)</f>
        <v>0.94850571740776057</v>
      </c>
      <c r="V25" s="137">
        <f>IF(SER_hh_tes_in!V25=0,"",SER_hh_tes_in!V25/SER_hh_fec_in!V25)</f>
        <v>0.95159782534188642</v>
      </c>
      <c r="W25" s="137">
        <f>IF(SER_hh_tes_in!W25=0,"",SER_hh_tes_in!W25/SER_hh_fec_in!W25)</f>
        <v>0.95444625273806027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0.74618178718032657</v>
      </c>
      <c r="D26" s="138">
        <f>IF(SER_hh_tes_in!D26=0,"",SER_hh_tes_in!D26/SER_hh_fec_in!D26)</f>
        <v>0.74841396273262195</v>
      </c>
      <c r="E26" s="138">
        <f>IF(SER_hh_tes_in!E26=0,"",SER_hh_tes_in!E26/SER_hh_fec_in!E26)</f>
        <v>0.75081782415284604</v>
      </c>
      <c r="F26" s="138">
        <f>IF(SER_hh_tes_in!F26=0,"",SER_hh_tes_in!F26/SER_hh_fec_in!F26)</f>
        <v>0.75324477685775415</v>
      </c>
      <c r="G26" s="138">
        <f>IF(SER_hh_tes_in!G26=0,"",SER_hh_tes_in!G26/SER_hh_fec_in!G26)</f>
        <v>0.75583121833287781</v>
      </c>
      <c r="H26" s="138">
        <f>IF(SER_hh_tes_in!H26=0,"",SER_hh_tes_in!H26/SER_hh_fec_in!H26)</f>
        <v>0.75856186025395067</v>
      </c>
      <c r="I26" s="138">
        <f>IF(SER_hh_tes_in!I26=0,"",SER_hh_tes_in!I26/SER_hh_fec_in!I26)</f>
        <v>0.76147222652157798</v>
      </c>
      <c r="J26" s="138">
        <f>IF(SER_hh_tes_in!J26=0,"",SER_hh_tes_in!J26/SER_hh_fec_in!J26)</f>
        <v>0.76470451364024805</v>
      </c>
      <c r="K26" s="138">
        <f>IF(SER_hh_tes_in!K26=0,"",SER_hh_tes_in!K26/SER_hh_fec_in!K26)</f>
        <v>0.76838473619451564</v>
      </c>
      <c r="L26" s="138">
        <f>IF(SER_hh_tes_in!L26=0,"",SER_hh_tes_in!L26/SER_hh_fec_in!L26)</f>
        <v>0.7725569976825436</v>
      </c>
      <c r="M26" s="138">
        <f>IF(SER_hh_tes_in!M26=0,"",SER_hh_tes_in!M26/SER_hh_fec_in!M26)</f>
        <v>0.78011230730294068</v>
      </c>
      <c r="N26" s="138">
        <f>IF(SER_hh_tes_in!N26=0,"",SER_hh_tes_in!N26/SER_hh_fec_in!N26)</f>
        <v>0.79232093106243418</v>
      </c>
      <c r="O26" s="138">
        <f>IF(SER_hh_tes_in!O26=0,"",SER_hh_tes_in!O26/SER_hh_fec_in!O26)</f>
        <v>0.81081183692658554</v>
      </c>
      <c r="P26" s="138">
        <f>IF(SER_hh_tes_in!P26=0,"",SER_hh_tes_in!P26/SER_hh_fec_in!P26)</f>
        <v>0.83486613177196489</v>
      </c>
      <c r="Q26" s="138">
        <f>IF(SER_hh_tes_in!Q26=0,"",SER_hh_tes_in!Q26/SER_hh_fec_in!Q26)</f>
        <v>0.85846918011440565</v>
      </c>
      <c r="R26" s="138">
        <f>IF(SER_hh_tes_in!R26=0,"",SER_hh_tes_in!R26/SER_hh_fec_in!R26)</f>
        <v>0.87538915929928696</v>
      </c>
      <c r="S26" s="138">
        <f>IF(SER_hh_tes_in!S26=0,"",SER_hh_tes_in!S26/SER_hh_fec_in!S26)</f>
        <v>0.89214233318458991</v>
      </c>
      <c r="T26" s="138">
        <f>IF(SER_hh_tes_in!T26=0,"",SER_hh_tes_in!T26/SER_hh_fec_in!T26)</f>
        <v>0.90837741883415746</v>
      </c>
      <c r="U26" s="138">
        <f>IF(SER_hh_tes_in!U26=0,"",SER_hh_tes_in!U26/SER_hh_fec_in!U26)</f>
        <v>0.92362819864842882</v>
      </c>
      <c r="V26" s="138">
        <f>IF(SER_hh_tes_in!V26=0,"",SER_hh_tes_in!V26/SER_hh_fec_in!V26)</f>
        <v>0.93717940148339729</v>
      </c>
      <c r="W26" s="138">
        <f>IF(SER_hh_tes_in!W26=0,"",SER_hh_tes_in!W26/SER_hh_fec_in!W26)</f>
        <v>0.94784681787871461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>
        <f>IF(SER_hh_tes_in!C27=0,"",SER_hh_tes_in!C27/SER_hh_fec_in!C27)</f>
        <v>1</v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0.71332316519196537</v>
      </c>
      <c r="D29" s="136">
        <f>IF(SER_hh_tes_in!D29=0,"",SER_hh_tes_in!D29/SER_hh_fec_in!D29)</f>
        <v>0.7108385614460101</v>
      </c>
      <c r="E29" s="136">
        <f>IF(SER_hh_tes_in!E29=0,"",SER_hh_tes_in!E29/SER_hh_fec_in!E29)</f>
        <v>0.71223021804545272</v>
      </c>
      <c r="F29" s="136">
        <f>IF(SER_hh_tes_in!F29=0,"",SER_hh_tes_in!F29/SER_hh_fec_in!F29)</f>
        <v>0.71102765502691545</v>
      </c>
      <c r="G29" s="136">
        <f>IF(SER_hh_tes_in!G29=0,"",SER_hh_tes_in!G29/SER_hh_fec_in!G29)</f>
        <v>0.72581941434156483</v>
      </c>
      <c r="H29" s="136">
        <f>IF(SER_hh_tes_in!H29=0,"",SER_hh_tes_in!H29/SER_hh_fec_in!H29)</f>
        <v>0.72837202294023917</v>
      </c>
      <c r="I29" s="136">
        <f>IF(SER_hh_tes_in!I29=0,"",SER_hh_tes_in!I29/SER_hh_fec_in!I29)</f>
        <v>0.72477505383227914</v>
      </c>
      <c r="J29" s="136">
        <f>IF(SER_hh_tes_in!J29=0,"",SER_hh_tes_in!J29/SER_hh_fec_in!J29)</f>
        <v>0.72859959564082732</v>
      </c>
      <c r="K29" s="136">
        <f>IF(SER_hh_tes_in!K29=0,"",SER_hh_tes_in!K29/SER_hh_fec_in!K29)</f>
        <v>0.72394367186641517</v>
      </c>
      <c r="L29" s="136">
        <f>IF(SER_hh_tes_in!L29=0,"",SER_hh_tes_in!L29/SER_hh_fec_in!L29)</f>
        <v>0.73398919443632127</v>
      </c>
      <c r="M29" s="136">
        <f>IF(SER_hh_tes_in!M29=0,"",SER_hh_tes_in!M29/SER_hh_fec_in!M29)</f>
        <v>0.73948976832718194</v>
      </c>
      <c r="N29" s="136">
        <f>IF(SER_hh_tes_in!N29=0,"",SER_hh_tes_in!N29/SER_hh_fec_in!N29)</f>
        <v>0.73623879633248968</v>
      </c>
      <c r="O29" s="136">
        <f>IF(SER_hh_tes_in!O29=0,"",SER_hh_tes_in!O29/SER_hh_fec_in!O29)</f>
        <v>0.73186123015951599</v>
      </c>
      <c r="P29" s="136">
        <f>IF(SER_hh_tes_in!P29=0,"",SER_hh_tes_in!P29/SER_hh_fec_in!P29)</f>
        <v>0.72798412000155688</v>
      </c>
      <c r="Q29" s="136">
        <f>IF(SER_hh_tes_in!Q29=0,"",SER_hh_tes_in!Q29/SER_hh_fec_in!Q29)</f>
        <v>0.76883664856898049</v>
      </c>
      <c r="R29" s="136">
        <f>IF(SER_hh_tes_in!R29=0,"",SER_hh_tes_in!R29/SER_hh_fec_in!R29)</f>
        <v>0.75587585392765611</v>
      </c>
      <c r="S29" s="136">
        <f>IF(SER_hh_tes_in!S29=0,"",SER_hh_tes_in!S29/SER_hh_fec_in!S29)</f>
        <v>0.76594902090936468</v>
      </c>
      <c r="T29" s="136">
        <f>IF(SER_hh_tes_in!T29=0,"",SER_hh_tes_in!T29/SER_hh_fec_in!T29)</f>
        <v>0.76964804464639769</v>
      </c>
      <c r="U29" s="136">
        <f>IF(SER_hh_tes_in!U29=0,"",SER_hh_tes_in!U29/SER_hh_fec_in!U29)</f>
        <v>0.79122370897047078</v>
      </c>
      <c r="V29" s="136">
        <f>IF(SER_hh_tes_in!V29=0,"",SER_hh_tes_in!V29/SER_hh_fec_in!V29)</f>
        <v>0.78699821445624529</v>
      </c>
      <c r="W29" s="136">
        <f>IF(SER_hh_tes_in!W29=0,"",SER_hh_tes_in!W29/SER_hh_fec_in!W29)</f>
        <v>0.77702591316001934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0.60758538857967415</v>
      </c>
      <c r="D30" s="137">
        <f>IF(SER_hh_tes_in!D30=0,"",SER_hh_tes_in!D30/SER_hh_fec_in!D30)</f>
        <v>0.60784300039833972</v>
      </c>
      <c r="E30" s="137">
        <f>IF(SER_hh_tes_in!E30=0,"",SER_hh_tes_in!E30/SER_hh_fec_in!E30)</f>
        <v>0.60809697910527771</v>
      </c>
      <c r="F30" s="137">
        <f>IF(SER_hh_tes_in!F30=0,"",SER_hh_tes_in!F30/SER_hh_fec_in!F30)</f>
        <v>0.60835046238788926</v>
      </c>
      <c r="G30" s="137">
        <f>IF(SER_hh_tes_in!G30=0,"",SER_hh_tes_in!G30/SER_hh_fec_in!G30)</f>
        <v>0.60860059978829606</v>
      </c>
      <c r="H30" s="137">
        <f>IF(SER_hh_tes_in!H30=0,"",SER_hh_tes_in!H30/SER_hh_fec_in!H30)</f>
        <v>0.60884774016625409</v>
      </c>
      <c r="I30" s="137" t="str">
        <f>IF(SER_hh_tes_in!I30=0,"",SER_hh_tes_in!I30/SER_hh_fec_in!I30)</f>
        <v/>
      </c>
      <c r="J30" s="137" t="str">
        <f>IF(SER_hh_tes_in!J30=0,"",SER_hh_tes_in!J30/SER_hh_fec_in!J30)</f>
        <v/>
      </c>
      <c r="K30" s="137">
        <f>IF(SER_hh_tes_in!K30=0,"",SER_hh_tes_in!K30/SER_hh_fec_in!K30)</f>
        <v>0.60955588671721617</v>
      </c>
      <c r="L30" s="137">
        <f>IF(SER_hh_tes_in!L30=0,"",SER_hh_tes_in!L30/SER_hh_fec_in!L30)</f>
        <v>0.60977405028099696</v>
      </c>
      <c r="M30" s="137" t="str">
        <f>IF(SER_hh_tes_in!M30=0,"",SER_hh_tes_in!M30/SER_hh_fec_in!M30)</f>
        <v/>
      </c>
      <c r="N30" s="137">
        <f>IF(SER_hh_tes_in!N30=0,"",SER_hh_tes_in!N30/SER_hh_fec_in!N30)</f>
        <v>0.60989145116258792</v>
      </c>
      <c r="O30" s="137">
        <f>IF(SER_hh_tes_in!O30=0,"",SER_hh_tes_in!O30/SER_hh_fec_in!O30)</f>
        <v>0.60989145116258792</v>
      </c>
      <c r="P30" s="137">
        <f>IF(SER_hh_tes_in!P30=0,"",SER_hh_tes_in!P30/SER_hh_fec_in!P30)</f>
        <v>0.60989145116258792</v>
      </c>
      <c r="Q30" s="137">
        <f>IF(SER_hh_tes_in!Q30=0,"",SER_hh_tes_in!Q30/SER_hh_fec_in!Q30)</f>
        <v>0.60989145116258792</v>
      </c>
      <c r="R30" s="137">
        <f>IF(SER_hh_tes_in!R30=0,"",SER_hh_tes_in!R30/SER_hh_fec_in!R30)</f>
        <v>0.61063315453352573</v>
      </c>
      <c r="S30" s="137">
        <f>IF(SER_hh_tes_in!S30=0,"",SER_hh_tes_in!S30/SER_hh_fec_in!S30)</f>
        <v>0.61184600759592056</v>
      </c>
      <c r="T30" s="137">
        <f>IF(SER_hh_tes_in!T30=0,"",SER_hh_tes_in!T30/SER_hh_fec_in!T30)</f>
        <v>0.6132610028353801</v>
      </c>
      <c r="U30" s="137">
        <f>IF(SER_hh_tes_in!U30=0,"",SER_hh_tes_in!U30/SER_hh_fec_in!U30)</f>
        <v>0.61472653361910634</v>
      </c>
      <c r="V30" s="137">
        <f>IF(SER_hh_tes_in!V30=0,"",SER_hh_tes_in!V30/SER_hh_fec_in!V30)</f>
        <v>0.61609099331429973</v>
      </c>
      <c r="W30" s="137">
        <f>IF(SER_hh_tes_in!W30=0,"",SER_hh_tes_in!W30/SER_hh_fec_in!W30)</f>
        <v>0.61735438192095959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0.61095258604929303</v>
      </c>
      <c r="D31" s="137">
        <f>IF(SER_hh_tes_in!D31=0,"",SER_hh_tes_in!D31/SER_hh_fec_in!D31)</f>
        <v>0.61137426672657846</v>
      </c>
      <c r="E31" s="137">
        <f>IF(SER_hh_tes_in!E31=0,"",SER_hh_tes_in!E31/SER_hh_fec_in!E31)</f>
        <v>0.61179000042122234</v>
      </c>
      <c r="F31" s="137">
        <f>IF(SER_hh_tes_in!F31=0,"",SER_hh_tes_in!F31/SER_hh_fec_in!F31)</f>
        <v>0.6122049231636878</v>
      </c>
      <c r="G31" s="137">
        <f>IF(SER_hh_tes_in!G31=0,"",SER_hh_tes_in!G31/SER_hh_fec_in!G31)</f>
        <v>0.61261436908493616</v>
      </c>
      <c r="H31" s="137">
        <f>IF(SER_hh_tes_in!H31=0,"",SER_hh_tes_in!H31/SER_hh_fec_in!H31)</f>
        <v>0.61301890922793822</v>
      </c>
      <c r="I31" s="137">
        <f>IF(SER_hh_tes_in!I31=0,"",SER_hh_tes_in!I31/SER_hh_fec_in!I31)</f>
        <v>0.61341739392242622</v>
      </c>
      <c r="J31" s="137">
        <f>IF(SER_hh_tes_in!J31=0,"",SER_hh_tes_in!J31/SER_hh_fec_in!J31)</f>
        <v>0.6138051133751119</v>
      </c>
      <c r="K31" s="137">
        <f>IF(SER_hh_tes_in!K31=0,"",SER_hh_tes_in!K31/SER_hh_fec_in!K31)</f>
        <v>0.61417806302287659</v>
      </c>
      <c r="L31" s="137">
        <f>IF(SER_hh_tes_in!L31=0,"",SER_hh_tes_in!L31/SER_hh_fec_in!L31)</f>
        <v>0.61453517148090719</v>
      </c>
      <c r="M31" s="137">
        <f>IF(SER_hh_tes_in!M31=0,"",SER_hh_tes_in!M31/SER_hh_fec_in!M31)</f>
        <v>0.61472734311153976</v>
      </c>
      <c r="N31" s="137">
        <f>IF(SER_hh_tes_in!N31=0,"",SER_hh_tes_in!N31/SER_hh_fec_in!N31)</f>
        <v>0.61472734311153976</v>
      </c>
      <c r="O31" s="137">
        <f>IF(SER_hh_tes_in!O31=0,"",SER_hh_tes_in!O31/SER_hh_fec_in!O31)</f>
        <v>0.61472734311153976</v>
      </c>
      <c r="P31" s="137">
        <f>IF(SER_hh_tes_in!P31=0,"",SER_hh_tes_in!P31/SER_hh_fec_in!P31)</f>
        <v>0.61472734311153976</v>
      </c>
      <c r="Q31" s="137">
        <f>IF(SER_hh_tes_in!Q31=0,"",SER_hh_tes_in!Q31/SER_hh_fec_in!Q31)</f>
        <v>0.61472734311153976</v>
      </c>
      <c r="R31" s="137">
        <f>IF(SER_hh_tes_in!R31=0,"",SER_hh_tes_in!R31/SER_hh_fec_in!R31)</f>
        <v>0.61594142552989406</v>
      </c>
      <c r="S31" s="137">
        <f>IF(SER_hh_tes_in!S31=0,"",SER_hh_tes_in!S31/SER_hh_fec_in!S31)</f>
        <v>0.6179267253637597</v>
      </c>
      <c r="T31" s="137">
        <f>IF(SER_hh_tes_in!T31=0,"",SER_hh_tes_in!T31/SER_hh_fec_in!T31)</f>
        <v>0.62024290850326802</v>
      </c>
      <c r="U31" s="137">
        <f>IF(SER_hh_tes_in!U31=0,"",SER_hh_tes_in!U31/SER_hh_fec_in!U31)</f>
        <v>0.62264181246918771</v>
      </c>
      <c r="V31" s="137">
        <f>IF(SER_hh_tes_in!V31=0,"",SER_hh_tes_in!V31/SER_hh_fec_in!V31)</f>
        <v>0.62487527478228533</v>
      </c>
      <c r="W31" s="137">
        <f>IF(SER_hh_tes_in!W31=0,"",SER_hh_tes_in!W31/SER_hh_fec_in!W31)</f>
        <v>0.62694329544255989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0.80324267329540733</v>
      </c>
      <c r="D33" s="150">
        <f>IF(SER_hh_tes_in!D33=0,"",SER_hh_tes_in!D33/SER_hh_fec_in!D33)</f>
        <v>0.80424943614392375</v>
      </c>
      <c r="E33" s="150">
        <f>IF(SER_hh_tes_in!E33=0,"",SER_hh_tes_in!E33/SER_hh_fec_in!E33)</f>
        <v>0.80529342664236958</v>
      </c>
      <c r="F33" s="150">
        <f>IF(SER_hh_tes_in!F33=0,"",SER_hh_tes_in!F33/SER_hh_fec_in!F33)</f>
        <v>0.80634249363853305</v>
      </c>
      <c r="G33" s="150">
        <f>IF(SER_hh_tes_in!G33=0,"",SER_hh_tes_in!G33/SER_hh_fec_in!G33)</f>
        <v>0.80742584511058668</v>
      </c>
      <c r="H33" s="150">
        <f>IF(SER_hh_tes_in!H33=0,"",SER_hh_tes_in!H33/SER_hh_fec_in!H33)</f>
        <v>0.80853990637384066</v>
      </c>
      <c r="I33" s="150">
        <f>IF(SER_hh_tes_in!I33=0,"",SER_hh_tes_in!I33/SER_hh_fec_in!I33)</f>
        <v>0.80969187427497002</v>
      </c>
      <c r="J33" s="150">
        <f>IF(SER_hh_tes_in!J33=0,"",SER_hh_tes_in!J33/SER_hh_fec_in!J33)</f>
        <v>0.81091123175454505</v>
      </c>
      <c r="K33" s="150">
        <f>IF(SER_hh_tes_in!K33=0,"",SER_hh_tes_in!K33/SER_hh_fec_in!K33)</f>
        <v>0.81222304706698534</v>
      </c>
      <c r="L33" s="150">
        <f>IF(SER_hh_tes_in!L33=0,"",SER_hh_tes_in!L33/SER_hh_fec_in!L33)</f>
        <v>0.81363402699809462</v>
      </c>
      <c r="M33" s="150">
        <f>IF(SER_hh_tes_in!M33=0,"",SER_hh_tes_in!M33/SER_hh_fec_in!M33)</f>
        <v>0.81555371072669325</v>
      </c>
      <c r="N33" s="150">
        <f>IF(SER_hh_tes_in!N33=0,"",SER_hh_tes_in!N33/SER_hh_fec_in!N33)</f>
        <v>0.81809822460029569</v>
      </c>
      <c r="O33" s="150">
        <f>IF(SER_hh_tes_in!O33=0,"",SER_hh_tes_in!O33/SER_hh_fec_in!O33)</f>
        <v>0.82154992741443766</v>
      </c>
      <c r="P33" s="150">
        <f>IF(SER_hh_tes_in!P33=0,"",SER_hh_tes_in!P33/SER_hh_fec_in!P33)</f>
        <v>0.82605711655698111</v>
      </c>
      <c r="Q33" s="150">
        <f>IF(SER_hh_tes_in!Q33=0,"",SER_hh_tes_in!Q33/SER_hh_fec_in!Q33)</f>
        <v>0.83186628285578601</v>
      </c>
      <c r="R33" s="150">
        <f>IF(SER_hh_tes_in!R33=0,"",SER_hh_tes_in!R33/SER_hh_fec_in!R33)</f>
        <v>0.83976875786202565</v>
      </c>
      <c r="S33" s="150">
        <f>IF(SER_hh_tes_in!S33=0,"",SER_hh_tes_in!S33/SER_hh_fec_in!S33)</f>
        <v>0.84963178580155352</v>
      </c>
      <c r="T33" s="150">
        <f>IF(SER_hh_tes_in!T33=0,"",SER_hh_tes_in!T33/SER_hh_fec_in!T33)</f>
        <v>0.86023614045050423</v>
      </c>
      <c r="U33" s="150">
        <f>IF(SER_hh_tes_in!U33=0,"",SER_hh_tes_in!U33/SER_hh_fec_in!U33)</f>
        <v>0.87036259558504236</v>
      </c>
      <c r="V33" s="150">
        <f>IF(SER_hh_tes_in!V33=0,"",SER_hh_tes_in!V33/SER_hh_fec_in!V33)</f>
        <v>0.87879192498131942</v>
      </c>
      <c r="W33" s="150">
        <f>IF(SER_hh_tes_in!W33=0,"",SER_hh_tes_in!W33/SER_hh_fec_in!W33)</f>
        <v>0.88509585378903943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139.56906920323041</v>
      </c>
      <c r="D3" s="126">
        <f t="shared" si="0"/>
        <v>87.784495504008021</v>
      </c>
      <c r="E3" s="126">
        <f t="shared" si="0"/>
        <v>58.032155590655556</v>
      </c>
      <c r="F3" s="126">
        <f t="shared" si="0"/>
        <v>35.235405214156629</v>
      </c>
      <c r="G3" s="126">
        <f t="shared" si="0"/>
        <v>140.00104914558401</v>
      </c>
      <c r="H3" s="126">
        <f t="shared" si="0"/>
        <v>218.78758332138412</v>
      </c>
      <c r="I3" s="126">
        <f t="shared" si="0"/>
        <v>241.39087056932564</v>
      </c>
      <c r="J3" s="126">
        <f t="shared" si="0"/>
        <v>168.86439815251512</v>
      </c>
      <c r="K3" s="126">
        <f t="shared" si="0"/>
        <v>32.375884814916347</v>
      </c>
      <c r="L3" s="126">
        <f t="shared" si="0"/>
        <v>140.19693268087872</v>
      </c>
      <c r="M3" s="126">
        <f t="shared" si="0"/>
        <v>121.63144598177765</v>
      </c>
      <c r="N3" s="126">
        <f t="shared" si="0"/>
        <v>58.07575137054706</v>
      </c>
      <c r="O3" s="126">
        <f t="shared" si="0"/>
        <v>30.779077461610154</v>
      </c>
      <c r="P3" s="126">
        <f t="shared" si="0"/>
        <v>22.377605784686992</v>
      </c>
      <c r="Q3" s="126">
        <f t="shared" si="0"/>
        <v>99.424421473994613</v>
      </c>
      <c r="R3" s="126">
        <f t="shared" ref="R3:W3" si="1">SUM(R4,R16,R19,R29)</f>
        <v>47.465978390056563</v>
      </c>
      <c r="S3" s="126">
        <f t="shared" si="1"/>
        <v>49.810592133825601</v>
      </c>
      <c r="T3" s="126">
        <f t="shared" si="1"/>
        <v>44.038756677042635</v>
      </c>
      <c r="U3" s="126">
        <f t="shared" si="1"/>
        <v>38.848769828766976</v>
      </c>
      <c r="V3" s="126">
        <f t="shared" si="1"/>
        <v>33.367811732116436</v>
      </c>
      <c r="W3" s="126">
        <f t="shared" si="1"/>
        <v>35.21006457537915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111.53143321068326</v>
      </c>
      <c r="D4" s="131">
        <f t="shared" si="2"/>
        <v>68.493063120596588</v>
      </c>
      <c r="E4" s="131">
        <f t="shared" si="2"/>
        <v>47.159939899488094</v>
      </c>
      <c r="F4" s="131">
        <f t="shared" si="2"/>
        <v>29.140012516204578</v>
      </c>
      <c r="G4" s="131">
        <f t="shared" si="2"/>
        <v>115.5413245997009</v>
      </c>
      <c r="H4" s="131">
        <f t="shared" si="2"/>
        <v>181.63777189749649</v>
      </c>
      <c r="I4" s="131">
        <f t="shared" si="2"/>
        <v>196.9997493363382</v>
      </c>
      <c r="J4" s="131">
        <f t="shared" si="2"/>
        <v>140.24821986581293</v>
      </c>
      <c r="K4" s="131">
        <f t="shared" si="2"/>
        <v>26.27178198069042</v>
      </c>
      <c r="L4" s="131">
        <f t="shared" si="2"/>
        <v>120.33027469057912</v>
      </c>
      <c r="M4" s="131">
        <f t="shared" si="2"/>
        <v>99.254415935714988</v>
      </c>
      <c r="N4" s="131">
        <f t="shared" si="2"/>
        <v>47.636016001358115</v>
      </c>
      <c r="O4" s="131">
        <f t="shared" si="2"/>
        <v>25.179955379851915</v>
      </c>
      <c r="P4" s="131">
        <f t="shared" si="2"/>
        <v>17.577844058766654</v>
      </c>
      <c r="Q4" s="131">
        <f t="shared" si="2"/>
        <v>82.120357702615422</v>
      </c>
      <c r="R4" s="131">
        <f t="shared" ref="R4:W4" si="3">SUM(R5:R15)</f>
        <v>35.245601640111708</v>
      </c>
      <c r="S4" s="131">
        <f t="shared" si="3"/>
        <v>34.43449523991287</v>
      </c>
      <c r="T4" s="131">
        <f t="shared" si="3"/>
        <v>31.159615837406186</v>
      </c>
      <c r="U4" s="131">
        <f t="shared" si="3"/>
        <v>29.491802421927083</v>
      </c>
      <c r="V4" s="131">
        <f t="shared" si="3"/>
        <v>26.011221535493736</v>
      </c>
      <c r="W4" s="131">
        <f t="shared" si="3"/>
        <v>24.483284887142254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2.1831343684011201E-2</v>
      </c>
      <c r="D5" s="133">
        <v>5.5981807559718544E-2</v>
      </c>
      <c r="E5" s="133">
        <v>8.1140553792909659E-2</v>
      </c>
      <c r="F5" s="133">
        <v>4.814618959934216E-3</v>
      </c>
      <c r="G5" s="133">
        <v>0.26310955433546818</v>
      </c>
      <c r="H5" s="133">
        <v>0.353122522581308</v>
      </c>
      <c r="I5" s="133">
        <v>1.1425257627250138</v>
      </c>
      <c r="J5" s="133">
        <v>0.65712113803005323</v>
      </c>
      <c r="K5" s="133">
        <v>9.8402735790792228E-2</v>
      </c>
      <c r="L5" s="133">
        <v>8.812695807853281E-2</v>
      </c>
      <c r="M5" s="133">
        <v>6.3818377557991135E-2</v>
      </c>
      <c r="N5" s="133">
        <v>3.5628605048176873E-2</v>
      </c>
      <c r="O5" s="133">
        <v>2.180114277255258E-2</v>
      </c>
      <c r="P5" s="133">
        <v>2.0800579513758577E-2</v>
      </c>
      <c r="Q5" s="133">
        <v>0.62620858924431488</v>
      </c>
      <c r="R5" s="133">
        <v>0.51240687378219663</v>
      </c>
      <c r="S5" s="133">
        <v>0.1960401529251363</v>
      </c>
      <c r="T5" s="133">
        <v>1.1471940740356547E-2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5.7758446707075457</v>
      </c>
      <c r="D7" s="133">
        <v>5.2871313376552331</v>
      </c>
      <c r="E7" s="133">
        <v>3.1396523112234163</v>
      </c>
      <c r="F7" s="133">
        <v>2.4629610603033925</v>
      </c>
      <c r="G7" s="133">
        <v>11.220593183138682</v>
      </c>
      <c r="H7" s="133">
        <v>17.840535123149216</v>
      </c>
      <c r="I7" s="133">
        <v>24.062535300284157</v>
      </c>
      <c r="J7" s="133">
        <v>9.6416271258261048</v>
      </c>
      <c r="K7" s="133">
        <v>2.3514716666724627</v>
      </c>
      <c r="L7" s="133">
        <v>10.66369094260693</v>
      </c>
      <c r="M7" s="133">
        <v>13.005205403630677</v>
      </c>
      <c r="N7" s="133">
        <v>4.4567373139822521</v>
      </c>
      <c r="O7" s="133">
        <v>2.7408088628890819</v>
      </c>
      <c r="P7" s="133">
        <v>1.3230888012906588</v>
      </c>
      <c r="Q7" s="133">
        <v>5.818134813531441</v>
      </c>
      <c r="R7" s="133">
        <v>1.3076407533067174</v>
      </c>
      <c r="S7" s="133">
        <v>3.2900328935086534</v>
      </c>
      <c r="T7" s="133">
        <v>3.1976960686977405</v>
      </c>
      <c r="U7" s="133">
        <v>4.6610894686901343</v>
      </c>
      <c r="V7" s="133">
        <v>3.0939768431028742</v>
      </c>
      <c r="W7" s="133">
        <v>2.1381337786343422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3.1211960361887739E-2</v>
      </c>
      <c r="D8" s="133">
        <v>2.6185371600688821E-2</v>
      </c>
      <c r="E8" s="133">
        <v>2.1332923191630517E-2</v>
      </c>
      <c r="F8" s="133">
        <v>9.5702554189913743E-3</v>
      </c>
      <c r="G8" s="133">
        <v>4.6562451991545281E-2</v>
      </c>
      <c r="H8" s="133">
        <v>7.120664314368208E-2</v>
      </c>
      <c r="I8" s="133">
        <v>0.11828155370824424</v>
      </c>
      <c r="J8" s="133">
        <v>6.2821817539796959E-2</v>
      </c>
      <c r="K8" s="133">
        <v>1.6661568969304701E-2</v>
      </c>
      <c r="L8" s="133">
        <v>4.9226241523742768E-2</v>
      </c>
      <c r="M8" s="133">
        <v>7.9783516339180849E-2</v>
      </c>
      <c r="N8" s="133">
        <v>3.2031877144244936E-2</v>
      </c>
      <c r="O8" s="133">
        <v>2.881291760252503E-2</v>
      </c>
      <c r="P8" s="133">
        <v>8.9161679356456872E-2</v>
      </c>
      <c r="Q8" s="133">
        <v>0.22699948201835948</v>
      </c>
      <c r="R8" s="133">
        <v>7.700702112122329E-2</v>
      </c>
      <c r="S8" s="133">
        <v>3.844481165004774E-2</v>
      </c>
      <c r="T8" s="133">
        <v>4.6009338347123764E-2</v>
      </c>
      <c r="U8" s="133">
        <v>5.6803522486919639E-2</v>
      </c>
      <c r="V8" s="133">
        <v>6.188917976434536E-2</v>
      </c>
      <c r="W8" s="133">
        <v>4.5238110371228678E-2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102.70499023224916</v>
      </c>
      <c r="D9" s="133">
        <v>62.18868090840877</v>
      </c>
      <c r="E9" s="133">
        <v>43.372295378593243</v>
      </c>
      <c r="F9" s="133">
        <v>26.140226059370562</v>
      </c>
      <c r="G9" s="133">
        <v>100.5239428441253</v>
      </c>
      <c r="H9" s="133">
        <v>156.36397074865357</v>
      </c>
      <c r="I9" s="133">
        <v>164.60058570650011</v>
      </c>
      <c r="J9" s="133">
        <v>125.79900126306704</v>
      </c>
      <c r="K9" s="133">
        <v>23.417213768129606</v>
      </c>
      <c r="L9" s="133">
        <v>108.49378859188543</v>
      </c>
      <c r="M9" s="133">
        <v>84.608868499588596</v>
      </c>
      <c r="N9" s="133">
        <v>42.559324773391566</v>
      </c>
      <c r="O9" s="133">
        <v>21.940784004861754</v>
      </c>
      <c r="P9" s="133">
        <v>15.287242676803203</v>
      </c>
      <c r="Q9" s="133">
        <v>73.867640033845802</v>
      </c>
      <c r="R9" s="133">
        <v>32.023358953820065</v>
      </c>
      <c r="S9" s="133">
        <v>29.284960665401492</v>
      </c>
      <c r="T9" s="133">
        <v>26.114400593843019</v>
      </c>
      <c r="U9" s="133">
        <v>23.631969446325467</v>
      </c>
      <c r="V9" s="133">
        <v>22.027574956787738</v>
      </c>
      <c r="W9" s="133">
        <v>21.737449838131656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2.9975550036806542</v>
      </c>
      <c r="D10" s="133">
        <v>0.93508369537217262</v>
      </c>
      <c r="E10" s="133">
        <v>0.54551873268689499</v>
      </c>
      <c r="F10" s="133">
        <v>0.52244052215169789</v>
      </c>
      <c r="G10" s="133">
        <v>3.4871165661099059</v>
      </c>
      <c r="H10" s="133">
        <v>7.0089368599687241</v>
      </c>
      <c r="I10" s="133">
        <v>7.075821013120672</v>
      </c>
      <c r="J10" s="133">
        <v>4.0876485213499274</v>
      </c>
      <c r="K10" s="133">
        <v>0.38803224112825513</v>
      </c>
      <c r="L10" s="133">
        <v>1.035441956484475</v>
      </c>
      <c r="M10" s="133">
        <v>1.4967401385985435</v>
      </c>
      <c r="N10" s="133">
        <v>0.5522934317918754</v>
      </c>
      <c r="O10" s="133">
        <v>0.44774845172600425</v>
      </c>
      <c r="P10" s="133">
        <v>0.85755032180257862</v>
      </c>
      <c r="Q10" s="133">
        <v>1.5813747839755032</v>
      </c>
      <c r="R10" s="133">
        <v>1.32518803808151</v>
      </c>
      <c r="S10" s="133">
        <v>1.6250167164275351</v>
      </c>
      <c r="T10" s="133">
        <v>1.7900378957779468</v>
      </c>
      <c r="U10" s="133">
        <v>1.141939984424559</v>
      </c>
      <c r="V10" s="133">
        <v>0.82778055583877774</v>
      </c>
      <c r="W10" s="133">
        <v>0.56246316000502539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8.2207243271458674E-2</v>
      </c>
      <c r="D16" s="131">
        <f t="shared" si="4"/>
        <v>7.8879902133179511E-2</v>
      </c>
      <c r="E16" s="131">
        <f t="shared" si="4"/>
        <v>3.8514448386022831E-2</v>
      </c>
      <c r="F16" s="131">
        <f t="shared" si="4"/>
        <v>4.0991944258814063E-2</v>
      </c>
      <c r="G16" s="131">
        <f t="shared" si="4"/>
        <v>0.12756123044639547</v>
      </c>
      <c r="H16" s="131">
        <f t="shared" si="4"/>
        <v>0.28949515723183894</v>
      </c>
      <c r="I16" s="131">
        <f t="shared" si="4"/>
        <v>0.38103584318609585</v>
      </c>
      <c r="J16" s="131">
        <f t="shared" si="4"/>
        <v>0.24346371349385595</v>
      </c>
      <c r="K16" s="131">
        <f t="shared" si="4"/>
        <v>4.4220830092219346E-2</v>
      </c>
      <c r="L16" s="131">
        <f t="shared" si="4"/>
        <v>0.15143182834139957</v>
      </c>
      <c r="M16" s="131">
        <f t="shared" si="4"/>
        <v>0.20234943066078734</v>
      </c>
      <c r="N16" s="131">
        <f t="shared" si="4"/>
        <v>0.11349794859918715</v>
      </c>
      <c r="O16" s="131">
        <f t="shared" si="4"/>
        <v>9.7231308567634608E-2</v>
      </c>
      <c r="P16" s="131">
        <f t="shared" si="4"/>
        <v>0.15039602037926048</v>
      </c>
      <c r="Q16" s="131">
        <f t="shared" si="4"/>
        <v>0.82755005688687222</v>
      </c>
      <c r="R16" s="131">
        <f t="shared" ref="R16:W16" si="5">SUM(R17:R18)</f>
        <v>0.41558436532559934</v>
      </c>
      <c r="S16" s="131">
        <f t="shared" si="5"/>
        <v>0.40104960230372327</v>
      </c>
      <c r="T16" s="131">
        <f t="shared" si="5"/>
        <v>0.31111206152794924</v>
      </c>
      <c r="U16" s="131">
        <f t="shared" si="5"/>
        <v>0.36263595474591759</v>
      </c>
      <c r="V16" s="131">
        <f t="shared" si="5"/>
        <v>0.43633210745455858</v>
      </c>
      <c r="W16" s="131">
        <f t="shared" si="5"/>
        <v>0.15618631005063954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8.2207243271458674E-2</v>
      </c>
      <c r="D17" s="133">
        <v>7.8879902133179511E-2</v>
      </c>
      <c r="E17" s="133">
        <v>3.8514448386022831E-2</v>
      </c>
      <c r="F17" s="133">
        <v>4.0991944258814063E-2</v>
      </c>
      <c r="G17" s="133">
        <v>0.12756123044639547</v>
      </c>
      <c r="H17" s="133">
        <v>0.28949515723183894</v>
      </c>
      <c r="I17" s="133">
        <v>0.38103584318609585</v>
      </c>
      <c r="J17" s="133">
        <v>0.24346371349385595</v>
      </c>
      <c r="K17" s="133">
        <v>4.4220830092219346E-2</v>
      </c>
      <c r="L17" s="133">
        <v>0.15143182834139957</v>
      </c>
      <c r="M17" s="133">
        <v>0.20234943066078734</v>
      </c>
      <c r="N17" s="133">
        <v>0.11349794859918715</v>
      </c>
      <c r="O17" s="133">
        <v>9.7231308567634608E-2</v>
      </c>
      <c r="P17" s="133">
        <v>0.15039602037926048</v>
      </c>
      <c r="Q17" s="133">
        <v>0.82755005688687222</v>
      </c>
      <c r="R17" s="133">
        <v>0.41558436532559934</v>
      </c>
      <c r="S17" s="133">
        <v>0.40104960230372327</v>
      </c>
      <c r="T17" s="133">
        <v>0.31111206152794924</v>
      </c>
      <c r="U17" s="133">
        <v>0.36263595474591759</v>
      </c>
      <c r="V17" s="133">
        <v>0.43633210745455858</v>
      </c>
      <c r="W17" s="133">
        <v>0.15618631005063954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14.424070883079729</v>
      </c>
      <c r="D19" s="131">
        <f t="shared" si="6"/>
        <v>10.038292256422537</v>
      </c>
      <c r="E19" s="131">
        <f t="shared" si="6"/>
        <v>5.2300355124593452</v>
      </c>
      <c r="F19" s="131">
        <f t="shared" si="6"/>
        <v>2.9757866663957291</v>
      </c>
      <c r="G19" s="131">
        <f t="shared" si="6"/>
        <v>12.19081887365946</v>
      </c>
      <c r="H19" s="131">
        <f t="shared" si="6"/>
        <v>18.696779897597811</v>
      </c>
      <c r="I19" s="131">
        <f t="shared" si="6"/>
        <v>20.529721243246343</v>
      </c>
      <c r="J19" s="131">
        <f t="shared" si="6"/>
        <v>14.082539488672403</v>
      </c>
      <c r="K19" s="131">
        <f t="shared" si="6"/>
        <v>3.1115120040948883</v>
      </c>
      <c r="L19" s="131">
        <f t="shared" si="6"/>
        <v>10.254096291286871</v>
      </c>
      <c r="M19" s="131">
        <f t="shared" si="6"/>
        <v>12.007289091145696</v>
      </c>
      <c r="N19" s="131">
        <f t="shared" si="6"/>
        <v>5.7878424154052395</v>
      </c>
      <c r="O19" s="131">
        <f t="shared" si="6"/>
        <v>2.6640334615533434</v>
      </c>
      <c r="P19" s="131">
        <f t="shared" si="6"/>
        <v>1.5642614065000755</v>
      </c>
      <c r="Q19" s="131">
        <f t="shared" si="6"/>
        <v>7.6312289678506442</v>
      </c>
      <c r="R19" s="131">
        <f t="shared" ref="R19:W19" si="7">SUM(R20:R27)</f>
        <v>5.8935415338500983</v>
      </c>
      <c r="S19" s="131">
        <f t="shared" si="7"/>
        <v>8.0202882758294329</v>
      </c>
      <c r="T19" s="131">
        <f t="shared" si="7"/>
        <v>5.2901297216908247</v>
      </c>
      <c r="U19" s="131">
        <f t="shared" si="7"/>
        <v>3.2580832524385457</v>
      </c>
      <c r="V19" s="131">
        <f t="shared" si="7"/>
        <v>0.84085319149246662</v>
      </c>
      <c r="W19" s="131">
        <f t="shared" si="7"/>
        <v>3.3488878822727326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1.4877939858407805</v>
      </c>
      <c r="D22" s="133">
        <v>0.94747132793582711</v>
      </c>
      <c r="E22" s="133">
        <v>0.65777702567624718</v>
      </c>
      <c r="F22" s="133">
        <v>0.41134718787058949</v>
      </c>
      <c r="G22" s="133">
        <v>1.7707669483824515</v>
      </c>
      <c r="H22" s="133">
        <v>2.6460616776029378</v>
      </c>
      <c r="I22" s="133">
        <v>3.1081686599498961</v>
      </c>
      <c r="J22" s="133">
        <v>2.1480647021433685</v>
      </c>
      <c r="K22" s="133">
        <v>0.44170799964178215</v>
      </c>
      <c r="L22" s="133">
        <v>1.3170852475264045</v>
      </c>
      <c r="M22" s="133">
        <v>1.5502443431190684</v>
      </c>
      <c r="N22" s="133">
        <v>0.73510937809745769</v>
      </c>
      <c r="O22" s="133">
        <v>0.41351686872906834</v>
      </c>
      <c r="P22" s="133">
        <v>0.44930224226281917</v>
      </c>
      <c r="Q22" s="133">
        <v>1.4368008506798351</v>
      </c>
      <c r="R22" s="133">
        <v>0.79281495545034153</v>
      </c>
      <c r="S22" s="133">
        <v>0.90217299034665333</v>
      </c>
      <c r="T22" s="133">
        <v>0.87579995802589605</v>
      </c>
      <c r="U22" s="133">
        <v>0.87685524625569211</v>
      </c>
      <c r="V22" s="133">
        <v>0.80583848963900728</v>
      </c>
      <c r="W22" s="133">
        <v>0.82710086019283158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12.936276897238947</v>
      </c>
      <c r="D23" s="133">
        <v>9.0908209284867105</v>
      </c>
      <c r="E23" s="133">
        <v>4.572258486783098</v>
      </c>
      <c r="F23" s="133">
        <v>2.5644394785251396</v>
      </c>
      <c r="G23" s="133">
        <v>10.420051925277008</v>
      </c>
      <c r="H23" s="133">
        <v>16.050718219994874</v>
      </c>
      <c r="I23" s="133">
        <v>17.421552583296446</v>
      </c>
      <c r="J23" s="133">
        <v>11.934474786529034</v>
      </c>
      <c r="K23" s="133">
        <v>2.669804004453106</v>
      </c>
      <c r="L23" s="133">
        <v>8.9370110437604655</v>
      </c>
      <c r="M23" s="133">
        <v>10.457044748026627</v>
      </c>
      <c r="N23" s="133">
        <v>5.0527330373077817</v>
      </c>
      <c r="O23" s="133">
        <v>2.2505165928242752</v>
      </c>
      <c r="P23" s="133">
        <v>1.1149591642372563</v>
      </c>
      <c r="Q23" s="133">
        <v>6.1944281171708093</v>
      </c>
      <c r="R23" s="133">
        <v>5.1007265783997564</v>
      </c>
      <c r="S23" s="133">
        <v>7.1181152854827801</v>
      </c>
      <c r="T23" s="133">
        <v>4.414329763664929</v>
      </c>
      <c r="U23" s="133">
        <v>2.3812280061828535</v>
      </c>
      <c r="V23" s="133">
        <v>3.5014701853459333E-2</v>
      </c>
      <c r="W23" s="133">
        <v>2.5217870220799012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13.531357866195977</v>
      </c>
      <c r="D29" s="131">
        <f t="shared" si="8"/>
        <v>9.174260224855713</v>
      </c>
      <c r="E29" s="131">
        <f t="shared" si="8"/>
        <v>5.603665730322092</v>
      </c>
      <c r="F29" s="131">
        <f t="shared" si="8"/>
        <v>3.0786140872975118</v>
      </c>
      <c r="G29" s="131">
        <f t="shared" si="8"/>
        <v>12.141344441777255</v>
      </c>
      <c r="H29" s="131">
        <f t="shared" si="8"/>
        <v>18.163536369057962</v>
      </c>
      <c r="I29" s="131">
        <f t="shared" si="8"/>
        <v>23.480364146555015</v>
      </c>
      <c r="J29" s="131">
        <f t="shared" si="8"/>
        <v>14.290175084535925</v>
      </c>
      <c r="K29" s="131">
        <f t="shared" si="8"/>
        <v>2.9483700000388184</v>
      </c>
      <c r="L29" s="131">
        <f t="shared" si="8"/>
        <v>9.4611298706713143</v>
      </c>
      <c r="M29" s="131">
        <f t="shared" si="8"/>
        <v>10.16739152425618</v>
      </c>
      <c r="N29" s="131">
        <f t="shared" si="8"/>
        <v>4.5383950051845163</v>
      </c>
      <c r="O29" s="131">
        <f t="shared" si="8"/>
        <v>2.8378573116372565</v>
      </c>
      <c r="P29" s="131">
        <f t="shared" si="8"/>
        <v>3.0851042990410011</v>
      </c>
      <c r="Q29" s="131">
        <f t="shared" si="8"/>
        <v>8.8452847466416618</v>
      </c>
      <c r="R29" s="131">
        <f t="shared" ref="R29:W29" si="9">SUM(R30:R33)</f>
        <v>5.9112508507691555</v>
      </c>
      <c r="S29" s="131">
        <f t="shared" si="9"/>
        <v>6.9547590157795778</v>
      </c>
      <c r="T29" s="131">
        <f t="shared" si="9"/>
        <v>7.2778990564176755</v>
      </c>
      <c r="U29" s="131">
        <f t="shared" si="9"/>
        <v>5.7362481996554298</v>
      </c>
      <c r="V29" s="131">
        <f t="shared" si="9"/>
        <v>6.0794048976756745</v>
      </c>
      <c r="W29" s="131">
        <f t="shared" si="9"/>
        <v>7.2217054959135245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3.8735120639318121</v>
      </c>
      <c r="D30" s="133">
        <v>2.42852016285938</v>
      </c>
      <c r="E30" s="133">
        <v>1.0577146316837567</v>
      </c>
      <c r="F30" s="133">
        <v>0.87472198108160903</v>
      </c>
      <c r="G30" s="133">
        <v>1.9903146241186866</v>
      </c>
      <c r="H30" s="133">
        <v>3.1233198668551871</v>
      </c>
      <c r="I30" s="133">
        <v>0</v>
      </c>
      <c r="J30" s="133">
        <v>0</v>
      </c>
      <c r="K30" s="133">
        <v>0.67769453759685916</v>
      </c>
      <c r="L30" s="133">
        <v>3.3627024562379826</v>
      </c>
      <c r="M30" s="133">
        <v>0</v>
      </c>
      <c r="N30" s="133">
        <v>0.29523146345945883</v>
      </c>
      <c r="O30" s="133">
        <v>0.32547375285192626</v>
      </c>
      <c r="P30" s="133">
        <v>0.16241732992198155</v>
      </c>
      <c r="Q30" s="133">
        <v>3.9246250297592105</v>
      </c>
      <c r="R30" s="133">
        <v>2.9879215238078158</v>
      </c>
      <c r="S30" s="133">
        <v>4.4879899589055343</v>
      </c>
      <c r="T30" s="133">
        <v>5.1955362236928666</v>
      </c>
      <c r="U30" s="133">
        <v>3.1871542466297109</v>
      </c>
      <c r="V30" s="133">
        <v>1.0591816934756444</v>
      </c>
      <c r="W30" s="133">
        <v>1.1836686647044674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9.6578458022641644</v>
      </c>
      <c r="D31" s="133">
        <v>6.745740061996333</v>
      </c>
      <c r="E31" s="133">
        <v>4.5459510986383354</v>
      </c>
      <c r="F31" s="133">
        <v>2.2038921062159029</v>
      </c>
      <c r="G31" s="133">
        <v>10.151029817658568</v>
      </c>
      <c r="H31" s="133">
        <v>15.040216502202775</v>
      </c>
      <c r="I31" s="133">
        <v>23.480364146555015</v>
      </c>
      <c r="J31" s="133">
        <v>14.290175084535925</v>
      </c>
      <c r="K31" s="133">
        <v>2.2706754624419592</v>
      </c>
      <c r="L31" s="133">
        <v>6.0984274144333313</v>
      </c>
      <c r="M31" s="133">
        <v>10.16739152425618</v>
      </c>
      <c r="N31" s="133">
        <v>4.2431635417250577</v>
      </c>
      <c r="O31" s="133">
        <v>2.5123835587853303</v>
      </c>
      <c r="P31" s="133">
        <v>2.9226869691190194</v>
      </c>
      <c r="Q31" s="133">
        <v>4.9206597168824509</v>
      </c>
      <c r="R31" s="133">
        <v>2.9233293269613396</v>
      </c>
      <c r="S31" s="133">
        <v>2.466769056874043</v>
      </c>
      <c r="T31" s="133">
        <v>2.0823628327248085</v>
      </c>
      <c r="U31" s="133">
        <v>2.5490939530257193</v>
      </c>
      <c r="V31" s="133">
        <v>5.0202232042000299</v>
      </c>
      <c r="W31" s="133">
        <v>6.0380368312090571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150426.19744718671</v>
      </c>
      <c r="D3" s="126">
        <f>IF(SER_hh_fec_in!D3=0,0,11630*1000*SER_hh_fec_in!D3/SER_hh_num_in!D3)</f>
        <v>146946.9891526619</v>
      </c>
      <c r="E3" s="126">
        <f>IF(SER_hh_fec_in!E3=0,0,11630*1000*SER_hh_fec_in!E3/SER_hh_num_in!E3)</f>
        <v>151449.06880461806</v>
      </c>
      <c r="F3" s="126">
        <f>IF(SER_hh_fec_in!F3=0,0,11630*1000*SER_hh_fec_in!F3/SER_hh_num_in!F3)</f>
        <v>160339.12157039496</v>
      </c>
      <c r="G3" s="126">
        <f>IF(SER_hh_fec_in!G3=0,0,11630*1000*SER_hh_fec_in!G3/SER_hh_num_in!G3)</f>
        <v>146227.6470024912</v>
      </c>
      <c r="H3" s="126">
        <f>IF(SER_hh_fec_in!H3=0,0,11630*1000*SER_hh_fec_in!H3/SER_hh_num_in!H3)</f>
        <v>143645.05604531197</v>
      </c>
      <c r="I3" s="126">
        <f>IF(SER_hh_fec_in!I3=0,0,11630*1000*SER_hh_fec_in!I3/SER_hh_num_in!I3)</f>
        <v>130889.06156496178</v>
      </c>
      <c r="J3" s="126">
        <f>IF(SER_hh_fec_in!J3=0,0,11630*1000*SER_hh_fec_in!J3/SER_hh_num_in!J3)</f>
        <v>133255.38444443684</v>
      </c>
      <c r="K3" s="126">
        <f>IF(SER_hh_fec_in!K3=0,0,11630*1000*SER_hh_fec_in!K3/SER_hh_num_in!K3)</f>
        <v>133391.84566067526</v>
      </c>
      <c r="L3" s="126">
        <f>IF(SER_hh_fec_in!L3=0,0,11630*1000*SER_hh_fec_in!L3/SER_hh_num_in!L3)</f>
        <v>145409.56907603142</v>
      </c>
      <c r="M3" s="126">
        <f>IF(SER_hh_fec_in!M3=0,0,11630*1000*SER_hh_fec_in!M3/SER_hh_num_in!M3)</f>
        <v>118682.75151931218</v>
      </c>
      <c r="N3" s="126">
        <f>IF(SER_hh_fec_in!N3=0,0,11630*1000*SER_hh_fec_in!N3/SER_hh_num_in!N3)</f>
        <v>122825.54946949493</v>
      </c>
      <c r="O3" s="126">
        <f>IF(SER_hh_fec_in!O3=0,0,11630*1000*SER_hh_fec_in!O3/SER_hh_num_in!O3)</f>
        <v>116917.9085428354</v>
      </c>
      <c r="P3" s="126">
        <f>IF(SER_hh_fec_in!P3=0,0,11630*1000*SER_hh_fec_in!P3/SER_hh_num_in!P3)</f>
        <v>90156.581974409914</v>
      </c>
      <c r="Q3" s="126">
        <f>IF(SER_hh_fec_in!Q3=0,0,11630*1000*SER_hh_fec_in!Q3/SER_hh_num_in!Q3)</f>
        <v>92779.175269369953</v>
      </c>
      <c r="R3" s="126">
        <f>IF(SER_hh_fec_in!R3=0,0,11630*1000*SER_hh_fec_in!R3/SER_hh_num_in!R3)</f>
        <v>88310.395390678503</v>
      </c>
      <c r="S3" s="126">
        <f>IF(SER_hh_fec_in!S3=0,0,11630*1000*SER_hh_fec_in!S3/SER_hh_num_in!S3)</f>
        <v>87340.933028345928</v>
      </c>
      <c r="T3" s="126">
        <f>IF(SER_hh_fec_in!T3=0,0,11630*1000*SER_hh_fec_in!T3/SER_hh_num_in!T3)</f>
        <v>82375.932829657046</v>
      </c>
      <c r="U3" s="126">
        <f>IF(SER_hh_fec_in!U3=0,0,11630*1000*SER_hh_fec_in!U3/SER_hh_num_in!U3)</f>
        <v>75365.07762805371</v>
      </c>
      <c r="V3" s="126">
        <f>IF(SER_hh_fec_in!V3=0,0,11630*1000*SER_hh_fec_in!V3/SER_hh_num_in!V3)</f>
        <v>67517.945661496444</v>
      </c>
      <c r="W3" s="126">
        <f>IF(SER_hh_fec_in!W3=0,0,11630*1000*SER_hh_fec_in!W3/SER_hh_num_in!W3)</f>
        <v>64064.946315947833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100597.09433048808</v>
      </c>
      <c r="D4" s="131">
        <f>IF(SER_hh_fec_in!D4=0,0,11630*1000*SER_hh_fec_in!D4/SER_hh_num_in!D4)</f>
        <v>97788.616184768107</v>
      </c>
      <c r="E4" s="131">
        <f>IF(SER_hh_fec_in!E4=0,0,11630*1000*SER_hh_fec_in!E4/SER_hh_num_in!E4)</f>
        <v>102256.33454677319</v>
      </c>
      <c r="F4" s="131">
        <f>IF(SER_hh_fec_in!F4=0,0,11630*1000*SER_hh_fec_in!F4/SER_hh_num_in!F4)</f>
        <v>112406.3256509827</v>
      </c>
      <c r="G4" s="131">
        <f>IF(SER_hh_fec_in!G4=0,0,11630*1000*SER_hh_fec_in!G4/SER_hh_num_in!G4)</f>
        <v>99200.475779140368</v>
      </c>
      <c r="H4" s="131">
        <f>IF(SER_hh_fec_in!H4=0,0,11630*1000*SER_hh_fec_in!H4/SER_hh_num_in!H4)</f>
        <v>97138.133517110007</v>
      </c>
      <c r="I4" s="131">
        <f>IF(SER_hh_fec_in!I4=0,0,11630*1000*SER_hh_fec_in!I4/SER_hh_num_in!I4)</f>
        <v>86047.618831444866</v>
      </c>
      <c r="J4" s="131">
        <f>IF(SER_hh_fec_in!J4=0,0,11630*1000*SER_hh_fec_in!J4/SER_hh_num_in!J4)</f>
        <v>89054.315247657039</v>
      </c>
      <c r="K4" s="131">
        <f>IF(SER_hh_fec_in!K4=0,0,11630*1000*SER_hh_fec_in!K4/SER_hh_num_in!K4)</f>
        <v>90232.389835440132</v>
      </c>
      <c r="L4" s="131">
        <f>IF(SER_hh_fec_in!L4=0,0,11630*1000*SER_hh_fec_in!L4/SER_hh_num_in!L4)</f>
        <v>101818.41095326483</v>
      </c>
      <c r="M4" s="131">
        <f>IF(SER_hh_fec_in!M4=0,0,11630*1000*SER_hh_fec_in!M4/SER_hh_num_in!M4)</f>
        <v>76769.005712281185</v>
      </c>
      <c r="N4" s="131">
        <f>IF(SER_hh_fec_in!N4=0,0,11630*1000*SER_hh_fec_in!N4/SER_hh_num_in!N4)</f>
        <v>81416.510032792343</v>
      </c>
      <c r="O4" s="131">
        <f>IF(SER_hh_fec_in!O4=0,0,11630*1000*SER_hh_fec_in!O4/SER_hh_num_in!O4)</f>
        <v>76533.203364097018</v>
      </c>
      <c r="P4" s="131">
        <f>IF(SER_hh_fec_in!P4=0,0,11630*1000*SER_hh_fec_in!P4/SER_hh_num_in!P4)</f>
        <v>51294.763480165573</v>
      </c>
      <c r="Q4" s="131">
        <f>IF(SER_hh_fec_in!Q4=0,0,11630*1000*SER_hh_fec_in!Q4/SER_hh_num_in!Q4)</f>
        <v>54408.647264009182</v>
      </c>
      <c r="R4" s="131">
        <f>IF(SER_hh_fec_in!R4=0,0,11630*1000*SER_hh_fec_in!R4/SER_hh_num_in!R4)</f>
        <v>50850.012951164048</v>
      </c>
      <c r="S4" s="131">
        <f>IF(SER_hh_fec_in!S4=0,0,11630*1000*SER_hh_fec_in!S4/SER_hh_num_in!S4)</f>
        <v>51009.932473396992</v>
      </c>
      <c r="T4" s="131">
        <f>IF(SER_hh_fec_in!T4=0,0,11630*1000*SER_hh_fec_in!T4/SER_hh_num_in!T4)</f>
        <v>46027.251338756912</v>
      </c>
      <c r="U4" s="131">
        <f>IF(SER_hh_fec_in!U4=0,0,11630*1000*SER_hh_fec_in!U4/SER_hh_num_in!U4)</f>
        <v>40316.133094613593</v>
      </c>
      <c r="V4" s="131">
        <f>IF(SER_hh_fec_in!V4=0,0,11630*1000*SER_hh_fec_in!V4/SER_hh_num_in!V4)</f>
        <v>33152.647001022211</v>
      </c>
      <c r="W4" s="131">
        <f>IF(SER_hh_fec_in!W4=0,0,11630*1000*SER_hh_fec_in!W4/SER_hh_num_in!W4)</f>
        <v>30787.341323195487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103185.41747286804</v>
      </c>
      <c r="D5" s="133">
        <f>IF(SER_hh_fec_in!D5=0,0,11630*1000*SER_hh_fec_in!D5/SER_hh_num_in!D5)</f>
        <v>87885.912013939742</v>
      </c>
      <c r="E5" s="133">
        <f>IF(SER_hh_fec_in!E5=0,0,11630*1000*SER_hh_fec_in!E5/SER_hh_num_in!E5)</f>
        <v>143230.12024959677</v>
      </c>
      <c r="F5" s="133">
        <f>IF(SER_hh_fec_in!F5=0,0,11630*1000*SER_hh_fec_in!F5/SER_hh_num_in!F5)</f>
        <v>70760.885013892708</v>
      </c>
      <c r="G5" s="133">
        <f>IF(SER_hh_fec_in!G5=0,0,11630*1000*SER_hh_fec_in!G5/SER_hh_num_in!G5)</f>
        <v>96600.082136660421</v>
      </c>
      <c r="H5" s="133">
        <f>IF(SER_hh_fec_in!H5=0,0,11630*1000*SER_hh_fec_in!H5/SER_hh_num_in!H5)</f>
        <v>65171.816882659499</v>
      </c>
      <c r="I5" s="133">
        <f>IF(SER_hh_fec_in!I5=0,0,11630*1000*SER_hh_fec_in!I5/SER_hh_num_in!I5)</f>
        <v>100040.40587626971</v>
      </c>
      <c r="J5" s="133">
        <f>IF(SER_hh_fec_in!J5=0,0,11630*1000*SER_hh_fec_in!J5/SER_hh_num_in!J5)</f>
        <v>106316.94835330729</v>
      </c>
      <c r="K5" s="133">
        <f>IF(SER_hh_fec_in!K5=0,0,11630*1000*SER_hh_fec_in!K5/SER_hh_num_in!K5)</f>
        <v>103241.40072409419</v>
      </c>
      <c r="L5" s="133">
        <f>IF(SER_hh_fec_in!L5=0,0,11630*1000*SER_hh_fec_in!L5/SER_hh_num_in!L5)</f>
        <v>97155.37603988935</v>
      </c>
      <c r="M5" s="133">
        <f>IF(SER_hh_fec_in!M5=0,0,11630*1000*SER_hh_fec_in!M5/SER_hh_num_in!M5)</f>
        <v>92941.157811720259</v>
      </c>
      <c r="N5" s="133">
        <f>IF(SER_hh_fec_in!N5=0,0,11630*1000*SER_hh_fec_in!N5/SER_hh_num_in!N5)</f>
        <v>87972.193190316175</v>
      </c>
      <c r="O5" s="133">
        <f>IF(SER_hh_fec_in!O5=0,0,11630*1000*SER_hh_fec_in!O5/SER_hh_num_in!O5)</f>
        <v>51031.520164131834</v>
      </c>
      <c r="P5" s="133">
        <f>IF(SER_hh_fec_in!P5=0,0,11630*1000*SER_hh_fec_in!P5/SER_hh_num_in!P5)</f>
        <v>18487.447586196267</v>
      </c>
      <c r="Q5" s="133">
        <f>IF(SER_hh_fec_in!Q5=0,0,11630*1000*SER_hh_fec_in!Q5/SER_hh_num_in!Q5)</f>
        <v>77058.220471478344</v>
      </c>
      <c r="R5" s="133">
        <f>IF(SER_hh_fec_in!R5=0,0,11630*1000*SER_hh_fec_in!R5/SER_hh_num_in!R5)</f>
        <v>70119.83963996236</v>
      </c>
      <c r="S5" s="133">
        <f>IF(SER_hh_fec_in!S5=0,0,11630*1000*SER_hh_fec_in!S5/SER_hh_num_in!S5)</f>
        <v>62151.56769882865</v>
      </c>
      <c r="T5" s="133">
        <f>IF(SER_hh_fec_in!T5=0,0,11630*1000*SER_hh_fec_in!T5/SER_hh_num_in!T5)</f>
        <v>57041.477836383499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117498.11856327849</v>
      </c>
      <c r="D7" s="133">
        <f>IF(SER_hh_fec_in!D7=0,0,11630*1000*SER_hh_fec_in!D7/SER_hh_num_in!D7)</f>
        <v>120902.12924478005</v>
      </c>
      <c r="E7" s="133">
        <f>IF(SER_hh_fec_in!E7=0,0,11630*1000*SER_hh_fec_in!E7/SER_hh_num_in!E7)</f>
        <v>125612.59316000994</v>
      </c>
      <c r="F7" s="133">
        <f>IF(SER_hh_fec_in!F7=0,0,11630*1000*SER_hh_fec_in!F7/SER_hh_num_in!F7)</f>
        <v>119469.33505400152</v>
      </c>
      <c r="G7" s="133">
        <f>IF(SER_hh_fec_in!G7=0,0,11630*1000*SER_hh_fec_in!G7/SER_hh_num_in!G7)</f>
        <v>120573.44616866675</v>
      </c>
      <c r="H7" s="133">
        <f>IF(SER_hh_fec_in!H7=0,0,11630*1000*SER_hh_fec_in!H7/SER_hh_num_in!H7)</f>
        <v>112739.55565375654</v>
      </c>
      <c r="I7" s="133">
        <f>IF(SER_hh_fec_in!I7=0,0,11630*1000*SER_hh_fec_in!I7/SER_hh_num_in!I7)</f>
        <v>111228.74263957709</v>
      </c>
      <c r="J7" s="133">
        <f>IF(SER_hh_fec_in!J7=0,0,11630*1000*SER_hh_fec_in!J7/SER_hh_num_in!J7)</f>
        <v>108457.1667182291</v>
      </c>
      <c r="K7" s="133">
        <f>IF(SER_hh_fec_in!K7=0,0,11630*1000*SER_hh_fec_in!K7/SER_hh_num_in!K7)</f>
        <v>102749.99831289827</v>
      </c>
      <c r="L7" s="133">
        <f>IF(SER_hh_fec_in!L7=0,0,11630*1000*SER_hh_fec_in!L7/SER_hh_num_in!L7)</f>
        <v>115584.71775031107</v>
      </c>
      <c r="M7" s="133">
        <f>IF(SER_hh_fec_in!M7=0,0,11630*1000*SER_hh_fec_in!M7/SER_hh_num_in!M7)</f>
        <v>100210.7454693956</v>
      </c>
      <c r="N7" s="133">
        <f>IF(SER_hh_fec_in!N7=0,0,11630*1000*SER_hh_fec_in!N7/SER_hh_num_in!N7)</f>
        <v>92308.44022244557</v>
      </c>
      <c r="O7" s="133">
        <f>IF(SER_hh_fec_in!O7=0,0,11630*1000*SER_hh_fec_in!O7/SER_hh_num_in!O7)</f>
        <v>86299.026729441801</v>
      </c>
      <c r="P7" s="133">
        <f>IF(SER_hh_fec_in!P7=0,0,11630*1000*SER_hh_fec_in!P7/SER_hh_num_in!P7)</f>
        <v>76105.61637941307</v>
      </c>
      <c r="Q7" s="133">
        <f>IF(SER_hh_fec_in!Q7=0,0,11630*1000*SER_hh_fec_in!Q7/SER_hh_num_in!Q7)</f>
        <v>63919.516641675742</v>
      </c>
      <c r="R7" s="133">
        <f>IF(SER_hh_fec_in!R7=0,0,11630*1000*SER_hh_fec_in!R7/SER_hh_num_in!R7)</f>
        <v>60055.551198665264</v>
      </c>
      <c r="S7" s="133">
        <f>IF(SER_hh_fec_in!S7=0,0,11630*1000*SER_hh_fec_in!S7/SER_hh_num_in!S7)</f>
        <v>56191.507250550851</v>
      </c>
      <c r="T7" s="133">
        <f>IF(SER_hh_fec_in!T7=0,0,11630*1000*SER_hh_fec_in!T7/SER_hh_num_in!T7)</f>
        <v>53345.332591992599</v>
      </c>
      <c r="U7" s="133">
        <f>IF(SER_hh_fec_in!U7=0,0,11630*1000*SER_hh_fec_in!U7/SER_hh_num_in!U7)</f>
        <v>50397.011838472499</v>
      </c>
      <c r="V7" s="133">
        <f>IF(SER_hh_fec_in!V7=0,0,11630*1000*SER_hh_fec_in!V7/SER_hh_num_in!V7)</f>
        <v>42602.098000869693</v>
      </c>
      <c r="W7" s="133">
        <f>IF(SER_hh_fec_in!W7=0,0,11630*1000*SER_hh_fec_in!W7/SER_hh_num_in!W7)</f>
        <v>35333.656243209676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55312.701353252742</v>
      </c>
      <c r="D8" s="133">
        <f>IF(SER_hh_fec_in!D8=0,0,11630*1000*SER_hh_fec_in!D8/SER_hh_num_in!D8)</f>
        <v>48936.525489237356</v>
      </c>
      <c r="E8" s="133">
        <f>IF(SER_hh_fec_in!E8=0,0,11630*1000*SER_hh_fec_in!E8/SER_hh_num_in!E8)</f>
        <v>53000.603967942341</v>
      </c>
      <c r="F8" s="133">
        <f>IF(SER_hh_fec_in!F8=0,0,11630*1000*SER_hh_fec_in!F8/SER_hh_num_in!F8)</f>
        <v>51948.987649561706</v>
      </c>
      <c r="G8" s="133">
        <f>IF(SER_hh_fec_in!G8=0,0,11630*1000*SER_hh_fec_in!G8/SER_hh_num_in!G8)</f>
        <v>43587.871934906056</v>
      </c>
      <c r="H8" s="133">
        <f>IF(SER_hh_fec_in!H8=0,0,11630*1000*SER_hh_fec_in!H8/SER_hh_num_in!H8)</f>
        <v>39194.74125214127</v>
      </c>
      <c r="I8" s="133">
        <f>IF(SER_hh_fec_in!I8=0,0,11630*1000*SER_hh_fec_in!I8/SER_hh_num_in!I8)</f>
        <v>39294.901578063298</v>
      </c>
      <c r="J8" s="133">
        <f>IF(SER_hh_fec_in!J8=0,0,11630*1000*SER_hh_fec_in!J8/SER_hh_num_in!J8)</f>
        <v>37494.343975121585</v>
      </c>
      <c r="K8" s="133">
        <f>IF(SER_hh_fec_in!K8=0,0,11630*1000*SER_hh_fec_in!K8/SER_hh_num_in!K8)</f>
        <v>35473.874661314621</v>
      </c>
      <c r="L8" s="133">
        <f>IF(SER_hh_fec_in!L8=0,0,11630*1000*SER_hh_fec_in!L8/SER_hh_num_in!L8)</f>
        <v>34079.95404182421</v>
      </c>
      <c r="M8" s="133">
        <f>IF(SER_hh_fec_in!M8=0,0,11630*1000*SER_hh_fec_in!M8/SER_hh_num_in!M8)</f>
        <v>32503.302657635406</v>
      </c>
      <c r="N8" s="133">
        <f>IF(SER_hh_fec_in!N8=0,0,11630*1000*SER_hh_fec_in!N8/SER_hh_num_in!N8)</f>
        <v>26470.973867683133</v>
      </c>
      <c r="O8" s="133">
        <f>IF(SER_hh_fec_in!O8=0,0,11630*1000*SER_hh_fec_in!O8/SER_hh_num_in!O8)</f>
        <v>20844.525739097367</v>
      </c>
      <c r="P8" s="133">
        <f>IF(SER_hh_fec_in!P8=0,0,11630*1000*SER_hh_fec_in!P8/SER_hh_num_in!P8)</f>
        <v>21234.598160169666</v>
      </c>
      <c r="Q8" s="133">
        <f>IF(SER_hh_fec_in!Q8=0,0,11630*1000*SER_hh_fec_in!Q8/SER_hh_num_in!Q8)</f>
        <v>21099.85840394867</v>
      </c>
      <c r="R8" s="133">
        <f>IF(SER_hh_fec_in!R8=0,0,11630*1000*SER_hh_fec_in!R8/SER_hh_num_in!R8)</f>
        <v>19105.66514001699</v>
      </c>
      <c r="S8" s="133">
        <f>IF(SER_hh_fec_in!S8=0,0,11630*1000*SER_hh_fec_in!S8/SER_hh_num_in!S8)</f>
        <v>17290.554266967676</v>
      </c>
      <c r="T8" s="133">
        <f>IF(SER_hh_fec_in!T8=0,0,11630*1000*SER_hh_fec_in!T8/SER_hh_num_in!T8)</f>
        <v>15970.282492555563</v>
      </c>
      <c r="U8" s="133">
        <f>IF(SER_hh_fec_in!U8=0,0,11630*1000*SER_hh_fec_in!U8/SER_hh_num_in!U8)</f>
        <v>14205.849703625701</v>
      </c>
      <c r="V8" s="133">
        <f>IF(SER_hh_fec_in!V8=0,0,11630*1000*SER_hh_fec_in!V8/SER_hh_num_in!V8)</f>
        <v>12283.360103701929</v>
      </c>
      <c r="W8" s="133">
        <f>IF(SER_hh_fec_in!W8=0,0,11630*1000*SER_hh_fec_in!W8/SER_hh_num_in!W8)</f>
        <v>11077.170864300091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108087.18483954667</v>
      </c>
      <c r="D9" s="133">
        <f>IF(SER_hh_fec_in!D9=0,0,11630*1000*SER_hh_fec_in!D9/SER_hh_num_in!D9)</f>
        <v>98872.541359909636</v>
      </c>
      <c r="E9" s="133">
        <f>IF(SER_hh_fec_in!E9=0,0,11630*1000*SER_hh_fec_in!E9/SER_hh_num_in!E9)</f>
        <v>106025.1014493181</v>
      </c>
      <c r="F9" s="133">
        <f>IF(SER_hh_fec_in!F9=0,0,11630*1000*SER_hh_fec_in!F9/SER_hh_num_in!F9)</f>
        <v>117691.92348559648</v>
      </c>
      <c r="G9" s="133">
        <f>IF(SER_hh_fec_in!G9=0,0,11630*1000*SER_hh_fec_in!G9/SER_hh_num_in!G9)</f>
        <v>104014.77044553911</v>
      </c>
      <c r="H9" s="133">
        <f>IF(SER_hh_fec_in!H9=0,0,11630*1000*SER_hh_fec_in!H9/SER_hh_num_in!H9)</f>
        <v>101665.40212680399</v>
      </c>
      <c r="I9" s="133">
        <f>IF(SER_hh_fec_in!I9=0,0,11630*1000*SER_hh_fec_in!I9/SER_hh_num_in!I9)</f>
        <v>85225.763233684367</v>
      </c>
      <c r="J9" s="133">
        <f>IF(SER_hh_fec_in!J9=0,0,11630*1000*SER_hh_fec_in!J9/SER_hh_num_in!J9)</f>
        <v>90905.823170320567</v>
      </c>
      <c r="K9" s="133">
        <f>IF(SER_hh_fec_in!K9=0,0,11630*1000*SER_hh_fec_in!K9/SER_hh_num_in!K9)</f>
        <v>93054.565567979691</v>
      </c>
      <c r="L9" s="133">
        <f>IF(SER_hh_fec_in!L9=0,0,11630*1000*SER_hh_fec_in!L9/SER_hh_num_in!L9)</f>
        <v>104298.81267941621</v>
      </c>
      <c r="M9" s="133">
        <f>IF(SER_hh_fec_in!M9=0,0,11630*1000*SER_hh_fec_in!M9/SER_hh_num_in!M9)</f>
        <v>76817.78319643368</v>
      </c>
      <c r="N9" s="133">
        <f>IF(SER_hh_fec_in!N9=0,0,11630*1000*SER_hh_fec_in!N9/SER_hh_num_in!N9)</f>
        <v>83658.041623697456</v>
      </c>
      <c r="O9" s="133">
        <f>IF(SER_hh_fec_in!O9=0,0,11630*1000*SER_hh_fec_in!O9/SER_hh_num_in!O9)</f>
        <v>80387.146149981112</v>
      </c>
      <c r="P9" s="133">
        <f>IF(SER_hh_fec_in!P9=0,0,11630*1000*SER_hh_fec_in!P9/SER_hh_num_in!P9)</f>
        <v>56777.008747884764</v>
      </c>
      <c r="Q9" s="133">
        <f>IF(SER_hh_fec_in!Q9=0,0,11630*1000*SER_hh_fec_in!Q9/SER_hh_num_in!Q9)</f>
        <v>58441.082237266819</v>
      </c>
      <c r="R9" s="133">
        <f>IF(SER_hh_fec_in!R9=0,0,11630*1000*SER_hh_fec_in!R9/SER_hh_num_in!R9)</f>
        <v>55834.077523108928</v>
      </c>
      <c r="S9" s="133">
        <f>IF(SER_hh_fec_in!S9=0,0,11630*1000*SER_hh_fec_in!S9/SER_hh_num_in!S9)</f>
        <v>52904.586336686923</v>
      </c>
      <c r="T9" s="133">
        <f>IF(SER_hh_fec_in!T9=0,0,11630*1000*SER_hh_fec_in!T9/SER_hh_num_in!T9)</f>
        <v>49301.920661555567</v>
      </c>
      <c r="U9" s="133">
        <f>IF(SER_hh_fec_in!U9=0,0,11630*1000*SER_hh_fec_in!U9/SER_hh_num_in!U9)</f>
        <v>43194.261377635841</v>
      </c>
      <c r="V9" s="133">
        <f>IF(SER_hh_fec_in!V9=0,0,11630*1000*SER_hh_fec_in!V9/SER_hh_num_in!V9)</f>
        <v>35748.955312385639</v>
      </c>
      <c r="W9" s="133">
        <f>IF(SER_hh_fec_in!W9=0,0,11630*1000*SER_hh_fec_in!W9/SER_hh_num_in!W9)</f>
        <v>32431.218422119517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128281.92248396939</v>
      </c>
      <c r="D10" s="133">
        <f>IF(SER_hh_fec_in!D10=0,0,11630*1000*SER_hh_fec_in!D10/SER_hh_num_in!D10)</f>
        <v>124939.40367568481</v>
      </c>
      <c r="E10" s="133">
        <f>IF(SER_hh_fec_in!E10=0,0,11630*1000*SER_hh_fec_in!E10/SER_hh_num_in!E10)</f>
        <v>120760.30953984756</v>
      </c>
      <c r="F10" s="133">
        <f>IF(SER_hh_fec_in!F10=0,0,11630*1000*SER_hh_fec_in!F10/SER_hh_num_in!F10)</f>
        <v>130541.90429431474</v>
      </c>
      <c r="G10" s="133">
        <f>IF(SER_hh_fec_in!G10=0,0,11630*1000*SER_hh_fec_in!G10/SER_hh_num_in!G10)</f>
        <v>118297.74733484563</v>
      </c>
      <c r="H10" s="133">
        <f>IF(SER_hh_fec_in!H10=0,0,11630*1000*SER_hh_fec_in!H10/SER_hh_num_in!H10)</f>
        <v>121249.51211670894</v>
      </c>
      <c r="I10" s="133">
        <f>IF(SER_hh_fec_in!I10=0,0,11630*1000*SER_hh_fec_in!I10/SER_hh_num_in!I10)</f>
        <v>113720.18850070953</v>
      </c>
      <c r="J10" s="133">
        <f>IF(SER_hh_fec_in!J10=0,0,11630*1000*SER_hh_fec_in!J10/SER_hh_num_in!J10)</f>
        <v>125256.84443274379</v>
      </c>
      <c r="K10" s="133">
        <f>IF(SER_hh_fec_in!K10=0,0,11630*1000*SER_hh_fec_in!K10/SER_hh_num_in!K10)</f>
        <v>116916.31168320119</v>
      </c>
      <c r="L10" s="133">
        <f>IF(SER_hh_fec_in!L10=0,0,11630*1000*SER_hh_fec_in!L10/SER_hh_num_in!L10)</f>
        <v>123652.74765190511</v>
      </c>
      <c r="M10" s="133">
        <f>IF(SER_hh_fec_in!M10=0,0,11630*1000*SER_hh_fec_in!M10/SER_hh_num_in!M10)</f>
        <v>110206.80528905235</v>
      </c>
      <c r="N10" s="133">
        <f>IF(SER_hh_fec_in!N10=0,0,11630*1000*SER_hh_fec_in!N10/SER_hh_num_in!N10)</f>
        <v>105661.33725558102</v>
      </c>
      <c r="O10" s="133">
        <f>IF(SER_hh_fec_in!O10=0,0,11630*1000*SER_hh_fec_in!O10/SER_hh_num_in!O10)</f>
        <v>98531.15490831068</v>
      </c>
      <c r="P10" s="133">
        <f>IF(SER_hh_fec_in!P10=0,0,11630*1000*SER_hh_fec_in!P10/SER_hh_num_in!P10)</f>
        <v>89662.814701057738</v>
      </c>
      <c r="Q10" s="133">
        <f>IF(SER_hh_fec_in!Q10=0,0,11630*1000*SER_hh_fec_in!Q10/SER_hh_num_in!Q10)</f>
        <v>79281.698732414792</v>
      </c>
      <c r="R10" s="133">
        <f>IF(SER_hh_fec_in!R10=0,0,11630*1000*SER_hh_fec_in!R10/SER_hh_num_in!R10)</f>
        <v>71497.959923495233</v>
      </c>
      <c r="S10" s="133">
        <f>IF(SER_hh_fec_in!S10=0,0,11630*1000*SER_hh_fec_in!S10/SER_hh_num_in!S10)</f>
        <v>78967.594743845635</v>
      </c>
      <c r="T10" s="133">
        <f>IF(SER_hh_fec_in!T10=0,0,11630*1000*SER_hh_fec_in!T10/SER_hh_num_in!T10)</f>
        <v>71840.912800525417</v>
      </c>
      <c r="U10" s="133">
        <f>IF(SER_hh_fec_in!U10=0,0,11630*1000*SER_hh_fec_in!U10/SER_hh_num_in!U10)</f>
        <v>68679.444733669719</v>
      </c>
      <c r="V10" s="133">
        <f>IF(SER_hh_fec_in!V10=0,0,11630*1000*SER_hh_fec_in!V10/SER_hh_num_in!V10)</f>
        <v>61427.116176279902</v>
      </c>
      <c r="W10" s="133">
        <f>IF(SER_hh_fec_in!W10=0,0,11630*1000*SER_hh_fec_in!W10/SER_hh_num_in!W10)</f>
        <v>46070.91711282789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68420.171161884602</v>
      </c>
      <c r="D12" s="133">
        <f>IF(SER_hh_fec_in!D12=0,0,11630*1000*SER_hh_fec_in!D12/SER_hh_num_in!D12)</f>
        <v>99026.314051243273</v>
      </c>
      <c r="E12" s="133">
        <f>IF(SER_hh_fec_in!E12=0,0,11630*1000*SER_hh_fec_in!E12/SER_hh_num_in!E12)</f>
        <v>82095.599285829041</v>
      </c>
      <c r="F12" s="133">
        <f>IF(SER_hh_fec_in!F12=0,0,11630*1000*SER_hh_fec_in!F12/SER_hh_num_in!F12)</f>
        <v>0</v>
      </c>
      <c r="G12" s="133">
        <f>IF(SER_hh_fec_in!G12=0,0,11630*1000*SER_hh_fec_in!G12/SER_hh_num_in!G12)</f>
        <v>63163.872465964756</v>
      </c>
      <c r="H12" s="133">
        <f>IF(SER_hh_fec_in!H12=0,0,11630*1000*SER_hh_fec_in!H12/SER_hh_num_in!H12)</f>
        <v>73127.516588774553</v>
      </c>
      <c r="I12" s="133">
        <f>IF(SER_hh_fec_in!I12=0,0,11630*1000*SER_hh_fec_in!I12/SER_hh_num_in!I12)</f>
        <v>82647.006145339357</v>
      </c>
      <c r="J12" s="133">
        <f>IF(SER_hh_fec_in!J12=0,0,11630*1000*SER_hh_fec_in!J12/SER_hh_num_in!J12)</f>
        <v>72471.810606116211</v>
      </c>
      <c r="K12" s="133">
        <f>IF(SER_hh_fec_in!K12=0,0,11630*1000*SER_hh_fec_in!K12/SER_hh_num_in!K12)</f>
        <v>86619.311928264739</v>
      </c>
      <c r="L12" s="133">
        <f>IF(SER_hh_fec_in!L12=0,0,11630*1000*SER_hh_fec_in!L12/SER_hh_num_in!L12)</f>
        <v>80810.010780933066</v>
      </c>
      <c r="M12" s="133">
        <f>IF(SER_hh_fec_in!M12=0,0,11630*1000*SER_hh_fec_in!M12/SER_hh_num_in!M12)</f>
        <v>0</v>
      </c>
      <c r="N12" s="133">
        <f>IF(SER_hh_fec_in!N12=0,0,11630*1000*SER_hh_fec_in!N12/SER_hh_num_in!N12)</f>
        <v>0</v>
      </c>
      <c r="O12" s="133">
        <f>IF(SER_hh_fec_in!O12=0,0,11630*1000*SER_hh_fec_in!O12/SER_hh_num_in!O12)</f>
        <v>0</v>
      </c>
      <c r="P12" s="133">
        <f>IF(SER_hh_fec_in!P12=0,0,11630*1000*SER_hh_fec_in!P12/SER_hh_num_in!P12)</f>
        <v>0</v>
      </c>
      <c r="Q12" s="133">
        <f>IF(SER_hh_fec_in!Q12=0,0,11630*1000*SER_hh_fec_in!Q12/SER_hh_num_in!Q12)</f>
        <v>48301.394486820835</v>
      </c>
      <c r="R12" s="133">
        <f>IF(SER_hh_fec_in!R12=0,0,11630*1000*SER_hh_fec_in!R12/SER_hh_num_in!R12)</f>
        <v>45186.485087542322</v>
      </c>
      <c r="S12" s="133">
        <f>IF(SER_hh_fec_in!S12=0,0,11630*1000*SER_hh_fec_in!S12/SER_hh_num_in!S12)</f>
        <v>53320.105768870875</v>
      </c>
      <c r="T12" s="133">
        <f>IF(SER_hh_fec_in!T12=0,0,11630*1000*SER_hh_fec_in!T12/SER_hh_num_in!T12)</f>
        <v>41626.196586455124</v>
      </c>
      <c r="U12" s="133">
        <f>IF(SER_hh_fec_in!U12=0,0,11630*1000*SER_hh_fec_in!U12/SER_hh_num_in!U12)</f>
        <v>42538.558198759194</v>
      </c>
      <c r="V12" s="133">
        <f>IF(SER_hh_fec_in!V12=0,0,11630*1000*SER_hh_fec_in!V12/SER_hh_num_in!V12)</f>
        <v>37413.003243801242</v>
      </c>
      <c r="W12" s="133">
        <f>IF(SER_hh_fec_in!W12=0,0,11630*1000*SER_hh_fec_in!W12/SER_hh_num_in!W12)</f>
        <v>27863.523070912466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40704.204004976571</v>
      </c>
      <c r="D13" s="133">
        <f>IF(SER_hh_fec_in!D13=0,0,11630*1000*SER_hh_fec_in!D13/SER_hh_num_in!D13)</f>
        <v>39518.02916981031</v>
      </c>
      <c r="E13" s="133">
        <f>IF(SER_hh_fec_in!E13=0,0,11630*1000*SER_hh_fec_in!E13/SER_hh_num_in!E13)</f>
        <v>35242.093919908817</v>
      </c>
      <c r="F13" s="133">
        <f>IF(SER_hh_fec_in!F13=0,0,11630*1000*SER_hh_fec_in!F13/SER_hh_num_in!F13)</f>
        <v>36774.910387677213</v>
      </c>
      <c r="G13" s="133">
        <f>IF(SER_hh_fec_in!G13=0,0,11630*1000*SER_hh_fec_in!G13/SER_hh_num_in!G13)</f>
        <v>34247.262357893189</v>
      </c>
      <c r="H13" s="133">
        <f>IF(SER_hh_fec_in!H13=0,0,11630*1000*SER_hh_fec_in!H13/SER_hh_num_in!H13)</f>
        <v>30184.808044069483</v>
      </c>
      <c r="I13" s="133">
        <f>IF(SER_hh_fec_in!I13=0,0,11630*1000*SER_hh_fec_in!I13/SER_hh_num_in!I13)</f>
        <v>28709.176337904282</v>
      </c>
      <c r="J13" s="133">
        <f>IF(SER_hh_fec_in!J13=0,0,11630*1000*SER_hh_fec_in!J13/SER_hh_num_in!J13)</f>
        <v>28360.440791551595</v>
      </c>
      <c r="K13" s="133">
        <f>IF(SER_hh_fec_in!K13=0,0,11630*1000*SER_hh_fec_in!K13/SER_hh_num_in!K13)</f>
        <v>27096.240553672666</v>
      </c>
      <c r="L13" s="133">
        <f>IF(SER_hh_fec_in!L13=0,0,11630*1000*SER_hh_fec_in!L13/SER_hh_num_in!L13)</f>
        <v>26087.473244830991</v>
      </c>
      <c r="M13" s="133">
        <f>IF(SER_hh_fec_in!M13=0,0,11630*1000*SER_hh_fec_in!M13/SER_hh_num_in!M13)</f>
        <v>23303.375351128845</v>
      </c>
      <c r="N13" s="133">
        <f>IF(SER_hh_fec_in!N13=0,0,11630*1000*SER_hh_fec_in!N13/SER_hh_num_in!N13)</f>
        <v>20863.603581029456</v>
      </c>
      <c r="O13" s="133">
        <f>IF(SER_hh_fec_in!O13=0,0,11630*1000*SER_hh_fec_in!O13/SER_hh_num_in!O13)</f>
        <v>18377.864624239966</v>
      </c>
      <c r="P13" s="133">
        <f>IF(SER_hh_fec_in!P13=0,0,11630*1000*SER_hh_fec_in!P13/SER_hh_num_in!P13)</f>
        <v>15592.658704277928</v>
      </c>
      <c r="Q13" s="133">
        <f>IF(SER_hh_fec_in!Q13=0,0,11630*1000*SER_hh_fec_in!Q13/SER_hh_num_in!Q13)</f>
        <v>14286.514182988469</v>
      </c>
      <c r="R13" s="133">
        <f>IF(SER_hh_fec_in!R13=0,0,11630*1000*SER_hh_fec_in!R13/SER_hh_num_in!R13)</f>
        <v>13376.242376208362</v>
      </c>
      <c r="S13" s="133">
        <f>IF(SER_hh_fec_in!S13=0,0,11630*1000*SER_hh_fec_in!S13/SER_hh_num_in!S13)</f>
        <v>12709.978047473644</v>
      </c>
      <c r="T13" s="133">
        <f>IF(SER_hh_fec_in!T13=0,0,11630*1000*SER_hh_fec_in!T13/SER_hh_num_in!T13)</f>
        <v>11800.414896590562</v>
      </c>
      <c r="U13" s="133">
        <f>IF(SER_hh_fec_in!U13=0,0,11630*1000*SER_hh_fec_in!U13/SER_hh_num_in!U13)</f>
        <v>10597.531677312727</v>
      </c>
      <c r="V13" s="133">
        <f>IF(SER_hh_fec_in!V13=0,0,11630*1000*SER_hh_fec_in!V13/SER_hh_num_in!V13)</f>
        <v>9320.4174972588244</v>
      </c>
      <c r="W13" s="133">
        <f>IF(SER_hh_fec_in!W13=0,0,11630*1000*SER_hh_fec_in!W13/SER_hh_num_in!W13)</f>
        <v>7927.7514735699497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89886.357267902684</v>
      </c>
      <c r="D14" s="65">
        <f>IF(SER_hh_fec_in!D14=0,0,11630*1000*SER_hh_fec_in!D14/SER_hh_num_in!D14)</f>
        <v>85347.086356982662</v>
      </c>
      <c r="E14" s="65">
        <f>IF(SER_hh_fec_in!E14=0,0,11630*1000*SER_hh_fec_in!E14/SER_hh_num_in!E14)</f>
        <v>91438.028674292684</v>
      </c>
      <c r="F14" s="65">
        <f>IF(SER_hh_fec_in!F14=0,0,11630*1000*SER_hh_fec_in!F14/SER_hh_num_in!F14)</f>
        <v>95374.135632918231</v>
      </c>
      <c r="G14" s="65">
        <f>IF(SER_hh_fec_in!G14=0,0,11630*1000*SER_hh_fec_in!G14/SER_hh_num_in!G14)</f>
        <v>89073.437000452657</v>
      </c>
      <c r="H14" s="65">
        <f>IF(SER_hh_fec_in!H14=0,0,11630*1000*SER_hh_fec_in!H14/SER_hh_num_in!H14)</f>
        <v>86623.068341131191</v>
      </c>
      <c r="I14" s="65">
        <f>IF(SER_hh_fec_in!I14=0,0,11630*1000*SER_hh_fec_in!I14/SER_hh_num_in!I14)</f>
        <v>83973.093002202761</v>
      </c>
      <c r="J14" s="65">
        <f>IF(SER_hh_fec_in!J14=0,0,11630*1000*SER_hh_fec_in!J14/SER_hh_num_in!J14)</f>
        <v>81151.564767920427</v>
      </c>
      <c r="K14" s="65">
        <f>IF(SER_hh_fec_in!K14=0,0,11630*1000*SER_hh_fec_in!K14/SER_hh_num_in!K14)</f>
        <v>84600.842441027344</v>
      </c>
      <c r="L14" s="65">
        <f>IF(SER_hh_fec_in!L14=0,0,11630*1000*SER_hh_fec_in!L14/SER_hh_num_in!L14)</f>
        <v>82646.564054156785</v>
      </c>
      <c r="M14" s="65">
        <f>IF(SER_hh_fec_in!M14=0,0,11630*1000*SER_hh_fec_in!M14/SER_hh_num_in!M14)</f>
        <v>77828.093350693147</v>
      </c>
      <c r="N14" s="65">
        <f>IF(SER_hh_fec_in!N14=0,0,11630*1000*SER_hh_fec_in!N14/SER_hh_num_in!N14)</f>
        <v>74503.337568127463</v>
      </c>
      <c r="O14" s="65">
        <f>IF(SER_hh_fec_in!O14=0,0,11630*1000*SER_hh_fec_in!O14/SER_hh_num_in!O14)</f>
        <v>75261.038187542013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48162.886350284462</v>
      </c>
      <c r="S14" s="65">
        <f>IF(SER_hh_fec_in!S14=0,0,11630*1000*SER_hh_fec_in!S14/SER_hh_num_in!S14)</f>
        <v>50155.358518231529</v>
      </c>
      <c r="T14" s="65">
        <f>IF(SER_hh_fec_in!T14=0,0,11630*1000*SER_hh_fec_in!T14/SER_hh_num_in!T14)</f>
        <v>50245.53449070784</v>
      </c>
      <c r="U14" s="65">
        <f>IF(SER_hh_fec_in!U14=0,0,11630*1000*SER_hh_fec_in!U14/SER_hh_num_in!U14)</f>
        <v>39920.671269232029</v>
      </c>
      <c r="V14" s="65">
        <f>IF(SER_hh_fec_in!V14=0,0,11630*1000*SER_hh_fec_in!V14/SER_hh_num_in!V14)</f>
        <v>31847.005161541103</v>
      </c>
      <c r="W14" s="65">
        <f>IF(SER_hh_fec_in!W14=0,0,11630*1000*SER_hh_fec_in!W14/SER_hh_num_in!W14)</f>
        <v>30837.960114644109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1167.9993623799869</v>
      </c>
      <c r="D15" s="135">
        <f>IF(SER_hh_fec_in!D15=0,0,11630*1000*SER_hh_fec_in!D15/SER_hh_num_in!D15)</f>
        <v>1126.0064474354303</v>
      </c>
      <c r="E15" s="135">
        <f>IF(SER_hh_fec_in!E15=0,0,11630*1000*SER_hh_fec_in!E15/SER_hh_num_in!E15)</f>
        <v>1260.51374072053</v>
      </c>
      <c r="F15" s="135">
        <f>IF(SER_hh_fec_in!F15=0,0,11630*1000*SER_hh_fec_in!F15/SER_hh_num_in!F15)</f>
        <v>1450.9990409382704</v>
      </c>
      <c r="G15" s="135">
        <f>IF(SER_hh_fec_in!G15=0,0,11630*1000*SER_hh_fec_in!G15/SER_hh_num_in!G15)</f>
        <v>1228.3218780118837</v>
      </c>
      <c r="H15" s="135">
        <f>IF(SER_hh_fec_in!H15=0,0,11630*1000*SER_hh_fec_in!H15/SER_hh_num_in!H15)</f>
        <v>1153.381792619314</v>
      </c>
      <c r="I15" s="135">
        <f>IF(SER_hh_fec_in!I15=0,0,11630*1000*SER_hh_fec_in!I15/SER_hh_num_in!I15)</f>
        <v>973.81036108665387</v>
      </c>
      <c r="J15" s="135">
        <f>IF(SER_hh_fec_in!J15=0,0,11630*1000*SER_hh_fec_in!J15/SER_hh_num_in!J15)</f>
        <v>1046.4125564071753</v>
      </c>
      <c r="K15" s="135">
        <f>IF(SER_hh_fec_in!K15=0,0,11630*1000*SER_hh_fec_in!K15/SER_hh_num_in!K15)</f>
        <v>1062.5747719529961</v>
      </c>
      <c r="L15" s="135">
        <f>IF(SER_hh_fec_in!L15=0,0,11630*1000*SER_hh_fec_in!L15/SER_hh_num_in!L15)</f>
        <v>1268.9890431416877</v>
      </c>
      <c r="M15" s="135">
        <f>IF(SER_hh_fec_in!M15=0,0,11630*1000*SER_hh_fec_in!M15/SER_hh_num_in!M15)</f>
        <v>963.2284711984139</v>
      </c>
      <c r="N15" s="135">
        <f>IF(SER_hh_fec_in!N15=0,0,11630*1000*SER_hh_fec_in!N15/SER_hh_num_in!N15)</f>
        <v>1045.0506576337439</v>
      </c>
      <c r="O15" s="135">
        <f>IF(SER_hh_fec_in!O15=0,0,11630*1000*SER_hh_fec_in!O15/SER_hh_num_in!O15)</f>
        <v>1010.4114713205225</v>
      </c>
      <c r="P15" s="135">
        <f>IF(SER_hh_fec_in!P15=0,0,11630*1000*SER_hh_fec_in!P15/SER_hh_num_in!P15)</f>
        <v>723.71511252817481</v>
      </c>
      <c r="Q15" s="135">
        <f>IF(SER_hh_fec_in!Q15=0,0,11630*1000*SER_hh_fec_in!Q15/SER_hh_num_in!Q15)</f>
        <v>718.97274767828833</v>
      </c>
      <c r="R15" s="135">
        <f>IF(SER_hh_fec_in!R15=0,0,11630*1000*SER_hh_fec_in!R15/SER_hh_num_in!R15)</f>
        <v>644.33894655447943</v>
      </c>
      <c r="S15" s="135">
        <f>IF(SER_hh_fec_in!S15=0,0,11630*1000*SER_hh_fec_in!S15/SER_hh_num_in!S15)</f>
        <v>589.58794385831709</v>
      </c>
      <c r="T15" s="135">
        <f>IF(SER_hh_fec_in!T15=0,0,11630*1000*SER_hh_fec_in!T15/SER_hh_num_in!T15)</f>
        <v>560.28642100983075</v>
      </c>
      <c r="U15" s="135">
        <f>IF(SER_hh_fec_in!U15=0,0,11630*1000*SER_hh_fec_in!U15/SER_hh_num_in!U15)</f>
        <v>507.41006992315209</v>
      </c>
      <c r="V15" s="135">
        <f>IF(SER_hh_fec_in!V15=0,0,11630*1000*SER_hh_fec_in!V15/SER_hh_num_in!V15)</f>
        <v>443.87383943165855</v>
      </c>
      <c r="W15" s="135">
        <f>IF(SER_hh_fec_in!W15=0,0,11630*1000*SER_hh_fec_in!W15/SER_hh_num_in!W15)</f>
        <v>416.45363281537055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10017.458545808155</v>
      </c>
      <c r="D16" s="131">
        <f>IF(SER_hh_fec_in!D16=0,0,11630*1000*SER_hh_fec_in!D16/SER_hh_num_in!D16)</f>
        <v>9524.3559371959018</v>
      </c>
      <c r="E16" s="131">
        <f>IF(SER_hh_fec_in!E16=0,0,11630*1000*SER_hh_fec_in!E16/SER_hh_num_in!E16)</f>
        <v>10009.536416254965</v>
      </c>
      <c r="F16" s="131">
        <f>IF(SER_hh_fec_in!F16=0,0,11630*1000*SER_hh_fec_in!F16/SER_hh_num_in!F16)</f>
        <v>8796.9927860999269</v>
      </c>
      <c r="G16" s="131">
        <f>IF(SER_hh_fec_in!G16=0,0,11630*1000*SER_hh_fec_in!G16/SER_hh_num_in!G16)</f>
        <v>8327.4131119525427</v>
      </c>
      <c r="H16" s="131">
        <f>IF(SER_hh_fec_in!H16=0,0,11630*1000*SER_hh_fec_in!H16/SER_hh_num_in!H16)</f>
        <v>8799.7459336710272</v>
      </c>
      <c r="I16" s="131">
        <f>IF(SER_hh_fec_in!I16=0,0,11630*1000*SER_hh_fec_in!I16/SER_hh_num_in!I16)</f>
        <v>7774.2619846038651</v>
      </c>
      <c r="J16" s="131">
        <f>IF(SER_hh_fec_in!J16=0,0,11630*1000*SER_hh_fec_in!J16/SER_hh_num_in!J16)</f>
        <v>7501.1166609566972</v>
      </c>
      <c r="K16" s="131">
        <f>IF(SER_hh_fec_in!K16=0,0,11630*1000*SER_hh_fec_in!K16/SER_hh_num_in!K16)</f>
        <v>7183.5017112649148</v>
      </c>
      <c r="L16" s="131">
        <f>IF(SER_hh_fec_in!L16=0,0,11630*1000*SER_hh_fec_in!L16/SER_hh_num_in!L16)</f>
        <v>7104.3778368481198</v>
      </c>
      <c r="M16" s="131">
        <f>IF(SER_hh_fec_in!M16=0,0,11630*1000*SER_hh_fec_in!M16/SER_hh_num_in!M16)</f>
        <v>6558.8793873378991</v>
      </c>
      <c r="N16" s="131">
        <f>IF(SER_hh_fec_in!N16=0,0,11630*1000*SER_hh_fec_in!N16/SER_hh_num_in!N16)</f>
        <v>6235.7784437451019</v>
      </c>
      <c r="O16" s="131">
        <f>IF(SER_hh_fec_in!O16=0,0,11630*1000*SER_hh_fec_in!O16/SER_hh_num_in!O16)</f>
        <v>5913.7407331928562</v>
      </c>
      <c r="P16" s="131">
        <f>IF(SER_hh_fec_in!P16=0,0,11630*1000*SER_hh_fec_in!P16/SER_hh_num_in!P16)</f>
        <v>5521.5617528986131</v>
      </c>
      <c r="Q16" s="131">
        <f>IF(SER_hh_fec_in!Q16=0,0,11630*1000*SER_hh_fec_in!Q16/SER_hh_num_in!Q16)</f>
        <v>5490.3609716949404</v>
      </c>
      <c r="R16" s="131">
        <f>IF(SER_hh_fec_in!R16=0,0,11630*1000*SER_hh_fec_in!R16/SER_hh_num_in!R16)</f>
        <v>5076.2742621216039</v>
      </c>
      <c r="S16" s="131">
        <f>IF(SER_hh_fec_in!S16=0,0,11630*1000*SER_hh_fec_in!S16/SER_hh_num_in!S16)</f>
        <v>4671.8945677397542</v>
      </c>
      <c r="T16" s="131">
        <f>IF(SER_hh_fec_in!T16=0,0,11630*1000*SER_hh_fec_in!T16/SER_hh_num_in!T16)</f>
        <v>4828.7037072933626</v>
      </c>
      <c r="U16" s="131">
        <f>IF(SER_hh_fec_in!U16=0,0,11630*1000*SER_hh_fec_in!U16/SER_hh_num_in!U16)</f>
        <v>4536.8818290203726</v>
      </c>
      <c r="V16" s="131">
        <f>IF(SER_hh_fec_in!V16=0,0,11630*1000*SER_hh_fec_in!V16/SER_hh_num_in!V16)</f>
        <v>4441.6540801777364</v>
      </c>
      <c r="W16" s="131">
        <f>IF(SER_hh_fec_in!W16=0,0,11630*1000*SER_hh_fec_in!W16/SER_hh_num_in!W16)</f>
        <v>3331.5684033307284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19097.008334043621</v>
      </c>
      <c r="D17" s="133">
        <f>IF(SER_hh_fec_in!D17=0,0,11630*1000*SER_hh_fec_in!D17/SER_hh_num_in!D17)</f>
        <v>18702.460706264454</v>
      </c>
      <c r="E17" s="133">
        <f>IF(SER_hh_fec_in!E17=0,0,11630*1000*SER_hh_fec_in!E17/SER_hh_num_in!E17)</f>
        <v>20283.619820432832</v>
      </c>
      <c r="F17" s="133">
        <f>IF(SER_hh_fec_in!F17=0,0,11630*1000*SER_hh_fec_in!F17/SER_hh_num_in!F17)</f>
        <v>18291.394350235689</v>
      </c>
      <c r="G17" s="133">
        <f>IF(SER_hh_fec_in!G17=0,0,11630*1000*SER_hh_fec_in!G17/SER_hh_num_in!G17)</f>
        <v>17885.412949896519</v>
      </c>
      <c r="H17" s="133">
        <f>IF(SER_hh_fec_in!H17=0,0,11630*1000*SER_hh_fec_in!H17/SER_hh_num_in!H17)</f>
        <v>19461.379038838088</v>
      </c>
      <c r="I17" s="133">
        <f>IF(SER_hh_fec_in!I17=0,0,11630*1000*SER_hh_fec_in!I17/SER_hh_num_in!I17)</f>
        <v>17699.776480738386</v>
      </c>
      <c r="J17" s="133">
        <f>IF(SER_hh_fec_in!J17=0,0,11630*1000*SER_hh_fec_in!J17/SER_hh_num_in!J17)</f>
        <v>17554.097748021515</v>
      </c>
      <c r="K17" s="133">
        <f>IF(SER_hh_fec_in!K17=0,0,11630*1000*SER_hh_fec_in!K17/SER_hh_num_in!K17)</f>
        <v>17266.408742313833</v>
      </c>
      <c r="L17" s="133">
        <f>IF(SER_hh_fec_in!L17=0,0,11630*1000*SER_hh_fec_in!L17/SER_hh_num_in!L17)</f>
        <v>17550.134035798874</v>
      </c>
      <c r="M17" s="133">
        <f>IF(SER_hh_fec_in!M17=0,0,11630*1000*SER_hh_fec_in!M17/SER_hh_num_in!M17)</f>
        <v>16647.695134375754</v>
      </c>
      <c r="N17" s="133">
        <f>IF(SER_hh_fec_in!N17=0,0,11630*1000*SER_hh_fec_in!N17/SER_hh_num_in!N17)</f>
        <v>16197.619491003628</v>
      </c>
      <c r="O17" s="133">
        <f>IF(SER_hh_fec_in!O17=0,0,11630*1000*SER_hh_fec_in!O17/SER_hh_num_in!O17)</f>
        <v>15599.184211609416</v>
      </c>
      <c r="P17" s="133">
        <f>IF(SER_hh_fec_in!P17=0,0,11630*1000*SER_hh_fec_in!P17/SER_hh_num_in!P17)</f>
        <v>14642.523941426978</v>
      </c>
      <c r="Q17" s="133">
        <f>IF(SER_hh_fec_in!Q17=0,0,11630*1000*SER_hh_fec_in!Q17/SER_hh_num_in!Q17)</f>
        <v>14509.973382715092</v>
      </c>
      <c r="R17" s="133">
        <f>IF(SER_hh_fec_in!R17=0,0,11630*1000*SER_hh_fec_in!R17/SER_hh_num_in!R17)</f>
        <v>13664.6748799447</v>
      </c>
      <c r="S17" s="133">
        <f>IF(SER_hh_fec_in!S17=0,0,11630*1000*SER_hh_fec_in!S17/SER_hh_num_in!S17)</f>
        <v>13336.809970940289</v>
      </c>
      <c r="T17" s="133">
        <f>IF(SER_hh_fec_in!T17=0,0,11630*1000*SER_hh_fec_in!T17/SER_hh_num_in!T17)</f>
        <v>13133.14491932712</v>
      </c>
      <c r="U17" s="133">
        <f>IF(SER_hh_fec_in!U17=0,0,11630*1000*SER_hh_fec_in!U17/SER_hh_num_in!U17)</f>
        <v>12056.303303439769</v>
      </c>
      <c r="V17" s="133">
        <f>IF(SER_hh_fec_in!V17=0,0,11630*1000*SER_hh_fec_in!V17/SER_hh_num_in!V17)</f>
        <v>11583.253273194789</v>
      </c>
      <c r="W17" s="133">
        <f>IF(SER_hh_fec_in!W17=0,0,11630*1000*SER_hh_fec_in!W17/SER_hh_num_in!W17)</f>
        <v>10751.900974190663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9991.5358130109089</v>
      </c>
      <c r="D18" s="133">
        <f>IF(SER_hh_fec_in!D18=0,0,11630*1000*SER_hh_fec_in!D18/SER_hh_num_in!D18)</f>
        <v>9484.9014448039889</v>
      </c>
      <c r="E18" s="133">
        <f>IF(SER_hh_fec_in!E18=0,0,11630*1000*SER_hh_fec_in!E18/SER_hh_num_in!E18)</f>
        <v>9977.4109443537836</v>
      </c>
      <c r="F18" s="133">
        <f>IF(SER_hh_fec_in!F18=0,0,11630*1000*SER_hh_fec_in!F18/SER_hh_num_in!F18)</f>
        <v>8730.0135802455461</v>
      </c>
      <c r="G18" s="133">
        <f>IF(SER_hh_fec_in!G18=0,0,11630*1000*SER_hh_fec_in!G18/SER_hh_num_in!G18)</f>
        <v>8282.5014203804276</v>
      </c>
      <c r="H18" s="133">
        <f>IF(SER_hh_fec_in!H18=0,0,11630*1000*SER_hh_fec_in!H18/SER_hh_num_in!H18)</f>
        <v>8732.8002224169795</v>
      </c>
      <c r="I18" s="133">
        <f>IF(SER_hh_fec_in!I18=0,0,11630*1000*SER_hh_fec_in!I18/SER_hh_num_in!I18)</f>
        <v>7700.9109213834108</v>
      </c>
      <c r="J18" s="133">
        <f>IF(SER_hh_fec_in!J18=0,0,11630*1000*SER_hh_fec_in!J18/SER_hh_num_in!J18)</f>
        <v>7425.564234485325</v>
      </c>
      <c r="K18" s="133">
        <f>IF(SER_hh_fec_in!K18=0,0,11630*1000*SER_hh_fec_in!K18/SER_hh_num_in!K18)</f>
        <v>7108.7480233089227</v>
      </c>
      <c r="L18" s="133">
        <f>IF(SER_hh_fec_in!L18=0,0,11630*1000*SER_hh_fec_in!L18/SER_hh_num_in!L18)</f>
        <v>7030.9513877480022</v>
      </c>
      <c r="M18" s="133">
        <f>IF(SER_hh_fec_in!M18=0,0,11630*1000*SER_hh_fec_in!M18/SER_hh_num_in!M18)</f>
        <v>6475.6194641255388</v>
      </c>
      <c r="N18" s="133">
        <f>IF(SER_hh_fec_in!N18=0,0,11630*1000*SER_hh_fec_in!N18/SER_hh_num_in!N18)</f>
        <v>6122.9716079806994</v>
      </c>
      <c r="O18" s="133">
        <f>IF(SER_hh_fec_in!O18=0,0,11630*1000*SER_hh_fec_in!O18/SER_hh_num_in!O18)</f>
        <v>5740.7304444523479</v>
      </c>
      <c r="P18" s="133">
        <f>IF(SER_hh_fec_in!P18=0,0,11630*1000*SER_hh_fec_in!P18/SER_hh_num_in!P18)</f>
        <v>5265.2234158858664</v>
      </c>
      <c r="Q18" s="133">
        <f>IF(SER_hh_fec_in!Q18=0,0,11630*1000*SER_hh_fec_in!Q18/SER_hh_num_in!Q18)</f>
        <v>5170.0838293473826</v>
      </c>
      <c r="R18" s="133">
        <f>IF(SER_hh_fec_in!R18=0,0,11630*1000*SER_hh_fec_in!R18/SER_hh_num_in!R18)</f>
        <v>4759.4714979297132</v>
      </c>
      <c r="S18" s="133">
        <f>IF(SER_hh_fec_in!S18=0,0,11630*1000*SER_hh_fec_in!S18/SER_hh_num_in!S18)</f>
        <v>4419.7853476646369</v>
      </c>
      <c r="T18" s="133">
        <f>IF(SER_hh_fec_in!T18=0,0,11630*1000*SER_hh_fec_in!T18/SER_hh_num_in!T18)</f>
        <v>4633.9603235774839</v>
      </c>
      <c r="U18" s="133">
        <f>IF(SER_hh_fec_in!U18=0,0,11630*1000*SER_hh_fec_in!U18/SER_hh_num_in!U18)</f>
        <v>4305.3712239720453</v>
      </c>
      <c r="V18" s="133">
        <f>IF(SER_hh_fec_in!V18=0,0,11630*1000*SER_hh_fec_in!V18/SER_hh_num_in!V18)</f>
        <v>4160.4103354105528</v>
      </c>
      <c r="W18" s="133">
        <f>IF(SER_hh_fec_in!W18=0,0,11630*1000*SER_hh_fec_in!W18/SER_hh_num_in!W18)</f>
        <v>3222.1428225030131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21250.380912390781</v>
      </c>
      <c r="D19" s="131">
        <f>IF(SER_hh_fec_in!D19=0,0,11630*1000*SER_hh_fec_in!D19/SER_hh_num_in!D19)</f>
        <v>20941.259720627557</v>
      </c>
      <c r="E19" s="131">
        <f>IF(SER_hh_fec_in!E19=0,0,11630*1000*SER_hh_fec_in!E19/SER_hh_num_in!E19)</f>
        <v>20426.694267477211</v>
      </c>
      <c r="F19" s="131">
        <f>IF(SER_hh_fec_in!F19=0,0,11630*1000*SER_hh_fec_in!F19/SER_hh_num_in!F19)</f>
        <v>20099.98922993441</v>
      </c>
      <c r="G19" s="131">
        <f>IF(SER_hh_fec_in!G19=0,0,11630*1000*SER_hh_fec_in!G19/SER_hh_num_in!G19)</f>
        <v>20008.620998491435</v>
      </c>
      <c r="H19" s="131">
        <f>IF(SER_hh_fec_in!H19=0,0,11630*1000*SER_hh_fec_in!H19/SER_hh_num_in!H19)</f>
        <v>19444.812636177485</v>
      </c>
      <c r="I19" s="131">
        <f>IF(SER_hh_fec_in!I19=0,0,11630*1000*SER_hh_fec_in!I19/SER_hh_num_in!I19)</f>
        <v>18573.107423394944</v>
      </c>
      <c r="J19" s="131">
        <f>IF(SER_hh_fec_in!J19=0,0,11630*1000*SER_hh_fec_in!J19/SER_hh_num_in!J19)</f>
        <v>18295.515444992874</v>
      </c>
      <c r="K19" s="131">
        <f>IF(SER_hh_fec_in!K19=0,0,11630*1000*SER_hh_fec_in!K19/SER_hh_num_in!K19)</f>
        <v>17400.75486282133</v>
      </c>
      <c r="L19" s="131">
        <f>IF(SER_hh_fec_in!L19=0,0,11630*1000*SER_hh_fec_in!L19/SER_hh_num_in!L19)</f>
        <v>18017.645848688488</v>
      </c>
      <c r="M19" s="131">
        <f>IF(SER_hh_fec_in!M19=0,0,11630*1000*SER_hh_fec_in!M19/SER_hh_num_in!M19)</f>
        <v>17277.714794998155</v>
      </c>
      <c r="N19" s="131">
        <f>IF(SER_hh_fec_in!N19=0,0,11630*1000*SER_hh_fec_in!N19/SER_hh_num_in!N19)</f>
        <v>17272.298909877507</v>
      </c>
      <c r="O19" s="131">
        <f>IF(SER_hh_fec_in!O19=0,0,11630*1000*SER_hh_fec_in!O19/SER_hh_num_in!O19)</f>
        <v>16257.793666632217</v>
      </c>
      <c r="P19" s="131">
        <f>IF(SER_hh_fec_in!P19=0,0,11630*1000*SER_hh_fec_in!P19/SER_hh_num_in!P19)</f>
        <v>15744.951901958362</v>
      </c>
      <c r="Q19" s="131">
        <f>IF(SER_hh_fec_in!Q19=0,0,11630*1000*SER_hh_fec_in!Q19/SER_hh_num_in!Q19)</f>
        <v>15382.646320384536</v>
      </c>
      <c r="R19" s="131">
        <f>IF(SER_hh_fec_in!R19=0,0,11630*1000*SER_hh_fec_in!R19/SER_hh_num_in!R19)</f>
        <v>14872.218606069586</v>
      </c>
      <c r="S19" s="131">
        <f>IF(SER_hh_fec_in!S19=0,0,11630*1000*SER_hh_fec_in!S19/SER_hh_num_in!S19)</f>
        <v>14702.069068769786</v>
      </c>
      <c r="T19" s="131">
        <f>IF(SER_hh_fec_in!T19=0,0,11630*1000*SER_hh_fec_in!T19/SER_hh_num_in!T19)</f>
        <v>14149.132439388324</v>
      </c>
      <c r="U19" s="131">
        <f>IF(SER_hh_fec_in!U19=0,0,11630*1000*SER_hh_fec_in!U19/SER_hh_num_in!U19)</f>
        <v>13622.546261514801</v>
      </c>
      <c r="V19" s="131">
        <f>IF(SER_hh_fec_in!V19=0,0,11630*1000*SER_hh_fec_in!V19/SER_hh_num_in!V19)</f>
        <v>13286.628853398181</v>
      </c>
      <c r="W19" s="131">
        <f>IF(SER_hh_fec_in!W19=0,0,11630*1000*SER_hh_fec_in!W19/SER_hh_num_in!W19)</f>
        <v>12938.959044504558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25540.358621668398</v>
      </c>
      <c r="D22" s="133">
        <f>IF(SER_hh_fec_in!D22=0,0,11630*1000*SER_hh_fec_in!D22/SER_hh_num_in!D22)</f>
        <v>24860.763155659577</v>
      </c>
      <c r="E22" s="133">
        <f>IF(SER_hh_fec_in!E22=0,0,11630*1000*SER_hh_fec_in!E22/SER_hh_num_in!E22)</f>
        <v>24684.765927551311</v>
      </c>
      <c r="F22" s="133">
        <f>IF(SER_hh_fec_in!F22=0,0,11630*1000*SER_hh_fec_in!F22/SER_hh_num_in!F22)</f>
        <v>24287.869598805617</v>
      </c>
      <c r="G22" s="133">
        <f>IF(SER_hh_fec_in!G22=0,0,11630*1000*SER_hh_fec_in!G22/SER_hh_num_in!G22)</f>
        <v>24189.674752530482</v>
      </c>
      <c r="H22" s="133">
        <f>IF(SER_hh_fec_in!H22=0,0,11630*1000*SER_hh_fec_in!H22/SER_hh_num_in!H22)</f>
        <v>23466.132778798506</v>
      </c>
      <c r="I22" s="133">
        <f>IF(SER_hh_fec_in!I22=0,0,11630*1000*SER_hh_fec_in!I22/SER_hh_num_in!I22)</f>
        <v>22695.397101234183</v>
      </c>
      <c r="J22" s="133">
        <f>IF(SER_hh_fec_in!J22=0,0,11630*1000*SER_hh_fec_in!J22/SER_hh_num_in!J22)</f>
        <v>22487.158474189349</v>
      </c>
      <c r="K22" s="133">
        <f>IF(SER_hh_fec_in!K22=0,0,11630*1000*SER_hh_fec_in!K22/SER_hh_num_in!K22)</f>
        <v>21394.34938785632</v>
      </c>
      <c r="L22" s="133">
        <f>IF(SER_hh_fec_in!L22=0,0,11630*1000*SER_hh_fec_in!L22/SER_hh_num_in!L22)</f>
        <v>21566.650255197033</v>
      </c>
      <c r="M22" s="133">
        <f>IF(SER_hh_fec_in!M22=0,0,11630*1000*SER_hh_fec_in!M22/SER_hh_num_in!M22)</f>
        <v>20685.130518620335</v>
      </c>
      <c r="N22" s="133">
        <f>IF(SER_hh_fec_in!N22=0,0,11630*1000*SER_hh_fec_in!N22/SER_hh_num_in!N22)</f>
        <v>20149.619197970995</v>
      </c>
      <c r="O22" s="133">
        <f>IF(SER_hh_fec_in!O22=0,0,11630*1000*SER_hh_fec_in!O22/SER_hh_num_in!O22)</f>
        <v>18965.590010799166</v>
      </c>
      <c r="P22" s="133">
        <f>IF(SER_hh_fec_in!P22=0,0,11630*1000*SER_hh_fec_in!P22/SER_hh_num_in!P22)</f>
        <v>18170.045990833787</v>
      </c>
      <c r="Q22" s="133">
        <f>IF(SER_hh_fec_in!Q22=0,0,11630*1000*SER_hh_fec_in!Q22/SER_hh_num_in!Q22)</f>
        <v>17457.07980933864</v>
      </c>
      <c r="R22" s="133">
        <f>IF(SER_hh_fec_in!R22=0,0,11630*1000*SER_hh_fec_in!R22/SER_hh_num_in!R22)</f>
        <v>16604.565829484935</v>
      </c>
      <c r="S22" s="133">
        <f>IF(SER_hh_fec_in!S22=0,0,11630*1000*SER_hh_fec_in!S22/SER_hh_num_in!S22)</f>
        <v>16029.882402870358</v>
      </c>
      <c r="T22" s="133">
        <f>IF(SER_hh_fec_in!T22=0,0,11630*1000*SER_hh_fec_in!T22/SER_hh_num_in!T22)</f>
        <v>15762.05269641465</v>
      </c>
      <c r="U22" s="133">
        <f>IF(SER_hh_fec_in!U22=0,0,11630*1000*SER_hh_fec_in!U22/SER_hh_num_in!U22)</f>
        <v>15376.633780456208</v>
      </c>
      <c r="V22" s="133">
        <f>IF(SER_hh_fec_in!V22=0,0,11630*1000*SER_hh_fec_in!V22/SER_hh_num_in!V22)</f>
        <v>14554.777733609108</v>
      </c>
      <c r="W22" s="133">
        <f>IF(SER_hh_fec_in!W22=0,0,11630*1000*SER_hh_fec_in!W22/SER_hh_num_in!W22)</f>
        <v>14532.900034923896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23155.814587708315</v>
      </c>
      <c r="D23" s="133">
        <f>IF(SER_hh_fec_in!D23=0,0,11630*1000*SER_hh_fec_in!D23/SER_hh_num_in!D23)</f>
        <v>23575.443358064575</v>
      </c>
      <c r="E23" s="133">
        <f>IF(SER_hh_fec_in!E23=0,0,11630*1000*SER_hh_fec_in!E23/SER_hh_num_in!E23)</f>
        <v>22537.400219767562</v>
      </c>
      <c r="F23" s="133">
        <f>IF(SER_hh_fec_in!F23=0,0,11630*1000*SER_hh_fec_in!F23/SER_hh_num_in!F23)</f>
        <v>21811.450120391128</v>
      </c>
      <c r="G23" s="133">
        <f>IF(SER_hh_fec_in!G23=0,0,11630*1000*SER_hh_fec_in!G23/SER_hh_num_in!G23)</f>
        <v>21626.200145791092</v>
      </c>
      <c r="H23" s="133">
        <f>IF(SER_hh_fec_in!H23=0,0,11630*1000*SER_hh_fec_in!H23/SER_hh_num_in!H23)</f>
        <v>21184.093925321005</v>
      </c>
      <c r="I23" s="133">
        <f>IF(SER_hh_fec_in!I23=0,0,11630*1000*SER_hh_fec_in!I23/SER_hh_num_in!I23)</f>
        <v>20205.001861721736</v>
      </c>
      <c r="J23" s="133">
        <f>IF(SER_hh_fec_in!J23=0,0,11630*1000*SER_hh_fec_in!J23/SER_hh_num_in!J23)</f>
        <v>19670.569159026007</v>
      </c>
      <c r="K23" s="133">
        <f>IF(SER_hh_fec_in!K23=0,0,11630*1000*SER_hh_fec_in!K23/SER_hh_num_in!K23)</f>
        <v>18746.902807111706</v>
      </c>
      <c r="L23" s="133">
        <f>IF(SER_hh_fec_in!L23=0,0,11630*1000*SER_hh_fec_in!L23/SER_hh_num_in!L23)</f>
        <v>18963.163644576394</v>
      </c>
      <c r="M23" s="133">
        <f>IF(SER_hh_fec_in!M23=0,0,11630*1000*SER_hh_fec_in!M23/SER_hh_num_in!M23)</f>
        <v>17889.711596860809</v>
      </c>
      <c r="N23" s="133">
        <f>IF(SER_hh_fec_in!N23=0,0,11630*1000*SER_hh_fec_in!N23/SER_hh_num_in!N23)</f>
        <v>18158.395928550934</v>
      </c>
      <c r="O23" s="133">
        <f>IF(SER_hh_fec_in!O23=0,0,11630*1000*SER_hh_fec_in!O23/SER_hh_num_in!O23)</f>
        <v>17448.698655364478</v>
      </c>
      <c r="P23" s="133">
        <f>IF(SER_hh_fec_in!P23=0,0,11630*1000*SER_hh_fec_in!P23/SER_hh_num_in!P23)</f>
        <v>16314.626868078403</v>
      </c>
      <c r="Q23" s="133">
        <f>IF(SER_hh_fec_in!Q23=0,0,11630*1000*SER_hh_fec_in!Q23/SER_hh_num_in!Q23)</f>
        <v>15515.610064958651</v>
      </c>
      <c r="R23" s="133">
        <f>IF(SER_hh_fec_in!R23=0,0,11630*1000*SER_hh_fec_in!R23/SER_hh_num_in!R23)</f>
        <v>14992.219862196851</v>
      </c>
      <c r="S23" s="133">
        <f>IF(SER_hh_fec_in!S23=0,0,11630*1000*SER_hh_fec_in!S23/SER_hh_num_in!S23)</f>
        <v>15304.734350779785</v>
      </c>
      <c r="T23" s="133">
        <f>IF(SER_hh_fec_in!T23=0,0,11630*1000*SER_hh_fec_in!T23/SER_hh_num_in!T23)</f>
        <v>15150.627179301582</v>
      </c>
      <c r="U23" s="133">
        <f>IF(SER_hh_fec_in!U23=0,0,11630*1000*SER_hh_fec_in!U23/SER_hh_num_in!U23)</f>
        <v>14945.901785117007</v>
      </c>
      <c r="V23" s="133">
        <f>IF(SER_hh_fec_in!V23=0,0,11630*1000*SER_hh_fec_in!V23/SER_hh_num_in!V23)</f>
        <v>13201.979231160944</v>
      </c>
      <c r="W23" s="133">
        <f>IF(SER_hh_fec_in!W23=0,0,11630*1000*SER_hh_fec_in!W23/SER_hh_num_in!W23)</f>
        <v>13679.663565115943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16729.674600298335</v>
      </c>
      <c r="D25" s="133">
        <f>IF(SER_hh_fec_in!D25=0,0,11630*1000*SER_hh_fec_in!D25/SER_hh_num_in!D25)</f>
        <v>16470.813547100752</v>
      </c>
      <c r="E25" s="133">
        <f>IF(SER_hh_fec_in!E25=0,0,11630*1000*SER_hh_fec_in!E25/SER_hh_num_in!E25)</f>
        <v>16324.293303383687</v>
      </c>
      <c r="F25" s="133">
        <f>IF(SER_hh_fec_in!F25=0,0,11630*1000*SER_hh_fec_in!F25/SER_hh_num_in!F25)</f>
        <v>15877.554427824396</v>
      </c>
      <c r="G25" s="133">
        <f>IF(SER_hh_fec_in!G25=0,0,11630*1000*SER_hh_fec_in!G25/SER_hh_num_in!G25)</f>
        <v>15883.138811618466</v>
      </c>
      <c r="H25" s="133">
        <f>IF(SER_hh_fec_in!H25=0,0,11630*1000*SER_hh_fec_in!H25/SER_hh_num_in!H25)</f>
        <v>15560.612730229728</v>
      </c>
      <c r="I25" s="133">
        <f>IF(SER_hh_fec_in!I25=0,0,11630*1000*SER_hh_fec_in!I25/SER_hh_num_in!I25)</f>
        <v>15146.521443053827</v>
      </c>
      <c r="J25" s="133">
        <f>IF(SER_hh_fec_in!J25=0,0,11630*1000*SER_hh_fec_in!J25/SER_hh_num_in!J25)</f>
        <v>14849.823923186386</v>
      </c>
      <c r="K25" s="133">
        <f>IF(SER_hh_fec_in!K25=0,0,11630*1000*SER_hh_fec_in!K25/SER_hh_num_in!K25)</f>
        <v>14414.311640118687</v>
      </c>
      <c r="L25" s="133">
        <f>IF(SER_hh_fec_in!L25=0,0,11630*1000*SER_hh_fec_in!L25/SER_hh_num_in!L25)</f>
        <v>14774.941052900454</v>
      </c>
      <c r="M25" s="133">
        <f>IF(SER_hh_fec_in!M25=0,0,11630*1000*SER_hh_fec_in!M25/SER_hh_num_in!M25)</f>
        <v>14453.35241567165</v>
      </c>
      <c r="N25" s="133">
        <f>IF(SER_hh_fec_in!N25=0,0,11630*1000*SER_hh_fec_in!N25/SER_hh_num_in!N25)</f>
        <v>14446.731174914386</v>
      </c>
      <c r="O25" s="133">
        <f>IF(SER_hh_fec_in!O25=0,0,11630*1000*SER_hh_fec_in!O25/SER_hh_num_in!O25)</f>
        <v>13979.841075046903</v>
      </c>
      <c r="P25" s="133">
        <f>IF(SER_hh_fec_in!P25=0,0,11630*1000*SER_hh_fec_in!P25/SER_hh_num_in!P25)</f>
        <v>0</v>
      </c>
      <c r="Q25" s="133">
        <f>IF(SER_hh_fec_in!Q25=0,0,11630*1000*SER_hh_fec_in!Q25/SER_hh_num_in!Q25)</f>
        <v>13648.512611133963</v>
      </c>
      <c r="R25" s="133">
        <f>IF(SER_hh_fec_in!R25=0,0,11630*1000*SER_hh_fec_in!R25/SER_hh_num_in!R25)</f>
        <v>13449.851619387307</v>
      </c>
      <c r="S25" s="133">
        <f>IF(SER_hh_fec_in!S25=0,0,11630*1000*SER_hh_fec_in!S25/SER_hh_num_in!S25)</f>
        <v>13321.495206662439</v>
      </c>
      <c r="T25" s="133">
        <f>IF(SER_hh_fec_in!T25=0,0,11630*1000*SER_hh_fec_in!T25/SER_hh_num_in!T25)</f>
        <v>13434.531108563875</v>
      </c>
      <c r="U25" s="133">
        <f>IF(SER_hh_fec_in!U25=0,0,11630*1000*SER_hh_fec_in!U25/SER_hh_num_in!U25)</f>
        <v>13209.488039383012</v>
      </c>
      <c r="V25" s="133">
        <f>IF(SER_hh_fec_in!V25=0,0,11630*1000*SER_hh_fec_in!V25/SER_hh_num_in!V25)</f>
        <v>12779.68387859848</v>
      </c>
      <c r="W25" s="133">
        <f>IF(SER_hh_fec_in!W25=0,0,11630*1000*SER_hh_fec_in!W25/SER_hh_num_in!W25)</f>
        <v>12401.977848596302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19603.954677521779</v>
      </c>
      <c r="D26" s="65">
        <f>IF(SER_hh_fec_in!D26=0,0,11630*1000*SER_hh_fec_in!D26/SER_hh_num_in!D26)</f>
        <v>16764.544678541726</v>
      </c>
      <c r="E26" s="65">
        <f>IF(SER_hh_fec_in!E26=0,0,11630*1000*SER_hh_fec_in!E26/SER_hh_num_in!E26)</f>
        <v>17286.469084751549</v>
      </c>
      <c r="F26" s="65">
        <f>IF(SER_hh_fec_in!F26=0,0,11630*1000*SER_hh_fec_in!F26/SER_hh_num_in!F26)</f>
        <v>14917.491379270637</v>
      </c>
      <c r="G26" s="65">
        <f>IF(SER_hh_fec_in!G26=0,0,11630*1000*SER_hh_fec_in!G26/SER_hh_num_in!G26)</f>
        <v>18139.150907317842</v>
      </c>
      <c r="H26" s="65">
        <f>IF(SER_hh_fec_in!H26=0,0,11630*1000*SER_hh_fec_in!H26/SER_hh_num_in!H26)</f>
        <v>18078.572897310423</v>
      </c>
      <c r="I26" s="65">
        <f>IF(SER_hh_fec_in!I26=0,0,11630*1000*SER_hh_fec_in!I26/SER_hh_num_in!I26)</f>
        <v>17005.668776391853</v>
      </c>
      <c r="J26" s="65">
        <f>IF(SER_hh_fec_in!J26=0,0,11630*1000*SER_hh_fec_in!J26/SER_hh_num_in!J26)</f>
        <v>17503.769243802861</v>
      </c>
      <c r="K26" s="65">
        <f>IF(SER_hh_fec_in!K26=0,0,11630*1000*SER_hh_fec_in!K26/SER_hh_num_in!K26)</f>
        <v>9066.7986389047182</v>
      </c>
      <c r="L26" s="65">
        <f>IF(SER_hh_fec_in!L26=0,0,11630*1000*SER_hh_fec_in!L26/SER_hh_num_in!L26)</f>
        <v>17516.733107376891</v>
      </c>
      <c r="M26" s="65">
        <f>IF(SER_hh_fec_in!M26=0,0,11630*1000*SER_hh_fec_in!M26/SER_hh_num_in!M26)</f>
        <v>14599.752083005256</v>
      </c>
      <c r="N26" s="65">
        <f>IF(SER_hh_fec_in!N26=0,0,11630*1000*SER_hh_fec_in!N26/SER_hh_num_in!N26)</f>
        <v>14868.430608447825</v>
      </c>
      <c r="O26" s="65">
        <f>IF(SER_hh_fec_in!O26=0,0,11630*1000*SER_hh_fec_in!O26/SER_hh_num_in!O26)</f>
        <v>10774.281243258591</v>
      </c>
      <c r="P26" s="65">
        <f>IF(SER_hh_fec_in!P26=0,0,11630*1000*SER_hh_fec_in!P26/SER_hh_num_in!P26)</f>
        <v>11991.716393369356</v>
      </c>
      <c r="Q26" s="65">
        <f>IF(SER_hh_fec_in!Q26=0,0,11630*1000*SER_hh_fec_in!Q26/SER_hh_num_in!Q26)</f>
        <v>14566.506980824128</v>
      </c>
      <c r="R26" s="65">
        <f>IF(SER_hh_fec_in!R26=0,0,11630*1000*SER_hh_fec_in!R26/SER_hh_num_in!R26)</f>
        <v>12201.181302328772</v>
      </c>
      <c r="S26" s="65">
        <f>IF(SER_hh_fec_in!S26=0,0,11630*1000*SER_hh_fec_in!S26/SER_hh_num_in!S26)</f>
        <v>12588.881452052432</v>
      </c>
      <c r="T26" s="65">
        <f>IF(SER_hh_fec_in!T26=0,0,11630*1000*SER_hh_fec_in!T26/SER_hh_num_in!T26)</f>
        <v>12751.804122500725</v>
      </c>
      <c r="U26" s="65">
        <f>IF(SER_hh_fec_in!U26=0,0,11630*1000*SER_hh_fec_in!U26/SER_hh_num_in!U26)</f>
        <v>12271.806290612105</v>
      </c>
      <c r="V26" s="65">
        <f>IF(SER_hh_fec_in!V26=0,0,11630*1000*SER_hh_fec_in!V26/SER_hh_num_in!V26)</f>
        <v>12160.788800106826</v>
      </c>
      <c r="W26" s="65">
        <f>IF(SER_hh_fec_in!W26=0,0,11630*1000*SER_hh_fec_in!W26/SER_hh_num_in!W26)</f>
        <v>11762.976300201744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333.18625359053681</v>
      </c>
      <c r="D27" s="146">
        <f>IF(SER_hh_fec_in!D27=0,0,11630*1000*SER_hh_fec_in!D27/SER_hh_num_in!D19)</f>
        <v>1290.0201133323769</v>
      </c>
      <c r="E27" s="146">
        <f>IF(SER_hh_fec_in!E27=0,0,11630*1000*SER_hh_fec_in!E27/SER_hh_num_in!E19)</f>
        <v>1195.4313394145383</v>
      </c>
      <c r="F27" s="146">
        <f>IF(SER_hh_fec_in!F27=0,0,11630*1000*SER_hh_fec_in!F27/SER_hh_num_in!F19)</f>
        <v>2218.5538760300874</v>
      </c>
      <c r="G27" s="146">
        <f>IF(SER_hh_fec_in!G27=0,0,11630*1000*SER_hh_fec_in!G27/SER_hh_num_in!G19)</f>
        <v>682.58873383841762</v>
      </c>
      <c r="H27" s="146">
        <f>IF(SER_hh_fec_in!H27=0,0,11630*1000*SER_hh_fec_in!H27/SER_hh_num_in!H19)</f>
        <v>346.98644900564989</v>
      </c>
      <c r="I27" s="146">
        <f>IF(SER_hh_fec_in!I27=0,0,11630*1000*SER_hh_fec_in!I27/SER_hh_num_in!I19)</f>
        <v>550.73911765177593</v>
      </c>
      <c r="J27" s="146">
        <f>IF(SER_hh_fec_in!J27=0,0,11630*1000*SER_hh_fec_in!J27/SER_hh_num_in!J19)</f>
        <v>88.487488246554946</v>
      </c>
      <c r="K27" s="146">
        <f>IF(SER_hh_fec_in!K27=0,0,11630*1000*SER_hh_fec_in!K27/SER_hh_num_in!K19)</f>
        <v>3319.9539094182464</v>
      </c>
      <c r="L27" s="146">
        <f>IF(SER_hh_fec_in!L27=0,0,11630*1000*SER_hh_fec_in!L27/SER_hh_num_in!L19)</f>
        <v>3.0220174388200423E-12</v>
      </c>
      <c r="M27" s="146">
        <f>IF(SER_hh_fec_in!M27=0,0,11630*1000*SER_hh_fec_in!M27/SER_hh_num_in!M19)</f>
        <v>1161.2154021183164</v>
      </c>
      <c r="N27" s="146">
        <f>IF(SER_hh_fec_in!N27=0,0,11630*1000*SER_hh_fec_in!N27/SER_hh_num_in!N19)</f>
        <v>733.1389896725467</v>
      </c>
      <c r="O27" s="146">
        <f>IF(SER_hh_fec_in!O27=0,0,11630*1000*SER_hh_fec_in!O27/SER_hh_num_in!O19)</f>
        <v>2541.9659978364771</v>
      </c>
      <c r="P27" s="146">
        <f>IF(SER_hh_fec_in!P27=0,0,11630*1000*SER_hh_fec_in!P27/SER_hh_num_in!P19)</f>
        <v>2662.2675447149281</v>
      </c>
      <c r="Q27" s="146">
        <f>IF(SER_hh_fec_in!Q27=0,0,11630*1000*SER_hh_fec_in!Q27/SER_hh_num_in!Q19)</f>
        <v>506.52409647839681</v>
      </c>
      <c r="R27" s="146">
        <f>IF(SER_hh_fec_in!R27=0,0,11630*1000*SER_hh_fec_in!R27/SER_hh_num_in!R19)</f>
        <v>1306.8372845030344</v>
      </c>
      <c r="S27" s="146">
        <f>IF(SER_hh_fec_in!S27=0,0,11630*1000*SER_hh_fec_in!S27/SER_hh_num_in!S19)</f>
        <v>747.37102024445494</v>
      </c>
      <c r="T27" s="146">
        <f>IF(SER_hh_fec_in!T27=0,0,11630*1000*SER_hh_fec_in!T27/SER_hh_num_in!T19)</f>
        <v>555.92475162291692</v>
      </c>
      <c r="U27" s="146">
        <f>IF(SER_hh_fec_in!U27=0,0,11630*1000*SER_hh_fec_in!U27/SER_hh_num_in!U19)</f>
        <v>742.65497610551142</v>
      </c>
      <c r="V27" s="146">
        <f>IF(SER_hh_fec_in!V27=0,0,11630*1000*SER_hh_fec_in!V27/SER_hh_num_in!V19)</f>
        <v>987.77298344777148</v>
      </c>
      <c r="W27" s="146">
        <f>IF(SER_hh_fec_in!W27=0,0,11630*1000*SER_hh_fec_in!W27/SER_hh_num_in!W19)</f>
        <v>665.71985344067525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7773.1513615604854</v>
      </c>
      <c r="D28" s="147">
        <f>IF(SER_hh_fec_in!D27=0,0,11630*1000*SER_hh_fec_in!D27/SER_hh_num_in!D27)</f>
        <v>7372.430405141582</v>
      </c>
      <c r="E28" s="147">
        <f>IF(SER_hh_fec_in!E27=0,0,11630*1000*SER_hh_fec_in!E27/SER_hh_num_in!E27)</f>
        <v>7472.7528210281644</v>
      </c>
      <c r="F28" s="147">
        <f>IF(SER_hh_fec_in!F27=0,0,11630*1000*SER_hh_fec_in!F27/SER_hh_num_in!F27)</f>
        <v>7481.6826986860797</v>
      </c>
      <c r="G28" s="147">
        <f>IF(SER_hh_fec_in!G27=0,0,11630*1000*SER_hh_fec_in!G27/SER_hh_num_in!G27)</f>
        <v>7258.9997252707244</v>
      </c>
      <c r="H28" s="147">
        <f>IF(SER_hh_fec_in!H27=0,0,11630*1000*SER_hh_fec_in!H27/SER_hh_num_in!H27)</f>
        <v>7192.7646729913804</v>
      </c>
      <c r="I28" s="147">
        <f>IF(SER_hh_fec_in!I27=0,0,11630*1000*SER_hh_fec_in!I27/SER_hh_num_in!I27)</f>
        <v>6504.7847365071893</v>
      </c>
      <c r="J28" s="147">
        <f>IF(SER_hh_fec_in!J27=0,0,11630*1000*SER_hh_fec_in!J27/SER_hh_num_in!J27)</f>
        <v>7062.9882964709468</v>
      </c>
      <c r="K28" s="147">
        <f>IF(SER_hh_fec_in!K27=0,0,11630*1000*SER_hh_fec_in!K27/SER_hh_num_in!K27)</f>
        <v>6890.4966209249833</v>
      </c>
      <c r="L28" s="147">
        <f>IF(SER_hh_fec_in!L27=0,0,11630*1000*SER_hh_fec_in!L27/SER_hh_num_in!L27)</f>
        <v>7794.1303054677965</v>
      </c>
      <c r="M28" s="147">
        <f>IF(SER_hh_fec_in!M27=0,0,11630*1000*SER_hh_fec_in!M27/SER_hh_num_in!M27)</f>
        <v>7235.7718025325503</v>
      </c>
      <c r="N28" s="147">
        <f>IF(SER_hh_fec_in!N27=0,0,11630*1000*SER_hh_fec_in!N27/SER_hh_num_in!N27)</f>
        <v>7597.3580493189174</v>
      </c>
      <c r="O28" s="147">
        <f>IF(SER_hh_fec_in!O27=0,0,11630*1000*SER_hh_fec_in!O27/SER_hh_num_in!O27)</f>
        <v>7388.927287657757</v>
      </c>
      <c r="P28" s="147">
        <f>IF(SER_hh_fec_in!P27=0,0,11630*1000*SER_hh_fec_in!P27/SER_hh_num_in!P27)</f>
        <v>7126.2023904027546</v>
      </c>
      <c r="Q28" s="147">
        <f>IF(SER_hh_fec_in!Q27=0,0,11630*1000*SER_hh_fec_in!Q27/SER_hh_num_in!Q27)</f>
        <v>6971.548047764948</v>
      </c>
      <c r="R28" s="147">
        <f>IF(SER_hh_fec_in!R27=0,0,11630*1000*SER_hh_fec_in!R27/SER_hh_num_in!R27)</f>
        <v>6688.2831184108845</v>
      </c>
      <c r="S28" s="147">
        <f>IF(SER_hh_fec_in!S27=0,0,11630*1000*SER_hh_fec_in!S27/SER_hh_num_in!S27)</f>
        <v>6656.8483012894121</v>
      </c>
      <c r="T28" s="147">
        <f>IF(SER_hh_fec_in!T27=0,0,11630*1000*SER_hh_fec_in!T27/SER_hh_num_in!T27)</f>
        <v>6872.4427089496667</v>
      </c>
      <c r="U28" s="147">
        <f>IF(SER_hh_fec_in!U27=0,0,11630*1000*SER_hh_fec_in!U27/SER_hh_num_in!U27)</f>
        <v>7046.7744728034968</v>
      </c>
      <c r="V28" s="147">
        <f>IF(SER_hh_fec_in!V27=0,0,11630*1000*SER_hh_fec_in!V27/SER_hh_num_in!V27)</f>
        <v>6970.8738895265742</v>
      </c>
      <c r="W28" s="147">
        <f>IF(SER_hh_fec_in!W27=0,0,11630*1000*SER_hh_fec_in!W27/SER_hh_num_in!W27)</f>
        <v>6930.8986904826243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18561.263658499702</v>
      </c>
      <c r="D29" s="131">
        <f>IF(SER_hh_fec_in!D29=0,0,11630*1000*SER_hh_fec_in!D29/SER_hh_num_in!D29)</f>
        <v>18692.757310070359</v>
      </c>
      <c r="E29" s="131">
        <f>IF(SER_hh_fec_in!E29=0,0,11630*1000*SER_hh_fec_in!E29/SER_hh_num_in!E29)</f>
        <v>18756.503574112681</v>
      </c>
      <c r="F29" s="131">
        <f>IF(SER_hh_fec_in!F29=0,0,11630*1000*SER_hh_fec_in!F29/SER_hh_num_in!F29)</f>
        <v>19035.81390337789</v>
      </c>
      <c r="G29" s="131">
        <f>IF(SER_hh_fec_in!G29=0,0,11630*1000*SER_hh_fec_in!G29/SER_hh_num_in!G29)</f>
        <v>18691.137112906825</v>
      </c>
      <c r="H29" s="131">
        <f>IF(SER_hh_fec_in!H29=0,0,11630*1000*SER_hh_fec_in!H29/SER_hh_num_in!H29)</f>
        <v>18262.363958353457</v>
      </c>
      <c r="I29" s="131">
        <f>IF(SER_hh_fec_in!I29=0,0,11630*1000*SER_hh_fec_in!I29/SER_hh_num_in!I29)</f>
        <v>18494.073325518119</v>
      </c>
      <c r="J29" s="131">
        <f>IF(SER_hh_fec_in!J29=0,0,11630*1000*SER_hh_fec_in!J29/SER_hh_num_in!J29)</f>
        <v>18404.437090830223</v>
      </c>
      <c r="K29" s="131">
        <f>IF(SER_hh_fec_in!K29=0,0,11630*1000*SER_hh_fec_in!K29/SER_hh_num_in!K29)</f>
        <v>18575.199251148915</v>
      </c>
      <c r="L29" s="131">
        <f>IF(SER_hh_fec_in!L29=0,0,11630*1000*SER_hh_fec_in!L29/SER_hh_num_in!L29)</f>
        <v>18469.134437230023</v>
      </c>
      <c r="M29" s="131">
        <f>IF(SER_hh_fec_in!M29=0,0,11630*1000*SER_hh_fec_in!M29/SER_hh_num_in!M29)</f>
        <v>18077.151624694929</v>
      </c>
      <c r="N29" s="131">
        <f>IF(SER_hh_fec_in!N29=0,0,11630*1000*SER_hh_fec_in!N29/SER_hh_num_in!N29)</f>
        <v>17900.962083079965</v>
      </c>
      <c r="O29" s="131">
        <f>IF(SER_hh_fec_in!O29=0,0,11630*1000*SER_hh_fec_in!O29/SER_hh_num_in!O29)</f>
        <v>18213.170778913318</v>
      </c>
      <c r="P29" s="131">
        <f>IF(SER_hh_fec_in!P29=0,0,11630*1000*SER_hh_fec_in!P29/SER_hh_num_in!P29)</f>
        <v>17595.304839387358</v>
      </c>
      <c r="Q29" s="131">
        <f>IF(SER_hh_fec_in!Q29=0,0,11630*1000*SER_hh_fec_in!Q29/SER_hh_num_in!Q29)</f>
        <v>17497.52071328129</v>
      </c>
      <c r="R29" s="131">
        <f>IF(SER_hh_fec_in!R29=0,0,11630*1000*SER_hh_fec_in!R29/SER_hh_num_in!R29)</f>
        <v>17511.889571323271</v>
      </c>
      <c r="S29" s="131">
        <f>IF(SER_hh_fec_in!S29=0,0,11630*1000*SER_hh_fec_in!S29/SER_hh_num_in!S29)</f>
        <v>16957.036918439408</v>
      </c>
      <c r="T29" s="131">
        <f>IF(SER_hh_fec_in!T29=0,0,11630*1000*SER_hh_fec_in!T29/SER_hh_num_in!T29)</f>
        <v>17370.845344218455</v>
      </c>
      <c r="U29" s="131">
        <f>IF(SER_hh_fec_in!U29=0,0,11630*1000*SER_hh_fec_in!U29/SER_hh_num_in!U29)</f>
        <v>16889.516442904933</v>
      </c>
      <c r="V29" s="131">
        <f>IF(SER_hh_fec_in!V29=0,0,11630*1000*SER_hh_fec_in!V29/SER_hh_num_in!V29)</f>
        <v>16637.01572689832</v>
      </c>
      <c r="W29" s="131">
        <f>IF(SER_hh_fec_in!W29=0,0,11630*1000*SER_hh_fec_in!W29/SER_hh_num_in!W29)</f>
        <v>17007.077544917061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21839.295734290179</v>
      </c>
      <c r="D30" s="133">
        <f>IF(SER_hh_fec_in!D30=0,0,11630*1000*SER_hh_fec_in!D30/SER_hh_num_in!D30)</f>
        <v>23272.981529468863</v>
      </c>
      <c r="E30" s="133">
        <f>IF(SER_hh_fec_in!E30=0,0,11630*1000*SER_hh_fec_in!E30/SER_hh_num_in!E30)</f>
        <v>20982.691058979428</v>
      </c>
      <c r="F30" s="133">
        <f>IF(SER_hh_fec_in!F30=0,0,11630*1000*SER_hh_fec_in!F30/SER_hh_num_in!F30)</f>
        <v>22261.406809444532</v>
      </c>
      <c r="G30" s="133">
        <f>IF(SER_hh_fec_in!G30=0,0,11630*1000*SER_hh_fec_in!G30/SER_hh_num_in!G30)</f>
        <v>21895.780517738825</v>
      </c>
      <c r="H30" s="133">
        <f>IF(SER_hh_fec_in!H30=0,0,11630*1000*SER_hh_fec_in!H30/SER_hh_num_in!H30)</f>
        <v>28313.654986113379</v>
      </c>
      <c r="I30" s="133">
        <f>IF(SER_hh_fec_in!I30=0,0,11630*1000*SER_hh_fec_in!I30/SER_hh_num_in!I30)</f>
        <v>0</v>
      </c>
      <c r="J30" s="133">
        <f>IF(SER_hh_fec_in!J30=0,0,11630*1000*SER_hh_fec_in!J30/SER_hh_num_in!J30)</f>
        <v>0</v>
      </c>
      <c r="K30" s="133">
        <f>IF(SER_hh_fec_in!K30=0,0,11630*1000*SER_hh_fec_in!K30/SER_hh_num_in!K30)</f>
        <v>24036.877902658111</v>
      </c>
      <c r="L30" s="133">
        <f>IF(SER_hh_fec_in!L30=0,0,11630*1000*SER_hh_fec_in!L30/SER_hh_num_in!L30)</f>
        <v>27249.767633903288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24552.448811087204</v>
      </c>
      <c r="O30" s="133">
        <f>IF(SER_hh_fec_in!O30=0,0,11630*1000*SER_hh_fec_in!O30/SER_hh_num_in!O30)</f>
        <v>25894.348706872959</v>
      </c>
      <c r="P30" s="133">
        <f>IF(SER_hh_fec_in!P30=0,0,11630*1000*SER_hh_fec_in!P30/SER_hh_num_in!P30)</f>
        <v>3851.2881555749236</v>
      </c>
      <c r="Q30" s="133">
        <f>IF(SER_hh_fec_in!Q30=0,0,11630*1000*SER_hh_fec_in!Q30/SER_hh_num_in!Q30)</f>
        <v>26496.130098844984</v>
      </c>
      <c r="R30" s="133">
        <f>IF(SER_hh_fec_in!R30=0,0,11630*1000*SER_hh_fec_in!R30/SER_hh_num_in!R30)</f>
        <v>20911.268332451706</v>
      </c>
      <c r="S30" s="133">
        <f>IF(SER_hh_fec_in!S30=0,0,11630*1000*SER_hh_fec_in!S30/SER_hh_num_in!S30)</f>
        <v>18731.025142743681</v>
      </c>
      <c r="T30" s="133">
        <f>IF(SER_hh_fec_in!T30=0,0,11630*1000*SER_hh_fec_in!T30/SER_hh_num_in!T30)</f>
        <v>22629.231905462777</v>
      </c>
      <c r="U30" s="133">
        <f>IF(SER_hh_fec_in!U30=0,0,11630*1000*SER_hh_fec_in!U30/SER_hh_num_in!U30)</f>
        <v>28061.410331575458</v>
      </c>
      <c r="V30" s="133">
        <f>IF(SER_hh_fec_in!V30=0,0,11630*1000*SER_hh_fec_in!V30/SER_hh_num_in!V30)</f>
        <v>20886.147972661238</v>
      </c>
      <c r="W30" s="133">
        <f>IF(SER_hh_fec_in!W30=0,0,11630*1000*SER_hh_fec_in!W30/SER_hh_num_in!W30)</f>
        <v>19255.24597528909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21802.168866862587</v>
      </c>
      <c r="D31" s="133">
        <f>IF(SER_hh_fec_in!D31=0,0,11630*1000*SER_hh_fec_in!D31/SER_hh_num_in!D31)</f>
        <v>21545.093905802747</v>
      </c>
      <c r="E31" s="133">
        <f>IF(SER_hh_fec_in!E31=0,0,11630*1000*SER_hh_fec_in!E31/SER_hh_num_in!E31)</f>
        <v>22179.471249651691</v>
      </c>
      <c r="F31" s="133">
        <f>IF(SER_hh_fec_in!F31=0,0,11630*1000*SER_hh_fec_in!F31/SER_hh_num_in!F31)</f>
        <v>22074.900130210721</v>
      </c>
      <c r="G31" s="133">
        <f>IF(SER_hh_fec_in!G31=0,0,11630*1000*SER_hh_fec_in!G31/SER_hh_num_in!G31)</f>
        <v>21987.98045912246</v>
      </c>
      <c r="H31" s="133">
        <f>IF(SER_hh_fec_in!H31=0,0,11630*1000*SER_hh_fec_in!H31/SER_hh_num_in!H31)</f>
        <v>20500.12617740679</v>
      </c>
      <c r="I31" s="133">
        <f>IF(SER_hh_fec_in!I31=0,0,11630*1000*SER_hh_fec_in!I31/SER_hh_num_in!I31)</f>
        <v>22383.174785359206</v>
      </c>
      <c r="J31" s="133">
        <f>IF(SER_hh_fec_in!J31=0,0,11630*1000*SER_hh_fec_in!J31/SER_hh_num_in!J31)</f>
        <v>22792.647961497976</v>
      </c>
      <c r="K31" s="133">
        <f>IF(SER_hh_fec_in!K31=0,0,11630*1000*SER_hh_fec_in!K31/SER_hh_num_in!K31)</f>
        <v>21500.932575064315</v>
      </c>
      <c r="L31" s="133">
        <f>IF(SER_hh_fec_in!L31=0,0,11630*1000*SER_hh_fec_in!L31/SER_hh_num_in!L31)</f>
        <v>20767.895768225684</v>
      </c>
      <c r="M31" s="133">
        <f>IF(SER_hh_fec_in!M31=0,0,11630*1000*SER_hh_fec_in!M31/SER_hh_num_in!M31)</f>
        <v>22429.839949669833</v>
      </c>
      <c r="N31" s="133">
        <f>IF(SER_hh_fec_in!N31=0,0,11630*1000*SER_hh_fec_in!N31/SER_hh_num_in!N31)</f>
        <v>21153.754685107324</v>
      </c>
      <c r="O31" s="133">
        <f>IF(SER_hh_fec_in!O31=0,0,11630*1000*SER_hh_fec_in!O31/SER_hh_num_in!O31)</f>
        <v>21218.504883095138</v>
      </c>
      <c r="P31" s="133">
        <f>IF(SER_hh_fec_in!P31=0,0,11630*1000*SER_hh_fec_in!P31/SER_hh_num_in!P31)</f>
        <v>23708.435139915135</v>
      </c>
      <c r="Q31" s="133">
        <f>IF(SER_hh_fec_in!Q31=0,0,11630*1000*SER_hh_fec_in!Q31/SER_hh_num_in!Q31)</f>
        <v>20997.342455028</v>
      </c>
      <c r="R31" s="133">
        <f>IF(SER_hh_fec_in!R31=0,0,11630*1000*SER_hh_fec_in!R31/SER_hh_num_in!R31)</f>
        <v>21555.711735036595</v>
      </c>
      <c r="S31" s="133">
        <f>IF(SER_hh_fec_in!S31=0,0,11630*1000*SER_hh_fec_in!S31/SER_hh_num_in!S31)</f>
        <v>22487.472267964706</v>
      </c>
      <c r="T31" s="133">
        <f>IF(SER_hh_fec_in!T31=0,0,11630*1000*SER_hh_fec_in!T31/SER_hh_num_in!T31)</f>
        <v>21184.848358835581</v>
      </c>
      <c r="U31" s="133">
        <f>IF(SER_hh_fec_in!U31=0,0,11630*1000*SER_hh_fec_in!U31/SER_hh_num_in!U31)</f>
        <v>18864.493625887088</v>
      </c>
      <c r="V31" s="133">
        <f>IF(SER_hh_fec_in!V31=0,0,11630*1000*SER_hh_fec_in!V31/SER_hh_num_in!V31)</f>
        <v>21036.703392764517</v>
      </c>
      <c r="W31" s="133">
        <f>IF(SER_hh_fec_in!W31=0,0,11630*1000*SER_hh_fec_in!W31/SER_hh_num_in!W31)</f>
        <v>22542.23564096757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16428.966093652863</v>
      </c>
      <c r="D33" s="68">
        <f>IF(SER_hh_fec_in!D33=0,0,11630*1000*SER_hh_fec_in!D33/SER_hh_num_in!D33)</f>
        <v>16430.268996748175</v>
      </c>
      <c r="E33" s="68">
        <f>IF(SER_hh_fec_in!E33=0,0,11630*1000*SER_hh_fec_in!E33/SER_hh_num_in!E33)</f>
        <v>16532.030691211017</v>
      </c>
      <c r="F33" s="68">
        <f>IF(SER_hh_fec_in!F33=0,0,11630*1000*SER_hh_fec_in!F33/SER_hh_num_in!F33)</f>
        <v>16797.636912512666</v>
      </c>
      <c r="G33" s="68">
        <f>IF(SER_hh_fec_in!G33=0,0,11630*1000*SER_hh_fec_in!G33/SER_hh_num_in!G33)</f>
        <v>16882.252508897309</v>
      </c>
      <c r="H33" s="68">
        <f>IF(SER_hh_fec_in!H33=0,0,11630*1000*SER_hh_fec_in!H33/SER_hh_num_in!H33)</f>
        <v>16576.269800591286</v>
      </c>
      <c r="I33" s="68">
        <f>IF(SER_hh_fec_in!I33=0,0,11630*1000*SER_hh_fec_in!I33/SER_hh_num_in!I33)</f>
        <v>16330.372077266475</v>
      </c>
      <c r="J33" s="68">
        <f>IF(SER_hh_fec_in!J33=0,0,11630*1000*SER_hh_fec_in!J33/SER_hh_num_in!J33)</f>
        <v>16171.92127023522</v>
      </c>
      <c r="K33" s="68">
        <f>IF(SER_hh_fec_in!K33=0,0,11630*1000*SER_hh_fec_in!K33/SER_hh_num_in!K33)</f>
        <v>16531.667215424706</v>
      </c>
      <c r="L33" s="68">
        <f>IF(SER_hh_fec_in!L33=0,0,11630*1000*SER_hh_fec_in!L33/SER_hh_num_in!L33)</f>
        <v>16514.163578269236</v>
      </c>
      <c r="M33" s="68">
        <f>IF(SER_hh_fec_in!M33=0,0,11630*1000*SER_hh_fec_in!M33/SER_hh_num_in!M33)</f>
        <v>16164.685787813705</v>
      </c>
      <c r="N33" s="68">
        <f>IF(SER_hh_fec_in!N33=0,0,11630*1000*SER_hh_fec_in!N33/SER_hh_num_in!N33)</f>
        <v>16157.63578639659</v>
      </c>
      <c r="O33" s="68">
        <f>IF(SER_hh_fec_in!O33=0,0,11630*1000*SER_hh_fec_in!O33/SER_hh_num_in!O33)</f>
        <v>16260.614844637945</v>
      </c>
      <c r="P33" s="68">
        <f>IF(SER_hh_fec_in!P33=0,0,11630*1000*SER_hh_fec_in!P33/SER_hh_num_in!P33)</f>
        <v>16452.807963755709</v>
      </c>
      <c r="Q33" s="68">
        <f>IF(SER_hh_fec_in!Q33=0,0,11630*1000*SER_hh_fec_in!Q33/SER_hh_num_in!Q33)</f>
        <v>15963.722986555396</v>
      </c>
      <c r="R33" s="68">
        <f>IF(SER_hh_fec_in!R33=0,0,11630*1000*SER_hh_fec_in!R33/SER_hh_num_in!R33)</f>
        <v>15869.289293897349</v>
      </c>
      <c r="S33" s="68">
        <f>IF(SER_hh_fec_in!S33=0,0,11630*1000*SER_hh_fec_in!S33/SER_hh_num_in!S33)</f>
        <v>15638.531771216029</v>
      </c>
      <c r="T33" s="68">
        <f>IF(SER_hh_fec_in!T33=0,0,11630*1000*SER_hh_fec_in!T33/SER_hh_num_in!T33)</f>
        <v>15415.012168419617</v>
      </c>
      <c r="U33" s="68">
        <f>IF(SER_hh_fec_in!U33=0,0,11630*1000*SER_hh_fec_in!U33/SER_hh_num_in!U33)</f>
        <v>15103.025440555823</v>
      </c>
      <c r="V33" s="68">
        <f>IF(SER_hh_fec_in!V33=0,0,11630*1000*SER_hh_fec_in!V33/SER_hh_num_in!V33)</f>
        <v>14895.366036665333</v>
      </c>
      <c r="W33" s="68">
        <f>IF(SER_hh_fec_in!W33=0,0,11630*1000*SER_hh_fec_in!W33/SER_hh_num_in!W33)</f>
        <v>14640.246311398798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124729.42544776708</v>
      </c>
      <c r="D3" s="126">
        <f>IF(SER_hh_tes_in!D3=0,0,11630*1000*SER_hh_tes_in!D3/SER_hh_num_in!D3)</f>
        <v>124017.36232628944</v>
      </c>
      <c r="E3" s="126">
        <f>IF(SER_hh_tes_in!E3=0,0,11630*1000*SER_hh_tes_in!E3/SER_hh_num_in!E3)</f>
        <v>128935.51474487242</v>
      </c>
      <c r="F3" s="126">
        <f>IF(SER_hh_tes_in!F3=0,0,11630*1000*SER_hh_tes_in!F3/SER_hh_num_in!F3)</f>
        <v>133549.53445507225</v>
      </c>
      <c r="G3" s="126">
        <f>IF(SER_hh_tes_in!G3=0,0,11630*1000*SER_hh_tes_in!G3/SER_hh_num_in!G3)</f>
        <v>125075.23999705455</v>
      </c>
      <c r="H3" s="126">
        <f>IF(SER_hh_tes_in!H3=0,0,11630*1000*SER_hh_tes_in!H3/SER_hh_num_in!H3)</f>
        <v>125519.82646329256</v>
      </c>
      <c r="I3" s="126">
        <f>IF(SER_hh_tes_in!I3=0,0,11630*1000*SER_hh_tes_in!I3/SER_hh_num_in!I3)</f>
        <v>115806.89471325444</v>
      </c>
      <c r="J3" s="126">
        <f>IF(SER_hh_tes_in!J3=0,0,11630*1000*SER_hh_tes_in!J3/SER_hh_num_in!J3)</f>
        <v>117767.832286983</v>
      </c>
      <c r="K3" s="126">
        <f>IF(SER_hh_tes_in!K3=0,0,11630*1000*SER_hh_tes_in!K3/SER_hh_num_in!K3)</f>
        <v>120394.87799980285</v>
      </c>
      <c r="L3" s="126">
        <f>IF(SER_hh_tes_in!L3=0,0,11630*1000*SER_hh_tes_in!L3/SER_hh_num_in!L3)</f>
        <v>128266.64777298589</v>
      </c>
      <c r="M3" s="126">
        <f>IF(SER_hh_tes_in!M3=0,0,11630*1000*SER_hh_tes_in!M3/SER_hh_num_in!M3)</f>
        <v>109964.43974265047</v>
      </c>
      <c r="N3" s="126">
        <f>IF(SER_hh_tes_in!N3=0,0,11630*1000*SER_hh_tes_in!N3/SER_hh_num_in!N3)</f>
        <v>113649.13798229724</v>
      </c>
      <c r="O3" s="126">
        <f>IF(SER_hh_tes_in!O3=0,0,11630*1000*SER_hh_tes_in!O3/SER_hh_num_in!O3)</f>
        <v>111846.11583616107</v>
      </c>
      <c r="P3" s="126">
        <f>IF(SER_hh_tes_in!P3=0,0,11630*1000*SER_hh_tes_in!P3/SER_hh_num_in!P3)</f>
        <v>95475.656472531249</v>
      </c>
      <c r="Q3" s="126">
        <f>IF(SER_hh_tes_in!Q3=0,0,11630*1000*SER_hh_tes_in!Q3/SER_hh_num_in!Q3)</f>
        <v>96947.45436084416</v>
      </c>
      <c r="R3" s="126">
        <f>IF(SER_hh_tes_in!R3=0,0,11630*1000*SER_hh_tes_in!R3/SER_hh_num_in!R3)</f>
        <v>93005.197243571965</v>
      </c>
      <c r="S3" s="126">
        <f>IF(SER_hh_tes_in!S3=0,0,11630*1000*SER_hh_tes_in!S3/SER_hh_num_in!S3)</f>
        <v>91226.41194924929</v>
      </c>
      <c r="T3" s="126">
        <f>IF(SER_hh_tes_in!T3=0,0,11630*1000*SER_hh_tes_in!T3/SER_hh_num_in!T3)</f>
        <v>89365.662246081745</v>
      </c>
      <c r="U3" s="126">
        <f>IF(SER_hh_tes_in!U3=0,0,11630*1000*SER_hh_tes_in!U3/SER_hh_num_in!U3)</f>
        <v>83433.409836183462</v>
      </c>
      <c r="V3" s="126">
        <f>IF(SER_hh_tes_in!V3=0,0,11630*1000*SER_hh_tes_in!V3/SER_hh_num_in!V3)</f>
        <v>76830.620604540483</v>
      </c>
      <c r="W3" s="126">
        <f>IF(SER_hh_tes_in!W3=0,0,11630*1000*SER_hh_tes_in!W3/SER_hh_num_in!W3)</f>
        <v>68729.539288759042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70631.86892516099</v>
      </c>
      <c r="D4" s="131">
        <f>IF(SER_hh_tes_in!D4=0,0,11630*1000*SER_hh_tes_in!D4/SER_hh_num_in!D4)</f>
        <v>70296.842464384856</v>
      </c>
      <c r="E4" s="131">
        <f>IF(SER_hh_tes_in!E4=0,0,11630*1000*SER_hh_tes_in!E4/SER_hh_num_in!E4)</f>
        <v>73072.955975093908</v>
      </c>
      <c r="F4" s="131">
        <f>IF(SER_hh_tes_in!F4=0,0,11630*1000*SER_hh_tes_in!F4/SER_hh_num_in!F4)</f>
        <v>80112.208246529437</v>
      </c>
      <c r="G4" s="131">
        <f>IF(SER_hh_tes_in!G4=0,0,11630*1000*SER_hh_tes_in!G4/SER_hh_num_in!G4)</f>
        <v>72344.722889369295</v>
      </c>
      <c r="H4" s="131">
        <f>IF(SER_hh_tes_in!H4=0,0,11630*1000*SER_hh_tes_in!H4/SER_hh_num_in!H4)</f>
        <v>71295.495294368549</v>
      </c>
      <c r="I4" s="131">
        <f>IF(SER_hh_tes_in!I4=0,0,11630*1000*SER_hh_tes_in!I4/SER_hh_num_in!I4)</f>
        <v>64343.173968952418</v>
      </c>
      <c r="J4" s="131">
        <f>IF(SER_hh_tes_in!J4=0,0,11630*1000*SER_hh_tes_in!J4/SER_hh_num_in!J4)</f>
        <v>66706.601862621625</v>
      </c>
      <c r="K4" s="131">
        <f>IF(SER_hh_tes_in!K4=0,0,11630*1000*SER_hh_tes_in!K4/SER_hh_num_in!K4)</f>
        <v>69519.915593706915</v>
      </c>
      <c r="L4" s="131">
        <f>IF(SER_hh_tes_in!L4=0,0,11630*1000*SER_hh_tes_in!L4/SER_hh_num_in!L4)</f>
        <v>76987.642514418418</v>
      </c>
      <c r="M4" s="131">
        <f>IF(SER_hh_tes_in!M4=0,0,11630*1000*SER_hh_tes_in!M4/SER_hh_num_in!M4)</f>
        <v>60146.483964310893</v>
      </c>
      <c r="N4" s="131">
        <f>IF(SER_hh_tes_in!N4=0,0,11630*1000*SER_hh_tes_in!N4/SER_hh_num_in!N4)</f>
        <v>64307.188914124745</v>
      </c>
      <c r="O4" s="131">
        <f>IF(SER_hh_tes_in!O4=0,0,11630*1000*SER_hh_tes_in!O4/SER_hh_num_in!O4)</f>
        <v>62816.683409010846</v>
      </c>
      <c r="P4" s="131">
        <f>IF(SER_hh_tes_in!P4=0,0,11630*1000*SER_hh_tes_in!P4/SER_hh_num_in!P4)</f>
        <v>47758.522289186316</v>
      </c>
      <c r="Q4" s="131">
        <f>IF(SER_hh_tes_in!Q4=0,0,11630*1000*SER_hh_tes_in!Q4/SER_hh_num_in!Q4)</f>
        <v>48390.805053386466</v>
      </c>
      <c r="R4" s="131">
        <f>IF(SER_hh_tes_in!R4=0,0,11630*1000*SER_hh_tes_in!R4/SER_hh_num_in!R4)</f>
        <v>46088.63925510733</v>
      </c>
      <c r="S4" s="131">
        <f>IF(SER_hh_tes_in!S4=0,0,11630*1000*SER_hh_tes_in!S4/SER_hh_num_in!S4)</f>
        <v>45677.403656140275</v>
      </c>
      <c r="T4" s="131">
        <f>IF(SER_hh_tes_in!T4=0,0,11630*1000*SER_hh_tes_in!T4/SER_hh_num_in!T4)</f>
        <v>42394.04505077879</v>
      </c>
      <c r="U4" s="131">
        <f>IF(SER_hh_tes_in!U4=0,0,11630*1000*SER_hh_tes_in!U4/SER_hh_num_in!U4)</f>
        <v>37873.663183730248</v>
      </c>
      <c r="V4" s="131">
        <f>IF(SER_hh_tes_in!V4=0,0,11630*1000*SER_hh_tes_in!V4/SER_hh_num_in!V4)</f>
        <v>31935.330123693515</v>
      </c>
      <c r="W4" s="131">
        <f>IF(SER_hh_tes_in!W4=0,0,11630*1000*SER_hh_tes_in!W4/SER_hh_num_in!W4)</f>
        <v>28222.2394723295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68615.925910217018</v>
      </c>
      <c r="D5" s="133">
        <f>IF(SER_hh_tes_in!D5=0,0,11630*1000*SER_hh_tes_in!D5/SER_hh_num_in!D5)</f>
        <v>58996.311209540472</v>
      </c>
      <c r="E5" s="133">
        <f>IF(SER_hh_tes_in!E5=0,0,11630*1000*SER_hh_tes_in!E5/SER_hh_num_in!E5)</f>
        <v>97049.284327357702</v>
      </c>
      <c r="F5" s="133">
        <f>IF(SER_hh_tes_in!F5=0,0,11630*1000*SER_hh_tes_in!F5/SER_hh_num_in!F5)</f>
        <v>48391.04950726495</v>
      </c>
      <c r="G5" s="133">
        <f>IF(SER_hh_tes_in!G5=0,0,11630*1000*SER_hh_tes_in!G5/SER_hh_num_in!G5)</f>
        <v>66668.217443594112</v>
      </c>
      <c r="H5" s="133">
        <f>IF(SER_hh_tes_in!H5=0,0,11630*1000*SER_hh_tes_in!H5/SER_hh_num_in!H5)</f>
        <v>45386.651127798628</v>
      </c>
      <c r="I5" s="133">
        <f>IF(SER_hh_tes_in!I5=0,0,11630*1000*SER_hh_tes_in!I5/SER_hh_num_in!I5)</f>
        <v>70295.47984203526</v>
      </c>
      <c r="J5" s="133">
        <f>IF(SER_hh_tes_in!J5=0,0,11630*1000*SER_hh_tes_in!J5/SER_hh_num_in!J5)</f>
        <v>75368.41034947423</v>
      </c>
      <c r="K5" s="133">
        <f>IF(SER_hh_tes_in!K5=0,0,11630*1000*SER_hh_tes_in!K5/SER_hh_num_in!K5)</f>
        <v>73828.252756643604</v>
      </c>
      <c r="L5" s="133">
        <f>IF(SER_hh_tes_in!L5=0,0,11630*1000*SER_hh_tes_in!L5/SER_hh_num_in!L5)</f>
        <v>70075.147957062916</v>
      </c>
      <c r="M5" s="133">
        <f>IF(SER_hh_tes_in!M5=0,0,11630*1000*SER_hh_tes_in!M5/SER_hh_num_in!M5)</f>
        <v>67577.655784071059</v>
      </c>
      <c r="N5" s="133">
        <f>IF(SER_hh_tes_in!N5=0,0,11630*1000*SER_hh_tes_in!N5/SER_hh_num_in!N5)</f>
        <v>64439.587051225477</v>
      </c>
      <c r="O5" s="133">
        <f>IF(SER_hh_tes_in!O5=0,0,11630*1000*SER_hh_tes_in!O5/SER_hh_num_in!O5)</f>
        <v>37634.252307506074</v>
      </c>
      <c r="P5" s="133">
        <f>IF(SER_hh_tes_in!P5=0,0,11630*1000*SER_hh_tes_in!P5/SER_hh_num_in!P5)</f>
        <v>13724.493095817543</v>
      </c>
      <c r="Q5" s="133">
        <f>IF(SER_hh_tes_in!Q5=0,0,11630*1000*SER_hh_tes_in!Q5/SER_hh_num_in!Q5)</f>
        <v>57656.438469502362</v>
      </c>
      <c r="R5" s="133">
        <f>IF(SER_hh_tes_in!R5=0,0,11630*1000*SER_hh_tes_in!R5/SER_hh_num_in!R5)</f>
        <v>53034.454007196102</v>
      </c>
      <c r="S5" s="133">
        <f>IF(SER_hh_tes_in!S5=0,0,11630*1000*SER_hh_tes_in!S5/SER_hh_num_in!S5)</f>
        <v>47592.864353152996</v>
      </c>
      <c r="T5" s="133">
        <f>IF(SER_hh_tes_in!T5=0,0,11630*1000*SER_hh_tes_in!T5/SER_hh_num_in!T5)</f>
        <v>44241.409955073184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67330.361260389487</v>
      </c>
      <c r="D7" s="133">
        <f>IF(SER_hh_tes_in!D7=0,0,11630*1000*SER_hh_tes_in!D7/SER_hh_num_in!D7)</f>
        <v>69929.61550003817</v>
      </c>
      <c r="E7" s="133">
        <f>IF(SER_hh_tes_in!E7=0,0,11630*1000*SER_hh_tes_in!E7/SER_hh_num_in!E7)</f>
        <v>73351.97718727855</v>
      </c>
      <c r="F7" s="133">
        <f>IF(SER_hh_tes_in!F7=0,0,11630*1000*SER_hh_tes_in!F7/SER_hh_num_in!F7)</f>
        <v>70425.141374552913</v>
      </c>
      <c r="G7" s="133">
        <f>IF(SER_hh_tes_in!G7=0,0,11630*1000*SER_hh_tes_in!G7/SER_hh_num_in!G7)</f>
        <v>71762.218900485619</v>
      </c>
      <c r="H7" s="133">
        <f>IF(SER_hh_tes_in!H7=0,0,11630*1000*SER_hh_tes_in!H7/SER_hh_num_in!H7)</f>
        <v>67756.381628501476</v>
      </c>
      <c r="I7" s="133">
        <f>IF(SER_hh_tes_in!I7=0,0,11630*1000*SER_hh_tes_in!I7/SER_hh_num_in!I7)</f>
        <v>67515.667105068991</v>
      </c>
      <c r="J7" s="133">
        <f>IF(SER_hh_tes_in!J7=0,0,11630*1000*SER_hh_tes_in!J7/SER_hh_num_in!J7)</f>
        <v>66522.435015785319</v>
      </c>
      <c r="K7" s="133">
        <f>IF(SER_hh_tes_in!K7=0,0,11630*1000*SER_hh_tes_in!K7/SER_hh_num_in!K7)</f>
        <v>63726.226881793002</v>
      </c>
      <c r="L7" s="133">
        <f>IF(SER_hh_tes_in!L7=0,0,11630*1000*SER_hh_tes_in!L7/SER_hh_num_in!L7)</f>
        <v>72539.636059990342</v>
      </c>
      <c r="M7" s="133">
        <f>IF(SER_hh_tes_in!M7=0,0,11630*1000*SER_hh_tes_in!M7/SER_hh_num_in!M7)</f>
        <v>64076.923549820698</v>
      </c>
      <c r="N7" s="133">
        <f>IF(SER_hh_tes_in!N7=0,0,11630*1000*SER_hh_tes_in!N7/SER_hh_num_in!N7)</f>
        <v>60632.833998477625</v>
      </c>
      <c r="O7" s="133">
        <f>IF(SER_hh_tes_in!O7=0,0,11630*1000*SER_hh_tes_in!O7/SER_hh_num_in!O7)</f>
        <v>58728.391195497294</v>
      </c>
      <c r="P7" s="133">
        <f>IF(SER_hh_tes_in!P7=0,0,11630*1000*SER_hh_tes_in!P7/SER_hh_num_in!P7)</f>
        <v>53856.777086539878</v>
      </c>
      <c r="Q7" s="133">
        <f>IF(SER_hh_tes_in!Q7=0,0,11630*1000*SER_hh_tes_in!Q7/SER_hh_num_in!Q7)</f>
        <v>46668.693803414331</v>
      </c>
      <c r="R7" s="133">
        <f>IF(SER_hh_tes_in!R7=0,0,11630*1000*SER_hh_tes_in!R7/SER_hh_num_in!R7)</f>
        <v>44507.253783577311</v>
      </c>
      <c r="S7" s="133">
        <f>IF(SER_hh_tes_in!S7=0,0,11630*1000*SER_hh_tes_in!S7/SER_hh_num_in!S7)</f>
        <v>42085.246373099748</v>
      </c>
      <c r="T7" s="133">
        <f>IF(SER_hh_tes_in!T7=0,0,11630*1000*SER_hh_tes_in!T7/SER_hh_num_in!T7)</f>
        <v>40260.726503881233</v>
      </c>
      <c r="U7" s="133">
        <f>IF(SER_hh_tes_in!U7=0,0,11630*1000*SER_hh_tes_in!U7/SER_hh_num_in!U7)</f>
        <v>38261.609291328052</v>
      </c>
      <c r="V7" s="133">
        <f>IF(SER_hh_tes_in!V7=0,0,11630*1000*SER_hh_tes_in!V7/SER_hh_num_in!V7)</f>
        <v>32509.457357122836</v>
      </c>
      <c r="W7" s="133">
        <f>IF(SER_hh_tes_in!W7=0,0,11630*1000*SER_hh_tes_in!W7/SER_hh_num_in!W7)</f>
        <v>27051.801127307033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71509.042543566218</v>
      </c>
      <c r="D8" s="133">
        <f>IF(SER_hh_tes_in!D8=0,0,11630*1000*SER_hh_tes_in!D8/SER_hh_num_in!D8)</f>
        <v>66689.11996645121</v>
      </c>
      <c r="E8" s="133">
        <f>IF(SER_hh_tes_in!E8=0,0,11630*1000*SER_hh_tes_in!E8/SER_hh_num_in!E8)</f>
        <v>76026.450391462728</v>
      </c>
      <c r="F8" s="133">
        <f>IF(SER_hh_tes_in!F8=0,0,11630*1000*SER_hh_tes_in!F8/SER_hh_num_in!F8)</f>
        <v>78314.532813209968</v>
      </c>
      <c r="G8" s="133">
        <f>IF(SER_hh_tes_in!G8=0,0,11630*1000*SER_hh_tes_in!G8/SER_hh_num_in!G8)</f>
        <v>68967.925935983862</v>
      </c>
      <c r="H8" s="133">
        <f>IF(SER_hh_tes_in!H8=0,0,11630*1000*SER_hh_tes_in!H8/SER_hh_num_in!H8)</f>
        <v>65009.564664909049</v>
      </c>
      <c r="I8" s="133">
        <f>IF(SER_hh_tes_in!I8=0,0,11630*1000*SER_hh_tes_in!I8/SER_hh_num_in!I8)</f>
        <v>68241.138692622219</v>
      </c>
      <c r="J8" s="133">
        <f>IF(SER_hh_tes_in!J8=0,0,11630*1000*SER_hh_tes_in!J8/SER_hh_num_in!J8)</f>
        <v>68109.868855974739</v>
      </c>
      <c r="K8" s="133">
        <f>IF(SER_hh_tes_in!K8=0,0,11630*1000*SER_hh_tes_in!K8/SER_hh_num_in!K8)</f>
        <v>67346.836396726576</v>
      </c>
      <c r="L8" s="133">
        <f>IF(SER_hh_tes_in!L8=0,0,11630*1000*SER_hh_tes_in!L8/SER_hh_num_in!L8)</f>
        <v>67563.744101232194</v>
      </c>
      <c r="M8" s="133">
        <f>IF(SER_hh_tes_in!M8=0,0,11630*1000*SER_hh_tes_in!M8/SER_hh_num_in!M8)</f>
        <v>67447.999592298365</v>
      </c>
      <c r="N8" s="133">
        <f>IF(SER_hh_tes_in!N8=0,0,11630*1000*SER_hh_tes_in!N8/SER_hh_num_in!N8)</f>
        <v>57654.129269379075</v>
      </c>
      <c r="O8" s="133">
        <f>IF(SER_hh_tes_in!O8=0,0,11630*1000*SER_hh_tes_in!O8/SER_hh_num_in!O8)</f>
        <v>47741.228261567303</v>
      </c>
      <c r="P8" s="133">
        <f>IF(SER_hh_tes_in!P8=0,0,11630*1000*SER_hh_tes_in!P8/SER_hh_num_in!P8)</f>
        <v>51038.040381427345</v>
      </c>
      <c r="Q8" s="133">
        <f>IF(SER_hh_tes_in!Q8=0,0,11630*1000*SER_hh_tes_in!Q8/SER_hh_num_in!Q8)</f>
        <v>52673.487148816326</v>
      </c>
      <c r="R8" s="133">
        <f>IF(SER_hh_tes_in!R8=0,0,11630*1000*SER_hh_tes_in!R8/SER_hh_num_in!R8)</f>
        <v>48498.343008034746</v>
      </c>
      <c r="S8" s="133">
        <f>IF(SER_hh_tes_in!S8=0,0,11630*1000*SER_hh_tes_in!S8/SER_hh_num_in!S8)</f>
        <v>44358.220226284677</v>
      </c>
      <c r="T8" s="133">
        <f>IF(SER_hh_tes_in!T8=0,0,11630*1000*SER_hh_tes_in!T8/SER_hh_num_in!T8)</f>
        <v>41253.91350818301</v>
      </c>
      <c r="U8" s="133">
        <f>IF(SER_hh_tes_in!U8=0,0,11630*1000*SER_hh_tes_in!U8/SER_hh_num_in!U8)</f>
        <v>36897.280300812512</v>
      </c>
      <c r="V8" s="133">
        <f>IF(SER_hh_tes_in!V8=0,0,11630*1000*SER_hh_tes_in!V8/SER_hh_num_in!V8)</f>
        <v>32107.363221879128</v>
      </c>
      <c r="W8" s="133">
        <f>IF(SER_hh_tes_in!W8=0,0,11630*1000*SER_hh_tes_in!W8/SER_hh_num_in!W8)</f>
        <v>29157.370862850901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70972.940841934484</v>
      </c>
      <c r="D9" s="133">
        <f>IF(SER_hh_tes_in!D9=0,0,11630*1000*SER_hh_tes_in!D9/SER_hh_num_in!D9)</f>
        <v>65786.981900155544</v>
      </c>
      <c r="E9" s="133">
        <f>IF(SER_hh_tes_in!E9=0,0,11630*1000*SER_hh_tes_in!E9/SER_hh_num_in!E9)</f>
        <v>71473.564316321848</v>
      </c>
      <c r="F9" s="133">
        <f>IF(SER_hh_tes_in!F9=0,0,11630*1000*SER_hh_tes_in!F9/SER_hh_num_in!F9)</f>
        <v>80355.218792634711</v>
      </c>
      <c r="G9" s="133">
        <f>IF(SER_hh_tes_in!G9=0,0,11630*1000*SER_hh_tes_in!G9/SER_hh_num_in!G9)</f>
        <v>71915.078036269857</v>
      </c>
      <c r="H9" s="133">
        <f>IF(SER_hh_tes_in!H9=0,0,11630*1000*SER_hh_tes_in!H9/SER_hh_num_in!H9)</f>
        <v>71166.765595764125</v>
      </c>
      <c r="I9" s="133">
        <f>IF(SER_hh_tes_in!I9=0,0,11630*1000*SER_hh_tes_in!I9/SER_hh_num_in!I9)</f>
        <v>60393.9976050982</v>
      </c>
      <c r="J9" s="133">
        <f>IF(SER_hh_tes_in!J9=0,0,11630*1000*SER_hh_tes_in!J9/SER_hh_num_in!J9)</f>
        <v>65213.596895921175</v>
      </c>
      <c r="K9" s="133">
        <f>IF(SER_hh_tes_in!K9=0,0,11630*1000*SER_hh_tes_in!K9/SER_hh_num_in!K9)</f>
        <v>67587.39682627267</v>
      </c>
      <c r="L9" s="133">
        <f>IF(SER_hh_tes_in!L9=0,0,11630*1000*SER_hh_tes_in!L9/SER_hh_num_in!L9)</f>
        <v>76711.375845026341</v>
      </c>
      <c r="M9" s="133">
        <f>IF(SER_hh_tes_in!M9=0,0,11630*1000*SER_hh_tes_in!M9/SER_hh_num_in!M9)</f>
        <v>57400.202664221943</v>
      </c>
      <c r="N9" s="133">
        <f>IF(SER_hh_tes_in!N9=0,0,11630*1000*SER_hh_tes_in!N9/SER_hh_num_in!N9)</f>
        <v>63770.574827778182</v>
      </c>
      <c r="O9" s="133">
        <f>IF(SER_hh_tes_in!O9=0,0,11630*1000*SER_hh_tes_in!O9/SER_hh_num_in!O9)</f>
        <v>62789.938123181819</v>
      </c>
      <c r="P9" s="133">
        <f>IF(SER_hh_tes_in!P9=0,0,11630*1000*SER_hh_tes_in!P9/SER_hh_num_in!P9)</f>
        <v>45534.78044512109</v>
      </c>
      <c r="Q9" s="133">
        <f>IF(SER_hh_tes_in!Q9=0,0,11630*1000*SER_hh_tes_in!Q9/SER_hh_num_in!Q9)</f>
        <v>47904.997912299426</v>
      </c>
      <c r="R9" s="133">
        <f>IF(SER_hh_tes_in!R9=0,0,11630*1000*SER_hh_tes_in!R9/SER_hh_num_in!R9)</f>
        <v>46330.369229506134</v>
      </c>
      <c r="S9" s="133">
        <f>IF(SER_hh_tes_in!S9=0,0,11630*1000*SER_hh_tes_in!S9/SER_hh_num_in!S9)</f>
        <v>44310.857823955776</v>
      </c>
      <c r="T9" s="133">
        <f>IF(SER_hh_tes_in!T9=0,0,11630*1000*SER_hh_tes_in!T9/SER_hh_num_in!T9)</f>
        <v>41598.874048044818</v>
      </c>
      <c r="U9" s="133">
        <f>IF(SER_hh_tes_in!U9=0,0,11630*1000*SER_hh_tes_in!U9/SER_hh_num_in!U9)</f>
        <v>36668.327647608981</v>
      </c>
      <c r="V9" s="133">
        <f>IF(SER_hh_tes_in!V9=0,0,11630*1000*SER_hh_tes_in!V9/SER_hh_num_in!V9)</f>
        <v>30507.991002745715</v>
      </c>
      <c r="W9" s="133">
        <f>IF(SER_hh_tes_in!W9=0,0,11630*1000*SER_hh_tes_in!W9/SER_hh_num_in!W9)</f>
        <v>27777.137701696473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73975.936459081742</v>
      </c>
      <c r="D10" s="133">
        <f>IF(SER_hh_tes_in!D10=0,0,11630*1000*SER_hh_tes_in!D10/SER_hh_num_in!D10)</f>
        <v>72084.544378572245</v>
      </c>
      <c r="E10" s="133">
        <f>IF(SER_hh_tes_in!E10=0,0,11630*1000*SER_hh_tes_in!E10/SER_hh_num_in!E10)</f>
        <v>69708.642094479481</v>
      </c>
      <c r="F10" s="133">
        <f>IF(SER_hh_tes_in!F10=0,0,11630*1000*SER_hh_tes_in!F10/SER_hh_num_in!F10)</f>
        <v>75393.476617782246</v>
      </c>
      <c r="G10" s="133">
        <f>IF(SER_hh_tes_in!G10=0,0,11630*1000*SER_hh_tes_in!G10/SER_hh_num_in!G10)</f>
        <v>68357.041066256948</v>
      </c>
      <c r="H10" s="133">
        <f>IF(SER_hh_tes_in!H10=0,0,11630*1000*SER_hh_tes_in!H10/SER_hh_num_in!H10)</f>
        <v>70098.869653809423</v>
      </c>
      <c r="I10" s="133">
        <f>IF(SER_hh_tes_in!I10=0,0,11630*1000*SER_hh_tes_in!I10/SER_hh_num_in!I10)</f>
        <v>65779.985159296019</v>
      </c>
      <c r="J10" s="133">
        <f>IF(SER_hh_tes_in!J10=0,0,11630*1000*SER_hh_tes_in!J10/SER_hh_num_in!J10)</f>
        <v>72490.833536175851</v>
      </c>
      <c r="K10" s="133">
        <f>IF(SER_hh_tes_in!K10=0,0,11630*1000*SER_hh_tes_in!K10/SER_hh_num_in!K10)</f>
        <v>67698.877343723652</v>
      </c>
      <c r="L10" s="133">
        <f>IF(SER_hh_tes_in!L10=0,0,11630*1000*SER_hh_tes_in!L10/SER_hh_num_in!L10)</f>
        <v>71636.332422646155</v>
      </c>
      <c r="M10" s="133">
        <f>IF(SER_hh_tes_in!M10=0,0,11630*1000*SER_hh_tes_in!M10/SER_hh_num_in!M10)</f>
        <v>63876.844301419311</v>
      </c>
      <c r="N10" s="133">
        <f>IF(SER_hh_tes_in!N10=0,0,11630*1000*SER_hh_tes_in!N10/SER_hh_num_in!N10)</f>
        <v>61267.503586612569</v>
      </c>
      <c r="O10" s="133">
        <f>IF(SER_hh_tes_in!O10=0,0,11630*1000*SER_hh_tes_in!O10/SER_hh_num_in!O10)</f>
        <v>57152.548015387918</v>
      </c>
      <c r="P10" s="133">
        <f>IF(SER_hh_tes_in!P10=0,0,11630*1000*SER_hh_tes_in!P10/SER_hh_num_in!P10)</f>
        <v>52024.02313777474</v>
      </c>
      <c r="Q10" s="133">
        <f>IF(SER_hh_tes_in!Q10=0,0,11630*1000*SER_hh_tes_in!Q10/SER_hh_num_in!Q10)</f>
        <v>46017.040604438953</v>
      </c>
      <c r="R10" s="133">
        <f>IF(SER_hh_tes_in!R10=0,0,11630*1000*SER_hh_tes_in!R10/SER_hh_num_in!R10)</f>
        <v>41520.88588158138</v>
      </c>
      <c r="S10" s="133">
        <f>IF(SER_hh_tes_in!S10=0,0,11630*1000*SER_hh_tes_in!S10/SER_hh_num_in!S10)</f>
        <v>45885.597812707878</v>
      </c>
      <c r="T10" s="133">
        <f>IF(SER_hh_tes_in!T10=0,0,11630*1000*SER_hh_tes_in!T10/SER_hh_num_in!T10)</f>
        <v>41769.082290546197</v>
      </c>
      <c r="U10" s="133">
        <f>IF(SER_hh_tes_in!U10=0,0,11630*1000*SER_hh_tes_in!U10/SER_hh_num_in!U10)</f>
        <v>39952.612485239835</v>
      </c>
      <c r="V10" s="133">
        <f>IF(SER_hh_tes_in!V10=0,0,11630*1000*SER_hh_tes_in!V10/SER_hh_num_in!V10)</f>
        <v>35749.970229236875</v>
      </c>
      <c r="W10" s="133">
        <f>IF(SER_hh_tes_in!W10=0,0,11630*1000*SER_hh_tes_in!W10/SER_hh_num_in!W10)</f>
        <v>26822.603517343778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60778.919316863292</v>
      </c>
      <c r="D12" s="133">
        <f>IF(SER_hh_tes_in!D12=0,0,11630*1000*SER_hh_tes_in!D12/SER_hh_num_in!D12)</f>
        <v>88123.004927104514</v>
      </c>
      <c r="E12" s="133">
        <f>IF(SER_hh_tes_in!E12=0,0,11630*1000*SER_hh_tes_in!E12/SER_hh_num_in!E12)</f>
        <v>73189.333782983638</v>
      </c>
      <c r="F12" s="133">
        <f>IF(SER_hh_tes_in!F12=0,0,11630*1000*SER_hh_tes_in!F12/SER_hh_num_in!F12)</f>
        <v>0</v>
      </c>
      <c r="G12" s="133">
        <f>IF(SER_hh_tes_in!G12=0,0,11630*1000*SER_hh_tes_in!G12/SER_hh_num_in!G12)</f>
        <v>56519.133171153633</v>
      </c>
      <c r="H12" s="133">
        <f>IF(SER_hh_tes_in!H12=0,0,11630*1000*SER_hh_tes_in!H12/SER_hh_num_in!H12)</f>
        <v>65558.842667929755</v>
      </c>
      <c r="I12" s="133">
        <f>IF(SER_hh_tes_in!I12=0,0,11630*1000*SER_hh_tes_in!I12/SER_hh_num_in!I12)</f>
        <v>74237.04513810591</v>
      </c>
      <c r="J12" s="133">
        <f>IF(SER_hh_tes_in!J12=0,0,11630*1000*SER_hh_tes_in!J12/SER_hh_num_in!J12)</f>
        <v>65229.086284404955</v>
      </c>
      <c r="K12" s="133">
        <f>IF(SER_hh_tes_in!K12=0,0,11630*1000*SER_hh_tes_in!K12/SER_hh_num_in!K12)</f>
        <v>78129.430122812453</v>
      </c>
      <c r="L12" s="133">
        <f>IF(SER_hh_tes_in!L12=0,0,11630*1000*SER_hh_tes_in!L12/SER_hh_num_in!L12)</f>
        <v>73054.220596001353</v>
      </c>
      <c r="M12" s="133">
        <f>IF(SER_hh_tes_in!M12=0,0,11630*1000*SER_hh_tes_in!M12/SER_hh_num_in!M12)</f>
        <v>0</v>
      </c>
      <c r="N12" s="133">
        <f>IF(SER_hh_tes_in!N12=0,0,11630*1000*SER_hh_tes_in!N12/SER_hh_num_in!N12)</f>
        <v>0</v>
      </c>
      <c r="O12" s="133">
        <f>IF(SER_hh_tes_in!O12=0,0,11630*1000*SER_hh_tes_in!O12/SER_hh_num_in!O12)</f>
        <v>0</v>
      </c>
      <c r="P12" s="133">
        <f>IF(SER_hh_tes_in!P12=0,0,11630*1000*SER_hh_tes_in!P12/SER_hh_num_in!P12)</f>
        <v>0</v>
      </c>
      <c r="Q12" s="133">
        <f>IF(SER_hh_tes_in!Q12=0,0,11630*1000*SER_hh_tes_in!Q12/SER_hh_num_in!Q12)</f>
        <v>44774.935864216146</v>
      </c>
      <c r="R12" s="133">
        <f>IF(SER_hh_tes_in!R12=0,0,11630*1000*SER_hh_tes_in!R12/SER_hh_num_in!R12)</f>
        <v>42077.829559056379</v>
      </c>
      <c r="S12" s="133">
        <f>IF(SER_hh_tes_in!S12=0,0,11630*1000*SER_hh_tes_in!S12/SER_hh_num_in!S12)</f>
        <v>49870.440155900433</v>
      </c>
      <c r="T12" s="133">
        <f>IF(SER_hh_tes_in!T12=0,0,11630*1000*SER_hh_tes_in!T12/SER_hh_num_in!T12)</f>
        <v>39097.810234371987</v>
      </c>
      <c r="U12" s="133">
        <f>IF(SER_hh_tes_in!U12=0,0,11630*1000*SER_hh_tes_in!U12/SER_hh_num_in!U12)</f>
        <v>40115.881040548637</v>
      </c>
      <c r="V12" s="133">
        <f>IF(SER_hh_tes_in!V12=0,0,11630*1000*SER_hh_tes_in!V12/SER_hh_num_in!V12)</f>
        <v>35416.594790519383</v>
      </c>
      <c r="W12" s="133">
        <f>IF(SER_hh_tes_in!W12=0,0,11630*1000*SER_hh_tes_in!W12/SER_hh_num_in!W12)</f>
        <v>26468.864156898464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68433.828526211</v>
      </c>
      <c r="D13" s="133">
        <f>IF(SER_hh_tes_in!D13=0,0,11630*1000*SER_hh_tes_in!D13/SER_hh_num_in!D13)</f>
        <v>70335.725190730169</v>
      </c>
      <c r="E13" s="133">
        <f>IF(SER_hh_tes_in!E13=0,0,11630*1000*SER_hh_tes_in!E13/SER_hh_num_in!E13)</f>
        <v>66299.339869045245</v>
      </c>
      <c r="F13" s="133">
        <f>IF(SER_hh_tes_in!F13=0,0,11630*1000*SER_hh_tes_in!F13/SER_hh_num_in!F13)</f>
        <v>73000.836651048478</v>
      </c>
      <c r="G13" s="133">
        <f>IF(SER_hh_tes_in!G13=0,0,11630*1000*SER_hh_tes_in!G13/SER_hh_num_in!G13)</f>
        <v>71632.999449339623</v>
      </c>
      <c r="H13" s="133">
        <f>IF(SER_hh_tes_in!H13=0,0,11630*1000*SER_hh_tes_in!H13/SER_hh_num_in!H13)</f>
        <v>66433.67566760334</v>
      </c>
      <c r="I13" s="133">
        <f>IF(SER_hh_tes_in!I13=0,0,11630*1000*SER_hh_tes_in!I13/SER_hh_num_in!I13)</f>
        <v>66401.517702524274</v>
      </c>
      <c r="J13" s="133">
        <f>IF(SER_hh_tes_in!J13=0,0,11630*1000*SER_hh_tes_in!J13/SER_hh_num_in!J13)</f>
        <v>68858.112082991705</v>
      </c>
      <c r="K13" s="133">
        <f>IF(SER_hh_tes_in!K13=0,0,11630*1000*SER_hh_tes_in!K13/SER_hh_num_in!K13)</f>
        <v>68995.412910358238</v>
      </c>
      <c r="L13" s="133">
        <f>IF(SER_hh_tes_in!L13=0,0,11630*1000*SER_hh_tes_in!L13/SER_hh_num_in!L13)</f>
        <v>69599.809428310778</v>
      </c>
      <c r="M13" s="133">
        <f>IF(SER_hh_tes_in!M13=0,0,11630*1000*SER_hh_tes_in!M13/SER_hh_num_in!M13)</f>
        <v>65288.649001092235</v>
      </c>
      <c r="N13" s="133">
        <f>IF(SER_hh_tes_in!N13=0,0,11630*1000*SER_hh_tes_in!N13/SER_hh_num_in!N13)</f>
        <v>61543.010452799135</v>
      </c>
      <c r="O13" s="133">
        <f>IF(SER_hh_tes_in!O13=0,0,11630*1000*SER_hh_tes_in!O13/SER_hh_num_in!O13)</f>
        <v>57168.626939356967</v>
      </c>
      <c r="P13" s="133">
        <f>IF(SER_hh_tes_in!P13=0,0,11630*1000*SER_hh_tes_in!P13/SER_hh_num_in!P13)</f>
        <v>51023.712002383458</v>
      </c>
      <c r="Q13" s="133">
        <f>IF(SER_hh_tes_in!Q13=0,0,11630*1000*SER_hh_tes_in!Q13/SER_hh_num_in!Q13)</f>
        <v>48641.662044824392</v>
      </c>
      <c r="R13" s="133">
        <f>IF(SER_hh_tes_in!R13=0,0,11630*1000*SER_hh_tes_in!R13/SER_hh_num_in!R13)</f>
        <v>46332.359202845058</v>
      </c>
      <c r="S13" s="133">
        <f>IF(SER_hh_tes_in!S13=0,0,11630*1000*SER_hh_tes_in!S13/SER_hh_num_in!S13)</f>
        <v>44499.652188339234</v>
      </c>
      <c r="T13" s="133">
        <f>IF(SER_hh_tes_in!T13=0,0,11630*1000*SER_hh_tes_in!T13/SER_hh_num_in!T13)</f>
        <v>41598.025568842917</v>
      </c>
      <c r="U13" s="133">
        <f>IF(SER_hh_tes_in!U13=0,0,11630*1000*SER_hh_tes_in!U13/SER_hh_num_in!U13)</f>
        <v>37559.900612106641</v>
      </c>
      <c r="V13" s="133">
        <f>IF(SER_hh_tes_in!V13=0,0,11630*1000*SER_hh_tes_in!V13/SER_hh_num_in!V13)</f>
        <v>33248.201131589871</v>
      </c>
      <c r="W13" s="133">
        <f>IF(SER_hh_tes_in!W13=0,0,11630*1000*SER_hh_tes_in!W13/SER_hh_num_in!W13)</f>
        <v>28488.958290134215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72324.539387931814</v>
      </c>
      <c r="D14" s="65">
        <f>IF(SER_hh_tes_in!D14=0,0,11630*1000*SER_hh_tes_in!D14/SER_hh_num_in!D14)</f>
        <v>68932.794576175569</v>
      </c>
      <c r="E14" s="65">
        <f>IF(SER_hh_tes_in!E14=0,0,11630*1000*SER_hh_tes_in!E14/SER_hh_num_in!E14)</f>
        <v>74138.721307159358</v>
      </c>
      <c r="F14" s="65">
        <f>IF(SER_hh_tes_in!F14=0,0,11630*1000*SER_hh_tes_in!F14/SER_hh_num_in!F14)</f>
        <v>77629.907278936502</v>
      </c>
      <c r="G14" s="65">
        <f>IF(SER_hh_tes_in!G14=0,0,11630*1000*SER_hh_tes_in!G14/SER_hh_num_in!G14)</f>
        <v>72787.822660928869</v>
      </c>
      <c r="H14" s="65">
        <f>IF(SER_hh_tes_in!H14=0,0,11630*1000*SER_hh_tes_in!H14/SER_hh_num_in!H14)</f>
        <v>71069.55342152658</v>
      </c>
      <c r="I14" s="65">
        <f>IF(SER_hh_tes_in!I14=0,0,11630*1000*SER_hh_tes_in!I14/SER_hh_num_in!I14)</f>
        <v>69177.477592926531</v>
      </c>
      <c r="J14" s="65">
        <f>IF(SER_hh_tes_in!J14=0,0,11630*1000*SER_hh_tes_in!J14/SER_hh_num_in!J14)</f>
        <v>67137.185424735086</v>
      </c>
      <c r="K14" s="65">
        <f>IF(SER_hh_tes_in!K14=0,0,11630*1000*SER_hh_tes_in!K14/SER_hh_num_in!K14)</f>
        <v>70303.386402420292</v>
      </c>
      <c r="L14" s="65">
        <f>IF(SER_hh_tes_in!L14=0,0,11630*1000*SER_hh_tes_in!L14/SER_hh_num_in!L14)</f>
        <v>69001.920869347116</v>
      </c>
      <c r="M14" s="65">
        <f>IF(SER_hh_tes_in!M14=0,0,11630*1000*SER_hh_tes_in!M14/SER_hh_num_in!M14)</f>
        <v>65382.80944460797</v>
      </c>
      <c r="N14" s="65">
        <f>IF(SER_hh_tes_in!N14=0,0,11630*1000*SER_hh_tes_in!N14/SER_hh_num_in!N14)</f>
        <v>63095.984458464111</v>
      </c>
      <c r="O14" s="65">
        <f>IF(SER_hh_tes_in!O14=0,0,11630*1000*SER_hh_tes_in!O14/SER_hh_num_in!O14)</f>
        <v>64401.619416962669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42842.941779577988</v>
      </c>
      <c r="S14" s="65">
        <f>IF(SER_hh_tes_in!S14=0,0,11630*1000*SER_hh_tes_in!S14/SER_hh_num_in!S14)</f>
        <v>45319.586613562707</v>
      </c>
      <c r="T14" s="65">
        <f>IF(SER_hh_tes_in!T14=0,0,11630*1000*SER_hh_tes_in!T14/SER_hh_num_in!T14)</f>
        <v>46114.936776108952</v>
      </c>
      <c r="U14" s="65">
        <f>IF(SER_hh_tes_in!U14=0,0,11630*1000*SER_hh_tes_in!U14/SER_hh_num_in!U14)</f>
        <v>37140.320769646016</v>
      </c>
      <c r="V14" s="65">
        <f>IF(SER_hh_tes_in!V14=0,0,11630*1000*SER_hh_tes_in!V14/SER_hh_num_in!V14)</f>
        <v>29918.69105641247</v>
      </c>
      <c r="W14" s="65">
        <f>IF(SER_hh_tes_in!W14=0,0,11630*1000*SER_hh_tes_in!W14/SER_hh_num_in!W14)</f>
        <v>29111.679518899731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1167.9993623799869</v>
      </c>
      <c r="D15" s="135">
        <f>IF(SER_hh_tes_in!D15=0,0,11630*1000*SER_hh_tes_in!D15/SER_hh_num_in!D15)</f>
        <v>1126.0064474354303</v>
      </c>
      <c r="E15" s="135">
        <f>IF(SER_hh_tes_in!E15=0,0,11630*1000*SER_hh_tes_in!E15/SER_hh_num_in!E15)</f>
        <v>1260.51374072053</v>
      </c>
      <c r="F15" s="135">
        <f>IF(SER_hh_tes_in!F15=0,0,11630*1000*SER_hh_tes_in!F15/SER_hh_num_in!F15)</f>
        <v>1450.9990409382704</v>
      </c>
      <c r="G15" s="135">
        <f>IF(SER_hh_tes_in!G15=0,0,11630*1000*SER_hh_tes_in!G15/SER_hh_num_in!G15)</f>
        <v>1228.3218780118837</v>
      </c>
      <c r="H15" s="135">
        <f>IF(SER_hh_tes_in!H15=0,0,11630*1000*SER_hh_tes_in!H15/SER_hh_num_in!H15)</f>
        <v>1153.381792619314</v>
      </c>
      <c r="I15" s="135">
        <f>IF(SER_hh_tes_in!I15=0,0,11630*1000*SER_hh_tes_in!I15/SER_hh_num_in!I15)</f>
        <v>973.81036108665387</v>
      </c>
      <c r="J15" s="135">
        <f>IF(SER_hh_tes_in!J15=0,0,11630*1000*SER_hh_tes_in!J15/SER_hh_num_in!J15)</f>
        <v>1046.4125564071753</v>
      </c>
      <c r="K15" s="135">
        <f>IF(SER_hh_tes_in!K15=0,0,11630*1000*SER_hh_tes_in!K15/SER_hh_num_in!K15)</f>
        <v>1062.5747719529961</v>
      </c>
      <c r="L15" s="135">
        <f>IF(SER_hh_tes_in!L15=0,0,11630*1000*SER_hh_tes_in!L15/SER_hh_num_in!L15)</f>
        <v>1268.9890431416877</v>
      </c>
      <c r="M15" s="135">
        <f>IF(SER_hh_tes_in!M15=0,0,11630*1000*SER_hh_tes_in!M15/SER_hh_num_in!M15)</f>
        <v>963.2284711984139</v>
      </c>
      <c r="N15" s="135">
        <f>IF(SER_hh_tes_in!N15=0,0,11630*1000*SER_hh_tes_in!N15/SER_hh_num_in!N15)</f>
        <v>1045.0506576337439</v>
      </c>
      <c r="O15" s="135">
        <f>IF(SER_hh_tes_in!O15=0,0,11630*1000*SER_hh_tes_in!O15/SER_hh_num_in!O15)</f>
        <v>1010.4114713205225</v>
      </c>
      <c r="P15" s="135">
        <f>IF(SER_hh_tes_in!P15=0,0,11630*1000*SER_hh_tes_in!P15/SER_hh_num_in!P15)</f>
        <v>723.71511252817481</v>
      </c>
      <c r="Q15" s="135">
        <f>IF(SER_hh_tes_in!Q15=0,0,11630*1000*SER_hh_tes_in!Q15/SER_hh_num_in!Q15)</f>
        <v>718.97274767828833</v>
      </c>
      <c r="R15" s="135">
        <f>IF(SER_hh_tes_in!R15=0,0,11630*1000*SER_hh_tes_in!R15/SER_hh_num_in!R15)</f>
        <v>644.33894655447943</v>
      </c>
      <c r="S15" s="135">
        <f>IF(SER_hh_tes_in!S15=0,0,11630*1000*SER_hh_tes_in!S15/SER_hh_num_in!S15)</f>
        <v>589.58794385831709</v>
      </c>
      <c r="T15" s="135">
        <f>IF(SER_hh_tes_in!T15=0,0,11630*1000*SER_hh_tes_in!T15/SER_hh_num_in!T15)</f>
        <v>560.28642100983075</v>
      </c>
      <c r="U15" s="135">
        <f>IF(SER_hh_tes_in!U15=0,0,11630*1000*SER_hh_tes_in!U15/SER_hh_num_in!U15)</f>
        <v>507.41006992315209</v>
      </c>
      <c r="V15" s="135">
        <f>IF(SER_hh_tes_in!V15=0,0,11630*1000*SER_hh_tes_in!V15/SER_hh_num_in!V15)</f>
        <v>443.87383943165855</v>
      </c>
      <c r="W15" s="135">
        <f>IF(SER_hh_tes_in!W15=0,0,11630*1000*SER_hh_tes_in!W15/SER_hh_num_in!W15)</f>
        <v>416.45363281537055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25747.888647188181</v>
      </c>
      <c r="D16" s="131">
        <f>IF(SER_hh_tes_in!D16=0,0,11630*1000*SER_hh_tes_in!D16/SER_hh_num_in!D16)</f>
        <v>25326.364072962719</v>
      </c>
      <c r="E16" s="131">
        <f>IF(SER_hh_tes_in!E16=0,0,11630*1000*SER_hh_tes_in!E16/SER_hh_num_in!E16)</f>
        <v>27581.183584684335</v>
      </c>
      <c r="F16" s="131">
        <f>IF(SER_hh_tes_in!F16=0,0,11630*1000*SER_hh_tes_in!F16/SER_hh_num_in!F16)</f>
        <v>24956.089775292228</v>
      </c>
      <c r="G16" s="131">
        <f>IF(SER_hh_tes_in!G16=0,0,11630*1000*SER_hh_tes_in!G16/SER_hh_num_in!G16)</f>
        <v>24465.200834435454</v>
      </c>
      <c r="H16" s="131">
        <f>IF(SER_hh_tes_in!H16=0,0,11630*1000*SER_hh_tes_in!H16/SER_hh_num_in!H16)</f>
        <v>26633.840164166868</v>
      </c>
      <c r="I16" s="131">
        <f>IF(SER_hh_tes_in!I16=0,0,11630*1000*SER_hh_tes_in!I16/SER_hh_num_in!I16)</f>
        <v>24233.825994031908</v>
      </c>
      <c r="J16" s="131">
        <f>IF(SER_hh_tes_in!J16=0,0,11630*1000*SER_hh_tes_in!J16/SER_hh_num_in!J16)</f>
        <v>24100.468997706415</v>
      </c>
      <c r="K16" s="131">
        <f>IF(SER_hh_tes_in!K16=0,0,11630*1000*SER_hh_tes_in!K16/SER_hh_num_in!K16)</f>
        <v>23791.27543592015</v>
      </c>
      <c r="L16" s="131">
        <f>IF(SER_hh_tes_in!L16=0,0,11630*1000*SER_hh_tes_in!L16/SER_hh_num_in!L16)</f>
        <v>24260.55241232401</v>
      </c>
      <c r="M16" s="131">
        <f>IF(SER_hh_tes_in!M16=0,0,11630*1000*SER_hh_tes_in!M16/SER_hh_num_in!M16)</f>
        <v>23147.165417618726</v>
      </c>
      <c r="N16" s="131">
        <f>IF(SER_hh_tes_in!N16=0,0,11630*1000*SER_hh_tes_in!N16/SER_hh_num_in!N16)</f>
        <v>22804.392278955456</v>
      </c>
      <c r="O16" s="131">
        <f>IF(SER_hh_tes_in!O16=0,0,11630*1000*SER_hh_tes_in!O16/SER_hh_num_in!O16)</f>
        <v>22408.064073489113</v>
      </c>
      <c r="P16" s="131">
        <f>IF(SER_hh_tes_in!P16=0,0,11630*1000*SER_hh_tes_in!P16/SER_hh_num_in!P16)</f>
        <v>21573.924796476324</v>
      </c>
      <c r="Q16" s="131">
        <f>IF(SER_hh_tes_in!Q16=0,0,11630*1000*SER_hh_tes_in!Q16/SER_hh_num_in!Q16)</f>
        <v>22042.789949132526</v>
      </c>
      <c r="R16" s="131">
        <f>IF(SER_hh_tes_in!R16=0,0,11630*1000*SER_hh_tes_in!R16/SER_hh_num_in!R16)</f>
        <v>20804.196802988525</v>
      </c>
      <c r="S16" s="131">
        <f>IF(SER_hh_tes_in!S16=0,0,11630*1000*SER_hh_tes_in!S16/SER_hh_num_in!S16)</f>
        <v>19715.103199512272</v>
      </c>
      <c r="T16" s="131">
        <f>IF(SER_hh_tes_in!T16=0,0,11630*1000*SER_hh_tes_in!T16/SER_hh_num_in!T16)</f>
        <v>20958.396147428299</v>
      </c>
      <c r="U16" s="131">
        <f>IF(SER_hh_tes_in!U16=0,0,11630*1000*SER_hh_tes_in!U16/SER_hh_num_in!U16)</f>
        <v>19744.850669744366</v>
      </c>
      <c r="V16" s="131">
        <f>IF(SER_hh_tes_in!V16=0,0,11630*1000*SER_hh_tes_in!V16/SER_hh_num_in!V16)</f>
        <v>19351.639021460949</v>
      </c>
      <c r="W16" s="131">
        <f>IF(SER_hh_tes_in!W16=0,0,11630*1000*SER_hh_tes_in!W16/SER_hh_num_in!W16)</f>
        <v>15233.460188067746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25744.018245463685</v>
      </c>
      <c r="D17" s="133">
        <f>IF(SER_hh_tes_in!D17=0,0,11630*1000*SER_hh_tes_in!D17/SER_hh_num_in!D17)</f>
        <v>25331.593276782343</v>
      </c>
      <c r="E17" s="133">
        <f>IF(SER_hh_tes_in!E17=0,0,11630*1000*SER_hh_tes_in!E17/SER_hh_num_in!E17)</f>
        <v>27584.185526335481</v>
      </c>
      <c r="F17" s="133">
        <f>IF(SER_hh_tes_in!F17=0,0,11630*1000*SER_hh_tes_in!F17/SER_hh_num_in!F17)</f>
        <v>24960.763595345768</v>
      </c>
      <c r="G17" s="133">
        <f>IF(SER_hh_tes_in!G17=0,0,11630*1000*SER_hh_tes_in!G17/SER_hh_num_in!G17)</f>
        <v>24477.738582443922</v>
      </c>
      <c r="H17" s="133">
        <f>IF(SER_hh_tes_in!H17=0,0,11630*1000*SER_hh_tes_in!H17/SER_hh_num_in!H17)</f>
        <v>26702.757533072167</v>
      </c>
      <c r="I17" s="133">
        <f>IF(SER_hh_tes_in!I17=0,0,11630*1000*SER_hh_tes_in!I17/SER_hh_num_in!I17)</f>
        <v>24340.960726205845</v>
      </c>
      <c r="J17" s="133">
        <f>IF(SER_hh_tes_in!J17=0,0,11630*1000*SER_hh_tes_in!J17/SER_hh_num_in!J17)</f>
        <v>24193.716560524699</v>
      </c>
      <c r="K17" s="133">
        <f>IF(SER_hh_tes_in!K17=0,0,11630*1000*SER_hh_tes_in!K17/SER_hh_num_in!K17)</f>
        <v>23854.597895028772</v>
      </c>
      <c r="L17" s="133">
        <f>IF(SER_hh_tes_in!L17=0,0,11630*1000*SER_hh_tes_in!L17/SER_hh_num_in!L17)</f>
        <v>24314.548831008222</v>
      </c>
      <c r="M17" s="133">
        <f>IF(SER_hh_tes_in!M17=0,0,11630*1000*SER_hh_tes_in!M17/SER_hh_num_in!M17)</f>
        <v>23196.284261546916</v>
      </c>
      <c r="N17" s="133">
        <f>IF(SER_hh_tes_in!N17=0,0,11630*1000*SER_hh_tes_in!N17/SER_hh_num_in!N17)</f>
        <v>22837.035888216105</v>
      </c>
      <c r="O17" s="133">
        <f>IF(SER_hh_tes_in!O17=0,0,11630*1000*SER_hh_tes_in!O17/SER_hh_num_in!O17)</f>
        <v>22411.439425121851</v>
      </c>
      <c r="P17" s="133">
        <f>IF(SER_hh_tes_in!P17=0,0,11630*1000*SER_hh_tes_in!P17/SER_hh_num_in!P17)</f>
        <v>21570.545296271921</v>
      </c>
      <c r="Q17" s="133">
        <f>IF(SER_hh_tes_in!Q17=0,0,11630*1000*SER_hh_tes_in!Q17/SER_hh_num_in!Q17)</f>
        <v>21933.326362804513</v>
      </c>
      <c r="R17" s="133">
        <f>IF(SER_hh_tes_in!R17=0,0,11630*1000*SER_hh_tes_in!R17/SER_hh_num_in!R17)</f>
        <v>21085.333972779241</v>
      </c>
      <c r="S17" s="133">
        <f>IF(SER_hh_tes_in!S17=0,0,11630*1000*SER_hh_tes_in!S17/SER_hh_num_in!S17)</f>
        <v>20992.470825619752</v>
      </c>
      <c r="T17" s="133">
        <f>IF(SER_hh_tes_in!T17=0,0,11630*1000*SER_hh_tes_in!T17/SER_hh_num_in!T17)</f>
        <v>21144.592082154468</v>
      </c>
      <c r="U17" s="133">
        <f>IF(SER_hh_tes_in!U17=0,0,11630*1000*SER_hh_tes_in!U17/SER_hh_num_in!U17)</f>
        <v>19869.678625610268</v>
      </c>
      <c r="V17" s="133">
        <f>IF(SER_hh_tes_in!V17=0,0,11630*1000*SER_hh_tes_in!V17/SER_hh_num_in!V17)</f>
        <v>19517.139756075434</v>
      </c>
      <c r="W17" s="133">
        <f>IF(SER_hh_tes_in!W17=0,0,11630*1000*SER_hh_tes_in!W17/SER_hh_num_in!W17)</f>
        <v>18441.141720977328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25747.899697448607</v>
      </c>
      <c r="D18" s="133">
        <f>IF(SER_hh_tes_in!D18=0,0,11630*1000*SER_hh_tes_in!D18/SER_hh_num_in!D18)</f>
        <v>25326.341593857553</v>
      </c>
      <c r="E18" s="133">
        <f>IF(SER_hh_tes_in!E18=0,0,11630*1000*SER_hh_tes_in!E18/SER_hh_num_in!E18)</f>
        <v>27581.174198076464</v>
      </c>
      <c r="F18" s="133">
        <f>IF(SER_hh_tes_in!F18=0,0,11630*1000*SER_hh_tes_in!F18/SER_hh_num_in!F18)</f>
        <v>24956.056803360989</v>
      </c>
      <c r="G18" s="133">
        <f>IF(SER_hh_tes_in!G18=0,0,11630*1000*SER_hh_tes_in!G18/SER_hh_num_in!G18)</f>
        <v>24465.141921327988</v>
      </c>
      <c r="H18" s="133">
        <f>IF(SER_hh_tes_in!H18=0,0,11630*1000*SER_hh_tes_in!H18/SER_hh_num_in!H18)</f>
        <v>26633.407423494438</v>
      </c>
      <c r="I18" s="133">
        <f>IF(SER_hh_tes_in!I18=0,0,11630*1000*SER_hh_tes_in!I18/SER_hh_num_in!I18)</f>
        <v>24233.034252050584</v>
      </c>
      <c r="J18" s="133">
        <f>IF(SER_hh_tes_in!J18=0,0,11630*1000*SER_hh_tes_in!J18/SER_hh_num_in!J18)</f>
        <v>24099.76820263156</v>
      </c>
      <c r="K18" s="133">
        <f>IF(SER_hh_tes_in!K18=0,0,11630*1000*SER_hh_tes_in!K18/SER_hh_num_in!K18)</f>
        <v>23790.805969392863</v>
      </c>
      <c r="L18" s="133">
        <f>IF(SER_hh_tes_in!L18=0,0,11630*1000*SER_hh_tes_in!L18/SER_hh_num_in!L18)</f>
        <v>24260.172854806813</v>
      </c>
      <c r="M18" s="133">
        <f>IF(SER_hh_tes_in!M18=0,0,11630*1000*SER_hh_tes_in!M18/SER_hh_num_in!M18)</f>
        <v>23146.760054761842</v>
      </c>
      <c r="N18" s="133">
        <f>IF(SER_hh_tes_in!N18=0,0,11630*1000*SER_hh_tes_in!N18/SER_hh_num_in!N18)</f>
        <v>22804.022626172289</v>
      </c>
      <c r="O18" s="133">
        <f>IF(SER_hh_tes_in!O18=0,0,11630*1000*SER_hh_tes_in!O18/SER_hh_num_in!O18)</f>
        <v>22408.00377985755</v>
      </c>
      <c r="P18" s="133">
        <f>IF(SER_hh_tes_in!P18=0,0,11630*1000*SER_hh_tes_in!P18/SER_hh_num_in!P18)</f>
        <v>21574.019774993325</v>
      </c>
      <c r="Q18" s="133">
        <f>IF(SER_hh_tes_in!Q18=0,0,11630*1000*SER_hh_tes_in!Q18/SER_hh_num_in!Q18)</f>
        <v>22046.676888284968</v>
      </c>
      <c r="R18" s="133">
        <f>IF(SER_hh_tes_in!R18=0,0,11630*1000*SER_hh_tes_in!R18/SER_hh_num_in!R18)</f>
        <v>20793.826416641859</v>
      </c>
      <c r="S18" s="133">
        <f>IF(SER_hh_tes_in!S18=0,0,11630*1000*SER_hh_tes_in!S18/SER_hh_num_in!S18)</f>
        <v>19677.937671520132</v>
      </c>
      <c r="T18" s="133">
        <f>IF(SER_hh_tes_in!T18=0,0,11630*1000*SER_hh_tes_in!T18/SER_hh_num_in!T18)</f>
        <v>20954.029757753557</v>
      </c>
      <c r="U18" s="133">
        <f>IF(SER_hh_tes_in!U18=0,0,11630*1000*SER_hh_tes_in!U18/SER_hh_num_in!U18)</f>
        <v>19741.007422536084</v>
      </c>
      <c r="V18" s="133">
        <f>IF(SER_hh_tes_in!V18=0,0,11630*1000*SER_hh_tes_in!V18/SER_hh_num_in!V18)</f>
        <v>19345.12142713695</v>
      </c>
      <c r="W18" s="133">
        <f>IF(SER_hh_tes_in!W18=0,0,11630*1000*SER_hh_tes_in!W18/SER_hh_num_in!W18)</f>
        <v>15186.157400558279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15109.488532574296</v>
      </c>
      <c r="D19" s="131">
        <f>IF(SER_hh_tes_in!D19=0,0,11630*1000*SER_hh_tes_in!D19/SER_hh_num_in!D19)</f>
        <v>15106.623073192064</v>
      </c>
      <c r="E19" s="131">
        <f>IF(SER_hh_tes_in!E19=0,0,11630*1000*SER_hh_tes_in!E19/SER_hh_num_in!E19)</f>
        <v>14922.426554733574</v>
      </c>
      <c r="F19" s="131">
        <f>IF(SER_hh_tes_in!F19=0,0,11630*1000*SER_hh_tes_in!F19/SER_hh_num_in!F19)</f>
        <v>14946.246312003072</v>
      </c>
      <c r="G19" s="131">
        <f>IF(SER_hh_tes_in!G19=0,0,11630*1000*SER_hh_tes_in!G19/SER_hh_num_in!G19)</f>
        <v>14698.926080581874</v>
      </c>
      <c r="H19" s="131">
        <f>IF(SER_hh_tes_in!H19=0,0,11630*1000*SER_hh_tes_in!H19/SER_hh_num_in!H19)</f>
        <v>14288.6960247403</v>
      </c>
      <c r="I19" s="131">
        <f>IF(SER_hh_tes_in!I19=0,0,11630*1000*SER_hh_tes_in!I19/SER_hh_num_in!I19)</f>
        <v>13825.851760189593</v>
      </c>
      <c r="J19" s="131">
        <f>IF(SER_hh_tes_in!J19=0,0,11630*1000*SER_hh_tes_in!J19/SER_hh_num_in!J19)</f>
        <v>13551.296004279031</v>
      </c>
      <c r="K19" s="131">
        <f>IF(SER_hh_tes_in!K19=0,0,11630*1000*SER_hh_tes_in!K19/SER_hh_num_in!K19)</f>
        <v>13636.289018648737</v>
      </c>
      <c r="L19" s="131">
        <f>IF(SER_hh_tes_in!L19=0,0,11630*1000*SER_hh_tes_in!L19/SER_hh_num_in!L19)</f>
        <v>13462.307738724885</v>
      </c>
      <c r="M19" s="131">
        <f>IF(SER_hh_tes_in!M19=0,0,11630*1000*SER_hh_tes_in!M19/SER_hh_num_in!M19)</f>
        <v>13302.921693759876</v>
      </c>
      <c r="N19" s="131">
        <f>IF(SER_hh_tes_in!N19=0,0,11630*1000*SER_hh_tes_in!N19/SER_hh_num_in!N19)</f>
        <v>13358.174011976711</v>
      </c>
      <c r="O19" s="131">
        <f>IF(SER_hh_tes_in!O19=0,0,11630*1000*SER_hh_tes_in!O19/SER_hh_num_in!O19)</f>
        <v>13291.854782300263</v>
      </c>
      <c r="P19" s="131">
        <f>IF(SER_hh_tes_in!P19=0,0,11630*1000*SER_hh_tes_in!P19/SER_hh_num_in!P19)</f>
        <v>13334.106877208062</v>
      </c>
      <c r="Q19" s="131">
        <f>IF(SER_hh_tes_in!Q19=0,0,11630*1000*SER_hh_tes_in!Q19/SER_hh_num_in!Q19)</f>
        <v>13061.124174859664</v>
      </c>
      <c r="R19" s="131">
        <f>IF(SER_hh_tes_in!R19=0,0,11630*1000*SER_hh_tes_in!R19/SER_hh_num_in!R19)</f>
        <v>12875.546701865336</v>
      </c>
      <c r="S19" s="131">
        <f>IF(SER_hh_tes_in!S19=0,0,11630*1000*SER_hh_tes_in!S19/SER_hh_num_in!S19)</f>
        <v>12845.679268394126</v>
      </c>
      <c r="T19" s="131">
        <f>IF(SER_hh_tes_in!T19=0,0,11630*1000*SER_hh_tes_in!T19/SER_hh_num_in!T19)</f>
        <v>12643.783894841938</v>
      </c>
      <c r="U19" s="131">
        <f>IF(SER_hh_tes_in!U19=0,0,11630*1000*SER_hh_tes_in!U19/SER_hh_num_in!U19)</f>
        <v>12451.510140035869</v>
      </c>
      <c r="V19" s="131">
        <f>IF(SER_hh_tes_in!V19=0,0,11630*1000*SER_hh_tes_in!V19/SER_hh_num_in!V19)</f>
        <v>12450.349788436548</v>
      </c>
      <c r="W19" s="131">
        <f>IF(SER_hh_tes_in!W19=0,0,11630*1000*SER_hh_tes_in!W19/SER_hh_num_in!W19)</f>
        <v>12058.899668839349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15089.222205418986</v>
      </c>
      <c r="D22" s="133">
        <f>IF(SER_hh_tes_in!D22=0,0,11630*1000*SER_hh_tes_in!D22/SER_hh_num_in!D22)</f>
        <v>14735.221996318855</v>
      </c>
      <c r="E22" s="133">
        <f>IF(SER_hh_tes_in!E22=0,0,11630*1000*SER_hh_tes_in!E22/SER_hh_num_in!E22)</f>
        <v>14685.88296664221</v>
      </c>
      <c r="F22" s="133">
        <f>IF(SER_hh_tes_in!F22=0,0,11630*1000*SER_hh_tes_in!F22/SER_hh_num_in!F22)</f>
        <v>14504.894613326662</v>
      </c>
      <c r="G22" s="133">
        <f>IF(SER_hh_tes_in!G22=0,0,11630*1000*SER_hh_tes_in!G22/SER_hh_num_in!G22)</f>
        <v>14508.215810402133</v>
      </c>
      <c r="H22" s="133">
        <f>IF(SER_hh_tes_in!H22=0,0,11630*1000*SER_hh_tes_in!H22/SER_hh_num_in!H22)</f>
        <v>14140.491544448425</v>
      </c>
      <c r="I22" s="133">
        <f>IF(SER_hh_tes_in!I22=0,0,11630*1000*SER_hh_tes_in!I22/SER_hh_num_in!I22)</f>
        <v>13747.421136097206</v>
      </c>
      <c r="J22" s="133">
        <f>IF(SER_hh_tes_in!J22=0,0,11630*1000*SER_hh_tes_in!J22/SER_hh_num_in!J22)</f>
        <v>13704.87333953198</v>
      </c>
      <c r="K22" s="133">
        <f>IF(SER_hh_tes_in!K22=0,0,11630*1000*SER_hh_tes_in!K22/SER_hh_num_in!K22)</f>
        <v>13135.192546876628</v>
      </c>
      <c r="L22" s="133">
        <f>IF(SER_hh_tes_in!L22=0,0,11630*1000*SER_hh_tes_in!L22/SER_hh_num_in!L22)</f>
        <v>13356.260984995813</v>
      </c>
      <c r="M22" s="133">
        <f>IF(SER_hh_tes_in!M22=0,0,11630*1000*SER_hh_tes_in!M22/SER_hh_num_in!M22)</f>
        <v>13042.891433350147</v>
      </c>
      <c r="N22" s="133">
        <f>IF(SER_hh_tes_in!N22=0,0,11630*1000*SER_hh_tes_in!N22/SER_hh_num_in!N22)</f>
        <v>13082.919105293831</v>
      </c>
      <c r="O22" s="133">
        <f>IF(SER_hh_tes_in!O22=0,0,11630*1000*SER_hh_tes_in!O22/SER_hh_num_in!O22)</f>
        <v>12837.312569245396</v>
      </c>
      <c r="P22" s="133">
        <f>IF(SER_hh_tes_in!P22=0,0,11630*1000*SER_hh_tes_in!P22/SER_hh_num_in!P22)</f>
        <v>12909.549501178766</v>
      </c>
      <c r="Q22" s="133">
        <f>IF(SER_hh_tes_in!Q22=0,0,11630*1000*SER_hh_tes_in!Q22/SER_hh_num_in!Q22)</f>
        <v>12935.743939984963</v>
      </c>
      <c r="R22" s="133">
        <f>IF(SER_hh_tes_in!R22=0,0,11630*1000*SER_hh_tes_in!R22/SER_hh_num_in!R22)</f>
        <v>12646.009367784203</v>
      </c>
      <c r="S22" s="133">
        <f>IF(SER_hh_tes_in!S22=0,0,11630*1000*SER_hh_tes_in!S22/SER_hh_num_in!S22)</f>
        <v>12526.470861027989</v>
      </c>
      <c r="T22" s="133">
        <f>IF(SER_hh_tes_in!T22=0,0,11630*1000*SER_hh_tes_in!T22/SER_hh_num_in!T22)</f>
        <v>12600.488898433672</v>
      </c>
      <c r="U22" s="133">
        <f>IF(SER_hh_tes_in!U22=0,0,11630*1000*SER_hh_tes_in!U22/SER_hh_num_in!U22)</f>
        <v>12522.69805809313</v>
      </c>
      <c r="V22" s="133">
        <f>IF(SER_hh_tes_in!V22=0,0,11630*1000*SER_hh_tes_in!V22/SER_hh_num_in!V22)</f>
        <v>12011.437639351299</v>
      </c>
      <c r="W22" s="133">
        <f>IF(SER_hh_tes_in!W22=0,0,11630*1000*SER_hh_tes_in!W22/SER_hh_num_in!W22)</f>
        <v>12067.619480340578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14919.996079298384</v>
      </c>
      <c r="D23" s="133">
        <f>IF(SER_hh_tes_in!D23=0,0,11630*1000*SER_hh_tes_in!D23/SER_hh_num_in!D23)</f>
        <v>15326.386731437988</v>
      </c>
      <c r="E23" s="133">
        <f>IF(SER_hh_tes_in!E23=0,0,11630*1000*SER_hh_tes_in!E23/SER_hh_num_in!E23)</f>
        <v>14787.19942179843</v>
      </c>
      <c r="F23" s="133">
        <f>IF(SER_hh_tes_in!F23=0,0,11630*1000*SER_hh_tes_in!F23/SER_hh_num_in!F23)</f>
        <v>14443.226324514369</v>
      </c>
      <c r="G23" s="133">
        <f>IF(SER_hh_tes_in!G23=0,0,11630*1000*SER_hh_tes_in!G23/SER_hh_num_in!G23)</f>
        <v>14456.692421085323</v>
      </c>
      <c r="H23" s="133">
        <f>IF(SER_hh_tes_in!H23=0,0,11630*1000*SER_hh_tes_in!H23/SER_hh_num_in!H23)</f>
        <v>14298.815721972833</v>
      </c>
      <c r="I23" s="133">
        <f>IF(SER_hh_tes_in!I23=0,0,11630*1000*SER_hh_tes_in!I23/SER_hh_num_in!I23)</f>
        <v>13774.203855361988</v>
      </c>
      <c r="J23" s="133">
        <f>IF(SER_hh_tes_in!J23=0,0,11630*1000*SER_hh_tes_in!J23/SER_hh_num_in!J23)</f>
        <v>13550.814578890249</v>
      </c>
      <c r="K23" s="133">
        <f>IF(SER_hh_tes_in!K23=0,0,11630*1000*SER_hh_tes_in!K23/SER_hh_num_in!K23)</f>
        <v>13059.503513147991</v>
      </c>
      <c r="L23" s="133">
        <f>IF(SER_hh_tes_in!L23=0,0,11630*1000*SER_hh_tes_in!L23/SER_hh_num_in!L23)</f>
        <v>13368.257463869344</v>
      </c>
      <c r="M23" s="133">
        <f>IF(SER_hh_tes_in!M23=0,0,11630*1000*SER_hh_tes_in!M23/SER_hh_num_in!M23)</f>
        <v>12837.073943016481</v>
      </c>
      <c r="N23" s="133">
        <f>IF(SER_hh_tes_in!N23=0,0,11630*1000*SER_hh_tes_in!N23/SER_hh_num_in!N23)</f>
        <v>13356.868716036442</v>
      </c>
      <c r="O23" s="133">
        <f>IF(SER_hh_tes_in!O23=0,0,11630*1000*SER_hh_tes_in!O23/SER_hh_num_in!O23)</f>
        <v>13257.812809218811</v>
      </c>
      <c r="P23" s="133">
        <f>IF(SER_hh_tes_in!P23=0,0,11630*1000*SER_hh_tes_in!P23/SER_hh_num_in!P23)</f>
        <v>12856.340137041161</v>
      </c>
      <c r="Q23" s="133">
        <f>IF(SER_hh_tes_in!Q23=0,0,11630*1000*SER_hh_tes_in!Q23/SER_hh_num_in!Q23)</f>
        <v>12615.623604554281</v>
      </c>
      <c r="R23" s="133">
        <f>IF(SER_hh_tes_in!R23=0,0,11630*1000*SER_hh_tes_in!R23/SER_hh_num_in!R23)</f>
        <v>12437.163095160811</v>
      </c>
      <c r="S23" s="133">
        <f>IF(SER_hh_tes_in!S23=0,0,11630*1000*SER_hh_tes_in!S23/SER_hh_num_in!S23)</f>
        <v>12926.583550772826</v>
      </c>
      <c r="T23" s="133">
        <f>IF(SER_hh_tes_in!T23=0,0,11630*1000*SER_hh_tes_in!T23/SER_hh_num_in!T23)</f>
        <v>12996.490306868114</v>
      </c>
      <c r="U23" s="133">
        <f>IF(SER_hh_tes_in!U23=0,0,11630*1000*SER_hh_tes_in!U23/SER_hh_num_in!U23)</f>
        <v>12984.330450753532</v>
      </c>
      <c r="V23" s="133">
        <f>IF(SER_hh_tes_in!V23=0,0,11630*1000*SER_hh_tes_in!V23/SER_hh_num_in!V23)</f>
        <v>11577.421205993542</v>
      </c>
      <c r="W23" s="133">
        <f>IF(SER_hh_tes_in!W23=0,0,11630*1000*SER_hh_tes_in!W23/SER_hh_num_in!W23)</f>
        <v>12054.152669726618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15079.831533037535</v>
      </c>
      <c r="D25" s="133">
        <f>IF(SER_hh_tes_in!D25=0,0,11630*1000*SER_hh_tes_in!D25/SER_hh_num_in!D25)</f>
        <v>14868.851037682196</v>
      </c>
      <c r="E25" s="133">
        <f>IF(SER_hh_tes_in!E25=0,0,11630*1000*SER_hh_tes_in!E25/SER_hh_num_in!E25)</f>
        <v>14759.33295689702</v>
      </c>
      <c r="F25" s="133">
        <f>IF(SER_hh_tes_in!F25=0,0,11630*1000*SER_hh_tes_in!F25/SER_hh_num_in!F25)</f>
        <v>14377.629778922495</v>
      </c>
      <c r="G25" s="133">
        <f>IF(SER_hh_tes_in!G25=0,0,11630*1000*SER_hh_tes_in!G25/SER_hh_num_in!G25)</f>
        <v>14405.438542789112</v>
      </c>
      <c r="H25" s="133">
        <f>IF(SER_hh_tes_in!H25=0,0,11630*1000*SER_hh_tes_in!H25/SER_hh_num_in!H25)</f>
        <v>14135.679140568625</v>
      </c>
      <c r="I25" s="133">
        <f>IF(SER_hh_tes_in!I25=0,0,11630*1000*SER_hh_tes_in!I25/SER_hh_num_in!I25)</f>
        <v>13782.227061368232</v>
      </c>
      <c r="J25" s="133">
        <f>IF(SER_hh_tes_in!J25=0,0,11630*1000*SER_hh_tes_in!J25/SER_hh_num_in!J25)</f>
        <v>13535.513417948656</v>
      </c>
      <c r="K25" s="133">
        <f>IF(SER_hh_tes_in!K25=0,0,11630*1000*SER_hh_tes_in!K25/SER_hh_num_in!K25)</f>
        <v>13162.435792657989</v>
      </c>
      <c r="L25" s="133">
        <f>IF(SER_hh_tes_in!L25=0,0,11630*1000*SER_hh_tes_in!L25/SER_hh_num_in!L25)</f>
        <v>13517.673179601759</v>
      </c>
      <c r="M25" s="133">
        <f>IF(SER_hh_tes_in!M25=0,0,11630*1000*SER_hh_tes_in!M25/SER_hh_num_in!M25)</f>
        <v>13258.569774524551</v>
      </c>
      <c r="N25" s="133">
        <f>IF(SER_hh_tes_in!N25=0,0,11630*1000*SER_hh_tes_in!N25/SER_hh_num_in!N25)</f>
        <v>13299.988064319126</v>
      </c>
      <c r="O25" s="133">
        <f>IF(SER_hh_tes_in!O25=0,0,11630*1000*SER_hh_tes_in!O25/SER_hh_num_in!O25)</f>
        <v>12930.341128201098</v>
      </c>
      <c r="P25" s="133">
        <f>IF(SER_hh_tes_in!P25=0,0,11630*1000*SER_hh_tes_in!P25/SER_hh_num_in!P25)</f>
        <v>0</v>
      </c>
      <c r="Q25" s="133">
        <f>IF(SER_hh_tes_in!Q25=0,0,11630*1000*SER_hh_tes_in!Q25/SER_hh_num_in!Q25)</f>
        <v>12756.99295829782</v>
      </c>
      <c r="R25" s="133">
        <f>IF(SER_hh_tes_in!R25=0,0,11630*1000*SER_hh_tes_in!R25/SER_hh_num_in!R25)</f>
        <v>12620.10219578758</v>
      </c>
      <c r="S25" s="133">
        <f>IF(SER_hh_tes_in!S25=0,0,11630*1000*SER_hh_tes_in!S25/SER_hh_num_in!S25)</f>
        <v>12546.679477645455</v>
      </c>
      <c r="T25" s="133">
        <f>IF(SER_hh_tes_in!T25=0,0,11630*1000*SER_hh_tes_in!T25/SER_hh_num_in!T25)</f>
        <v>12698.91406881478</v>
      </c>
      <c r="U25" s="133">
        <f>IF(SER_hh_tes_in!U25=0,0,11630*1000*SER_hh_tes_in!U25/SER_hh_num_in!U25)</f>
        <v>12529.274929384215</v>
      </c>
      <c r="V25" s="133">
        <f>IF(SER_hh_tes_in!V25=0,0,11630*1000*SER_hh_tes_in!V25/SER_hh_num_in!V25)</f>
        <v>12161.119387431079</v>
      </c>
      <c r="W25" s="133">
        <f>IF(SER_hh_tes_in!W25=0,0,11630*1000*SER_hh_tes_in!W25/SER_hh_num_in!W25)</f>
        <v>11837.02128413317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14628.113937075321</v>
      </c>
      <c r="D26" s="65">
        <f>IF(SER_hh_tes_in!D26=0,0,11630*1000*SER_hh_tes_in!D26/SER_hh_num_in!D26)</f>
        <v>12546.819316275501</v>
      </c>
      <c r="E26" s="65">
        <f>IF(SER_hh_tes_in!E26=0,0,11630*1000*SER_hh_tes_in!E26/SER_hh_num_in!E26)</f>
        <v>12978.989105498596</v>
      </c>
      <c r="F26" s="65">
        <f>IF(SER_hh_tes_in!F26=0,0,11630*1000*SER_hh_tes_in!F26/SER_hh_num_in!F26)</f>
        <v>11236.522465256181</v>
      </c>
      <c r="G26" s="65">
        <f>IF(SER_hh_tes_in!G26=0,0,11630*1000*SER_hh_tes_in!G26/SER_hh_num_in!G26)</f>
        <v>13710.13652980197</v>
      </c>
      <c r="H26" s="65">
        <f>IF(SER_hh_tes_in!H26=0,0,11630*1000*SER_hh_tes_in!H26/SER_hh_num_in!H26)</f>
        <v>13713.715887720449</v>
      </c>
      <c r="I26" s="65">
        <f>IF(SER_hh_tes_in!I26=0,0,11630*1000*SER_hh_tes_in!I26/SER_hh_num_in!I26)</f>
        <v>12949.344466647581</v>
      </c>
      <c r="J26" s="65">
        <f>IF(SER_hh_tes_in!J26=0,0,11630*1000*SER_hh_tes_in!J26/SER_hh_num_in!J26)</f>
        <v>13385.211346453398</v>
      </c>
      <c r="K26" s="65">
        <f>IF(SER_hh_tes_in!K26=0,0,11630*1000*SER_hh_tes_in!K26/SER_hh_num_in!K26)</f>
        <v>6966.7896802835958</v>
      </c>
      <c r="L26" s="65">
        <f>IF(SER_hh_tes_in!L26=0,0,11630*1000*SER_hh_tes_in!L26/SER_hh_num_in!L26)</f>
        <v>13532.674738641503</v>
      </c>
      <c r="M26" s="65">
        <f>IF(SER_hh_tes_in!M26=0,0,11630*1000*SER_hh_tes_in!M26/SER_hh_num_in!M26)</f>
        <v>11389.446283524145</v>
      </c>
      <c r="N26" s="65">
        <f>IF(SER_hh_tes_in!N26=0,0,11630*1000*SER_hh_tes_in!N26/SER_hh_num_in!N26)</f>
        <v>11780.568783122575</v>
      </c>
      <c r="O26" s="65">
        <f>IF(SER_hh_tes_in!O26=0,0,11630*1000*SER_hh_tes_in!O26/SER_hh_num_in!O26)</f>
        <v>8735.9147664101529</v>
      </c>
      <c r="P26" s="65">
        <f>IF(SER_hh_tes_in!P26=0,0,11630*1000*SER_hh_tes_in!P26/SER_hh_num_in!P26)</f>
        <v>10011.477878638732</v>
      </c>
      <c r="Q26" s="65">
        <f>IF(SER_hh_tes_in!Q26=0,0,11630*1000*SER_hh_tes_in!Q26/SER_hh_num_in!Q26)</f>
        <v>12504.897304958855</v>
      </c>
      <c r="R26" s="65">
        <f>IF(SER_hh_tes_in!R26=0,0,11630*1000*SER_hh_tes_in!R26/SER_hh_num_in!R26)</f>
        <v>10680.781842703762</v>
      </c>
      <c r="S26" s="65">
        <f>IF(SER_hh_tes_in!S26=0,0,11630*1000*SER_hh_tes_in!S26/SER_hh_num_in!S26)</f>
        <v>11231.074070818266</v>
      </c>
      <c r="T26" s="65">
        <f>IF(SER_hh_tes_in!T26=0,0,11630*1000*SER_hh_tes_in!T26/SER_hh_num_in!T26)</f>
        <v>11583.450914275978</v>
      </c>
      <c r="U26" s="65">
        <f>IF(SER_hh_tes_in!U26=0,0,11630*1000*SER_hh_tes_in!U26/SER_hh_num_in!U26)</f>
        <v>11334.586338360517</v>
      </c>
      <c r="V26" s="65">
        <f>IF(SER_hh_tes_in!V26=0,0,11630*1000*SER_hh_tes_in!V26/SER_hh_num_in!V26)</f>
        <v>11396.840769250119</v>
      </c>
      <c r="W26" s="65">
        <f>IF(SER_hh_tes_in!W26=0,0,11630*1000*SER_hh_tes_in!W26/SER_hh_num_in!W26)</f>
        <v>11149.499654928959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333.18625359053681</v>
      </c>
      <c r="D27" s="146">
        <f>IF(SER_hh_tes_in!D27=0,0,11630*1000*SER_hh_tes_in!D27/SER_hh_num_in!D19)</f>
        <v>1290.0201133323769</v>
      </c>
      <c r="E27" s="146">
        <f>IF(SER_hh_tes_in!E27=0,0,11630*1000*SER_hh_tes_in!E27/SER_hh_num_in!E19)</f>
        <v>1195.4313394145383</v>
      </c>
      <c r="F27" s="146">
        <f>IF(SER_hh_tes_in!F27=0,0,11630*1000*SER_hh_tes_in!F27/SER_hh_num_in!F19)</f>
        <v>2218.5538760300874</v>
      </c>
      <c r="G27" s="146">
        <f>IF(SER_hh_tes_in!G27=0,0,11630*1000*SER_hh_tes_in!G27/SER_hh_num_in!G19)</f>
        <v>682.58873383841762</v>
      </c>
      <c r="H27" s="146">
        <f>IF(SER_hh_tes_in!H27=0,0,11630*1000*SER_hh_tes_in!H27/SER_hh_num_in!H19)</f>
        <v>346.98644900564989</v>
      </c>
      <c r="I27" s="146">
        <f>IF(SER_hh_tes_in!I27=0,0,11630*1000*SER_hh_tes_in!I27/SER_hh_num_in!I19)</f>
        <v>550.73911765177593</v>
      </c>
      <c r="J27" s="146">
        <f>IF(SER_hh_tes_in!J27=0,0,11630*1000*SER_hh_tes_in!J27/SER_hh_num_in!J19)</f>
        <v>88.487488246554946</v>
      </c>
      <c r="K27" s="146">
        <f>IF(SER_hh_tes_in!K27=0,0,11630*1000*SER_hh_tes_in!K27/SER_hh_num_in!K19)</f>
        <v>3319.9539094182464</v>
      </c>
      <c r="L27" s="146">
        <f>IF(SER_hh_tes_in!L27=0,0,11630*1000*SER_hh_tes_in!L27/SER_hh_num_in!L19)</f>
        <v>3.0220174388200423E-12</v>
      </c>
      <c r="M27" s="146">
        <f>IF(SER_hh_tes_in!M27=0,0,11630*1000*SER_hh_tes_in!M27/SER_hh_num_in!M19)</f>
        <v>1161.2154021183164</v>
      </c>
      <c r="N27" s="146">
        <f>IF(SER_hh_tes_in!N27=0,0,11630*1000*SER_hh_tes_in!N27/SER_hh_num_in!N19)</f>
        <v>733.1389896725467</v>
      </c>
      <c r="O27" s="146">
        <f>IF(SER_hh_tes_in!O27=0,0,11630*1000*SER_hh_tes_in!O27/SER_hh_num_in!O19)</f>
        <v>2541.9659978364771</v>
      </c>
      <c r="P27" s="146">
        <f>IF(SER_hh_tes_in!P27=0,0,11630*1000*SER_hh_tes_in!P27/SER_hh_num_in!P19)</f>
        <v>2662.2675447149281</v>
      </c>
      <c r="Q27" s="146">
        <f>IF(SER_hh_tes_in!Q27=0,0,11630*1000*SER_hh_tes_in!Q27/SER_hh_num_in!Q19)</f>
        <v>506.52409647839681</v>
      </c>
      <c r="R27" s="146">
        <f>IF(SER_hh_tes_in!R27=0,0,11630*1000*SER_hh_tes_in!R27/SER_hh_num_in!R19)</f>
        <v>1306.8372845030344</v>
      </c>
      <c r="S27" s="146">
        <f>IF(SER_hh_tes_in!S27=0,0,11630*1000*SER_hh_tes_in!S27/SER_hh_num_in!S19)</f>
        <v>747.37102024445494</v>
      </c>
      <c r="T27" s="146">
        <f>IF(SER_hh_tes_in!T27=0,0,11630*1000*SER_hh_tes_in!T27/SER_hh_num_in!T19)</f>
        <v>555.92475162291692</v>
      </c>
      <c r="U27" s="146">
        <f>IF(SER_hh_tes_in!U27=0,0,11630*1000*SER_hh_tes_in!U27/SER_hh_num_in!U19)</f>
        <v>742.65497610551142</v>
      </c>
      <c r="V27" s="146">
        <f>IF(SER_hh_tes_in!V27=0,0,11630*1000*SER_hh_tes_in!V27/SER_hh_num_in!V19)</f>
        <v>987.77298344777148</v>
      </c>
      <c r="W27" s="146">
        <f>IF(SER_hh_tes_in!W27=0,0,11630*1000*SER_hh_tes_in!W27/SER_hh_num_in!W19)</f>
        <v>665.71985344067525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7773.1513615604854</v>
      </c>
      <c r="D28" s="147">
        <f>IF(SER_hh_tes_in!D27=0,0,11630*1000*SER_hh_tes_in!D27/SER_hh_num_in!D27)</f>
        <v>7372.430405141582</v>
      </c>
      <c r="E28" s="147">
        <f>IF(SER_hh_tes_in!E27=0,0,11630*1000*SER_hh_tes_in!E27/SER_hh_num_in!E27)</f>
        <v>7472.7528210281644</v>
      </c>
      <c r="F28" s="147">
        <f>IF(SER_hh_tes_in!F27=0,0,11630*1000*SER_hh_tes_in!F27/SER_hh_num_in!F27)</f>
        <v>7481.6826986860797</v>
      </c>
      <c r="G28" s="147">
        <f>IF(SER_hh_tes_in!G27=0,0,11630*1000*SER_hh_tes_in!G27/SER_hh_num_in!G27)</f>
        <v>7258.9997252707244</v>
      </c>
      <c r="H28" s="147">
        <f>IF(SER_hh_tes_in!H27=0,0,11630*1000*SER_hh_tes_in!H27/SER_hh_num_in!H27)</f>
        <v>7192.7646729913804</v>
      </c>
      <c r="I28" s="147">
        <f>IF(SER_hh_tes_in!I27=0,0,11630*1000*SER_hh_tes_in!I27/SER_hh_num_in!I27)</f>
        <v>6504.7847365071893</v>
      </c>
      <c r="J28" s="147">
        <f>IF(SER_hh_tes_in!J27=0,0,11630*1000*SER_hh_tes_in!J27/SER_hh_num_in!J27)</f>
        <v>7062.9882964709468</v>
      </c>
      <c r="K28" s="147">
        <f>IF(SER_hh_tes_in!K27=0,0,11630*1000*SER_hh_tes_in!K27/SER_hh_num_in!K27)</f>
        <v>6890.4966209249833</v>
      </c>
      <c r="L28" s="147">
        <f>IF(SER_hh_tes_in!L27=0,0,11630*1000*SER_hh_tes_in!L27/SER_hh_num_in!L27)</f>
        <v>7794.1303054677965</v>
      </c>
      <c r="M28" s="147">
        <f>IF(SER_hh_tes_in!M27=0,0,11630*1000*SER_hh_tes_in!M27/SER_hh_num_in!M27)</f>
        <v>7235.7718025325503</v>
      </c>
      <c r="N28" s="147">
        <f>IF(SER_hh_tes_in!N27=0,0,11630*1000*SER_hh_tes_in!N27/SER_hh_num_in!N27)</f>
        <v>7597.3580493189174</v>
      </c>
      <c r="O28" s="147">
        <f>IF(SER_hh_tes_in!O27=0,0,11630*1000*SER_hh_tes_in!O27/SER_hh_num_in!O27)</f>
        <v>7388.927287657757</v>
      </c>
      <c r="P28" s="147">
        <f>IF(SER_hh_tes_in!P27=0,0,11630*1000*SER_hh_tes_in!P27/SER_hh_num_in!P27)</f>
        <v>7126.2023904027546</v>
      </c>
      <c r="Q28" s="147">
        <f>IF(SER_hh_tes_in!Q27=0,0,11630*1000*SER_hh_tes_in!Q27/SER_hh_num_in!Q27)</f>
        <v>6971.548047764948</v>
      </c>
      <c r="R28" s="147">
        <f>IF(SER_hh_tes_in!R27=0,0,11630*1000*SER_hh_tes_in!R27/SER_hh_num_in!R27)</f>
        <v>6688.2831184108845</v>
      </c>
      <c r="S28" s="147">
        <f>IF(SER_hh_tes_in!S27=0,0,11630*1000*SER_hh_tes_in!S27/SER_hh_num_in!S27)</f>
        <v>6656.8483012894121</v>
      </c>
      <c r="T28" s="147">
        <f>IF(SER_hh_tes_in!T27=0,0,11630*1000*SER_hh_tes_in!T27/SER_hh_num_in!T27)</f>
        <v>6872.4427089496667</v>
      </c>
      <c r="U28" s="147">
        <f>IF(SER_hh_tes_in!U27=0,0,11630*1000*SER_hh_tes_in!U27/SER_hh_num_in!U27)</f>
        <v>7046.7744728034968</v>
      </c>
      <c r="V28" s="147">
        <f>IF(SER_hh_tes_in!V27=0,0,11630*1000*SER_hh_tes_in!V27/SER_hh_num_in!V27)</f>
        <v>6970.8738895265742</v>
      </c>
      <c r="W28" s="147">
        <f>IF(SER_hh_tes_in!W27=0,0,11630*1000*SER_hh_tes_in!W27/SER_hh_num_in!W27)</f>
        <v>6930.8986904826243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13240.179342843609</v>
      </c>
      <c r="D29" s="131">
        <f>IF(SER_hh_tes_in!D29=0,0,11630*1000*SER_hh_tes_in!D29/SER_hh_num_in!D29)</f>
        <v>13287.532715749803</v>
      </c>
      <c r="E29" s="131">
        <f>IF(SER_hh_tes_in!E29=0,0,11630*1000*SER_hh_tes_in!E29/SER_hh_num_in!E29)</f>
        <v>13358.948630360588</v>
      </c>
      <c r="F29" s="131">
        <f>IF(SER_hh_tes_in!F29=0,0,11630*1000*SER_hh_tes_in!F29/SER_hh_num_in!F29)</f>
        <v>13534.990121247536</v>
      </c>
      <c r="G29" s="131">
        <f>IF(SER_hh_tes_in!G29=0,0,11630*1000*SER_hh_tes_in!G29/SER_hh_num_in!G29)</f>
        <v>13566.390192667919</v>
      </c>
      <c r="H29" s="131">
        <f>IF(SER_hh_tes_in!H29=0,0,11630*1000*SER_hh_tes_in!H29/SER_hh_num_in!H29)</f>
        <v>13301.794980016823</v>
      </c>
      <c r="I29" s="131">
        <f>IF(SER_hh_tes_in!I29=0,0,11630*1000*SER_hh_tes_in!I29/SER_hh_num_in!I29)</f>
        <v>13404.04299008051</v>
      </c>
      <c r="J29" s="131">
        <f>IF(SER_hh_tes_in!J29=0,0,11630*1000*SER_hh_tes_in!J29/SER_hh_num_in!J29)</f>
        <v>13409.465422375944</v>
      </c>
      <c r="K29" s="131">
        <f>IF(SER_hh_tes_in!K29=0,0,11630*1000*SER_hh_tes_in!K29/SER_hh_num_in!K29)</f>
        <v>13447.397951527031</v>
      </c>
      <c r="L29" s="131">
        <f>IF(SER_hh_tes_in!L29=0,0,11630*1000*SER_hh_tes_in!L29/SER_hh_num_in!L29)</f>
        <v>13556.145107518583</v>
      </c>
      <c r="M29" s="131">
        <f>IF(SER_hh_tes_in!M29=0,0,11630*1000*SER_hh_tes_in!M29/SER_hh_num_in!M29)</f>
        <v>13367.868666960994</v>
      </c>
      <c r="N29" s="131">
        <f>IF(SER_hh_tes_in!N29=0,0,11630*1000*SER_hh_tes_in!N29/SER_hh_num_in!N29)</f>
        <v>13179.382777240331</v>
      </c>
      <c r="O29" s="131">
        <f>IF(SER_hh_tes_in!O29=0,0,11630*1000*SER_hh_tes_in!O29/SER_hh_num_in!O29)</f>
        <v>13329.513571360849</v>
      </c>
      <c r="P29" s="131">
        <f>IF(SER_hh_tes_in!P29=0,0,11630*1000*SER_hh_tes_in!P29/SER_hh_num_in!P29)</f>
        <v>12809.102509660541</v>
      </c>
      <c r="Q29" s="131">
        <f>IF(SER_hh_tes_in!Q29=0,0,11630*1000*SER_hh_tes_in!Q29/SER_hh_num_in!Q29)</f>
        <v>13452.735183465504</v>
      </c>
      <c r="R29" s="131">
        <f>IF(SER_hh_tes_in!R29=0,0,11630*1000*SER_hh_tes_in!R29/SER_hh_num_in!R29)</f>
        <v>13236.814483610795</v>
      </c>
      <c r="S29" s="131">
        <f>IF(SER_hh_tes_in!S29=0,0,11630*1000*SER_hh_tes_in!S29/SER_hh_num_in!S29)</f>
        <v>12988.225825202613</v>
      </c>
      <c r="T29" s="131">
        <f>IF(SER_hh_tes_in!T29=0,0,11630*1000*SER_hh_tes_in!T29/SER_hh_num_in!T29)</f>
        <v>13369.437153032713</v>
      </c>
      <c r="U29" s="131">
        <f>IF(SER_hh_tes_in!U29=0,0,11630*1000*SER_hh_tes_in!U29/SER_hh_num_in!U29)</f>
        <v>13363.385842672991</v>
      </c>
      <c r="V29" s="131">
        <f>IF(SER_hh_tes_in!V29=0,0,11630*1000*SER_hh_tes_in!V29/SER_hh_num_in!V29)</f>
        <v>13093.301670949448</v>
      </c>
      <c r="W29" s="131">
        <f>IF(SER_hh_tes_in!W29=0,0,11630*1000*SER_hh_tes_in!W29/SER_hh_num_in!W29)</f>
        <v>13214.939959522439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13269.236985025118</v>
      </c>
      <c r="D30" s="133">
        <f>IF(SER_hh_tes_in!D30=0,0,11630*1000*SER_hh_tes_in!D30/SER_hh_num_in!D30)</f>
        <v>14146.318921087493</v>
      </c>
      <c r="E30" s="133">
        <f>IF(SER_hh_tes_in!E30=0,0,11630*1000*SER_hh_tes_in!E30/SER_hh_num_in!E30)</f>
        <v>12759.511046464711</v>
      </c>
      <c r="F30" s="133">
        <f>IF(SER_hh_tes_in!F30=0,0,11630*1000*SER_hh_tes_in!F30/SER_hh_num_in!F30)</f>
        <v>13542.737125930487</v>
      </c>
      <c r="G30" s="133">
        <f>IF(SER_hh_tes_in!G30=0,0,11630*1000*SER_hh_tes_in!G30/SER_hh_num_in!G30)</f>
        <v>13325.785155928736</v>
      </c>
      <c r="H30" s="133">
        <f>IF(SER_hh_tes_in!H30=0,0,11630*1000*SER_hh_tes_in!H30/SER_hh_num_in!H30)</f>
        <v>17238.704854142125</v>
      </c>
      <c r="I30" s="133">
        <f>IF(SER_hh_tes_in!I30=0,0,11630*1000*SER_hh_tes_in!I30/SER_hh_num_in!I30)</f>
        <v>0</v>
      </c>
      <c r="J30" s="133">
        <f>IF(SER_hh_tes_in!J30=0,0,11630*1000*SER_hh_tes_in!J30/SER_hh_num_in!J30)</f>
        <v>0</v>
      </c>
      <c r="K30" s="133">
        <f>IF(SER_hh_tes_in!K30=0,0,11630*1000*SER_hh_tes_in!K30/SER_hh_num_in!K30)</f>
        <v>14651.820423868221</v>
      </c>
      <c r="L30" s="133">
        <f>IF(SER_hh_tes_in!L30=0,0,11630*1000*SER_hh_tes_in!L30/SER_hh_num_in!L30)</f>
        <v>16616.201179341228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14974.328634989133</v>
      </c>
      <c r="O30" s="133">
        <f>IF(SER_hh_tes_in!O30=0,0,11630*1000*SER_hh_tes_in!O30/SER_hh_num_in!O30)</f>
        <v>15792.741909744831</v>
      </c>
      <c r="P30" s="133">
        <f>IF(SER_hh_tes_in!P30=0,0,11630*1000*SER_hh_tes_in!P30/SER_hh_num_in!P30)</f>
        <v>2348.8677220488767</v>
      </c>
      <c r="Q30" s="133">
        <f>IF(SER_hh_tes_in!Q30=0,0,11630*1000*SER_hh_tes_in!Q30/SER_hh_num_in!Q30)</f>
        <v>16159.763236177292</v>
      </c>
      <c r="R30" s="133">
        <f>IF(SER_hh_tes_in!R30=0,0,11630*1000*SER_hh_tes_in!R30/SER_hh_num_in!R30)</f>
        <v>12769.113747142006</v>
      </c>
      <c r="S30" s="133">
        <f>IF(SER_hh_tes_in!S30=0,0,11630*1000*SER_hh_tes_in!S30/SER_hh_num_in!S30)</f>
        <v>11460.502951766532</v>
      </c>
      <c r="T30" s="133">
        <f>IF(SER_hh_tes_in!T30=0,0,11630*1000*SER_hh_tes_in!T30/SER_hh_num_in!T30)</f>
        <v>13877.625451738482</v>
      </c>
      <c r="U30" s="133">
        <f>IF(SER_hh_tes_in!U30=0,0,11630*1000*SER_hh_tes_in!U30/SER_hh_num_in!U30)</f>
        <v>17250.093501592757</v>
      </c>
      <c r="V30" s="133">
        <f>IF(SER_hh_tes_in!V30=0,0,11630*1000*SER_hh_tes_in!V30/SER_hh_num_in!V30)</f>
        <v>12867.76765098631</v>
      </c>
      <c r="W30" s="133">
        <f>IF(SER_hh_tes_in!W30=0,0,11630*1000*SER_hh_tes_in!W30/SER_hh_num_in!W30)</f>
        <v>11887.310477810641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13320.091450693082</v>
      </c>
      <c r="D31" s="133">
        <f>IF(SER_hh_tes_in!D31=0,0,11630*1000*SER_hh_tes_in!D31/SER_hh_num_in!D31)</f>
        <v>13172.11598821543</v>
      </c>
      <c r="E31" s="133">
        <f>IF(SER_hh_tes_in!E31=0,0,11630*1000*SER_hh_tes_in!E31/SER_hh_num_in!E31)</f>
        <v>13569.178725166897</v>
      </c>
      <c r="F31" s="133">
        <f>IF(SER_hh_tes_in!F31=0,0,11630*1000*SER_hh_tes_in!F31/SER_hh_num_in!F31)</f>
        <v>13514.362538061738</v>
      </c>
      <c r="G31" s="133">
        <f>IF(SER_hh_tes_in!G31=0,0,11630*1000*SER_hh_tes_in!G31/SER_hh_num_in!G31)</f>
        <v>13470.15277641721</v>
      </c>
      <c r="H31" s="133">
        <f>IF(SER_hh_tes_in!H31=0,0,11630*1000*SER_hh_tes_in!H31/SER_hh_num_in!H31)</f>
        <v>12566.964988309013</v>
      </c>
      <c r="I31" s="133">
        <f>IF(SER_hh_tes_in!I31=0,0,11630*1000*SER_hh_tes_in!I31/SER_hh_num_in!I31)</f>
        <v>13730.228744545206</v>
      </c>
      <c r="J31" s="133">
        <f>IF(SER_hh_tes_in!J31=0,0,11630*1000*SER_hh_tes_in!J31/SER_hh_num_in!J31)</f>
        <v>13990.243866126277</v>
      </c>
      <c r="K31" s="133">
        <f>IF(SER_hh_tes_in!K31=0,0,11630*1000*SER_hh_tes_in!K31/SER_hh_num_in!K31)</f>
        <v>13205.401122138474</v>
      </c>
      <c r="L31" s="133">
        <f>IF(SER_hh_tes_in!L31=0,0,11630*1000*SER_hh_tes_in!L31/SER_hh_num_in!L31)</f>
        <v>12762.602387224177</v>
      </c>
      <c r="M31" s="133">
        <f>IF(SER_hh_tes_in!M31=0,0,11630*1000*SER_hh_tes_in!M31/SER_hh_num_in!M31)</f>
        <v>13788.235918677608</v>
      </c>
      <c r="N31" s="133">
        <f>IF(SER_hh_tes_in!N31=0,0,11630*1000*SER_hh_tes_in!N31/SER_hh_num_in!N31)</f>
        <v>13003.791414409314</v>
      </c>
      <c r="O31" s="133">
        <f>IF(SER_hh_tes_in!O31=0,0,11630*1000*SER_hh_tes_in!O31/SER_hh_num_in!O31)</f>
        <v>13043.595131584305</v>
      </c>
      <c r="P31" s="133">
        <f>IF(SER_hh_tes_in!P31=0,0,11630*1000*SER_hh_tes_in!P31/SER_hh_num_in!P31)</f>
        <v>14574.223342892299</v>
      </c>
      <c r="Q31" s="133">
        <f>IF(SER_hh_tes_in!Q31=0,0,11630*1000*SER_hh_tes_in!Q31/SER_hh_num_in!Q31)</f>
        <v>12907.640539782496</v>
      </c>
      <c r="R31" s="133">
        <f>IF(SER_hh_tes_in!R31=0,0,11630*1000*SER_hh_tes_in!R31/SER_hh_num_in!R31)</f>
        <v>13277.055814389905</v>
      </c>
      <c r="S31" s="133">
        <f>IF(SER_hh_tes_in!S31=0,0,11630*1000*SER_hh_tes_in!S31/SER_hh_num_in!S31)</f>
        <v>13895.610100251788</v>
      </c>
      <c r="T31" s="133">
        <f>IF(SER_hh_tes_in!T31=0,0,11630*1000*SER_hh_tes_in!T31/SER_hh_num_in!T31)</f>
        <v>13139.751962284867</v>
      </c>
      <c r="U31" s="133">
        <f>IF(SER_hh_tes_in!U31=0,0,11630*1000*SER_hh_tes_in!U31/SER_hh_num_in!U31)</f>
        <v>11745.822502535775</v>
      </c>
      <c r="V31" s="133">
        <f>IF(SER_hh_tes_in!V31=0,0,11630*1000*SER_hh_tes_in!V31/SER_hh_num_in!V31)</f>
        <v>13145.31581306716</v>
      </c>
      <c r="W31" s="133">
        <f>IF(SER_hh_tes_in!W31=0,0,11630*1000*SER_hh_tes_in!W31/SER_hh_num_in!W31)</f>
        <v>14132.703499390935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13196.446644545331</v>
      </c>
      <c r="D33" s="68">
        <f>IF(SER_hh_tes_in!D33=0,0,11630*1000*SER_hh_tes_in!D33/SER_hh_num_in!D33)</f>
        <v>13214.034576327713</v>
      </c>
      <c r="E33" s="68">
        <f>IF(SER_hh_tes_in!E33=0,0,11630*1000*SER_hh_tes_in!E33/SER_hh_num_in!E33)</f>
        <v>13313.135644682143</v>
      </c>
      <c r="F33" s="68">
        <f>IF(SER_hh_tes_in!F33=0,0,11630*1000*SER_hh_tes_in!F33/SER_hh_num_in!F33)</f>
        <v>13544.648435270132</v>
      </c>
      <c r="G33" s="68">
        <f>IF(SER_hh_tes_in!G33=0,0,11630*1000*SER_hh_tes_in!G33/SER_hh_num_in!G33)</f>
        <v>13631.166999366731</v>
      </c>
      <c r="H33" s="68">
        <f>IF(SER_hh_tes_in!H33=0,0,11630*1000*SER_hh_tes_in!H33/SER_hh_num_in!H33)</f>
        <v>13402.575632597602</v>
      </c>
      <c r="I33" s="68">
        <f>IF(SER_hh_tes_in!I33=0,0,11630*1000*SER_hh_tes_in!I33/SER_hh_num_in!I33)</f>
        <v>13222.569574849527</v>
      </c>
      <c r="J33" s="68">
        <f>IF(SER_hh_tes_in!J33=0,0,11630*1000*SER_hh_tes_in!J33/SER_hh_num_in!J33)</f>
        <v>13113.99259708397</v>
      </c>
      <c r="K33" s="68">
        <f>IF(SER_hh_tes_in!K33=0,0,11630*1000*SER_hh_tes_in!K33/SER_hh_num_in!K33)</f>
        <v>13427.401118809637</v>
      </c>
      <c r="L33" s="68">
        <f>IF(SER_hh_tes_in!L33=0,0,11630*1000*SER_hh_tes_in!L33/SER_hh_num_in!L33)</f>
        <v>13436.485414692459</v>
      </c>
      <c r="M33" s="68">
        <f>IF(SER_hh_tes_in!M33=0,0,11630*1000*SER_hh_tes_in!M33/SER_hh_num_in!M33)</f>
        <v>13183.169476982506</v>
      </c>
      <c r="N33" s="68">
        <f>IF(SER_hh_tes_in!N33=0,0,11630*1000*SER_hh_tes_in!N33/SER_hh_num_in!N33)</f>
        <v>13218.533150589254</v>
      </c>
      <c r="O33" s="68">
        <f>IF(SER_hh_tes_in!O33=0,0,11630*1000*SER_hh_tes_in!O33/SER_hh_num_in!O33)</f>
        <v>13358.906945326431</v>
      </c>
      <c r="P33" s="68">
        <f>IF(SER_hh_tes_in!P33=0,0,11630*1000*SER_hh_tes_in!P33/SER_hh_num_in!P33)</f>
        <v>13590.959105805778</v>
      </c>
      <c r="Q33" s="68">
        <f>IF(SER_hh_tes_in!Q33=0,0,11630*1000*SER_hh_tes_in!Q33/SER_hh_num_in!Q33)</f>
        <v>13279.682901365304</v>
      </c>
      <c r="R33" s="68">
        <f>IF(SER_hh_tes_in!R33=0,0,11630*1000*SER_hh_tes_in!R33/SER_hh_num_in!R33)</f>
        <v>13326.533358489318</v>
      </c>
      <c r="S33" s="68">
        <f>IF(SER_hh_tes_in!S33=0,0,11630*1000*SER_hh_tes_in!S33/SER_hh_num_in!S33)</f>
        <v>13286.993676092607</v>
      </c>
      <c r="T33" s="68">
        <f>IF(SER_hh_tes_in!T33=0,0,11630*1000*SER_hh_tes_in!T33/SER_hh_num_in!T33)</f>
        <v>13260.55057275885</v>
      </c>
      <c r="U33" s="68">
        <f>IF(SER_hh_tes_in!U33=0,0,11630*1000*SER_hh_tes_in!U33/SER_hh_num_in!U33)</f>
        <v>13145.108423629094</v>
      </c>
      <c r="V33" s="68">
        <f>IF(SER_hh_tes_in!V33=0,0,11630*1000*SER_hh_tes_in!V33/SER_hh_num_in!V33)</f>
        <v>13089.927392662494</v>
      </c>
      <c r="W33" s="68">
        <f>IF(SER_hh_tes_in!W33=0,0,11630*1000*SER_hh_tes_in!W33/SER_hh_num_in!W33)</f>
        <v>12958.021308669355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18440.665495272518</v>
      </c>
      <c r="D3" s="126">
        <f>IF(SER_hh_emi_in!D3=0,0,1000000*SER_hh_emi_in!D3/SER_hh_num_in!D3)</f>
        <v>17795.964931220878</v>
      </c>
      <c r="E3" s="126">
        <f>IF(SER_hh_emi_in!E3=0,0,1000000*SER_hh_emi_in!E3/SER_hh_num_in!E3)</f>
        <v>19054.145871781799</v>
      </c>
      <c r="F3" s="126">
        <f>IF(SER_hh_emi_in!F3=0,0,1000000*SER_hh_emi_in!F3/SER_hh_num_in!F3)</f>
        <v>22043.984129312539</v>
      </c>
      <c r="G3" s="126">
        <f>IF(SER_hh_emi_in!G3=0,0,1000000*SER_hh_emi_in!G3/SER_hh_num_in!G3)</f>
        <v>18367.676642211871</v>
      </c>
      <c r="H3" s="126">
        <f>IF(SER_hh_emi_in!H3=0,0,1000000*SER_hh_emi_in!H3/SER_hh_num_in!H3)</f>
        <v>18366.999535910592</v>
      </c>
      <c r="I3" s="126">
        <f>IF(SER_hh_emi_in!I3=0,0,1000000*SER_hh_emi_in!I3/SER_hh_num_in!I3)</f>
        <v>16452.317517708332</v>
      </c>
      <c r="J3" s="126">
        <f>IF(SER_hh_emi_in!J3=0,0,1000000*SER_hh_emi_in!J3/SER_hh_num_in!J3)</f>
        <v>18174.100799439126</v>
      </c>
      <c r="K3" s="126">
        <f>IF(SER_hh_emi_in!K3=0,0,1000000*SER_hh_emi_in!K3/SER_hh_num_in!K3)</f>
        <v>18612.839954919276</v>
      </c>
      <c r="L3" s="126">
        <f>IF(SER_hh_emi_in!L3=0,0,1000000*SER_hh_emi_in!L3/SER_hh_num_in!L3)</f>
        <v>22704.623747384081</v>
      </c>
      <c r="M3" s="126">
        <f>IF(SER_hh_emi_in!M3=0,0,1000000*SER_hh_emi_in!M3/SER_hh_num_in!M3)</f>
        <v>16353.956015606584</v>
      </c>
      <c r="N3" s="126">
        <f>IF(SER_hh_emi_in!N3=0,0,1000000*SER_hh_emi_in!N3/SER_hh_num_in!N3)</f>
        <v>18546.668860320784</v>
      </c>
      <c r="O3" s="126">
        <f>IF(SER_hh_emi_in!O3=0,0,1000000*SER_hh_emi_in!O3/SER_hh_num_in!O3)</f>
        <v>17306.651602577356</v>
      </c>
      <c r="P3" s="126">
        <f>IF(SER_hh_emi_in!P3=0,0,1000000*SER_hh_emi_in!P3/SER_hh_num_in!P3)</f>
        <v>11841.885279868955</v>
      </c>
      <c r="Q3" s="126">
        <f>IF(SER_hh_emi_in!Q3=0,0,1000000*SER_hh_emi_in!Q3/SER_hh_num_in!Q3)</f>
        <v>11937.140607762503</v>
      </c>
      <c r="R3" s="126">
        <f>IF(SER_hh_emi_in!R3=0,0,1000000*SER_hh_emi_in!R3/SER_hh_num_in!R3)</f>
        <v>11083.269772472173</v>
      </c>
      <c r="S3" s="126">
        <f>IF(SER_hh_emi_in!S3=0,0,1000000*SER_hh_emi_in!S3/SER_hh_num_in!S3)</f>
        <v>9347.5950027147883</v>
      </c>
      <c r="T3" s="126">
        <f>IF(SER_hh_emi_in!T3=0,0,1000000*SER_hh_emi_in!T3/SER_hh_num_in!T3)</f>
        <v>8499.4803836704559</v>
      </c>
      <c r="U3" s="126">
        <f>IF(SER_hh_emi_in!U3=0,0,1000000*SER_hh_emi_in!U3/SER_hh_num_in!U3)</f>
        <v>7685.4982214881038</v>
      </c>
      <c r="V3" s="126">
        <f>IF(SER_hh_emi_in!V3=0,0,1000000*SER_hh_emi_in!V3/SER_hh_num_in!V3)</f>
        <v>6674.6424634161085</v>
      </c>
      <c r="W3" s="126">
        <f>IF(SER_hh_emi_in!W3=0,0,1000000*SER_hh_emi_in!W3/SER_hh_num_in!W3)</f>
        <v>7030.5816454297283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14736.172303705054</v>
      </c>
      <c r="D4" s="131">
        <f>IF(SER_hh_emi_in!D4=0,0,1000000*SER_hh_emi_in!D4/SER_hh_num_in!D4)</f>
        <v>13885.141588247583</v>
      </c>
      <c r="E4" s="131">
        <f>IF(SER_hh_emi_in!E4=0,0,1000000*SER_hh_emi_in!E4/SER_hh_num_in!E4)</f>
        <v>15484.387319467445</v>
      </c>
      <c r="F4" s="131">
        <f>IF(SER_hh_emi_in!F4=0,0,1000000*SER_hh_emi_in!F4/SER_hh_num_in!F4)</f>
        <v>18230.58283368624</v>
      </c>
      <c r="G4" s="131">
        <f>IF(SER_hh_emi_in!G4=0,0,1000000*SER_hh_emi_in!G4/SER_hh_num_in!G4)</f>
        <v>15158.641324561004</v>
      </c>
      <c r="H4" s="131">
        <f>IF(SER_hh_emi_in!H4=0,0,1000000*SER_hh_emi_in!H4/SER_hh_num_in!H4)</f>
        <v>15248.309897205581</v>
      </c>
      <c r="I4" s="131">
        <f>IF(SER_hh_emi_in!I4=0,0,1000000*SER_hh_emi_in!I4/SER_hh_num_in!I4)</f>
        <v>13426.781300163409</v>
      </c>
      <c r="J4" s="131">
        <f>IF(SER_hh_emi_in!J4=0,0,1000000*SER_hh_emi_in!J4/SER_hh_num_in!J4)</f>
        <v>15094.272757725288</v>
      </c>
      <c r="K4" s="131">
        <f>IF(SER_hh_emi_in!K4=0,0,1000000*SER_hh_emi_in!K4/SER_hh_num_in!K4)</f>
        <v>15103.601836136764</v>
      </c>
      <c r="L4" s="131">
        <f>IF(SER_hh_emi_in!L4=0,0,1000000*SER_hh_emi_in!L4/SER_hh_num_in!L4)</f>
        <v>19487.256675492114</v>
      </c>
      <c r="M4" s="131">
        <f>IF(SER_hh_emi_in!M4=0,0,1000000*SER_hh_emi_in!M4/SER_hh_num_in!M4)</f>
        <v>13345.252450674525</v>
      </c>
      <c r="N4" s="131">
        <f>IF(SER_hh_emi_in!N4=0,0,1000000*SER_hh_emi_in!N4/SER_hh_num_in!N4)</f>
        <v>15212.707433866968</v>
      </c>
      <c r="O4" s="131">
        <f>IF(SER_hh_emi_in!O4=0,0,1000000*SER_hh_emi_in!O4/SER_hh_num_in!O4)</f>
        <v>14158.342324297311</v>
      </c>
      <c r="P4" s="131">
        <f>IF(SER_hh_emi_in!P4=0,0,1000000*SER_hh_emi_in!P4/SER_hh_num_in!P4)</f>
        <v>9301.925094854485</v>
      </c>
      <c r="Q4" s="131">
        <f>IF(SER_hh_emi_in!Q4=0,0,1000000*SER_hh_emi_in!Q4/SER_hh_num_in!Q4)</f>
        <v>9859.5721465905117</v>
      </c>
      <c r="R4" s="131">
        <f>IF(SER_hh_emi_in!R4=0,0,1000000*SER_hh_emi_in!R4/SER_hh_num_in!R4)</f>
        <v>8229.8211165131797</v>
      </c>
      <c r="S4" s="131">
        <f>IF(SER_hh_emi_in!S4=0,0,1000000*SER_hh_emi_in!S4/SER_hh_num_in!S4)</f>
        <v>6462.0736641882268</v>
      </c>
      <c r="T4" s="131">
        <f>IF(SER_hh_emi_in!T4=0,0,1000000*SER_hh_emi_in!T4/SER_hh_num_in!T4)</f>
        <v>6013.8061007249607</v>
      </c>
      <c r="U4" s="131">
        <f>IF(SER_hh_emi_in!U4=0,0,1000000*SER_hh_emi_in!U4/SER_hh_num_in!U4)</f>
        <v>5834.3982592303637</v>
      </c>
      <c r="V4" s="131">
        <f>IF(SER_hh_emi_in!V4=0,0,1000000*SER_hh_emi_in!V4/SER_hh_num_in!V4)</f>
        <v>5203.0862910625165</v>
      </c>
      <c r="W4" s="131">
        <f>IF(SER_hh_emi_in!W4=0,0,1000000*SER_hh_emi_in!W4/SER_hh_num_in!W4)</f>
        <v>4888.7082549610986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36218.081532976699</v>
      </c>
      <c r="D5" s="133">
        <f>IF(SER_hh_emi_in!D5=0,0,1000000*SER_hh_emi_in!D5/SER_hh_num_in!D5)</f>
        <v>30847.95511689287</v>
      </c>
      <c r="E5" s="133">
        <f>IF(SER_hh_emi_in!E5=0,0,1000000*SER_hh_emi_in!E5/SER_hh_num_in!E5)</f>
        <v>50273.77220760849</v>
      </c>
      <c r="F5" s="133">
        <f>IF(SER_hh_emi_in!F5=0,0,1000000*SER_hh_emi_in!F5/SER_hh_num_in!F5)</f>
        <v>24837.070639876354</v>
      </c>
      <c r="G5" s="133">
        <f>IF(SER_hh_emi_in!G5=0,0,1000000*SER_hh_emi_in!G5/SER_hh_num_in!G5)</f>
        <v>33906.628829967827</v>
      </c>
      <c r="H5" s="133">
        <f>IF(SER_hh_emi_in!H5=0,0,1000000*SER_hh_emi_in!H5/SER_hh_num_in!H5)</f>
        <v>22875.307725813494</v>
      </c>
      <c r="I5" s="133">
        <f>IF(SER_hh_emi_in!I5=0,0,1000000*SER_hh_emi_in!I5/SER_hh_num_in!I5)</f>
        <v>35114.182462570679</v>
      </c>
      <c r="J5" s="133">
        <f>IF(SER_hh_emi_in!J5=0,0,1000000*SER_hh_emi_in!J5/SER_hh_num_in!J5)</f>
        <v>37317.248872010881</v>
      </c>
      <c r="K5" s="133">
        <f>IF(SER_hh_emi_in!K5=0,0,1000000*SER_hh_emi_in!K5/SER_hh_num_in!K5)</f>
        <v>36237.731654157076</v>
      </c>
      <c r="L5" s="133">
        <f>IF(SER_hh_emi_in!L5=0,0,1000000*SER_hh_emi_in!L5/SER_hh_num_in!L5)</f>
        <v>34101.536990001186</v>
      </c>
      <c r="M5" s="133">
        <f>IF(SER_hh_emi_in!M5=0,0,1000000*SER_hh_emi_in!M5/SER_hh_num_in!M5)</f>
        <v>32622.34639191383</v>
      </c>
      <c r="N5" s="133">
        <f>IF(SER_hh_emi_in!N5=0,0,1000000*SER_hh_emi_in!N5/SER_hh_num_in!N5)</f>
        <v>30878.239809800991</v>
      </c>
      <c r="O5" s="133">
        <f>IF(SER_hh_emi_in!O5=0,0,1000000*SER_hh_emi_in!O5/SER_hh_num_in!O5)</f>
        <v>17912.063577610283</v>
      </c>
      <c r="P5" s="133">
        <f>IF(SER_hh_emi_in!P5=0,0,1000000*SER_hh_emi_in!P5/SER_hh_num_in!P5)</f>
        <v>6489.0941027548934</v>
      </c>
      <c r="Q5" s="133">
        <f>IF(SER_hh_emi_in!Q5=0,0,1000000*SER_hh_emi_in!Q5/SER_hh_num_in!Q5)</f>
        <v>27853.520212320625</v>
      </c>
      <c r="R5" s="133">
        <f>IF(SER_hh_emi_in!R5=0,0,1000000*SER_hh_emi_in!R5/SER_hh_num_in!R5)</f>
        <v>25195.078432680617</v>
      </c>
      <c r="S5" s="133">
        <f>IF(SER_hh_emi_in!S5=0,0,1000000*SER_hh_emi_in!S5/SER_hh_num_in!S5)</f>
        <v>22315.267253941776</v>
      </c>
      <c r="T5" s="133">
        <f>IF(SER_hh_emi_in!T5=0,0,1000000*SER_hh_emi_in!T5/SER_hh_num_in!T5)</f>
        <v>20494.223801828397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31135.79344186149</v>
      </c>
      <c r="D7" s="133">
        <f>IF(SER_hh_emi_in!D7=0,0,1000000*SER_hh_emi_in!D7/SER_hh_num_in!D7)</f>
        <v>32010.548864111704</v>
      </c>
      <c r="E7" s="133">
        <f>IF(SER_hh_emi_in!E7=0,0,1000000*SER_hh_emi_in!E7/SER_hh_num_in!E7)</f>
        <v>33276.73611127527</v>
      </c>
      <c r="F7" s="133">
        <f>IF(SER_hh_emi_in!F7=0,0,1000000*SER_hh_emi_in!F7/SER_hh_num_in!F7)</f>
        <v>31657.036732035762</v>
      </c>
      <c r="G7" s="133">
        <f>IF(SER_hh_emi_in!G7=0,0,1000000*SER_hh_emi_in!G7/SER_hh_num_in!G7)</f>
        <v>31934.655285854878</v>
      </c>
      <c r="H7" s="133">
        <f>IF(SER_hh_emi_in!H7=0,0,1000000*SER_hh_emi_in!H7/SER_hh_num_in!H7)</f>
        <v>29917.860296634091</v>
      </c>
      <c r="I7" s="133">
        <f>IF(SER_hh_emi_in!I7=0,0,1000000*SER_hh_emi_in!I7/SER_hh_num_in!I7)</f>
        <v>29511.384143083604</v>
      </c>
      <c r="J7" s="133">
        <f>IF(SER_hh_emi_in!J7=0,0,1000000*SER_hh_emi_in!J7/SER_hh_num_in!J7)</f>
        <v>28749.144774512544</v>
      </c>
      <c r="K7" s="133">
        <f>IF(SER_hh_emi_in!K7=0,0,1000000*SER_hh_emi_in!K7/SER_hh_num_in!K7)</f>
        <v>27235.279096606228</v>
      </c>
      <c r="L7" s="133">
        <f>IF(SER_hh_emi_in!L7=0,0,1000000*SER_hh_emi_in!L7/SER_hh_num_in!L7)</f>
        <v>30652.677895058499</v>
      </c>
      <c r="M7" s="133">
        <f>IF(SER_hh_emi_in!M7=0,0,1000000*SER_hh_emi_in!M7/SER_hh_num_in!M7)</f>
        <v>26589.737995489973</v>
      </c>
      <c r="N7" s="133">
        <f>IF(SER_hh_emi_in!N7=0,0,1000000*SER_hh_emi_in!N7/SER_hh_num_in!N7)</f>
        <v>24499.942298275193</v>
      </c>
      <c r="O7" s="133">
        <f>IF(SER_hh_emi_in!O7=0,0,1000000*SER_hh_emi_in!O7/SER_hh_num_in!O7)</f>
        <v>22905.985301994398</v>
      </c>
      <c r="P7" s="133">
        <f>IF(SER_hh_emi_in!P7=0,0,1000000*SER_hh_emi_in!P7/SER_hh_num_in!P7)</f>
        <v>20193.534900942261</v>
      </c>
      <c r="Q7" s="133">
        <f>IF(SER_hh_emi_in!Q7=0,0,1000000*SER_hh_emi_in!Q7/SER_hh_num_in!Q7)</f>
        <v>16969.087084397775</v>
      </c>
      <c r="R7" s="133">
        <f>IF(SER_hh_emi_in!R7=0,0,1000000*SER_hh_emi_in!R7/SER_hh_num_in!R7)</f>
        <v>15941.863388963448</v>
      </c>
      <c r="S7" s="133">
        <f>IF(SER_hh_emi_in!S7=0,0,1000000*SER_hh_emi_in!S7/SER_hh_num_in!S7)</f>
        <v>14923.06885707326</v>
      </c>
      <c r="T7" s="133">
        <f>IF(SER_hh_emi_in!T7=0,0,1000000*SER_hh_emi_in!T7/SER_hh_num_in!T7)</f>
        <v>13608.406538359604</v>
      </c>
      <c r="U7" s="133">
        <f>IF(SER_hh_emi_in!U7=0,0,1000000*SER_hh_emi_in!U7/SER_hh_num_in!U7)</f>
        <v>12849.593861785403</v>
      </c>
      <c r="V7" s="133">
        <f>IF(SER_hh_emi_in!V7=0,0,1000000*SER_hh_emi_in!V7/SER_hh_num_in!V7)</f>
        <v>10851.777433752233</v>
      </c>
      <c r="W7" s="133">
        <f>IF(SER_hh_emi_in!W7=0,0,1000000*SER_hh_emi_in!W7/SER_hh_num_in!W7)</f>
        <v>9015.1891078154968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11050.418575569078</v>
      </c>
      <c r="D8" s="133">
        <f>IF(SER_hh_emi_in!D8=0,0,1000000*SER_hh_emi_in!D8/SER_hh_num_in!D8)</f>
        <v>9775.1615835813664</v>
      </c>
      <c r="E8" s="133">
        <f>IF(SER_hh_emi_in!E8=0,0,1000000*SER_hh_emi_in!E8/SER_hh_num_in!E8)</f>
        <v>10600.570682275129</v>
      </c>
      <c r="F8" s="133">
        <f>IF(SER_hh_emi_in!F8=0,0,1000000*SER_hh_emi_in!F8/SER_hh_num_in!F8)</f>
        <v>10397.291795069257</v>
      </c>
      <c r="G8" s="133">
        <f>IF(SER_hh_emi_in!G8=0,0,1000000*SER_hh_emi_in!G8/SER_hh_num_in!G8)</f>
        <v>8720.7099877829678</v>
      </c>
      <c r="H8" s="133">
        <f>IF(SER_hh_emi_in!H8=0,0,1000000*SER_hh_emi_in!H8/SER_hh_num_in!H8)</f>
        <v>7843.8715565163775</v>
      </c>
      <c r="I8" s="133">
        <f>IF(SER_hh_emi_in!I8=0,0,1000000*SER_hh_emi_in!I8/SER_hh_num_in!I8)</f>
        <v>7859.3170946866067</v>
      </c>
      <c r="J8" s="133">
        <f>IF(SER_hh_emi_in!J8=0,0,1000000*SER_hh_emi_in!J8/SER_hh_num_in!J8)</f>
        <v>7502.9918969838982</v>
      </c>
      <c r="K8" s="133">
        <f>IF(SER_hh_emi_in!K8=0,0,1000000*SER_hh_emi_in!K8/SER_hh_num_in!K8)</f>
        <v>7097.1760176578846</v>
      </c>
      <c r="L8" s="133">
        <f>IF(SER_hh_emi_in!L8=0,0,1000000*SER_hh_emi_in!L8/SER_hh_num_in!L8)</f>
        <v>6822.4599638647514</v>
      </c>
      <c r="M8" s="133">
        <f>IF(SER_hh_emi_in!M8=0,0,1000000*SER_hh_emi_in!M8/SER_hh_num_in!M8)</f>
        <v>6489.7190558791763</v>
      </c>
      <c r="N8" s="133">
        <f>IF(SER_hh_emi_in!N8=0,0,1000000*SER_hh_emi_in!N8/SER_hh_num_in!N8)</f>
        <v>5290.2022786288544</v>
      </c>
      <c r="O8" s="133">
        <f>IF(SER_hh_emi_in!O8=0,0,1000000*SER_hh_emi_in!O8/SER_hh_num_in!O8)</f>
        <v>4162.84832897876</v>
      </c>
      <c r="P8" s="133">
        <f>IF(SER_hh_emi_in!P8=0,0,1000000*SER_hh_emi_in!P8/SER_hh_num_in!P8)</f>
        <v>4222.1722920587117</v>
      </c>
      <c r="Q8" s="133">
        <f>IF(SER_hh_emi_in!Q8=0,0,1000000*SER_hh_emi_in!Q8/SER_hh_num_in!Q8)</f>
        <v>4213.376130142753</v>
      </c>
      <c r="R8" s="133">
        <f>IF(SER_hh_emi_in!R8=0,0,1000000*SER_hh_emi_in!R8/SER_hh_num_in!R8)</f>
        <v>3813.8394494985018</v>
      </c>
      <c r="S8" s="133">
        <f>IF(SER_hh_emi_in!S8=0,0,1000000*SER_hh_emi_in!S8/SER_hh_num_in!S8)</f>
        <v>3451.1549787691897</v>
      </c>
      <c r="T8" s="133">
        <f>IF(SER_hh_emi_in!T8=0,0,1000000*SER_hh_emi_in!T8/SER_hh_num_in!T8)</f>
        <v>3186.6369467155851</v>
      </c>
      <c r="U8" s="133">
        <f>IF(SER_hh_emi_in!U8=0,0,1000000*SER_hh_emi_in!U8/SER_hh_num_in!U8)</f>
        <v>2830.0995248650906</v>
      </c>
      <c r="V8" s="133">
        <f>IF(SER_hh_emi_in!V8=0,0,1000000*SER_hh_emi_in!V8/SER_hh_num_in!V8)</f>
        <v>2442.8200904166629</v>
      </c>
      <c r="W8" s="133">
        <f>IF(SER_hh_emi_in!W8=0,0,1000000*SER_hh_emi_in!W8/SER_hh_num_in!W8)</f>
        <v>2210.9206948074025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21593.749824363909</v>
      </c>
      <c r="D9" s="133">
        <f>IF(SER_hh_emi_in!D9=0,0,1000000*SER_hh_emi_in!D9/SER_hh_num_in!D9)</f>
        <v>19749.973221638109</v>
      </c>
      <c r="E9" s="133">
        <f>IF(SER_hh_emi_in!E9=0,0,1000000*SER_hh_emi_in!E9/SER_hh_num_in!E9)</f>
        <v>21205.920270053903</v>
      </c>
      <c r="F9" s="133">
        <f>IF(SER_hh_emi_in!F9=0,0,1000000*SER_hh_emi_in!F9/SER_hh_num_in!F9)</f>
        <v>23555.363170066226</v>
      </c>
      <c r="G9" s="133">
        <f>IF(SER_hh_emi_in!G9=0,0,1000000*SER_hh_emi_in!G9/SER_hh_num_in!G9)</f>
        <v>20810.436647515136</v>
      </c>
      <c r="H9" s="133">
        <f>IF(SER_hh_emi_in!H9=0,0,1000000*SER_hh_emi_in!H9/SER_hh_num_in!H9)</f>
        <v>20345.850758248635</v>
      </c>
      <c r="I9" s="133">
        <f>IF(SER_hh_emi_in!I9=0,0,1000000*SER_hh_emi_in!I9/SER_hh_num_in!I9)</f>
        <v>17045.883078738625</v>
      </c>
      <c r="J9" s="133">
        <f>IF(SER_hh_emi_in!J9=0,0,1000000*SER_hh_emi_in!J9/SER_hh_num_in!J9)</f>
        <v>18191.161181220654</v>
      </c>
      <c r="K9" s="133">
        <f>IF(SER_hh_emi_in!K9=0,0,1000000*SER_hh_emi_in!K9/SER_hh_num_in!K9)</f>
        <v>18617.21160679559</v>
      </c>
      <c r="L9" s="133">
        <f>IF(SER_hh_emi_in!L9=0,0,1000000*SER_hh_emi_in!L9/SER_hh_num_in!L9)</f>
        <v>20879.560838335496</v>
      </c>
      <c r="M9" s="133">
        <f>IF(SER_hh_emi_in!M9=0,0,1000000*SER_hh_emi_in!M9/SER_hh_num_in!M9)</f>
        <v>15337.697731562101</v>
      </c>
      <c r="N9" s="133">
        <f>IF(SER_hh_emi_in!N9=0,0,1000000*SER_hh_emi_in!N9/SER_hh_num_in!N9)</f>
        <v>16718.990568141402</v>
      </c>
      <c r="O9" s="133">
        <f>IF(SER_hh_emi_in!O9=0,0,1000000*SER_hh_emi_in!O9/SER_hh_num_in!O9)</f>
        <v>16054.071040539355</v>
      </c>
      <c r="P9" s="133">
        <f>IF(SER_hh_emi_in!P9=0,0,1000000*SER_hh_emi_in!P9/SER_hh_num_in!P9)</f>
        <v>11289.232381658534</v>
      </c>
      <c r="Q9" s="133">
        <f>IF(SER_hh_emi_in!Q9=0,0,1000000*SER_hh_emi_in!Q9/SER_hh_num_in!Q9)</f>
        <v>11669.948499376133</v>
      </c>
      <c r="R9" s="133">
        <f>IF(SER_hh_emi_in!R9=0,0,1000000*SER_hh_emi_in!R9/SER_hh_num_in!R9)</f>
        <v>11145.500872303104</v>
      </c>
      <c r="S9" s="133">
        <f>IF(SER_hh_emi_in!S9=0,0,1000000*SER_hh_emi_in!S9/SER_hh_num_in!S9)</f>
        <v>10559.63410521725</v>
      </c>
      <c r="T9" s="133">
        <f>IF(SER_hh_emi_in!T9=0,0,1000000*SER_hh_emi_in!T9/SER_hh_num_in!T9)</f>
        <v>9837.479205354568</v>
      </c>
      <c r="U9" s="133">
        <f>IF(SER_hh_emi_in!U9=0,0,1000000*SER_hh_emi_in!U9/SER_hh_num_in!U9)</f>
        <v>8605.191604311136</v>
      </c>
      <c r="V9" s="133">
        <f>IF(SER_hh_emi_in!V9=0,0,1000000*SER_hh_emi_in!V9/SER_hh_num_in!V9)</f>
        <v>7109.477008834444</v>
      </c>
      <c r="W9" s="133">
        <f>IF(SER_hh_emi_in!W9=0,0,1000000*SER_hh_emi_in!W9/SER_hh_num_in!W9)</f>
        <v>6473.0293362513385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12863.092814267948</v>
      </c>
      <c r="D10" s="133">
        <f>IF(SER_hh_emi_in!D10=0,0,1000000*SER_hh_emi_in!D10/SER_hh_num_in!D10)</f>
        <v>12648.031729458662</v>
      </c>
      <c r="E10" s="133">
        <f>IF(SER_hh_emi_in!E10=0,0,1000000*SER_hh_emi_in!E10/SER_hh_num_in!E10)</f>
        <v>12744.032314230186</v>
      </c>
      <c r="F10" s="133">
        <f>IF(SER_hh_emi_in!F10=0,0,1000000*SER_hh_emi_in!F10/SER_hh_num_in!F10)</f>
        <v>14881.464312345393</v>
      </c>
      <c r="G10" s="133">
        <f>IF(SER_hh_emi_in!G10=0,0,1000000*SER_hh_emi_in!G10/SER_hh_num_in!G10)</f>
        <v>14832.381647085089</v>
      </c>
      <c r="H10" s="133">
        <f>IF(SER_hh_emi_in!H10=0,0,1000000*SER_hh_emi_in!H10/SER_hh_num_in!H10)</f>
        <v>15346.435119882171</v>
      </c>
      <c r="I10" s="133">
        <f>IF(SER_hh_emi_in!I10=0,0,1000000*SER_hh_emi_in!I10/SER_hh_num_in!I10)</f>
        <v>13863.767372330358</v>
      </c>
      <c r="J10" s="133">
        <f>IF(SER_hh_emi_in!J10=0,0,1000000*SER_hh_emi_in!J10/SER_hh_num_in!J10)</f>
        <v>15085.64943910796</v>
      </c>
      <c r="K10" s="133">
        <f>IF(SER_hh_emi_in!K10=0,0,1000000*SER_hh_emi_in!K10/SER_hh_num_in!K10)</f>
        <v>15497.56569517979</v>
      </c>
      <c r="L10" s="133">
        <f>IF(SER_hh_emi_in!L10=0,0,1000000*SER_hh_emi_in!L10/SER_hh_num_in!L10)</f>
        <v>16020.904692143748</v>
      </c>
      <c r="M10" s="133">
        <f>IF(SER_hh_emi_in!M10=0,0,1000000*SER_hh_emi_in!M10/SER_hh_num_in!M10)</f>
        <v>13420.743284320391</v>
      </c>
      <c r="N10" s="133">
        <f>IF(SER_hh_emi_in!N10=0,0,1000000*SER_hh_emi_in!N10/SER_hh_num_in!N10)</f>
        <v>10961.42617373404</v>
      </c>
      <c r="O10" s="133">
        <f>IF(SER_hh_emi_in!O10=0,0,1000000*SER_hh_emi_in!O10/SER_hh_num_in!O10)</f>
        <v>10763.399987374067</v>
      </c>
      <c r="P10" s="133">
        <f>IF(SER_hh_emi_in!P10=0,0,1000000*SER_hh_emi_in!P10/SER_hh_num_in!P10)</f>
        <v>9779.6995829802854</v>
      </c>
      <c r="Q10" s="133">
        <f>IF(SER_hh_emi_in!Q10=0,0,1000000*SER_hh_emi_in!Q10/SER_hh_num_in!Q10)</f>
        <v>8096.3891611362833</v>
      </c>
      <c r="R10" s="133">
        <f>IF(SER_hh_emi_in!R10=0,0,1000000*SER_hh_emi_in!R10/SER_hh_num_in!R10)</f>
        <v>6987.5156676921451</v>
      </c>
      <c r="S10" s="133">
        <f>IF(SER_hh_emi_in!S10=0,0,1000000*SER_hh_emi_in!S10/SER_hh_num_in!S10)</f>
        <v>5243.4691979257941</v>
      </c>
      <c r="T10" s="133">
        <f>IF(SER_hh_emi_in!T10=0,0,1000000*SER_hh_emi_in!T10/SER_hh_num_in!T10)</f>
        <v>5490.2140698140238</v>
      </c>
      <c r="U10" s="133">
        <f>IF(SER_hh_emi_in!U10=0,0,1000000*SER_hh_emi_in!U10/SER_hh_num_in!U10)</f>
        <v>4711.8271662197385</v>
      </c>
      <c r="V10" s="133">
        <f>IF(SER_hh_emi_in!V10=0,0,1000000*SER_hh_emi_in!V10/SER_hh_num_in!V10)</f>
        <v>3883.8656112934186</v>
      </c>
      <c r="W10" s="133">
        <f>IF(SER_hh_emi_in!W10=0,0,1000000*SER_hh_emi_in!W10/SER_hh_num_in!W10)</f>
        <v>3005.3630238435944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10.861692229601644</v>
      </c>
      <c r="D16" s="131">
        <f>IF(SER_hh_emi_in!D16=0,0,1000000*SER_hh_emi_in!D16/SER_hh_num_in!D16)</f>
        <v>15.990796143222195</v>
      </c>
      <c r="E16" s="131">
        <f>IF(SER_hh_emi_in!E16=0,0,1000000*SER_hh_emi_in!E16/SER_hh_num_in!E16)</f>
        <v>12.645746315111159</v>
      </c>
      <c r="F16" s="131">
        <f>IF(SER_hh_emi_in!F16=0,0,1000000*SER_hh_emi_in!F16/SER_hh_num_in!F16)</f>
        <v>25.645391706972891</v>
      </c>
      <c r="G16" s="131">
        <f>IF(SER_hh_emi_in!G16=0,0,1000000*SER_hh_emi_in!G16/SER_hh_num_in!G16)</f>
        <v>16.735613391622703</v>
      </c>
      <c r="H16" s="131">
        <f>IF(SER_hh_emi_in!H16=0,0,1000000*SER_hh_emi_in!H16/SER_hh_num_in!H16)</f>
        <v>24.302829885528773</v>
      </c>
      <c r="I16" s="131">
        <f>IF(SER_hh_emi_in!I16=0,0,1000000*SER_hh_emi_in!I16/SER_hh_num_in!I16)</f>
        <v>25.970007328528947</v>
      </c>
      <c r="J16" s="131">
        <f>IF(SER_hh_emi_in!J16=0,0,1000000*SER_hh_emi_in!J16/SER_hh_num_in!J16)</f>
        <v>26.202883014137594</v>
      </c>
      <c r="K16" s="131">
        <f>IF(SER_hh_emi_in!K16=0,0,1000000*SER_hh_emi_in!K16/SER_hh_num_in!K16)</f>
        <v>25.42247842446444</v>
      </c>
      <c r="L16" s="131">
        <f>IF(SER_hh_emi_in!L16=0,0,1000000*SER_hh_emi_in!L16/SER_hh_num_in!L16)</f>
        <v>24.524093502787899</v>
      </c>
      <c r="M16" s="131">
        <f>IF(SER_hh_emi_in!M16=0,0,1000000*SER_hh_emi_in!M16/SER_hh_num_in!M16)</f>
        <v>27.206892609871002</v>
      </c>
      <c r="N16" s="131">
        <f>IF(SER_hh_emi_in!N16=0,0,1000000*SER_hh_emi_in!N16/SER_hh_num_in!N16)</f>
        <v>36.245917087908431</v>
      </c>
      <c r="O16" s="131">
        <f>IF(SER_hh_emi_in!O16=0,0,1000000*SER_hh_emi_in!O16/SER_hh_num_in!O16)</f>
        <v>54.671826481530843</v>
      </c>
      <c r="P16" s="131">
        <f>IF(SER_hh_emi_in!P16=0,0,1000000*SER_hh_emi_in!P16/SER_hh_num_in!P16)</f>
        <v>79.587264027090697</v>
      </c>
      <c r="Q16" s="131">
        <f>IF(SER_hh_emi_in!Q16=0,0,1000000*SER_hh_emi_in!Q16/SER_hh_num_in!Q16)</f>
        <v>99.35769544914362</v>
      </c>
      <c r="R16" s="131">
        <f>IF(SER_hh_emi_in!R16=0,0,1000000*SER_hh_emi_in!R16/SER_hh_num_in!R16)</f>
        <v>97.038632518531315</v>
      </c>
      <c r="S16" s="131">
        <f>IF(SER_hh_emi_in!S16=0,0,1000000*SER_hh_emi_in!S16/SER_hh_num_in!S16)</f>
        <v>75.262089803370387</v>
      </c>
      <c r="T16" s="131">
        <f>IF(SER_hh_emi_in!T16=0,0,1000000*SER_hh_emi_in!T16/SER_hh_num_in!T16)</f>
        <v>60.044630312157437</v>
      </c>
      <c r="U16" s="131">
        <f>IF(SER_hh_emi_in!U16=0,0,1000000*SER_hh_emi_in!U16/SER_hh_num_in!U16)</f>
        <v>71.740701122114473</v>
      </c>
      <c r="V16" s="131">
        <f>IF(SER_hh_emi_in!V16=0,0,1000000*SER_hh_emi_in!V16/SER_hh_num_in!V16)</f>
        <v>87.280545573352555</v>
      </c>
      <c r="W16" s="131">
        <f>IF(SER_hh_emi_in!W16=0,0,1000000*SER_hh_emi_in!W16/SER_hh_num_in!W16)</f>
        <v>31.186554695422583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3815.2165862335564</v>
      </c>
      <c r="D17" s="133">
        <f>IF(SER_hh_emi_in!D17=0,0,1000000*SER_hh_emi_in!D17/SER_hh_num_in!D17)</f>
        <v>3735.8511579356805</v>
      </c>
      <c r="E17" s="133">
        <f>IF(SER_hh_emi_in!E17=0,0,1000000*SER_hh_emi_in!E17/SER_hh_num_in!E17)</f>
        <v>4056.8961389373894</v>
      </c>
      <c r="F17" s="133">
        <f>IF(SER_hh_emi_in!F17=0,0,1000000*SER_hh_emi_in!F17/SER_hh_num_in!F17)</f>
        <v>3660.9176232847394</v>
      </c>
      <c r="G17" s="133">
        <f>IF(SER_hh_emi_in!G17=0,0,1000000*SER_hh_emi_in!G17/SER_hh_num_in!G17)</f>
        <v>3578.3692211612338</v>
      </c>
      <c r="H17" s="133">
        <f>IF(SER_hh_emi_in!H17=0,0,1000000*SER_hh_emi_in!H17/SER_hh_num_in!H17)</f>
        <v>3894.7203787188282</v>
      </c>
      <c r="I17" s="133">
        <f>IF(SER_hh_emi_in!I17=0,0,1000000*SER_hh_emi_in!I17/SER_hh_num_in!I17)</f>
        <v>3540.1069930369144</v>
      </c>
      <c r="J17" s="133">
        <f>IF(SER_hh_emi_in!J17=0,0,1000000*SER_hh_emi_in!J17/SER_hh_num_in!J17)</f>
        <v>3512.7499030163158</v>
      </c>
      <c r="K17" s="133">
        <f>IF(SER_hh_emi_in!K17=0,0,1000000*SER_hh_emi_in!K17/SER_hh_num_in!K17)</f>
        <v>3454.4504429527374</v>
      </c>
      <c r="L17" s="133">
        <f>IF(SER_hh_emi_in!L17=0,0,1000000*SER_hh_emi_in!L17/SER_hh_num_in!L17)</f>
        <v>3513.3582243906339</v>
      </c>
      <c r="M17" s="133">
        <f>IF(SER_hh_emi_in!M17=0,0,1000000*SER_hh_emi_in!M17/SER_hh_num_in!M17)</f>
        <v>3323.9349701789706</v>
      </c>
      <c r="N17" s="133">
        <f>IF(SER_hh_emi_in!N17=0,0,1000000*SER_hh_emi_in!N17/SER_hh_num_in!N17)</f>
        <v>3237.0808859542135</v>
      </c>
      <c r="O17" s="133">
        <f>IF(SER_hh_emi_in!O17=0,0,1000000*SER_hh_emi_in!O17/SER_hh_num_in!O17)</f>
        <v>3115.3041686590122</v>
      </c>
      <c r="P17" s="133">
        <f>IF(SER_hh_emi_in!P17=0,0,1000000*SER_hh_emi_in!P17/SER_hh_num_in!P17)</f>
        <v>2911.4400190187221</v>
      </c>
      <c r="Q17" s="133">
        <f>IF(SER_hh_emi_in!Q17=0,0,1000000*SER_hh_emi_in!Q17/SER_hh_num_in!Q17)</f>
        <v>2897.4590411610234</v>
      </c>
      <c r="R17" s="133">
        <f>IF(SER_hh_emi_in!R17=0,0,1000000*SER_hh_emi_in!R17/SER_hh_num_in!R17)</f>
        <v>2727.7184929065465</v>
      </c>
      <c r="S17" s="133">
        <f>IF(SER_hh_emi_in!S17=0,0,1000000*SER_hh_emi_in!S17/SER_hh_num_in!S17)</f>
        <v>2661.9966845158397</v>
      </c>
      <c r="T17" s="133">
        <f>IF(SER_hh_emi_in!T17=0,0,1000000*SER_hh_emi_in!T17/SER_hh_num_in!T17)</f>
        <v>2620.5275232924787</v>
      </c>
      <c r="U17" s="133">
        <f>IF(SER_hh_emi_in!U17=0,0,1000000*SER_hh_emi_in!U17/SER_hh_num_in!U17)</f>
        <v>2401.865355648938</v>
      </c>
      <c r="V17" s="133">
        <f>IF(SER_hh_emi_in!V17=0,0,1000000*SER_hh_emi_in!V17/SER_hh_num_in!V17)</f>
        <v>2303.5882339407344</v>
      </c>
      <c r="W17" s="133">
        <f>IF(SER_hh_emi_in!W17=0,0,1000000*SER_hh_emi_in!W17/SER_hh_num_in!W17)</f>
        <v>2145.9992504918368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1905.7909302788189</v>
      </c>
      <c r="D19" s="131">
        <f>IF(SER_hh_emi_in!D19=0,0,1000000*SER_hh_emi_in!D19/SER_hh_num_in!D19)</f>
        <v>2034.9959971745266</v>
      </c>
      <c r="E19" s="131">
        <f>IF(SER_hh_emi_in!E19=0,0,1000000*SER_hh_emi_in!E19/SER_hh_num_in!E19)</f>
        <v>1717.2179553682799</v>
      </c>
      <c r="F19" s="131">
        <f>IF(SER_hh_emi_in!F19=0,0,1000000*SER_hh_emi_in!F19/SER_hh_num_in!F19)</f>
        <v>1861.7124919537393</v>
      </c>
      <c r="G19" s="131">
        <f>IF(SER_hh_emi_in!G19=0,0,1000000*SER_hh_emi_in!G19/SER_hh_num_in!G19)</f>
        <v>1599.3952934045803</v>
      </c>
      <c r="H19" s="131">
        <f>IF(SER_hh_emi_in!H19=0,0,1000000*SER_hh_emi_in!H19/SER_hh_num_in!H19)</f>
        <v>1569.5760357559443</v>
      </c>
      <c r="I19" s="131">
        <f>IF(SER_hh_emi_in!I19=0,0,1000000*SER_hh_emi_in!I19/SER_hh_num_in!I19)</f>
        <v>1399.2305990997622</v>
      </c>
      <c r="J19" s="131">
        <f>IF(SER_hh_emi_in!J19=0,0,1000000*SER_hh_emi_in!J19/SER_hh_num_in!J19)</f>
        <v>1515.6391458432599</v>
      </c>
      <c r="K19" s="131">
        <f>IF(SER_hh_emi_in!K19=0,0,1000000*SER_hh_emi_in!K19/SER_hh_num_in!K19)</f>
        <v>1788.8028475856781</v>
      </c>
      <c r="L19" s="131">
        <f>IF(SER_hh_emi_in!L19=0,0,1000000*SER_hh_emi_in!L19/SER_hh_num_in!L19)</f>
        <v>1660.6311829450485</v>
      </c>
      <c r="M19" s="131">
        <f>IF(SER_hh_emi_in!M19=0,0,1000000*SER_hh_emi_in!M19/SER_hh_num_in!M19)</f>
        <v>1614.4400494316935</v>
      </c>
      <c r="N19" s="131">
        <f>IF(SER_hh_emi_in!N19=0,0,1000000*SER_hh_emi_in!N19/SER_hh_num_in!N19)</f>
        <v>1848.3651810087467</v>
      </c>
      <c r="O19" s="131">
        <f>IF(SER_hh_emi_in!O19=0,0,1000000*SER_hh_emi_in!O19/SER_hh_num_in!O19)</f>
        <v>1497.9493467345769</v>
      </c>
      <c r="P19" s="131">
        <f>IF(SER_hh_emi_in!P19=0,0,1000000*SER_hh_emi_in!P19/SER_hh_num_in!P19)</f>
        <v>827.78311056744951</v>
      </c>
      <c r="Q19" s="131">
        <f>IF(SER_hh_emi_in!Q19=0,0,1000000*SER_hh_emi_in!Q19/SER_hh_num_in!Q19)</f>
        <v>916.22412128483165</v>
      </c>
      <c r="R19" s="131">
        <f>IF(SER_hh_emi_in!R19=0,0,1000000*SER_hh_emi_in!R19/SER_hh_num_in!R19)</f>
        <v>1376.1374557195184</v>
      </c>
      <c r="S19" s="131">
        <f>IF(SER_hh_emi_in!S19=0,0,1000000*SER_hh_emi_in!S19/SER_hh_num_in!S19)</f>
        <v>1505.1097245753072</v>
      </c>
      <c r="T19" s="131">
        <f>IF(SER_hh_emi_in!T19=0,0,1000000*SER_hh_emi_in!T19/SER_hh_num_in!T19)</f>
        <v>1020.9950777293985</v>
      </c>
      <c r="U19" s="131">
        <f>IF(SER_hh_emi_in!U19=0,0,1000000*SER_hh_emi_in!U19/SER_hh_num_in!U19)</f>
        <v>644.55047489135291</v>
      </c>
      <c r="V19" s="131">
        <f>IF(SER_hh_emi_in!V19=0,0,1000000*SER_hh_emi_in!V19/SER_hh_num_in!V19)</f>
        <v>168.19785673966319</v>
      </c>
      <c r="W19" s="131">
        <f>IF(SER_hh_emi_in!W19=0,0,1000000*SER_hh_emi_in!W19/SER_hh_num_in!W19)</f>
        <v>668.69032936032818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6767.9324588254485</v>
      </c>
      <c r="D22" s="133">
        <f>IF(SER_hh_emi_in!D22=0,0,1000000*SER_hh_emi_in!D22/SER_hh_num_in!D22)</f>
        <v>6582.2386980641832</v>
      </c>
      <c r="E22" s="133">
        <f>IF(SER_hh_emi_in!E22=0,0,1000000*SER_hh_emi_in!E22/SER_hh_num_in!E22)</f>
        <v>6539.3796997197442</v>
      </c>
      <c r="F22" s="133">
        <f>IF(SER_hh_emi_in!F22=0,0,1000000*SER_hh_emi_in!F22/SER_hh_num_in!F22)</f>
        <v>6435.8103247560584</v>
      </c>
      <c r="G22" s="133">
        <f>IF(SER_hh_emi_in!G22=0,0,1000000*SER_hh_emi_in!G22/SER_hh_num_in!G22)</f>
        <v>6406.7914557106988</v>
      </c>
      <c r="H22" s="133">
        <f>IF(SER_hh_emi_in!H22=0,0,1000000*SER_hh_emi_in!H22/SER_hh_num_in!H22)</f>
        <v>6227.2418771500334</v>
      </c>
      <c r="I22" s="133">
        <f>IF(SER_hh_emi_in!I22=0,0,1000000*SER_hh_emi_in!I22/SER_hh_num_in!I22)</f>
        <v>6021.5782920846523</v>
      </c>
      <c r="J22" s="133">
        <f>IF(SER_hh_emi_in!J22=0,0,1000000*SER_hh_emi_in!J22/SER_hh_num_in!J22)</f>
        <v>5960.7547763205303</v>
      </c>
      <c r="K22" s="133">
        <f>IF(SER_hh_emi_in!K22=0,0,1000000*SER_hh_emi_in!K22/SER_hh_num_in!K22)</f>
        <v>5670.8621531473946</v>
      </c>
      <c r="L22" s="133">
        <f>IF(SER_hh_emi_in!L22=0,0,1000000*SER_hh_emi_in!L22/SER_hh_num_in!L22)</f>
        <v>5719.4030181049311</v>
      </c>
      <c r="M22" s="133">
        <f>IF(SER_hh_emi_in!M22=0,0,1000000*SER_hh_emi_in!M22/SER_hh_num_in!M22)</f>
        <v>5488.5551276594624</v>
      </c>
      <c r="N22" s="133">
        <f>IF(SER_hh_emi_in!N22=0,0,1000000*SER_hh_emi_in!N22/SER_hh_num_in!N22)</f>
        <v>5347.9888349632065</v>
      </c>
      <c r="O22" s="133">
        <f>IF(SER_hh_emi_in!O22=0,0,1000000*SER_hh_emi_in!O22/SER_hh_num_in!O22)</f>
        <v>5033.9562622530566</v>
      </c>
      <c r="P22" s="133">
        <f>IF(SER_hh_emi_in!P22=0,0,1000000*SER_hh_emi_in!P22/SER_hh_num_in!P22)</f>
        <v>4821.1613718285453</v>
      </c>
      <c r="Q22" s="133">
        <f>IF(SER_hh_emi_in!Q22=0,0,1000000*SER_hh_emi_in!Q22/SER_hh_num_in!Q22)</f>
        <v>4634.4328475538896</v>
      </c>
      <c r="R22" s="133">
        <f>IF(SER_hh_emi_in!R22=0,0,1000000*SER_hh_emi_in!R22/SER_hh_num_in!R22)</f>
        <v>4407.7144377717832</v>
      </c>
      <c r="S22" s="133">
        <f>IF(SER_hh_emi_in!S22=0,0,1000000*SER_hh_emi_in!S22/SER_hh_num_in!S22)</f>
        <v>4257.1386775975179</v>
      </c>
      <c r="T22" s="133">
        <f>IF(SER_hh_emi_in!T22=0,0,1000000*SER_hh_emi_in!T22/SER_hh_num_in!T22)</f>
        <v>4020.903245883123</v>
      </c>
      <c r="U22" s="133">
        <f>IF(SER_hh_emi_in!U22=0,0,1000000*SER_hh_emi_in!U22/SER_hh_num_in!U22)</f>
        <v>3920.5399652175247</v>
      </c>
      <c r="V22" s="133">
        <f>IF(SER_hh_emi_in!V22=0,0,1000000*SER_hh_emi_in!V22/SER_hh_num_in!V22)</f>
        <v>3707.4514161165116</v>
      </c>
      <c r="W22" s="133">
        <f>IF(SER_hh_emi_in!W22=0,0,1000000*SER_hh_emi_in!W22/SER_hh_num_in!W22)</f>
        <v>3707.9899458464852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4626.0883556973104</v>
      </c>
      <c r="D23" s="133">
        <f>IF(SER_hh_emi_in!D23=0,0,1000000*SER_hh_emi_in!D23/SER_hh_num_in!D23)</f>
        <v>4709.2384660683601</v>
      </c>
      <c r="E23" s="133">
        <f>IF(SER_hh_emi_in!E23=0,0,1000000*SER_hh_emi_in!E23/SER_hh_num_in!E23)</f>
        <v>4507.6713497241371</v>
      </c>
      <c r="F23" s="133">
        <f>IF(SER_hh_emi_in!F23=0,0,1000000*SER_hh_emi_in!F23/SER_hh_num_in!F23)</f>
        <v>4365.4365876217107</v>
      </c>
      <c r="G23" s="133">
        <f>IF(SER_hh_emi_in!G23=0,0,1000000*SER_hh_emi_in!G23/SER_hh_num_in!G23)</f>
        <v>4326.7957630701039</v>
      </c>
      <c r="H23" s="133">
        <f>IF(SER_hh_emi_in!H23=0,0,1000000*SER_hh_emi_in!H23/SER_hh_num_in!H23)</f>
        <v>4239.479748633853</v>
      </c>
      <c r="I23" s="133">
        <f>IF(SER_hh_emi_in!I23=0,0,1000000*SER_hh_emi_in!I23/SER_hh_num_in!I23)</f>
        <v>4041.17354040287</v>
      </c>
      <c r="J23" s="133">
        <f>IF(SER_hh_emi_in!J23=0,0,1000000*SER_hh_emi_in!J23/SER_hh_num_in!J23)</f>
        <v>3936.2769250519978</v>
      </c>
      <c r="K23" s="133">
        <f>IF(SER_hh_emi_in!K23=0,0,1000000*SER_hh_emi_in!K23/SER_hh_num_in!K23)</f>
        <v>3750.6494646634064</v>
      </c>
      <c r="L23" s="133">
        <f>IF(SER_hh_emi_in!L23=0,0,1000000*SER_hh_emi_in!L23/SER_hh_num_in!L23)</f>
        <v>3796.2323715156303</v>
      </c>
      <c r="M23" s="133">
        <f>IF(SER_hh_emi_in!M23=0,0,1000000*SER_hh_emi_in!M23/SER_hh_num_in!M23)</f>
        <v>3571.9201669205522</v>
      </c>
      <c r="N23" s="133">
        <f>IF(SER_hh_emi_in!N23=0,0,1000000*SER_hh_emi_in!N23/SER_hh_num_in!N23)</f>
        <v>3628.9404385964449</v>
      </c>
      <c r="O23" s="133">
        <f>IF(SER_hh_emi_in!O23=0,0,1000000*SER_hh_emi_in!O23/SER_hh_num_in!O23)</f>
        <v>3484.66964178017</v>
      </c>
      <c r="P23" s="133">
        <f>IF(SER_hh_emi_in!P23=0,0,1000000*SER_hh_emi_in!P23/SER_hh_num_in!P23)</f>
        <v>3243.9118931331277</v>
      </c>
      <c r="Q23" s="133">
        <f>IF(SER_hh_emi_in!Q23=0,0,1000000*SER_hh_emi_in!Q23/SER_hh_num_in!Q23)</f>
        <v>3098.2720282172786</v>
      </c>
      <c r="R23" s="133">
        <f>IF(SER_hh_emi_in!R23=0,0,1000000*SER_hh_emi_in!R23/SER_hh_num_in!R23)</f>
        <v>2992.7206996966388</v>
      </c>
      <c r="S23" s="133">
        <f>IF(SER_hh_emi_in!S23=0,0,1000000*SER_hh_emi_in!S23/SER_hh_num_in!S23)</f>
        <v>3054.7898776351149</v>
      </c>
      <c r="T23" s="133">
        <f>IF(SER_hh_emi_in!T23=0,0,1000000*SER_hh_emi_in!T23/SER_hh_num_in!T23)</f>
        <v>3023.0866835311731</v>
      </c>
      <c r="U23" s="133">
        <f>IF(SER_hh_emi_in!U23=0,0,1000000*SER_hh_emi_in!U23/SER_hh_num_in!U23)</f>
        <v>2977.5332291418167</v>
      </c>
      <c r="V23" s="133">
        <f>IF(SER_hh_emi_in!V23=0,0,1000000*SER_hh_emi_in!V23/SER_hh_num_in!V23)</f>
        <v>2625.5079902301354</v>
      </c>
      <c r="W23" s="133">
        <f>IF(SER_hh_emi_in!W23=0,0,1000000*SER_hh_emi_in!W23/SER_hh_num_in!W23)</f>
        <v>2730.3588294003125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1787.8405690590437</v>
      </c>
      <c r="D29" s="131">
        <f>IF(SER_hh_emi_in!D29=0,0,1000000*SER_hh_emi_in!D29/SER_hh_num_in!D29)</f>
        <v>1859.8365496555432</v>
      </c>
      <c r="E29" s="131">
        <f>IF(SER_hh_emi_in!E29=0,0,1000000*SER_hh_emi_in!E29/SER_hh_num_in!E29)</f>
        <v>1839.8948506309596</v>
      </c>
      <c r="F29" s="131">
        <f>IF(SER_hh_emi_in!F29=0,0,1000000*SER_hh_emi_in!F29/SER_hh_num_in!F29)</f>
        <v>1926.0434119655897</v>
      </c>
      <c r="G29" s="131">
        <f>IF(SER_hh_emi_in!G29=0,0,1000000*SER_hh_emi_in!G29/SER_hh_num_in!G29)</f>
        <v>1592.9044108546614</v>
      </c>
      <c r="H29" s="131">
        <f>IF(SER_hh_emi_in!H29=0,0,1000000*SER_hh_emi_in!H29/SER_hh_num_in!H29)</f>
        <v>1524.8107730635368</v>
      </c>
      <c r="I29" s="131">
        <f>IF(SER_hh_emi_in!I29=0,0,1000000*SER_hh_emi_in!I29/SER_hh_num_in!I29)</f>
        <v>1600.3356111166324</v>
      </c>
      <c r="J29" s="131">
        <f>IF(SER_hh_emi_in!J29=0,0,1000000*SER_hh_emi_in!J29/SER_hh_num_in!J29)</f>
        <v>1537.9860128564419</v>
      </c>
      <c r="K29" s="131">
        <f>IF(SER_hh_emi_in!K29=0,0,1000000*SER_hh_emi_in!K29/SER_hh_num_in!K29)</f>
        <v>1695.0127927723679</v>
      </c>
      <c r="L29" s="131">
        <f>IF(SER_hh_emi_in!L29=0,0,1000000*SER_hh_emi_in!L29/SER_hh_num_in!L29)</f>
        <v>1532.2117954441289</v>
      </c>
      <c r="M29" s="131">
        <f>IF(SER_hh_emi_in!M29=0,0,1000000*SER_hh_emi_in!M29/SER_hh_num_in!M29)</f>
        <v>1367.0566228904963</v>
      </c>
      <c r="N29" s="131">
        <f>IF(SER_hh_emi_in!N29=0,0,1000000*SER_hh_emi_in!N29/SER_hh_num_in!N29)</f>
        <v>1449.3503283571581</v>
      </c>
      <c r="O29" s="131">
        <f>IF(SER_hh_emi_in!O29=0,0,1000000*SER_hh_emi_in!O29/SER_hh_num_in!O29)</f>
        <v>1595.6881050639356</v>
      </c>
      <c r="P29" s="131">
        <f>IF(SER_hh_emi_in!P29=0,0,1000000*SER_hh_emi_in!P29/SER_hh_num_in!P29)</f>
        <v>1632.5898104199296</v>
      </c>
      <c r="Q29" s="131">
        <f>IF(SER_hh_emi_in!Q29=0,0,1000000*SER_hh_emi_in!Q29/SER_hh_num_in!Q29)</f>
        <v>1061.9866444380148</v>
      </c>
      <c r="R29" s="131">
        <f>IF(SER_hh_emi_in!R29=0,0,1000000*SER_hh_emi_in!R29/SER_hh_num_in!R29)</f>
        <v>1380.2725677209442</v>
      </c>
      <c r="S29" s="131">
        <f>IF(SER_hh_emi_in!S29=0,0,1000000*SER_hh_emi_in!S29/SER_hh_num_in!S29)</f>
        <v>1305.1495241478838</v>
      </c>
      <c r="T29" s="131">
        <f>IF(SER_hh_emi_in!T29=0,0,1000000*SER_hh_emi_in!T29/SER_hh_num_in!T29)</f>
        <v>1404.6345749039383</v>
      </c>
      <c r="U29" s="131">
        <f>IF(SER_hh_emi_in!U29=0,0,1000000*SER_hh_emi_in!U29/SER_hh_num_in!U29)</f>
        <v>1134.8087862442719</v>
      </c>
      <c r="V29" s="131">
        <f>IF(SER_hh_emi_in!V29=0,0,1000000*SER_hh_emi_in!V29/SER_hh_num_in!V29)</f>
        <v>1216.0777700405758</v>
      </c>
      <c r="W29" s="131">
        <f>IF(SER_hh_emi_in!W29=0,0,1000000*SER_hh_emi_in!W29/SER_hh_num_in!W29)</f>
        <v>1441.9965064128792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4961.014419001358</v>
      </c>
      <c r="D30" s="133">
        <f>IF(SER_hh_emi_in!D30=0,0,1000000*SER_hh_emi_in!D30/SER_hh_num_in!D30)</f>
        <v>5286.6904842341473</v>
      </c>
      <c r="E30" s="133">
        <f>IF(SER_hh_emi_in!E30=0,0,1000000*SER_hh_emi_in!E30/SER_hh_num_in!E30)</f>
        <v>4766.428100957768</v>
      </c>
      <c r="F30" s="133">
        <f>IF(SER_hh_emi_in!F30=0,0,1000000*SER_hh_emi_in!F30/SER_hh_num_in!F30)</f>
        <v>5056.901170833421</v>
      </c>
      <c r="G30" s="133">
        <f>IF(SER_hh_emi_in!G30=0,0,1000000*SER_hh_emi_in!G30/SER_hh_num_in!G30)</f>
        <v>4973.845502409552</v>
      </c>
      <c r="H30" s="133">
        <f>IF(SER_hh_emi_in!H30=0,0,1000000*SER_hh_emi_in!H30/SER_hh_num_in!H30)</f>
        <v>6431.7298666455172</v>
      </c>
      <c r="I30" s="133">
        <f>IF(SER_hh_emi_in!I30=0,0,1000000*SER_hh_emi_in!I30/SER_hh_num_in!I30)</f>
        <v>0</v>
      </c>
      <c r="J30" s="133">
        <f>IF(SER_hh_emi_in!J30=0,0,1000000*SER_hh_emi_in!J30/SER_hh_num_in!J30)</f>
        <v>0</v>
      </c>
      <c r="K30" s="133">
        <f>IF(SER_hh_emi_in!K30=0,0,1000000*SER_hh_emi_in!K30/SER_hh_num_in!K30)</f>
        <v>5460.217184367817</v>
      </c>
      <c r="L30" s="133">
        <f>IF(SER_hh_emi_in!L30=0,0,1000000*SER_hh_emi_in!L30/SER_hh_num_in!L30)</f>
        <v>6190.057215717472</v>
      </c>
      <c r="M30" s="133">
        <f>IF(SER_hh_emi_in!M30=0,0,1000000*SER_hh_emi_in!M30/SER_hh_num_in!M30)</f>
        <v>0</v>
      </c>
      <c r="N30" s="133">
        <f>IF(SER_hh_emi_in!N30=0,0,1000000*SER_hh_emi_in!N30/SER_hh_num_in!N30)</f>
        <v>5577.3342719265711</v>
      </c>
      <c r="O30" s="133">
        <f>IF(SER_hh_emi_in!O30=0,0,1000000*SER_hh_emi_in!O30/SER_hh_num_in!O30)</f>
        <v>5882.1602522532621</v>
      </c>
      <c r="P30" s="133">
        <f>IF(SER_hh_emi_in!P30=0,0,1000000*SER_hh_emi_in!P30/SER_hh_num_in!P30)</f>
        <v>874.85861742040015</v>
      </c>
      <c r="Q30" s="133">
        <f>IF(SER_hh_emi_in!Q30=0,0,1000000*SER_hh_emi_in!Q30/SER_hh_num_in!Q30)</f>
        <v>6018.8609132536276</v>
      </c>
      <c r="R30" s="133">
        <f>IF(SER_hh_emi_in!R30=0,0,1000000*SER_hh_emi_in!R30/SER_hh_num_in!R30)</f>
        <v>4750.2037143997304</v>
      </c>
      <c r="S30" s="133">
        <f>IF(SER_hh_emi_in!S30=0,0,1000000*SER_hh_emi_in!S30/SER_hh_num_in!S30)</f>
        <v>4254.9396714256554</v>
      </c>
      <c r="T30" s="133">
        <f>IF(SER_hh_emi_in!T30=0,0,1000000*SER_hh_emi_in!T30/SER_hh_num_in!T30)</f>
        <v>5140.4563196449253</v>
      </c>
      <c r="U30" s="133">
        <f>IF(SER_hh_emi_in!U30=0,0,1000000*SER_hh_emi_in!U30/SER_hh_num_in!U30)</f>
        <v>6374.4299709206816</v>
      </c>
      <c r="V30" s="133">
        <f>IF(SER_hh_emi_in!V30=0,0,1000000*SER_hh_emi_in!V30/SER_hh_num_in!V30)</f>
        <v>4744.4973734697269</v>
      </c>
      <c r="W30" s="133">
        <f>IF(SER_hh_emi_in!W30=0,0,1000000*SER_hh_emi_in!W30/SER_hh_num_in!W30)</f>
        <v>4374.0216757466696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4355.6558609463827</v>
      </c>
      <c r="D31" s="133">
        <f>IF(SER_hh_emi_in!D31=0,0,1000000*SER_hh_emi_in!D31/SER_hh_num_in!D31)</f>
        <v>4303.6724033253031</v>
      </c>
      <c r="E31" s="133">
        <f>IF(SER_hh_emi_in!E31=0,0,1000000*SER_hh_emi_in!E31/SER_hh_num_in!E31)</f>
        <v>4436.0825174677684</v>
      </c>
      <c r="F31" s="133">
        <f>IF(SER_hh_emi_in!F31=0,0,1000000*SER_hh_emi_in!F31/SER_hh_num_in!F31)</f>
        <v>4418.1645954124706</v>
      </c>
      <c r="G31" s="133">
        <f>IF(SER_hh_emi_in!G31=0,0,1000000*SER_hh_emi_in!G31/SER_hh_num_in!G31)</f>
        <v>4399.1778512932633</v>
      </c>
      <c r="H31" s="133">
        <f>IF(SER_hh_emi_in!H31=0,0,1000000*SER_hh_emi_in!H31/SER_hh_num_in!H31)</f>
        <v>4102.6002849087099</v>
      </c>
      <c r="I31" s="133">
        <f>IF(SER_hh_emi_in!I31=0,0,1000000*SER_hh_emi_in!I31/SER_hh_num_in!I31)</f>
        <v>4476.8267932789186</v>
      </c>
      <c r="J31" s="133">
        <f>IF(SER_hh_emi_in!J31=0,0,1000000*SER_hh_emi_in!J31/SER_hh_num_in!J31)</f>
        <v>4561.0360079748889</v>
      </c>
      <c r="K31" s="133">
        <f>IF(SER_hh_emi_in!K31=0,0,1000000*SER_hh_emi_in!K31/SER_hh_num_in!K31)</f>
        <v>4301.6418275682827</v>
      </c>
      <c r="L31" s="133">
        <f>IF(SER_hh_emi_in!L31=0,0,1000000*SER_hh_emi_in!L31/SER_hh_num_in!L31)</f>
        <v>4157.521375719899</v>
      </c>
      <c r="M31" s="133">
        <f>IF(SER_hh_emi_in!M31=0,0,1000000*SER_hh_emi_in!M31/SER_hh_num_in!M31)</f>
        <v>4478.4175095972241</v>
      </c>
      <c r="N31" s="133">
        <f>IF(SER_hh_emi_in!N31=0,0,1000000*SER_hh_emi_in!N31/SER_hh_num_in!N31)</f>
        <v>4227.5604137606779</v>
      </c>
      <c r="O31" s="133">
        <f>IF(SER_hh_emi_in!O31=0,0,1000000*SER_hh_emi_in!O31/SER_hh_num_in!O31)</f>
        <v>4237.5354902099671</v>
      </c>
      <c r="P31" s="133">
        <f>IF(SER_hh_emi_in!P31=0,0,1000000*SER_hh_emi_in!P31/SER_hh_num_in!P31)</f>
        <v>4714.0566155654042</v>
      </c>
      <c r="Q31" s="133">
        <f>IF(SER_hh_emi_in!Q31=0,0,1000000*SER_hh_emi_in!Q31/SER_hh_num_in!Q31)</f>
        <v>4192.9049855562826</v>
      </c>
      <c r="R31" s="133">
        <f>IF(SER_hh_emi_in!R31=0,0,1000000*SER_hh_emi_in!R31/SER_hh_num_in!R31)</f>
        <v>4302.913464389716</v>
      </c>
      <c r="S31" s="133">
        <f>IF(SER_hh_emi_in!S31=0,0,1000000*SER_hh_emi_in!S31/SER_hh_num_in!S31)</f>
        <v>4488.4478935290317</v>
      </c>
      <c r="T31" s="133">
        <f>IF(SER_hh_emi_in!T31=0,0,1000000*SER_hh_emi_in!T31/SER_hh_num_in!T31)</f>
        <v>4227.1275115077688</v>
      </c>
      <c r="U31" s="133">
        <f>IF(SER_hh_emi_in!U31=0,0,1000000*SER_hh_emi_in!U31/SER_hh_num_in!U31)</f>
        <v>3758.197894619248</v>
      </c>
      <c r="V31" s="133">
        <f>IF(SER_hh_emi_in!V31=0,0,1000000*SER_hh_emi_in!V31/SER_hh_num_in!V31)</f>
        <v>4183.6176135953292</v>
      </c>
      <c r="W31" s="133">
        <f>IF(SER_hh_emi_in!W31=0,0,1000000*SER_hh_emi_in!W31/SER_hh_num_in!W31)</f>
        <v>4499.2621217447722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167.140219385763</v>
      </c>
      <c r="D3" s="126">
        <f>IF(SER_hh_fech_in!D3=0,0,SER_hh_fech_in!D3/SER_summary!D$27)</f>
        <v>163.27443239184655</v>
      </c>
      <c r="E3" s="126">
        <f>IF(SER_hh_fech_in!E3=0,0,SER_hh_fech_in!E3/SER_summary!E$27)</f>
        <v>168.2767431162423</v>
      </c>
      <c r="F3" s="126">
        <f>IF(SER_hh_fech_in!F3=0,0,SER_hh_fech_in!F3/SER_summary!F$27)</f>
        <v>178.15457952266107</v>
      </c>
      <c r="G3" s="126">
        <f>IF(SER_hh_fech_in!G3=0,0,SER_hh_fech_in!G3/SER_summary!G$27)</f>
        <v>162.47516333610136</v>
      </c>
      <c r="H3" s="126">
        <f>IF(SER_hh_fech_in!H3=0,0,SER_hh_fech_in!H3/SER_summary!H$27)</f>
        <v>159.60561782812439</v>
      </c>
      <c r="I3" s="126">
        <f>IF(SER_hh_fech_in!I3=0,0,SER_hh_fech_in!I3/SER_summary!I$27)</f>
        <v>145.43229062773528</v>
      </c>
      <c r="J3" s="126">
        <f>IF(SER_hh_fech_in!J3=0,0,SER_hh_fech_in!J3/SER_summary!J$27)</f>
        <v>148.0615382715965</v>
      </c>
      <c r="K3" s="126">
        <f>IF(SER_hh_fech_in!K3=0,0,SER_hh_fech_in!K3/SER_summary!K$27)</f>
        <v>148.21316184519475</v>
      </c>
      <c r="L3" s="126">
        <f>IF(SER_hh_fech_in!L3=0,0,SER_hh_fech_in!L3/SER_summary!L$27)</f>
        <v>161.56618786225712</v>
      </c>
      <c r="M3" s="126">
        <f>IF(SER_hh_fech_in!M3=0,0,SER_hh_fech_in!M3/SER_summary!M$27)</f>
        <v>131.86972391034686</v>
      </c>
      <c r="N3" s="126">
        <f>IF(SER_hh_fech_in!N3=0,0,SER_hh_fech_in!N3/SER_summary!N$27)</f>
        <v>136.47283274388323</v>
      </c>
      <c r="O3" s="126">
        <f>IF(SER_hh_fech_in!O3=0,0,SER_hh_fech_in!O3/SER_summary!O$27)</f>
        <v>129.90878726981711</v>
      </c>
      <c r="P3" s="126">
        <f>IF(SER_hh_fech_in!P3=0,0,SER_hh_fech_in!P3/SER_summary!P$27)</f>
        <v>100.17397997156657</v>
      </c>
      <c r="Q3" s="126">
        <f>IF(SER_hh_fech_in!Q3=0,0,SER_hh_fech_in!Q3/SER_summary!Q$27)</f>
        <v>103.08797252152216</v>
      </c>
      <c r="R3" s="126">
        <f>IF(SER_hh_fech_in!R3=0,0,SER_hh_fech_in!R3/SER_summary!R$27)</f>
        <v>98.122661545198341</v>
      </c>
      <c r="S3" s="126">
        <f>IF(SER_hh_fech_in!S3=0,0,SER_hh_fech_in!S3/SER_summary!S$27)</f>
        <v>97.04548114260659</v>
      </c>
      <c r="T3" s="126">
        <f>IF(SER_hh_fech_in!T3=0,0,SER_hh_fech_in!T3/SER_summary!T$27)</f>
        <v>91.52881425517451</v>
      </c>
      <c r="U3" s="126">
        <f>IF(SER_hh_fech_in!U3=0,0,SER_hh_fech_in!U3/SER_summary!U$27)</f>
        <v>83.738975142281902</v>
      </c>
      <c r="V3" s="126">
        <f>IF(SER_hh_fech_in!V3=0,0,SER_hh_fech_in!V3/SER_summary!V$27)</f>
        <v>75.019939623884937</v>
      </c>
      <c r="W3" s="126">
        <f>IF(SER_hh_fech_in!W3=0,0,SER_hh_fech_in!W3/SER_summary!W$27)</f>
        <v>71.183273684386492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111.77454925609786</v>
      </c>
      <c r="D4" s="131">
        <f>IF(SER_hh_fech_in!D4=0,0,SER_hh_fech_in!D4/SER_summary!D$27)</f>
        <v>108.65401798307566</v>
      </c>
      <c r="E4" s="131">
        <f>IF(SER_hh_fech_in!E4=0,0,SER_hh_fech_in!E4/SER_summary!E$27)</f>
        <v>113.61814949641466</v>
      </c>
      <c r="F4" s="131">
        <f>IF(SER_hh_fech_in!F4=0,0,SER_hh_fech_in!F4/SER_summary!F$27)</f>
        <v>124.89591738998078</v>
      </c>
      <c r="G4" s="131">
        <f>IF(SER_hh_fech_in!G4=0,0,SER_hh_fech_in!G4/SER_summary!G$27)</f>
        <v>110.22275086571153</v>
      </c>
      <c r="H4" s="131">
        <f>IF(SER_hh_fech_in!H4=0,0,SER_hh_fech_in!H4/SER_summary!H$27)</f>
        <v>107.93125946345555</v>
      </c>
      <c r="I4" s="131">
        <f>IF(SER_hh_fech_in!I4=0,0,SER_hh_fech_in!I4/SER_summary!I$27)</f>
        <v>95.608465368272064</v>
      </c>
      <c r="J4" s="131">
        <f>IF(SER_hh_fech_in!J4=0,0,SER_hh_fech_in!J4/SER_summary!J$27)</f>
        <v>98.949239164063371</v>
      </c>
      <c r="K4" s="131">
        <f>IF(SER_hh_fech_in!K4=0,0,SER_hh_fech_in!K4/SER_summary!K$27)</f>
        <v>100.25821092826682</v>
      </c>
      <c r="L4" s="131">
        <f>IF(SER_hh_fech_in!L4=0,0,SER_hh_fech_in!L4/SER_summary!L$27)</f>
        <v>113.13156772584979</v>
      </c>
      <c r="M4" s="131">
        <f>IF(SER_hh_fech_in!M4=0,0,SER_hh_fech_in!M4/SER_summary!M$27)</f>
        <v>85.298895235867988</v>
      </c>
      <c r="N4" s="131">
        <f>IF(SER_hh_fech_in!N4=0,0,SER_hh_fech_in!N4/SER_summary!N$27)</f>
        <v>90.462788925324816</v>
      </c>
      <c r="O4" s="131">
        <f>IF(SER_hh_fech_in!O4=0,0,SER_hh_fech_in!O4/SER_summary!O$27)</f>
        <v>85.03689262677446</v>
      </c>
      <c r="P4" s="131">
        <f>IF(SER_hh_fech_in!P4=0,0,SER_hh_fech_in!P4/SER_summary!P$27)</f>
        <v>56.994181644628412</v>
      </c>
      <c r="Q4" s="131">
        <f>IF(SER_hh_fech_in!Q4=0,0,SER_hh_fech_in!Q4/SER_summary!Q$27)</f>
        <v>60.454052515565749</v>
      </c>
      <c r="R4" s="131">
        <f>IF(SER_hh_fech_in!R4=0,0,SER_hh_fech_in!R4/SER_summary!R$27)</f>
        <v>56.500014390182272</v>
      </c>
      <c r="S4" s="131">
        <f>IF(SER_hh_fech_in!S4=0,0,SER_hh_fech_in!S4/SER_summary!S$27)</f>
        <v>56.677702748218877</v>
      </c>
      <c r="T4" s="131">
        <f>IF(SER_hh_fech_in!T4=0,0,SER_hh_fech_in!T4/SER_summary!T$27)</f>
        <v>51.141390376396579</v>
      </c>
      <c r="U4" s="131">
        <f>IF(SER_hh_fech_in!U4=0,0,SER_hh_fech_in!U4/SER_summary!U$27)</f>
        <v>44.795703438459547</v>
      </c>
      <c r="V4" s="131">
        <f>IF(SER_hh_fech_in!V4=0,0,SER_hh_fech_in!V4/SER_summary!V$27)</f>
        <v>36.836274445580237</v>
      </c>
      <c r="W4" s="131">
        <f>IF(SER_hh_fech_in!W4=0,0,SER_hh_fech_in!W4/SER_summary!W$27)</f>
        <v>34.208157025772771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114.65046385874226</v>
      </c>
      <c r="D5" s="133">
        <f>IF(SER_hh_fech_in!D5=0,0,SER_hh_fech_in!D5/SER_summary!D$27)</f>
        <v>97.65101334882192</v>
      </c>
      <c r="E5" s="133">
        <f>IF(SER_hh_fech_in!E5=0,0,SER_hh_fech_in!E5/SER_summary!E$27)</f>
        <v>159.14457805510756</v>
      </c>
      <c r="F5" s="133">
        <f>IF(SER_hh_fech_in!F5=0,0,SER_hh_fech_in!F5/SER_summary!F$27)</f>
        <v>78.6232055709919</v>
      </c>
      <c r="G5" s="133">
        <f>IF(SER_hh_fech_in!G5=0,0,SER_hh_fech_in!G5/SER_summary!G$27)</f>
        <v>107.33342459628938</v>
      </c>
      <c r="H5" s="133">
        <f>IF(SER_hh_fech_in!H5=0,0,SER_hh_fech_in!H5/SER_summary!H$27)</f>
        <v>72.413129869621656</v>
      </c>
      <c r="I5" s="133">
        <f>IF(SER_hh_fech_in!I5=0,0,SER_hh_fech_in!I5/SER_summary!I$27)</f>
        <v>111.15600652918855</v>
      </c>
      <c r="J5" s="133">
        <f>IF(SER_hh_fech_in!J5=0,0,SER_hh_fech_in!J5/SER_summary!J$27)</f>
        <v>118.12994261478588</v>
      </c>
      <c r="K5" s="133">
        <f>IF(SER_hh_fech_in!K5=0,0,SER_hh_fech_in!K5/SER_summary!K$27)</f>
        <v>114.71266747121578</v>
      </c>
      <c r="L5" s="133">
        <f>IF(SER_hh_fech_in!L5=0,0,SER_hh_fech_in!L5/SER_summary!L$27)</f>
        <v>107.95041782209927</v>
      </c>
      <c r="M5" s="133">
        <f>IF(SER_hh_fech_in!M5=0,0,SER_hh_fech_in!M5/SER_summary!M$27)</f>
        <v>103.26795312413363</v>
      </c>
      <c r="N5" s="133">
        <f>IF(SER_hh_fech_in!N5=0,0,SER_hh_fech_in!N5/SER_summary!N$27)</f>
        <v>97.746881322573515</v>
      </c>
      <c r="O5" s="133">
        <f>IF(SER_hh_fech_in!O5=0,0,SER_hh_fech_in!O5/SER_summary!O$27)</f>
        <v>56.701689071257597</v>
      </c>
      <c r="P5" s="133">
        <f>IF(SER_hh_fech_in!P5=0,0,SER_hh_fech_in!P5/SER_summary!P$27)</f>
        <v>20.541608429106965</v>
      </c>
      <c r="Q5" s="133">
        <f>IF(SER_hh_fech_in!Q5=0,0,SER_hh_fech_in!Q5/SER_summary!Q$27)</f>
        <v>85.620244968309265</v>
      </c>
      <c r="R5" s="133">
        <f>IF(SER_hh_fech_in!R5=0,0,SER_hh_fech_in!R5/SER_summary!R$27)</f>
        <v>77.910932933291505</v>
      </c>
      <c r="S5" s="133">
        <f>IF(SER_hh_fech_in!S5=0,0,SER_hh_fech_in!S5/SER_summary!S$27)</f>
        <v>69.057297443142943</v>
      </c>
      <c r="T5" s="133">
        <f>IF(SER_hh_fech_in!T5=0,0,SER_hh_fech_in!T5/SER_summary!T$27)</f>
        <v>63.3794198182039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130.55346507030941</v>
      </c>
      <c r="D7" s="133">
        <f>IF(SER_hh_fech_in!D7=0,0,SER_hh_fech_in!D7/SER_summary!D$27)</f>
        <v>134.33569916086671</v>
      </c>
      <c r="E7" s="133">
        <f>IF(SER_hh_fech_in!E7=0,0,SER_hh_fech_in!E7/SER_summary!E$27)</f>
        <v>139.56954795556663</v>
      </c>
      <c r="F7" s="133">
        <f>IF(SER_hh_fech_in!F7=0,0,SER_hh_fech_in!F7/SER_summary!F$27)</f>
        <v>132.74370561555725</v>
      </c>
      <c r="G7" s="133">
        <f>IF(SER_hh_fech_in!G7=0,0,SER_hh_fech_in!G7/SER_summary!G$27)</f>
        <v>133.97049574296307</v>
      </c>
      <c r="H7" s="133">
        <f>IF(SER_hh_fech_in!H7=0,0,SER_hh_fech_in!H7/SER_summary!H$27)</f>
        <v>125.26617294861836</v>
      </c>
      <c r="I7" s="133">
        <f>IF(SER_hh_fech_in!I7=0,0,SER_hh_fech_in!I7/SER_summary!I$27)</f>
        <v>123.58749182175231</v>
      </c>
      <c r="J7" s="133">
        <f>IF(SER_hh_fech_in!J7=0,0,SER_hh_fech_in!J7/SER_summary!J$27)</f>
        <v>120.50796302025455</v>
      </c>
      <c r="K7" s="133">
        <f>IF(SER_hh_fech_in!K7=0,0,SER_hh_fech_in!K7/SER_summary!K$27)</f>
        <v>114.1666647921092</v>
      </c>
      <c r="L7" s="133">
        <f>IF(SER_hh_fech_in!L7=0,0,SER_hh_fech_in!L7/SER_summary!L$27)</f>
        <v>128.42746416701229</v>
      </c>
      <c r="M7" s="133">
        <f>IF(SER_hh_fech_in!M7=0,0,SER_hh_fech_in!M7/SER_summary!M$27)</f>
        <v>111.34527274377288</v>
      </c>
      <c r="N7" s="133">
        <f>IF(SER_hh_fech_in!N7=0,0,SER_hh_fech_in!N7/SER_summary!N$27)</f>
        <v>102.56493358049507</v>
      </c>
      <c r="O7" s="133">
        <f>IF(SER_hh_fech_in!O7=0,0,SER_hh_fech_in!O7/SER_summary!O$27)</f>
        <v>95.887807477157551</v>
      </c>
      <c r="P7" s="133">
        <f>IF(SER_hh_fech_in!P7=0,0,SER_hh_fech_in!P7/SER_summary!P$27)</f>
        <v>84.561795977125627</v>
      </c>
      <c r="Q7" s="133">
        <f>IF(SER_hh_fech_in!Q7=0,0,SER_hh_fech_in!Q7/SER_summary!Q$27)</f>
        <v>71.02168515741748</v>
      </c>
      <c r="R7" s="133">
        <f>IF(SER_hh_fech_in!R7=0,0,SER_hh_fech_in!R7/SER_summary!R$27)</f>
        <v>66.728390220739186</v>
      </c>
      <c r="S7" s="133">
        <f>IF(SER_hh_fech_in!S7=0,0,SER_hh_fech_in!S7/SER_summary!S$27)</f>
        <v>62.435008056167611</v>
      </c>
      <c r="T7" s="133">
        <f>IF(SER_hh_fech_in!T7=0,0,SER_hh_fech_in!T7/SER_summary!T$27)</f>
        <v>59.272591768880673</v>
      </c>
      <c r="U7" s="133">
        <f>IF(SER_hh_fech_in!U7=0,0,SER_hh_fech_in!U7/SER_summary!U$27)</f>
        <v>55.996679820524996</v>
      </c>
      <c r="V7" s="133">
        <f>IF(SER_hh_fech_in!V7=0,0,SER_hh_fech_in!V7/SER_summary!V$27)</f>
        <v>47.335664445410771</v>
      </c>
      <c r="W7" s="133">
        <f>IF(SER_hh_fech_in!W7=0,0,SER_hh_fech_in!W7/SER_summary!W$27)</f>
        <v>39.259618048010758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61.458557059169706</v>
      </c>
      <c r="D8" s="133">
        <f>IF(SER_hh_fech_in!D8=0,0,SER_hh_fech_in!D8/SER_summary!D$27)</f>
        <v>54.37391721026372</v>
      </c>
      <c r="E8" s="133">
        <f>IF(SER_hh_fech_in!E8=0,0,SER_hh_fech_in!E8/SER_summary!E$27)</f>
        <v>58.889559964380389</v>
      </c>
      <c r="F8" s="133">
        <f>IF(SER_hh_fech_in!F8=0,0,SER_hh_fech_in!F8/SER_summary!F$27)</f>
        <v>57.721097388401894</v>
      </c>
      <c r="G8" s="133">
        <f>IF(SER_hh_fech_in!G8=0,0,SER_hh_fech_in!G8/SER_summary!G$27)</f>
        <v>48.430968816562292</v>
      </c>
      <c r="H8" s="133">
        <f>IF(SER_hh_fech_in!H8=0,0,SER_hh_fech_in!H8/SER_summary!H$27)</f>
        <v>43.549712502379187</v>
      </c>
      <c r="I8" s="133">
        <f>IF(SER_hh_fech_in!I8=0,0,SER_hh_fech_in!I8/SER_summary!I$27)</f>
        <v>43.66100175340366</v>
      </c>
      <c r="J8" s="133">
        <f>IF(SER_hh_fech_in!J8=0,0,SER_hh_fech_in!J8/SER_summary!J$27)</f>
        <v>41.66038219457954</v>
      </c>
      <c r="K8" s="133">
        <f>IF(SER_hh_fech_in!K8=0,0,SER_hh_fech_in!K8/SER_summary!K$27)</f>
        <v>39.415416290349583</v>
      </c>
      <c r="L8" s="133">
        <f>IF(SER_hh_fech_in!L8=0,0,SER_hh_fech_in!L8/SER_summary!L$27)</f>
        <v>37.866615602026897</v>
      </c>
      <c r="M8" s="133">
        <f>IF(SER_hh_fech_in!M8=0,0,SER_hh_fech_in!M8/SER_summary!M$27)</f>
        <v>36.114780730706009</v>
      </c>
      <c r="N8" s="133">
        <f>IF(SER_hh_fech_in!N8=0,0,SER_hh_fech_in!N8/SER_summary!N$27)</f>
        <v>29.412193186314589</v>
      </c>
      <c r="O8" s="133">
        <f>IF(SER_hh_fech_in!O8=0,0,SER_hh_fech_in!O8/SER_summary!O$27)</f>
        <v>23.16058415455263</v>
      </c>
      <c r="P8" s="133">
        <f>IF(SER_hh_fech_in!P8=0,0,SER_hh_fech_in!P8/SER_summary!P$27)</f>
        <v>23.593997955744072</v>
      </c>
      <c r="Q8" s="133">
        <f>IF(SER_hh_fech_in!Q8=0,0,SER_hh_fech_in!Q8/SER_summary!Q$27)</f>
        <v>23.444287115498518</v>
      </c>
      <c r="R8" s="133">
        <f>IF(SER_hh_fech_in!R8=0,0,SER_hh_fech_in!R8/SER_summary!R$27)</f>
        <v>21.228516822241101</v>
      </c>
      <c r="S8" s="133">
        <f>IF(SER_hh_fech_in!S8=0,0,SER_hh_fech_in!S8/SER_summary!S$27)</f>
        <v>19.211726963297419</v>
      </c>
      <c r="T8" s="133">
        <f>IF(SER_hh_fech_in!T8=0,0,SER_hh_fech_in!T8/SER_summary!T$27)</f>
        <v>17.744758325061738</v>
      </c>
      <c r="U8" s="133">
        <f>IF(SER_hh_fech_in!U8=0,0,SER_hh_fech_in!U8/SER_summary!U$27)</f>
        <v>15.784277448473002</v>
      </c>
      <c r="V8" s="133">
        <f>IF(SER_hh_fech_in!V8=0,0,SER_hh_fech_in!V8/SER_summary!V$27)</f>
        <v>13.648177893002144</v>
      </c>
      <c r="W8" s="133">
        <f>IF(SER_hh_fech_in!W8=0,0,SER_hh_fech_in!W8/SER_summary!W$27)</f>
        <v>12.307967627000103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120.09687204394072</v>
      </c>
      <c r="D9" s="133">
        <f>IF(SER_hh_fech_in!D9=0,0,SER_hh_fech_in!D9/SER_summary!D$27)</f>
        <v>109.85837928878847</v>
      </c>
      <c r="E9" s="133">
        <f>IF(SER_hh_fech_in!E9=0,0,SER_hh_fech_in!E9/SER_summary!E$27)</f>
        <v>117.80566827702013</v>
      </c>
      <c r="F9" s="133">
        <f>IF(SER_hh_fech_in!F9=0,0,SER_hh_fech_in!F9/SER_summary!F$27)</f>
        <v>130.76880387288497</v>
      </c>
      <c r="G9" s="133">
        <f>IF(SER_hh_fech_in!G9=0,0,SER_hh_fech_in!G9/SER_summary!G$27)</f>
        <v>115.57196716171013</v>
      </c>
      <c r="H9" s="133">
        <f>IF(SER_hh_fech_in!H9=0,0,SER_hh_fech_in!H9/SER_summary!H$27)</f>
        <v>112.96155791867109</v>
      </c>
      <c r="I9" s="133">
        <f>IF(SER_hh_fech_in!I9=0,0,SER_hh_fech_in!I9/SER_summary!I$27)</f>
        <v>94.695292481871505</v>
      </c>
      <c r="J9" s="133">
        <f>IF(SER_hh_fech_in!J9=0,0,SER_hh_fech_in!J9/SER_summary!J$27)</f>
        <v>101.00647018924508</v>
      </c>
      <c r="K9" s="133">
        <f>IF(SER_hh_fech_in!K9=0,0,SER_hh_fech_in!K9/SER_summary!K$27)</f>
        <v>103.39396174219966</v>
      </c>
      <c r="L9" s="133">
        <f>IF(SER_hh_fech_in!L9=0,0,SER_hh_fech_in!L9/SER_summary!L$27)</f>
        <v>115.88756964379577</v>
      </c>
      <c r="M9" s="133">
        <f>IF(SER_hh_fech_in!M9=0,0,SER_hh_fech_in!M9/SER_summary!M$27)</f>
        <v>85.353092440481873</v>
      </c>
      <c r="N9" s="133">
        <f>IF(SER_hh_fech_in!N9=0,0,SER_hh_fech_in!N9/SER_summary!N$27)</f>
        <v>92.953379581886054</v>
      </c>
      <c r="O9" s="133">
        <f>IF(SER_hh_fech_in!O9=0,0,SER_hh_fech_in!O9/SER_summary!O$27)</f>
        <v>89.319051277756785</v>
      </c>
      <c r="P9" s="133">
        <f>IF(SER_hh_fech_in!P9=0,0,SER_hh_fech_in!P9/SER_summary!P$27)</f>
        <v>63.085565275427513</v>
      </c>
      <c r="Q9" s="133">
        <f>IF(SER_hh_fech_in!Q9=0,0,SER_hh_fech_in!Q9/SER_summary!Q$27)</f>
        <v>64.934535819185342</v>
      </c>
      <c r="R9" s="133">
        <f>IF(SER_hh_fech_in!R9=0,0,SER_hh_fech_in!R9/SER_summary!R$27)</f>
        <v>62.037863914565477</v>
      </c>
      <c r="S9" s="133">
        <f>IF(SER_hh_fech_in!S9=0,0,SER_hh_fech_in!S9/SER_summary!S$27)</f>
        <v>58.782873707429914</v>
      </c>
      <c r="T9" s="133">
        <f>IF(SER_hh_fech_in!T9=0,0,SER_hh_fech_in!T9/SER_summary!T$27)</f>
        <v>54.779911846172858</v>
      </c>
      <c r="U9" s="133">
        <f>IF(SER_hh_fech_in!U9=0,0,SER_hh_fech_in!U9/SER_summary!U$27)</f>
        <v>47.993623752928713</v>
      </c>
      <c r="V9" s="133">
        <f>IF(SER_hh_fech_in!V9=0,0,SER_hh_fech_in!V9/SER_summary!V$27)</f>
        <v>39.721061458206265</v>
      </c>
      <c r="W9" s="133">
        <f>IF(SER_hh_fech_in!W9=0,0,SER_hh_fech_in!W9/SER_summary!W$27)</f>
        <v>36.034687135688358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142.53546942663263</v>
      </c>
      <c r="D10" s="133">
        <f>IF(SER_hh_fech_in!D10=0,0,SER_hh_fech_in!D10/SER_summary!D$27)</f>
        <v>138.82155963964976</v>
      </c>
      <c r="E10" s="133">
        <f>IF(SER_hh_fech_in!E10=0,0,SER_hh_fech_in!E10/SER_summary!E$27)</f>
        <v>134.17812171094175</v>
      </c>
      <c r="F10" s="133">
        <f>IF(SER_hh_fech_in!F10=0,0,SER_hh_fech_in!F10/SER_summary!F$27)</f>
        <v>145.04656032701638</v>
      </c>
      <c r="G10" s="133">
        <f>IF(SER_hh_fech_in!G10=0,0,SER_hh_fech_in!G10/SER_summary!G$27)</f>
        <v>131.44194148316183</v>
      </c>
      <c r="H10" s="133">
        <f>IF(SER_hh_fech_in!H10=0,0,SER_hh_fech_in!H10/SER_summary!H$27)</f>
        <v>134.72168012967657</v>
      </c>
      <c r="I10" s="133">
        <f>IF(SER_hh_fech_in!I10=0,0,SER_hh_fech_in!I10/SER_summary!I$27)</f>
        <v>126.35576500078835</v>
      </c>
      <c r="J10" s="133">
        <f>IF(SER_hh_fech_in!J10=0,0,SER_hh_fech_in!J10/SER_summary!J$27)</f>
        <v>139.17427159193755</v>
      </c>
      <c r="K10" s="133">
        <f>IF(SER_hh_fech_in!K10=0,0,SER_hh_fech_in!K10/SER_summary!K$27)</f>
        <v>129.90701298133467</v>
      </c>
      <c r="L10" s="133">
        <f>IF(SER_hh_fech_in!L10=0,0,SER_hh_fech_in!L10/SER_summary!L$27)</f>
        <v>137.3919418354501</v>
      </c>
      <c r="M10" s="133">
        <f>IF(SER_hh_fech_in!M10=0,0,SER_hh_fech_in!M10/SER_summary!M$27)</f>
        <v>122.45200587672484</v>
      </c>
      <c r="N10" s="133">
        <f>IF(SER_hh_fech_in!N10=0,0,SER_hh_fech_in!N10/SER_summary!N$27)</f>
        <v>117.40148583953446</v>
      </c>
      <c r="O10" s="133">
        <f>IF(SER_hh_fech_in!O10=0,0,SER_hh_fech_in!O10/SER_summary!O$27)</f>
        <v>109.47906100923409</v>
      </c>
      <c r="P10" s="133">
        <f>IF(SER_hh_fech_in!P10=0,0,SER_hh_fech_in!P10/SER_summary!P$27)</f>
        <v>99.625349667841931</v>
      </c>
      <c r="Q10" s="133">
        <f>IF(SER_hh_fech_in!Q10=0,0,SER_hh_fech_in!Q10/SER_summary!Q$27)</f>
        <v>88.090776369349754</v>
      </c>
      <c r="R10" s="133">
        <f>IF(SER_hh_fech_in!R10=0,0,SER_hh_fech_in!R10/SER_summary!R$27)</f>
        <v>79.442177692772475</v>
      </c>
      <c r="S10" s="133">
        <f>IF(SER_hh_fech_in!S10=0,0,SER_hh_fech_in!S10/SER_summary!S$27)</f>
        <v>87.741771937606259</v>
      </c>
      <c r="T10" s="133">
        <f>IF(SER_hh_fech_in!T10=0,0,SER_hh_fech_in!T10/SER_summary!T$27)</f>
        <v>79.823236445028257</v>
      </c>
      <c r="U10" s="133">
        <f>IF(SER_hh_fech_in!U10=0,0,SER_hh_fech_in!U10/SER_summary!U$27)</f>
        <v>76.310494148521911</v>
      </c>
      <c r="V10" s="133">
        <f>IF(SER_hh_fech_in!V10=0,0,SER_hh_fech_in!V10/SER_summary!V$27)</f>
        <v>68.252351306977673</v>
      </c>
      <c r="W10" s="133">
        <f>IF(SER_hh_fech_in!W10=0,0,SER_hh_fech_in!W10/SER_summary!W$27)</f>
        <v>51.189907903142107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76.022412402093991</v>
      </c>
      <c r="D12" s="133">
        <f>IF(SER_hh_fech_in!D12=0,0,SER_hh_fech_in!D12/SER_summary!D$27)</f>
        <v>110.02923783471473</v>
      </c>
      <c r="E12" s="133">
        <f>IF(SER_hh_fech_in!E12=0,0,SER_hh_fech_in!E12/SER_summary!E$27)</f>
        <v>91.217332539810059</v>
      </c>
      <c r="F12" s="133">
        <f>IF(SER_hh_fech_in!F12=0,0,SER_hh_fech_in!F12/SER_summary!F$27)</f>
        <v>0</v>
      </c>
      <c r="G12" s="133">
        <f>IF(SER_hh_fech_in!G12=0,0,SER_hh_fech_in!G12/SER_summary!G$27)</f>
        <v>70.182080517738626</v>
      </c>
      <c r="H12" s="133">
        <f>IF(SER_hh_fech_in!H12=0,0,SER_hh_fech_in!H12/SER_summary!H$27)</f>
        <v>81.252796209749491</v>
      </c>
      <c r="I12" s="133">
        <f>IF(SER_hh_fech_in!I12=0,0,SER_hh_fech_in!I12/SER_summary!I$27)</f>
        <v>91.830006828154836</v>
      </c>
      <c r="J12" s="133">
        <f>IF(SER_hh_fech_in!J12=0,0,SER_hh_fech_in!J12/SER_summary!J$27)</f>
        <v>80.524234006795794</v>
      </c>
      <c r="K12" s="133">
        <f>IF(SER_hh_fech_in!K12=0,0,SER_hh_fech_in!K12/SER_summary!K$27)</f>
        <v>96.24367992029417</v>
      </c>
      <c r="L12" s="133">
        <f>IF(SER_hh_fech_in!L12=0,0,SER_hh_fech_in!L12/SER_summary!L$27)</f>
        <v>89.78890086770339</v>
      </c>
      <c r="M12" s="133">
        <f>IF(SER_hh_fech_in!M12=0,0,SER_hh_fech_in!M12/SER_summary!M$27)</f>
        <v>0</v>
      </c>
      <c r="N12" s="133">
        <f>IF(SER_hh_fech_in!N12=0,0,SER_hh_fech_in!N12/SER_summary!N$27)</f>
        <v>0</v>
      </c>
      <c r="O12" s="133">
        <f>IF(SER_hh_fech_in!O12=0,0,SER_hh_fech_in!O12/SER_summary!O$27)</f>
        <v>0</v>
      </c>
      <c r="P12" s="133">
        <f>IF(SER_hh_fech_in!P12=0,0,SER_hh_fech_in!P12/SER_summary!P$27)</f>
        <v>0</v>
      </c>
      <c r="Q12" s="133">
        <f>IF(SER_hh_fech_in!Q12=0,0,SER_hh_fech_in!Q12/SER_summary!Q$27)</f>
        <v>53.668216096467589</v>
      </c>
      <c r="R12" s="133">
        <f>IF(SER_hh_fech_in!R12=0,0,SER_hh_fech_in!R12/SER_summary!R$27)</f>
        <v>50.207205652824804</v>
      </c>
      <c r="S12" s="133">
        <f>IF(SER_hh_fech_in!S12=0,0,SER_hh_fech_in!S12/SER_summary!S$27)</f>
        <v>59.244561965412082</v>
      </c>
      <c r="T12" s="133">
        <f>IF(SER_hh_fech_in!T12=0,0,SER_hh_fech_in!T12/SER_summary!T$27)</f>
        <v>46.251329540505701</v>
      </c>
      <c r="U12" s="133">
        <f>IF(SER_hh_fech_in!U12=0,0,SER_hh_fech_in!U12/SER_summary!U$27)</f>
        <v>47.265064665287994</v>
      </c>
      <c r="V12" s="133">
        <f>IF(SER_hh_fech_in!V12=0,0,SER_hh_fech_in!V12/SER_summary!V$27)</f>
        <v>41.570003604223601</v>
      </c>
      <c r="W12" s="133">
        <f>IF(SER_hh_fech_in!W12=0,0,SER_hh_fech_in!W12/SER_summary!W$27)</f>
        <v>30.959470078791632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45.226893338862851</v>
      </c>
      <c r="D13" s="133">
        <f>IF(SER_hh_fech_in!D13=0,0,SER_hh_fech_in!D13/SER_summary!D$27)</f>
        <v>43.908921299789228</v>
      </c>
      <c r="E13" s="133">
        <f>IF(SER_hh_fech_in!E13=0,0,SER_hh_fech_in!E13/SER_summary!E$27)</f>
        <v>39.157882133232022</v>
      </c>
      <c r="F13" s="133">
        <f>IF(SER_hh_fech_in!F13=0,0,SER_hh_fech_in!F13/SER_summary!F$27)</f>
        <v>40.861011541863569</v>
      </c>
      <c r="G13" s="133">
        <f>IF(SER_hh_fech_in!G13=0,0,SER_hh_fech_in!G13/SER_summary!G$27)</f>
        <v>38.052513730992438</v>
      </c>
      <c r="H13" s="133">
        <f>IF(SER_hh_fech_in!H13=0,0,SER_hh_fech_in!H13/SER_summary!H$27)</f>
        <v>33.538675604521643</v>
      </c>
      <c r="I13" s="133">
        <f>IF(SER_hh_fech_in!I13=0,0,SER_hh_fech_in!I13/SER_summary!I$27)</f>
        <v>31.899084819893641</v>
      </c>
      <c r="J13" s="133">
        <f>IF(SER_hh_fech_in!J13=0,0,SER_hh_fech_in!J13/SER_summary!J$27)</f>
        <v>31.511600879501771</v>
      </c>
      <c r="K13" s="133">
        <f>IF(SER_hh_fech_in!K13=0,0,SER_hh_fech_in!K13/SER_summary!K$27)</f>
        <v>30.106933948525189</v>
      </c>
      <c r="L13" s="133">
        <f>IF(SER_hh_fech_in!L13=0,0,SER_hh_fech_in!L13/SER_summary!L$27)</f>
        <v>28.986081383145542</v>
      </c>
      <c r="M13" s="133">
        <f>IF(SER_hh_fech_in!M13=0,0,SER_hh_fech_in!M13/SER_summary!M$27)</f>
        <v>25.89263927903205</v>
      </c>
      <c r="N13" s="133">
        <f>IF(SER_hh_fech_in!N13=0,0,SER_hh_fech_in!N13/SER_summary!N$27)</f>
        <v>23.181781756699394</v>
      </c>
      <c r="O13" s="133">
        <f>IF(SER_hh_fech_in!O13=0,0,SER_hh_fech_in!O13/SER_summary!O$27)</f>
        <v>20.419849582488851</v>
      </c>
      <c r="P13" s="133">
        <f>IF(SER_hh_fech_in!P13=0,0,SER_hh_fech_in!P13/SER_summary!P$27)</f>
        <v>17.325176338086585</v>
      </c>
      <c r="Q13" s="133">
        <f>IF(SER_hh_fech_in!Q13=0,0,SER_hh_fech_in!Q13/SER_summary!Q$27)</f>
        <v>15.873904647764963</v>
      </c>
      <c r="R13" s="133">
        <f>IF(SER_hh_fech_in!R13=0,0,SER_hh_fech_in!R13/SER_summary!R$27)</f>
        <v>14.862491529120401</v>
      </c>
      <c r="S13" s="133">
        <f>IF(SER_hh_fech_in!S13=0,0,SER_hh_fech_in!S13/SER_summary!S$27)</f>
        <v>14.12219783052627</v>
      </c>
      <c r="T13" s="133">
        <f>IF(SER_hh_fech_in!T13=0,0,SER_hh_fech_in!T13/SER_summary!T$27)</f>
        <v>13.111572107322848</v>
      </c>
      <c r="U13" s="133">
        <f>IF(SER_hh_fech_in!U13=0,0,SER_hh_fech_in!U13/SER_summary!U$27)</f>
        <v>11.775035197014141</v>
      </c>
      <c r="V13" s="133">
        <f>IF(SER_hh_fech_in!V13=0,0,SER_hh_fech_in!V13/SER_summary!V$27)</f>
        <v>10.356019441398693</v>
      </c>
      <c r="W13" s="133">
        <f>IF(SER_hh_fech_in!W13=0,0,SER_hh_fech_in!W13/SER_summary!W$27)</f>
        <v>8.8086127484110559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99.873730297669638</v>
      </c>
      <c r="D14" s="65">
        <f>IF(SER_hh_fech_in!D14=0,0,SER_hh_fech_in!D14/SER_summary!D$27)</f>
        <v>94.830095952202939</v>
      </c>
      <c r="E14" s="65">
        <f>IF(SER_hh_fech_in!E14=0,0,SER_hh_fech_in!E14/SER_summary!E$27)</f>
        <v>101.597809638103</v>
      </c>
      <c r="F14" s="65">
        <f>IF(SER_hh_fech_in!F14=0,0,SER_hh_fech_in!F14/SER_summary!F$27)</f>
        <v>105.9712618143536</v>
      </c>
      <c r="G14" s="65">
        <f>IF(SER_hh_fech_in!G14=0,0,SER_hh_fech_in!G14/SER_summary!G$27)</f>
        <v>98.97048555605852</v>
      </c>
      <c r="H14" s="65">
        <f>IF(SER_hh_fech_in!H14=0,0,SER_hh_fech_in!H14/SER_summary!H$27)</f>
        <v>96.247853712367984</v>
      </c>
      <c r="I14" s="65">
        <f>IF(SER_hh_fech_in!I14=0,0,SER_hh_fech_in!I14/SER_summary!I$27)</f>
        <v>93.303436669114163</v>
      </c>
      <c r="J14" s="65">
        <f>IF(SER_hh_fech_in!J14=0,0,SER_hh_fech_in!J14/SER_summary!J$27)</f>
        <v>90.168405297689361</v>
      </c>
      <c r="K14" s="65">
        <f>IF(SER_hh_fech_in!K14=0,0,SER_hh_fech_in!K14/SER_summary!K$27)</f>
        <v>94.000936045585945</v>
      </c>
      <c r="L14" s="65">
        <f>IF(SER_hh_fech_in!L14=0,0,SER_hh_fech_in!L14/SER_summary!L$27)</f>
        <v>91.829515615729747</v>
      </c>
      <c r="M14" s="65">
        <f>IF(SER_hh_fech_in!M14=0,0,SER_hh_fech_in!M14/SER_summary!M$27)</f>
        <v>86.475659278547937</v>
      </c>
      <c r="N14" s="65">
        <f>IF(SER_hh_fech_in!N14=0,0,SER_hh_fech_in!N14/SER_summary!N$27)</f>
        <v>82.78148618680828</v>
      </c>
      <c r="O14" s="65">
        <f>IF(SER_hh_fech_in!O14=0,0,SER_hh_fech_in!O14/SER_summary!O$27)</f>
        <v>83.62337576393557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53.514318166982733</v>
      </c>
      <c r="S14" s="65">
        <f>IF(SER_hh_fech_in!S14=0,0,SER_hh_fech_in!S14/SER_summary!S$27)</f>
        <v>55.728176131368365</v>
      </c>
      <c r="T14" s="65">
        <f>IF(SER_hh_fech_in!T14=0,0,SER_hh_fech_in!T14/SER_summary!T$27)</f>
        <v>55.82837165634205</v>
      </c>
      <c r="U14" s="65">
        <f>IF(SER_hh_fech_in!U14=0,0,SER_hh_fech_in!U14/SER_summary!U$27)</f>
        <v>44.356301410257807</v>
      </c>
      <c r="V14" s="65">
        <f>IF(SER_hh_fech_in!V14=0,0,SER_hh_fech_in!V14/SER_summary!V$27)</f>
        <v>35.385561290601224</v>
      </c>
      <c r="W14" s="65">
        <f>IF(SER_hh_fech_in!W14=0,0,SER_hh_fech_in!W14/SER_summary!W$27)</f>
        <v>34.264400127382345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1.2977770693110964</v>
      </c>
      <c r="D15" s="135">
        <f>IF(SER_hh_fech_in!D15=0,0,SER_hh_fech_in!D15/SER_summary!D$27)</f>
        <v>1.2511182749282559</v>
      </c>
      <c r="E15" s="135">
        <f>IF(SER_hh_fech_in!E15=0,0,SER_hh_fech_in!E15/SER_summary!E$27)</f>
        <v>1.4005708230228113</v>
      </c>
      <c r="F15" s="135">
        <f>IF(SER_hh_fech_in!F15=0,0,SER_hh_fech_in!F15/SER_summary!F$27)</f>
        <v>1.6122211565980782</v>
      </c>
      <c r="G15" s="135">
        <f>IF(SER_hh_fech_in!G15=0,0,SER_hh_fech_in!G15/SER_summary!G$27)</f>
        <v>1.3648020866798709</v>
      </c>
      <c r="H15" s="135">
        <f>IF(SER_hh_fech_in!H15=0,0,SER_hh_fech_in!H15/SER_summary!H$27)</f>
        <v>1.281535325132571</v>
      </c>
      <c r="I15" s="135">
        <f>IF(SER_hh_fech_in!I15=0,0,SER_hh_fech_in!I15/SER_summary!I$27)</f>
        <v>1.0820115123185041</v>
      </c>
      <c r="J15" s="135">
        <f>IF(SER_hh_fech_in!J15=0,0,SER_hh_fech_in!J15/SER_summary!J$27)</f>
        <v>1.1626806182301948</v>
      </c>
      <c r="K15" s="135">
        <f>IF(SER_hh_fech_in!K15=0,0,SER_hh_fech_in!K15/SER_summary!K$27)</f>
        <v>1.1806386355033291</v>
      </c>
      <c r="L15" s="135">
        <f>IF(SER_hh_fech_in!L15=0,0,SER_hh_fech_in!L15/SER_summary!L$27)</f>
        <v>1.4099878257129861</v>
      </c>
      <c r="M15" s="135">
        <f>IF(SER_hh_fech_in!M15=0,0,SER_hh_fech_in!M15/SER_summary!M$27)</f>
        <v>1.0702538568871265</v>
      </c>
      <c r="N15" s="135">
        <f>IF(SER_hh_fech_in!N15=0,0,SER_hh_fech_in!N15/SER_summary!N$27)</f>
        <v>1.1611673973708263</v>
      </c>
      <c r="O15" s="135">
        <f>IF(SER_hh_fech_in!O15=0,0,SER_hh_fech_in!O15/SER_summary!O$27)</f>
        <v>1.1226794125783583</v>
      </c>
      <c r="P15" s="135">
        <f>IF(SER_hh_fech_in!P15=0,0,SER_hh_fech_in!P15/SER_summary!P$27)</f>
        <v>0.80412790280908308</v>
      </c>
      <c r="Q15" s="135">
        <f>IF(SER_hh_fech_in!Q15=0,0,SER_hh_fech_in!Q15/SER_summary!Q$27)</f>
        <v>0.79885860853143142</v>
      </c>
      <c r="R15" s="135">
        <f>IF(SER_hh_fech_in!R15=0,0,SER_hh_fech_in!R15/SER_summary!R$27)</f>
        <v>0.71593216283831052</v>
      </c>
      <c r="S15" s="135">
        <f>IF(SER_hh_fech_in!S15=0,0,SER_hh_fech_in!S15/SER_summary!S$27)</f>
        <v>0.65509771539813011</v>
      </c>
      <c r="T15" s="135">
        <f>IF(SER_hh_fech_in!T15=0,0,SER_hh_fech_in!T15/SER_summary!T$27)</f>
        <v>0.62254046778870087</v>
      </c>
      <c r="U15" s="135">
        <f>IF(SER_hh_fech_in!U15=0,0,SER_hh_fech_in!U15/SER_summary!U$27)</f>
        <v>0.56378896658128008</v>
      </c>
      <c r="V15" s="135">
        <f>IF(SER_hh_fech_in!V15=0,0,SER_hh_fech_in!V15/SER_summary!V$27)</f>
        <v>0.49319315492406507</v>
      </c>
      <c r="W15" s="135">
        <f>IF(SER_hh_fech_in!W15=0,0,SER_hh_fech_in!W15/SER_summary!W$27)</f>
        <v>0.46272625868374512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11.130509495342393</v>
      </c>
      <c r="D16" s="131">
        <f>IF(SER_hh_fech_in!D16=0,0,SER_hh_fech_in!D16/SER_summary!D$27)</f>
        <v>10.582617707995444</v>
      </c>
      <c r="E16" s="131">
        <f>IF(SER_hh_fech_in!E16=0,0,SER_hh_fech_in!E16/SER_summary!E$27)</f>
        <v>11.121707129172185</v>
      </c>
      <c r="F16" s="131">
        <f>IF(SER_hh_fech_in!F16=0,0,SER_hh_fech_in!F16/SER_summary!F$27)</f>
        <v>9.7744364289999179</v>
      </c>
      <c r="G16" s="131">
        <f>IF(SER_hh_fech_in!G16=0,0,SER_hh_fech_in!G16/SER_summary!G$27)</f>
        <v>9.252681235502827</v>
      </c>
      <c r="H16" s="131">
        <f>IF(SER_hh_fech_in!H16=0,0,SER_hh_fech_in!H16/SER_summary!H$27)</f>
        <v>9.777495481856695</v>
      </c>
      <c r="I16" s="131">
        <f>IF(SER_hh_fech_in!I16=0,0,SER_hh_fech_in!I16/SER_summary!I$27)</f>
        <v>8.6380688717820711</v>
      </c>
      <c r="J16" s="131">
        <f>IF(SER_hh_fech_in!J16=0,0,SER_hh_fech_in!J16/SER_summary!J$27)</f>
        <v>8.3345740677296636</v>
      </c>
      <c r="K16" s="131">
        <f>IF(SER_hh_fech_in!K16=0,0,SER_hh_fech_in!K16/SER_summary!K$27)</f>
        <v>7.9816685680721289</v>
      </c>
      <c r="L16" s="131">
        <f>IF(SER_hh_fech_in!L16=0,0,SER_hh_fech_in!L16/SER_summary!L$27)</f>
        <v>7.8937531520534652</v>
      </c>
      <c r="M16" s="131">
        <f>IF(SER_hh_fech_in!M16=0,0,SER_hh_fech_in!M16/SER_summary!M$27)</f>
        <v>7.2876437637087763</v>
      </c>
      <c r="N16" s="131">
        <f>IF(SER_hh_fech_in!N16=0,0,SER_hh_fech_in!N16/SER_summary!N$27)</f>
        <v>6.9286427152723347</v>
      </c>
      <c r="O16" s="131">
        <f>IF(SER_hh_fech_in!O16=0,0,SER_hh_fech_in!O16/SER_summary!O$27)</f>
        <v>6.5708230368809515</v>
      </c>
      <c r="P16" s="131">
        <f>IF(SER_hh_fech_in!P16=0,0,SER_hh_fech_in!P16/SER_summary!P$27)</f>
        <v>6.1350686143317921</v>
      </c>
      <c r="Q16" s="131">
        <f>IF(SER_hh_fech_in!Q16=0,0,SER_hh_fech_in!Q16/SER_summary!Q$27)</f>
        <v>6.1004010796610437</v>
      </c>
      <c r="R16" s="131">
        <f>IF(SER_hh_fech_in!R16=0,0,SER_hh_fech_in!R16/SER_summary!R$27)</f>
        <v>5.6403047356906706</v>
      </c>
      <c r="S16" s="131">
        <f>IF(SER_hh_fech_in!S16=0,0,SER_hh_fech_in!S16/SER_summary!S$27)</f>
        <v>5.1909939641552825</v>
      </c>
      <c r="T16" s="131">
        <f>IF(SER_hh_fech_in!T16=0,0,SER_hh_fech_in!T16/SER_summary!T$27)</f>
        <v>5.3652263414370704</v>
      </c>
      <c r="U16" s="131">
        <f>IF(SER_hh_fech_in!U16=0,0,SER_hh_fech_in!U16/SER_summary!U$27)</f>
        <v>5.0409798100226366</v>
      </c>
      <c r="V16" s="131">
        <f>IF(SER_hh_fech_in!V16=0,0,SER_hh_fech_in!V16/SER_summary!V$27)</f>
        <v>4.9351712001974848</v>
      </c>
      <c r="W16" s="131">
        <f>IF(SER_hh_fech_in!W16=0,0,SER_hh_fech_in!W16/SER_summary!W$27)</f>
        <v>3.7017426703674765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21.218898148937356</v>
      </c>
      <c r="D17" s="133">
        <f>IF(SER_hh_fech_in!D17=0,0,SER_hh_fech_in!D17/SER_summary!D$27)</f>
        <v>20.78051189584939</v>
      </c>
      <c r="E17" s="133">
        <f>IF(SER_hh_fech_in!E17=0,0,SER_hh_fech_in!E17/SER_summary!E$27)</f>
        <v>22.537355356036482</v>
      </c>
      <c r="F17" s="133">
        <f>IF(SER_hh_fech_in!F17=0,0,SER_hh_fech_in!F17/SER_summary!F$27)</f>
        <v>20.323771500261877</v>
      </c>
      <c r="G17" s="133">
        <f>IF(SER_hh_fech_in!G17=0,0,SER_hh_fech_in!G17/SER_summary!G$27)</f>
        <v>19.87268105544058</v>
      </c>
      <c r="H17" s="133">
        <f>IF(SER_hh_fech_in!H17=0,0,SER_hh_fech_in!H17/SER_summary!H$27)</f>
        <v>21.623754487597871</v>
      </c>
      <c r="I17" s="133">
        <f>IF(SER_hh_fech_in!I17=0,0,SER_hh_fech_in!I17/SER_summary!I$27)</f>
        <v>19.666418311931537</v>
      </c>
      <c r="J17" s="133">
        <f>IF(SER_hh_fech_in!J17=0,0,SER_hh_fech_in!J17/SER_summary!J$27)</f>
        <v>19.504553053357238</v>
      </c>
      <c r="K17" s="133">
        <f>IF(SER_hh_fech_in!K17=0,0,SER_hh_fech_in!K17/SER_summary!K$27)</f>
        <v>19.184898602570929</v>
      </c>
      <c r="L17" s="133">
        <f>IF(SER_hh_fech_in!L17=0,0,SER_hh_fech_in!L17/SER_summary!L$27)</f>
        <v>19.500148928665414</v>
      </c>
      <c r="M17" s="133">
        <f>IF(SER_hh_fech_in!M17=0,0,SER_hh_fech_in!M17/SER_summary!M$27)</f>
        <v>18.497439038195282</v>
      </c>
      <c r="N17" s="133">
        <f>IF(SER_hh_fech_in!N17=0,0,SER_hh_fech_in!N17/SER_summary!N$27)</f>
        <v>17.99735499000403</v>
      </c>
      <c r="O17" s="133">
        <f>IF(SER_hh_fech_in!O17=0,0,SER_hh_fech_in!O17/SER_summary!O$27)</f>
        <v>17.332426901788239</v>
      </c>
      <c r="P17" s="133">
        <f>IF(SER_hh_fech_in!P17=0,0,SER_hh_fech_in!P17/SER_summary!P$27)</f>
        <v>16.269471046029977</v>
      </c>
      <c r="Q17" s="133">
        <f>IF(SER_hh_fech_in!Q17=0,0,SER_hh_fech_in!Q17/SER_summary!Q$27)</f>
        <v>16.122192647461212</v>
      </c>
      <c r="R17" s="133">
        <f>IF(SER_hh_fech_in!R17=0,0,SER_hh_fech_in!R17/SER_summary!R$27)</f>
        <v>15.182972088827444</v>
      </c>
      <c r="S17" s="133">
        <f>IF(SER_hh_fech_in!S17=0,0,SER_hh_fech_in!S17/SER_summary!S$27)</f>
        <v>14.818677745489209</v>
      </c>
      <c r="T17" s="133">
        <f>IF(SER_hh_fech_in!T17=0,0,SER_hh_fech_in!T17/SER_summary!T$27)</f>
        <v>14.592383243696801</v>
      </c>
      <c r="U17" s="133">
        <f>IF(SER_hh_fech_in!U17=0,0,SER_hh_fech_in!U17/SER_summary!U$27)</f>
        <v>13.39589255937752</v>
      </c>
      <c r="V17" s="133">
        <f>IF(SER_hh_fech_in!V17=0,0,SER_hh_fech_in!V17/SER_summary!V$27)</f>
        <v>12.870281414660877</v>
      </c>
      <c r="W17" s="133">
        <f>IF(SER_hh_fech_in!W17=0,0,SER_hh_fech_in!W17/SER_summary!W$27)</f>
        <v>11.946556637989627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11.101706458901008</v>
      </c>
      <c r="D18" s="133">
        <f>IF(SER_hh_fech_in!D18=0,0,SER_hh_fech_in!D18/SER_summary!D$27)</f>
        <v>10.538779383115541</v>
      </c>
      <c r="E18" s="133">
        <f>IF(SER_hh_fech_in!E18=0,0,SER_hh_fech_in!E18/SER_summary!E$27)</f>
        <v>11.086012160393095</v>
      </c>
      <c r="F18" s="133">
        <f>IF(SER_hh_fech_in!F18=0,0,SER_hh_fech_in!F18/SER_summary!F$27)</f>
        <v>9.7000150891617185</v>
      </c>
      <c r="G18" s="133">
        <f>IF(SER_hh_fech_in!G18=0,0,SER_hh_fech_in!G18/SER_summary!G$27)</f>
        <v>9.2027793559782545</v>
      </c>
      <c r="H18" s="133">
        <f>IF(SER_hh_fech_in!H18=0,0,SER_hh_fech_in!H18/SER_summary!H$27)</f>
        <v>9.7031113582410864</v>
      </c>
      <c r="I18" s="133">
        <f>IF(SER_hh_fech_in!I18=0,0,SER_hh_fech_in!I18/SER_summary!I$27)</f>
        <v>8.5565676904260108</v>
      </c>
      <c r="J18" s="133">
        <f>IF(SER_hh_fech_in!J18=0,0,SER_hh_fech_in!J18/SER_summary!J$27)</f>
        <v>8.2506269272059161</v>
      </c>
      <c r="K18" s="133">
        <f>IF(SER_hh_fech_in!K18=0,0,SER_hh_fech_in!K18/SER_summary!K$27)</f>
        <v>7.898608914787693</v>
      </c>
      <c r="L18" s="133">
        <f>IF(SER_hh_fech_in!L18=0,0,SER_hh_fech_in!L18/SER_summary!L$27)</f>
        <v>7.8121682086088899</v>
      </c>
      <c r="M18" s="133">
        <f>IF(SER_hh_fech_in!M18=0,0,SER_hh_fech_in!M18/SER_summary!M$27)</f>
        <v>7.1951327379172652</v>
      </c>
      <c r="N18" s="133">
        <f>IF(SER_hh_fech_in!N18=0,0,SER_hh_fech_in!N18/SER_summary!N$27)</f>
        <v>6.8033017866452203</v>
      </c>
      <c r="O18" s="133">
        <f>IF(SER_hh_fech_in!O18=0,0,SER_hh_fech_in!O18/SER_summary!O$27)</f>
        <v>6.3785893827248312</v>
      </c>
      <c r="P18" s="133">
        <f>IF(SER_hh_fech_in!P18=0,0,SER_hh_fech_in!P18/SER_summary!P$27)</f>
        <v>5.850248239873185</v>
      </c>
      <c r="Q18" s="133">
        <f>IF(SER_hh_fech_in!Q18=0,0,SER_hh_fech_in!Q18/SER_summary!Q$27)</f>
        <v>5.7445375881637579</v>
      </c>
      <c r="R18" s="133">
        <f>IF(SER_hh_fech_in!R18=0,0,SER_hh_fech_in!R18/SER_summary!R$27)</f>
        <v>5.2883016643663483</v>
      </c>
      <c r="S18" s="133">
        <f>IF(SER_hh_fech_in!S18=0,0,SER_hh_fech_in!S18/SER_summary!S$27)</f>
        <v>4.9108726085162635</v>
      </c>
      <c r="T18" s="133">
        <f>IF(SER_hh_fech_in!T18=0,0,SER_hh_fech_in!T18/SER_summary!T$27)</f>
        <v>5.148844803974983</v>
      </c>
      <c r="U18" s="133">
        <f>IF(SER_hh_fech_in!U18=0,0,SER_hh_fech_in!U18/SER_summary!U$27)</f>
        <v>4.7837458044133836</v>
      </c>
      <c r="V18" s="133">
        <f>IF(SER_hh_fech_in!V18=0,0,SER_hh_fech_in!V18/SER_summary!V$27)</f>
        <v>4.6226781504561698</v>
      </c>
      <c r="W18" s="133">
        <f>IF(SER_hh_fech_in!W18=0,0,SER_hh_fech_in!W18/SER_summary!W$27)</f>
        <v>3.580158691670015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23.611534347100864</v>
      </c>
      <c r="D19" s="131">
        <f>IF(SER_hh_fech_in!D19=0,0,SER_hh_fech_in!D19/SER_summary!D$27)</f>
        <v>23.268066356252838</v>
      </c>
      <c r="E19" s="131">
        <f>IF(SER_hh_fech_in!E19=0,0,SER_hh_fech_in!E19/SER_summary!E$27)</f>
        <v>22.696326963863569</v>
      </c>
      <c r="F19" s="131">
        <f>IF(SER_hh_fech_in!F19=0,0,SER_hh_fech_in!F19/SER_summary!F$27)</f>
        <v>22.33332136659379</v>
      </c>
      <c r="G19" s="131">
        <f>IF(SER_hh_fech_in!G19=0,0,SER_hh_fech_in!G19/SER_summary!G$27)</f>
        <v>22.231801109434929</v>
      </c>
      <c r="H19" s="131">
        <f>IF(SER_hh_fech_in!H19=0,0,SER_hh_fech_in!H19/SER_summary!H$27)</f>
        <v>21.605347373530535</v>
      </c>
      <c r="I19" s="131">
        <f>IF(SER_hh_fech_in!I19=0,0,SER_hh_fech_in!I19/SER_summary!I$27)</f>
        <v>20.636786025994379</v>
      </c>
      <c r="J19" s="131">
        <f>IF(SER_hh_fech_in!J19=0,0,SER_hh_fech_in!J19/SER_summary!J$27)</f>
        <v>20.328350494436528</v>
      </c>
      <c r="K19" s="131">
        <f>IF(SER_hh_fech_in!K19=0,0,SER_hh_fech_in!K19/SER_summary!K$27)</f>
        <v>19.334172069801479</v>
      </c>
      <c r="L19" s="131">
        <f>IF(SER_hh_fech_in!L19=0,0,SER_hh_fech_in!L19/SER_summary!L$27)</f>
        <v>20.01960649854276</v>
      </c>
      <c r="M19" s="131">
        <f>IF(SER_hh_fech_in!M19=0,0,SER_hh_fech_in!M19/SER_summary!M$27)</f>
        <v>19.197460883331285</v>
      </c>
      <c r="N19" s="131">
        <f>IF(SER_hh_fech_in!N19=0,0,SER_hh_fech_in!N19/SER_summary!N$27)</f>
        <v>19.191443233197226</v>
      </c>
      <c r="O19" s="131">
        <f>IF(SER_hh_fech_in!O19=0,0,SER_hh_fech_in!O19/SER_summary!O$27)</f>
        <v>18.064215185146907</v>
      </c>
      <c r="P19" s="131">
        <f>IF(SER_hh_fech_in!P19=0,0,SER_hh_fech_in!P19/SER_summary!P$27)</f>
        <v>17.494391002175959</v>
      </c>
      <c r="Q19" s="131">
        <f>IF(SER_hh_fech_in!Q19=0,0,SER_hh_fech_in!Q19/SER_summary!Q$27)</f>
        <v>17.091829244871704</v>
      </c>
      <c r="R19" s="131">
        <f>IF(SER_hh_fech_in!R19=0,0,SER_hh_fech_in!R19/SER_summary!R$27)</f>
        <v>16.524687340077318</v>
      </c>
      <c r="S19" s="131">
        <f>IF(SER_hh_fech_in!S19=0,0,SER_hh_fech_in!S19/SER_summary!S$27)</f>
        <v>16.335632298633097</v>
      </c>
      <c r="T19" s="131">
        <f>IF(SER_hh_fech_in!T19=0,0,SER_hh_fech_in!T19/SER_summary!T$27)</f>
        <v>15.721258265987029</v>
      </c>
      <c r="U19" s="131">
        <f>IF(SER_hh_fech_in!U19=0,0,SER_hh_fech_in!U19/SER_summary!U$27)</f>
        <v>15.136162512794224</v>
      </c>
      <c r="V19" s="131">
        <f>IF(SER_hh_fech_in!V19=0,0,SER_hh_fech_in!V19/SER_summary!V$27)</f>
        <v>14.7629209482202</v>
      </c>
      <c r="W19" s="131">
        <f>IF(SER_hh_fech_in!W19=0,0,SER_hh_fech_in!W19/SER_summary!W$27)</f>
        <v>14.376621160560621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28.378176246298217</v>
      </c>
      <c r="D22" s="133">
        <f>IF(SER_hh_fech_in!D22=0,0,SER_hh_fech_in!D22/SER_summary!D$27)</f>
        <v>27.623070172955082</v>
      </c>
      <c r="E22" s="133">
        <f>IF(SER_hh_fech_in!E22=0,0,SER_hh_fech_in!E22/SER_summary!E$27)</f>
        <v>27.427517697279239</v>
      </c>
      <c r="F22" s="133">
        <f>IF(SER_hh_fech_in!F22=0,0,SER_hh_fech_in!F22/SER_summary!F$27)</f>
        <v>26.986521776450687</v>
      </c>
      <c r="G22" s="133">
        <f>IF(SER_hh_fech_in!G22=0,0,SER_hh_fech_in!G22/SER_summary!G$27)</f>
        <v>26.877416391700539</v>
      </c>
      <c r="H22" s="133">
        <f>IF(SER_hh_fech_in!H22=0,0,SER_hh_fech_in!H22/SER_summary!H$27)</f>
        <v>26.073480865331671</v>
      </c>
      <c r="I22" s="133">
        <f>IF(SER_hh_fech_in!I22=0,0,SER_hh_fech_in!I22/SER_summary!I$27)</f>
        <v>25.217107890260198</v>
      </c>
      <c r="J22" s="133">
        <f>IF(SER_hh_fech_in!J22=0,0,SER_hh_fech_in!J22/SER_summary!J$27)</f>
        <v>24.985731637988167</v>
      </c>
      <c r="K22" s="133">
        <f>IF(SER_hh_fech_in!K22=0,0,SER_hh_fech_in!K22/SER_summary!K$27)</f>
        <v>23.771499319840359</v>
      </c>
      <c r="L22" s="133">
        <f>IF(SER_hh_fech_in!L22=0,0,SER_hh_fech_in!L22/SER_summary!L$27)</f>
        <v>23.9629447279967</v>
      </c>
      <c r="M22" s="133">
        <f>IF(SER_hh_fech_in!M22=0,0,SER_hh_fech_in!M22/SER_summary!M$27)</f>
        <v>22.983478354022594</v>
      </c>
      <c r="N22" s="133">
        <f>IF(SER_hh_fech_in!N22=0,0,SER_hh_fech_in!N22/SER_summary!N$27)</f>
        <v>22.388465775523326</v>
      </c>
      <c r="O22" s="133">
        <f>IF(SER_hh_fech_in!O22=0,0,SER_hh_fech_in!O22/SER_summary!O$27)</f>
        <v>21.07287778977685</v>
      </c>
      <c r="P22" s="133">
        <f>IF(SER_hh_fech_in!P22=0,0,SER_hh_fech_in!P22/SER_summary!P$27)</f>
        <v>20.188939989815317</v>
      </c>
      <c r="Q22" s="133">
        <f>IF(SER_hh_fech_in!Q22=0,0,SER_hh_fech_in!Q22/SER_summary!Q$27)</f>
        <v>19.396755343709597</v>
      </c>
      <c r="R22" s="133">
        <f>IF(SER_hh_fech_in!R22=0,0,SER_hh_fech_in!R22/SER_summary!R$27)</f>
        <v>18.449517588316596</v>
      </c>
      <c r="S22" s="133">
        <f>IF(SER_hh_fech_in!S22=0,0,SER_hh_fech_in!S22/SER_summary!S$27)</f>
        <v>17.810980447633732</v>
      </c>
      <c r="T22" s="133">
        <f>IF(SER_hh_fech_in!T22=0,0,SER_hh_fech_in!T22/SER_summary!T$27)</f>
        <v>17.513391884905168</v>
      </c>
      <c r="U22" s="133">
        <f>IF(SER_hh_fech_in!U22=0,0,SER_hh_fech_in!U22/SER_summary!U$27)</f>
        <v>17.085148644951342</v>
      </c>
      <c r="V22" s="133">
        <f>IF(SER_hh_fech_in!V22=0,0,SER_hh_fech_in!V22/SER_summary!V$27)</f>
        <v>16.171975259565674</v>
      </c>
      <c r="W22" s="133">
        <f>IF(SER_hh_fech_in!W22=0,0,SER_hh_fech_in!W22/SER_summary!W$27)</f>
        <v>16.147666705470996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25.72868287523146</v>
      </c>
      <c r="D23" s="133">
        <f>IF(SER_hh_fech_in!D23=0,0,SER_hh_fech_in!D23/SER_summary!D$27)</f>
        <v>26.194937064516189</v>
      </c>
      <c r="E23" s="133">
        <f>IF(SER_hh_fech_in!E23=0,0,SER_hh_fech_in!E23/SER_summary!E$27)</f>
        <v>25.04155579974174</v>
      </c>
      <c r="F23" s="133">
        <f>IF(SER_hh_fech_in!F23=0,0,SER_hh_fech_in!F23/SER_summary!F$27)</f>
        <v>24.234944578212364</v>
      </c>
      <c r="G23" s="133">
        <f>IF(SER_hh_fech_in!G23=0,0,SER_hh_fech_in!G23/SER_summary!G$27)</f>
        <v>24.029111273101215</v>
      </c>
      <c r="H23" s="133">
        <f>IF(SER_hh_fech_in!H23=0,0,SER_hh_fech_in!H23/SER_summary!H$27)</f>
        <v>23.537882139245557</v>
      </c>
      <c r="I23" s="133">
        <f>IF(SER_hh_fech_in!I23=0,0,SER_hh_fech_in!I23/SER_summary!I$27)</f>
        <v>22.450002068579703</v>
      </c>
      <c r="J23" s="133">
        <f>IF(SER_hh_fech_in!J23=0,0,SER_hh_fech_in!J23/SER_summary!J$27)</f>
        <v>21.856187954473342</v>
      </c>
      <c r="K23" s="133">
        <f>IF(SER_hh_fech_in!K23=0,0,SER_hh_fech_in!K23/SER_summary!K$27)</f>
        <v>20.829892007901897</v>
      </c>
      <c r="L23" s="133">
        <f>IF(SER_hh_fech_in!L23=0,0,SER_hh_fech_in!L23/SER_summary!L$27)</f>
        <v>21.070181827307103</v>
      </c>
      <c r="M23" s="133">
        <f>IF(SER_hh_fech_in!M23=0,0,SER_hh_fech_in!M23/SER_summary!M$27)</f>
        <v>19.877457329845342</v>
      </c>
      <c r="N23" s="133">
        <f>IF(SER_hh_fech_in!N23=0,0,SER_hh_fech_in!N23/SER_summary!N$27)</f>
        <v>20.175995476167703</v>
      </c>
      <c r="O23" s="133">
        <f>IF(SER_hh_fech_in!O23=0,0,SER_hh_fech_in!O23/SER_summary!O$27)</f>
        <v>19.387442950404974</v>
      </c>
      <c r="P23" s="133">
        <f>IF(SER_hh_fech_in!P23=0,0,SER_hh_fech_in!P23/SER_summary!P$27)</f>
        <v>18.127363186753783</v>
      </c>
      <c r="Q23" s="133">
        <f>IF(SER_hh_fech_in!Q23=0,0,SER_hh_fech_in!Q23/SER_summary!Q$27)</f>
        <v>17.239566738842942</v>
      </c>
      <c r="R23" s="133">
        <f>IF(SER_hh_fech_in!R23=0,0,SER_hh_fech_in!R23/SER_summary!R$27)</f>
        <v>16.658022069107613</v>
      </c>
      <c r="S23" s="133">
        <f>IF(SER_hh_fech_in!S23=0,0,SER_hh_fech_in!S23/SER_summary!S$27)</f>
        <v>17.005260389755318</v>
      </c>
      <c r="T23" s="133">
        <f>IF(SER_hh_fech_in!T23=0,0,SER_hh_fech_in!T23/SER_summary!T$27)</f>
        <v>16.834030199223982</v>
      </c>
      <c r="U23" s="133">
        <f>IF(SER_hh_fech_in!U23=0,0,SER_hh_fech_in!U23/SER_summary!U$27)</f>
        <v>16.606557539018898</v>
      </c>
      <c r="V23" s="133">
        <f>IF(SER_hh_fech_in!V23=0,0,SER_hh_fech_in!V23/SER_summary!V$27)</f>
        <v>14.668865812401048</v>
      </c>
      <c r="W23" s="133">
        <f>IF(SER_hh_fech_in!W23=0,0,SER_hh_fech_in!W23/SER_summary!W$27)</f>
        <v>15.199626183462161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18.588527333664814</v>
      </c>
      <c r="D25" s="133">
        <f>IF(SER_hh_fech_in!D25=0,0,SER_hh_fech_in!D25/SER_summary!D$27)</f>
        <v>18.300903941223055</v>
      </c>
      <c r="E25" s="133">
        <f>IF(SER_hh_fech_in!E25=0,0,SER_hh_fech_in!E25/SER_summary!E$27)</f>
        <v>18.138103670426322</v>
      </c>
      <c r="F25" s="133">
        <f>IF(SER_hh_fech_in!F25=0,0,SER_hh_fech_in!F25/SER_summary!F$27)</f>
        <v>17.641727142027108</v>
      </c>
      <c r="G25" s="133">
        <f>IF(SER_hh_fech_in!G25=0,0,SER_hh_fech_in!G25/SER_summary!G$27)</f>
        <v>17.647932012909408</v>
      </c>
      <c r="H25" s="133">
        <f>IF(SER_hh_fech_in!H25=0,0,SER_hh_fech_in!H25/SER_summary!H$27)</f>
        <v>17.289569700255253</v>
      </c>
      <c r="I25" s="133">
        <f>IF(SER_hh_fech_in!I25=0,0,SER_hh_fech_in!I25/SER_summary!I$27)</f>
        <v>16.829468270059806</v>
      </c>
      <c r="J25" s="133">
        <f>IF(SER_hh_fech_in!J25=0,0,SER_hh_fech_in!J25/SER_summary!J$27)</f>
        <v>16.499804359095986</v>
      </c>
      <c r="K25" s="133">
        <f>IF(SER_hh_fech_in!K25=0,0,SER_hh_fech_in!K25/SER_summary!K$27)</f>
        <v>16.015901822354099</v>
      </c>
      <c r="L25" s="133">
        <f>IF(SER_hh_fech_in!L25=0,0,SER_hh_fech_in!L25/SER_summary!L$27)</f>
        <v>16.416601169889393</v>
      </c>
      <c r="M25" s="133">
        <f>IF(SER_hh_fech_in!M25=0,0,SER_hh_fech_in!M25/SER_summary!M$27)</f>
        <v>16.059280461857391</v>
      </c>
      <c r="N25" s="133">
        <f>IF(SER_hh_fech_in!N25=0,0,SER_hh_fech_in!N25/SER_summary!N$27)</f>
        <v>16.05192352768265</v>
      </c>
      <c r="O25" s="133">
        <f>IF(SER_hh_fech_in!O25=0,0,SER_hh_fech_in!O25/SER_summary!O$27)</f>
        <v>15.533156750052115</v>
      </c>
      <c r="P25" s="133">
        <f>IF(SER_hh_fech_in!P25=0,0,SER_hh_fech_in!P25/SER_summary!P$27)</f>
        <v>0</v>
      </c>
      <c r="Q25" s="133">
        <f>IF(SER_hh_fech_in!Q25=0,0,SER_hh_fech_in!Q25/SER_summary!Q$27)</f>
        <v>15.165014012371069</v>
      </c>
      <c r="R25" s="133">
        <f>IF(SER_hh_fech_in!R25=0,0,SER_hh_fech_in!R25/SER_summary!R$27)</f>
        <v>14.944279577097008</v>
      </c>
      <c r="S25" s="133">
        <f>IF(SER_hh_fech_in!S25=0,0,SER_hh_fech_in!S25/SER_summary!S$27)</f>
        <v>14.801661340736043</v>
      </c>
      <c r="T25" s="133">
        <f>IF(SER_hh_fech_in!T25=0,0,SER_hh_fech_in!T25/SER_summary!T$27)</f>
        <v>14.927256787293196</v>
      </c>
      <c r="U25" s="133">
        <f>IF(SER_hh_fech_in!U25=0,0,SER_hh_fech_in!U25/SER_summary!U$27)</f>
        <v>14.67720893264779</v>
      </c>
      <c r="V25" s="133">
        <f>IF(SER_hh_fech_in!V25=0,0,SER_hh_fech_in!V25/SER_summary!V$27)</f>
        <v>14.199648753998311</v>
      </c>
      <c r="W25" s="133">
        <f>IF(SER_hh_fech_in!W25=0,0,SER_hh_fech_in!W25/SER_summary!W$27)</f>
        <v>13.779975387329225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21.782171863913085</v>
      </c>
      <c r="D26" s="65">
        <f>IF(SER_hh_fech_in!D26=0,0,SER_hh_fech_in!D26/SER_summary!D$27)</f>
        <v>18.62727186504636</v>
      </c>
      <c r="E26" s="65">
        <f>IF(SER_hh_fech_in!E26=0,0,SER_hh_fech_in!E26/SER_summary!E$27)</f>
        <v>19.207187871946168</v>
      </c>
      <c r="F26" s="65">
        <f>IF(SER_hh_fech_in!F26=0,0,SER_hh_fech_in!F26/SER_summary!F$27)</f>
        <v>16.574990421411819</v>
      </c>
      <c r="G26" s="65">
        <f>IF(SER_hh_fech_in!G26=0,0,SER_hh_fech_in!G26/SER_summary!G$27)</f>
        <v>20.154612119242049</v>
      </c>
      <c r="H26" s="65">
        <f>IF(SER_hh_fech_in!H26=0,0,SER_hh_fech_in!H26/SER_summary!H$27)</f>
        <v>20.087303219233799</v>
      </c>
      <c r="I26" s="65">
        <f>IF(SER_hh_fech_in!I26=0,0,SER_hh_fech_in!I26/SER_summary!I$27)</f>
        <v>18.895187529324279</v>
      </c>
      <c r="J26" s="65">
        <f>IF(SER_hh_fech_in!J26=0,0,SER_hh_fech_in!J26/SER_summary!J$27)</f>
        <v>19.448632493114289</v>
      </c>
      <c r="K26" s="65">
        <f>IF(SER_hh_fech_in!K26=0,0,SER_hh_fech_in!K26/SER_summary!K$27)</f>
        <v>10.074220709894133</v>
      </c>
      <c r="L26" s="65">
        <f>IF(SER_hh_fech_in!L26=0,0,SER_hh_fech_in!L26/SER_summary!L$27)</f>
        <v>19.463036785974321</v>
      </c>
      <c r="M26" s="65">
        <f>IF(SER_hh_fech_in!M26=0,0,SER_hh_fech_in!M26/SER_summary!M$27)</f>
        <v>16.221946758894727</v>
      </c>
      <c r="N26" s="65">
        <f>IF(SER_hh_fech_in!N26=0,0,SER_hh_fech_in!N26/SER_summary!N$27)</f>
        <v>16.520478453830915</v>
      </c>
      <c r="O26" s="65">
        <f>IF(SER_hh_fech_in!O26=0,0,SER_hh_fech_in!O26/SER_summary!O$27)</f>
        <v>11.971423603620655</v>
      </c>
      <c r="P26" s="65">
        <f>IF(SER_hh_fech_in!P26=0,0,SER_hh_fech_in!P26/SER_summary!P$27)</f>
        <v>13.32412932596595</v>
      </c>
      <c r="Q26" s="65">
        <f>IF(SER_hh_fech_in!Q26=0,0,SER_hh_fech_in!Q26/SER_summary!Q$27)</f>
        <v>16.185007756471251</v>
      </c>
      <c r="R26" s="65">
        <f>IF(SER_hh_fech_in!R26=0,0,SER_hh_fech_in!R26/SER_summary!R$27)</f>
        <v>13.556868113698636</v>
      </c>
      <c r="S26" s="65">
        <f>IF(SER_hh_fech_in!S26=0,0,SER_hh_fech_in!S26/SER_summary!S$27)</f>
        <v>13.987646057836036</v>
      </c>
      <c r="T26" s="65">
        <f>IF(SER_hh_fech_in!T26=0,0,SER_hh_fech_in!T26/SER_summary!T$27)</f>
        <v>14.168671247223029</v>
      </c>
      <c r="U26" s="65">
        <f>IF(SER_hh_fech_in!U26=0,0,SER_hh_fech_in!U26/SER_summary!U$27)</f>
        <v>13.635340322902339</v>
      </c>
      <c r="V26" s="65">
        <f>IF(SER_hh_fech_in!V26=0,0,SER_hh_fech_in!V26/SER_summary!V$27)</f>
        <v>13.511987555674251</v>
      </c>
      <c r="W26" s="65">
        <f>IF(SER_hh_fech_in!W26=0,0,SER_hh_fech_in!W26/SER_summary!W$27)</f>
        <v>13.069973666890828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0.37020694843392976</v>
      </c>
      <c r="D27" s="146">
        <f>IF(SER_hh_fech_in!D27=0,0,SER_hh_fech_in!D27/SER_summary!D$27)</f>
        <v>1.4333556814804187</v>
      </c>
      <c r="E27" s="146">
        <f>IF(SER_hh_fech_in!E27=0,0,SER_hh_fech_in!E27/SER_summary!E$27)</f>
        <v>1.3282570437939316</v>
      </c>
      <c r="F27" s="146">
        <f>IF(SER_hh_fech_in!F27=0,0,SER_hh_fech_in!F27/SER_summary!F$27)</f>
        <v>2.4650598622556528</v>
      </c>
      <c r="G27" s="146">
        <f>IF(SER_hh_fech_in!G27=0,0,SER_hh_fech_in!G27/SER_summary!G$27)</f>
        <v>0.75843192648713076</v>
      </c>
      <c r="H27" s="146">
        <f>IF(SER_hh_fech_in!H27=0,0,SER_hh_fech_in!H27/SER_summary!H$27)</f>
        <v>0.38554049889516651</v>
      </c>
      <c r="I27" s="146">
        <f>IF(SER_hh_fech_in!I27=0,0,SER_hh_fech_in!I27/SER_summary!I$27)</f>
        <v>0.61193235294641757</v>
      </c>
      <c r="J27" s="146">
        <f>IF(SER_hh_fech_in!J27=0,0,SER_hh_fech_in!J27/SER_summary!J$27)</f>
        <v>9.8319431385061051E-2</v>
      </c>
      <c r="K27" s="146">
        <f>IF(SER_hh_fech_in!K27=0,0,SER_hh_fech_in!K27/SER_summary!K$27)</f>
        <v>3.6888376771313856</v>
      </c>
      <c r="L27" s="146">
        <f>IF(SER_hh_fech_in!L27=0,0,SER_hh_fech_in!L27/SER_summary!L$27)</f>
        <v>3.3577971542444909E-15</v>
      </c>
      <c r="M27" s="146">
        <f>IF(SER_hh_fech_in!M27=0,0,SER_hh_fech_in!M27/SER_summary!M$27)</f>
        <v>1.2902393356870183</v>
      </c>
      <c r="N27" s="146">
        <f>IF(SER_hh_fech_in!N27=0,0,SER_hh_fech_in!N27/SER_summary!N$27)</f>
        <v>0.81459887741394066</v>
      </c>
      <c r="O27" s="146">
        <f>IF(SER_hh_fech_in!O27=0,0,SER_hh_fech_in!O27/SER_summary!O$27)</f>
        <v>2.8244066642627521</v>
      </c>
      <c r="P27" s="146">
        <f>IF(SER_hh_fech_in!P27=0,0,SER_hh_fech_in!P27/SER_summary!P$27)</f>
        <v>2.9580750496832535</v>
      </c>
      <c r="Q27" s="146">
        <f>IF(SER_hh_fech_in!Q27=0,0,SER_hh_fech_in!Q27/SER_summary!Q$27)</f>
        <v>0.56280455164266308</v>
      </c>
      <c r="R27" s="146">
        <f>IF(SER_hh_fech_in!R27=0,0,SER_hh_fech_in!R27/SER_summary!R$27)</f>
        <v>1.4520414272255937</v>
      </c>
      <c r="S27" s="146">
        <f>IF(SER_hh_fech_in!S27=0,0,SER_hh_fech_in!S27/SER_summary!S$27)</f>
        <v>0.83041224471606101</v>
      </c>
      <c r="T27" s="146">
        <f>IF(SER_hh_fech_in!T27=0,0,SER_hh_fech_in!T27/SER_summary!T$27)</f>
        <v>0.61769416846990777</v>
      </c>
      <c r="U27" s="146">
        <f>IF(SER_hh_fech_in!U27=0,0,SER_hh_fech_in!U27/SER_summary!U$27)</f>
        <v>0.82517219567279043</v>
      </c>
      <c r="V27" s="146">
        <f>IF(SER_hh_fech_in!V27=0,0,SER_hh_fech_in!V27/SER_summary!V$27)</f>
        <v>1.0975255371641905</v>
      </c>
      <c r="W27" s="146">
        <f>IF(SER_hh_fech_in!W27=0,0,SER_hh_fech_in!W27/SER_summary!W$27)</f>
        <v>0.73968872604519487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8.6368348461783153</v>
      </c>
      <c r="D28" s="147">
        <f>IF(SER_hh_fech_in!D28=0,0,SER_hh_fech_in!D28/SER_summary!D$27)</f>
        <v>8.1915893390462013</v>
      </c>
      <c r="E28" s="147">
        <f>IF(SER_hh_fech_in!E28=0,0,SER_hh_fech_in!E28/SER_summary!E$27)</f>
        <v>8.3030586900312944</v>
      </c>
      <c r="F28" s="147">
        <f>IF(SER_hh_fech_in!F28=0,0,SER_hh_fech_in!F28/SER_summary!F$27)</f>
        <v>8.3129807763178665</v>
      </c>
      <c r="G28" s="147">
        <f>IF(SER_hh_fech_in!G28=0,0,SER_hh_fech_in!G28/SER_summary!G$27)</f>
        <v>8.0655552503008057</v>
      </c>
      <c r="H28" s="147">
        <f>IF(SER_hh_fech_in!H28=0,0,SER_hh_fech_in!H28/SER_summary!H$27)</f>
        <v>7.9919607477681991</v>
      </c>
      <c r="I28" s="147">
        <f>IF(SER_hh_fech_in!I28=0,0,SER_hh_fech_in!I28/SER_summary!I$27)</f>
        <v>7.2275385961190981</v>
      </c>
      <c r="J28" s="147">
        <f>IF(SER_hh_fech_in!J28=0,0,SER_hh_fech_in!J28/SER_summary!J$27)</f>
        <v>7.8477647738566079</v>
      </c>
      <c r="K28" s="147">
        <f>IF(SER_hh_fech_in!K28=0,0,SER_hh_fech_in!K28/SER_summary!K$27)</f>
        <v>7.6561073565833153</v>
      </c>
      <c r="L28" s="147">
        <f>IF(SER_hh_fech_in!L28=0,0,SER_hh_fech_in!L28/SER_summary!L$27)</f>
        <v>8.6601447838531058</v>
      </c>
      <c r="M28" s="147">
        <f>IF(SER_hh_fech_in!M28=0,0,SER_hh_fech_in!M28/SER_summary!M$27)</f>
        <v>8.0397464472583895</v>
      </c>
      <c r="N28" s="147">
        <f>IF(SER_hh_fech_in!N28=0,0,SER_hh_fech_in!N28/SER_summary!N$27)</f>
        <v>8.4415089436876851</v>
      </c>
      <c r="O28" s="147">
        <f>IF(SER_hh_fech_in!O28=0,0,SER_hh_fech_in!O28/SER_summary!O$27)</f>
        <v>8.2099192085086194</v>
      </c>
      <c r="P28" s="147">
        <f>IF(SER_hh_fech_in!P28=0,0,SER_hh_fech_in!P28/SER_summary!P$27)</f>
        <v>7.9180026560030603</v>
      </c>
      <c r="Q28" s="147">
        <f>IF(SER_hh_fech_in!Q28=0,0,SER_hh_fech_in!Q28/SER_summary!Q$27)</f>
        <v>7.7461644975166077</v>
      </c>
      <c r="R28" s="147">
        <f>IF(SER_hh_fech_in!R28=0,0,SER_hh_fech_in!R28/SER_summary!R$27)</f>
        <v>7.4314256871232054</v>
      </c>
      <c r="S28" s="147">
        <f>IF(SER_hh_fech_in!S28=0,0,SER_hh_fech_in!S28/SER_summary!S$27)</f>
        <v>7.3964981125437914</v>
      </c>
      <c r="T28" s="147">
        <f>IF(SER_hh_fech_in!T28=0,0,SER_hh_fech_in!T28/SER_summary!T$27)</f>
        <v>7.6360474543885193</v>
      </c>
      <c r="U28" s="147">
        <f>IF(SER_hh_fech_in!U28=0,0,SER_hh_fech_in!U28/SER_summary!U$27)</f>
        <v>7.8297494142261073</v>
      </c>
      <c r="V28" s="147">
        <f>IF(SER_hh_fech_in!V28=0,0,SER_hh_fech_in!V28/SER_summary!V$27)</f>
        <v>7.745415432807305</v>
      </c>
      <c r="W28" s="147">
        <f>IF(SER_hh_fech_in!W28=0,0,SER_hh_fech_in!W28/SER_summary!W$27)</f>
        <v>7.7009985449806946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20.623626287221889</v>
      </c>
      <c r="D29" s="131">
        <f>IF(SER_hh_fech_in!D29=0,0,SER_hh_fech_in!D29/SER_summary!D$27)</f>
        <v>20.769730344522618</v>
      </c>
      <c r="E29" s="131">
        <f>IF(SER_hh_fech_in!E29=0,0,SER_hh_fech_in!E29/SER_summary!E$27)</f>
        <v>20.840559526791871</v>
      </c>
      <c r="F29" s="131">
        <f>IF(SER_hh_fech_in!F29=0,0,SER_hh_fech_in!F29/SER_summary!F$27)</f>
        <v>21.150904337086544</v>
      </c>
      <c r="G29" s="131">
        <f>IF(SER_hh_fech_in!G29=0,0,SER_hh_fech_in!G29/SER_summary!G$27)</f>
        <v>20.767930125452029</v>
      </c>
      <c r="H29" s="131">
        <f>IF(SER_hh_fech_in!H29=0,0,SER_hh_fech_in!H29/SER_summary!H$27)</f>
        <v>20.291515509281616</v>
      </c>
      <c r="I29" s="131">
        <f>IF(SER_hh_fech_in!I29=0,0,SER_hh_fech_in!I29/SER_summary!I$27)</f>
        <v>20.548970361686795</v>
      </c>
      <c r="J29" s="131">
        <f>IF(SER_hh_fech_in!J29=0,0,SER_hh_fech_in!J29/SER_summary!J$27)</f>
        <v>20.449374545366915</v>
      </c>
      <c r="K29" s="131">
        <f>IF(SER_hh_fech_in!K29=0,0,SER_hh_fech_in!K29/SER_summary!K$27)</f>
        <v>20.639110279054353</v>
      </c>
      <c r="L29" s="131">
        <f>IF(SER_hh_fech_in!L29=0,0,SER_hh_fech_in!L29/SER_summary!L$27)</f>
        <v>20.521260485811133</v>
      </c>
      <c r="M29" s="131">
        <f>IF(SER_hh_fech_in!M29=0,0,SER_hh_fech_in!M29/SER_summary!M$27)</f>
        <v>20.085724027438811</v>
      </c>
      <c r="N29" s="131">
        <f>IF(SER_hh_fech_in!N29=0,0,SER_hh_fech_in!N29/SER_summary!N$27)</f>
        <v>19.889957870088846</v>
      </c>
      <c r="O29" s="131">
        <f>IF(SER_hh_fech_in!O29=0,0,SER_hh_fech_in!O29/SER_summary!O$27)</f>
        <v>20.236856421014799</v>
      </c>
      <c r="P29" s="131">
        <f>IF(SER_hh_fech_in!P29=0,0,SER_hh_fech_in!P29/SER_summary!P$27)</f>
        <v>19.550338710430399</v>
      </c>
      <c r="Q29" s="131">
        <f>IF(SER_hh_fech_in!Q29=0,0,SER_hh_fech_in!Q29/SER_summary!Q$27)</f>
        <v>19.441689681423654</v>
      </c>
      <c r="R29" s="131">
        <f>IF(SER_hh_fech_in!R29=0,0,SER_hh_fech_in!R29/SER_summary!R$27)</f>
        <v>19.457655079248077</v>
      </c>
      <c r="S29" s="131">
        <f>IF(SER_hh_fech_in!S29=0,0,SER_hh_fech_in!S29/SER_summary!S$27)</f>
        <v>18.84115213159934</v>
      </c>
      <c r="T29" s="131">
        <f>IF(SER_hh_fech_in!T29=0,0,SER_hh_fech_in!T29/SER_summary!T$27)</f>
        <v>19.30093927135384</v>
      </c>
      <c r="U29" s="131">
        <f>IF(SER_hh_fech_in!U29=0,0,SER_hh_fech_in!U29/SER_summary!U$27)</f>
        <v>18.766129381005481</v>
      </c>
      <c r="V29" s="131">
        <f>IF(SER_hh_fech_in!V29=0,0,SER_hh_fech_in!V29/SER_summary!V$27)</f>
        <v>18.485573029887021</v>
      </c>
      <c r="W29" s="131">
        <f>IF(SER_hh_fech_in!W29=0,0,SER_hh_fech_in!W29/SER_summary!W$27)</f>
        <v>18.896752827685628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24.265884149211306</v>
      </c>
      <c r="D30" s="133">
        <f>IF(SER_hh_fech_in!D30=0,0,SER_hh_fech_in!D30/SER_summary!D$27)</f>
        <v>25.858868366076511</v>
      </c>
      <c r="E30" s="133">
        <f>IF(SER_hh_fech_in!E30=0,0,SER_hh_fech_in!E30/SER_summary!E$27)</f>
        <v>23.314101176643813</v>
      </c>
      <c r="F30" s="133">
        <f>IF(SER_hh_fech_in!F30=0,0,SER_hh_fech_in!F30/SER_summary!F$27)</f>
        <v>24.734896454938369</v>
      </c>
      <c r="G30" s="133">
        <f>IF(SER_hh_fech_in!G30=0,0,SER_hh_fech_in!G30/SER_summary!G$27)</f>
        <v>24.328645019709811</v>
      </c>
      <c r="H30" s="133">
        <f>IF(SER_hh_fech_in!H30=0,0,SER_hh_fech_in!H30/SER_summary!H$27)</f>
        <v>31.459616651237084</v>
      </c>
      <c r="I30" s="133">
        <f>IF(SER_hh_fech_in!I30=0,0,SER_hh_fech_in!I30/SER_summary!I$27)</f>
        <v>0</v>
      </c>
      <c r="J30" s="133">
        <f>IF(SER_hh_fech_in!J30=0,0,SER_hh_fech_in!J30/SER_summary!J$27)</f>
        <v>0</v>
      </c>
      <c r="K30" s="133">
        <f>IF(SER_hh_fech_in!K30=0,0,SER_hh_fech_in!K30/SER_summary!K$27)</f>
        <v>26.707642114064569</v>
      </c>
      <c r="L30" s="133">
        <f>IF(SER_hh_fech_in!L30=0,0,SER_hh_fech_in!L30/SER_summary!L$27)</f>
        <v>30.277519593225872</v>
      </c>
      <c r="M30" s="133">
        <f>IF(SER_hh_fech_in!M30=0,0,SER_hh_fech_in!M30/SER_summary!M$27)</f>
        <v>0</v>
      </c>
      <c r="N30" s="133">
        <f>IF(SER_hh_fech_in!N30=0,0,SER_hh_fech_in!N30/SER_summary!N$27)</f>
        <v>27.280498678985779</v>
      </c>
      <c r="O30" s="133">
        <f>IF(SER_hh_fech_in!O30=0,0,SER_hh_fech_in!O30/SER_summary!O$27)</f>
        <v>28.771498563192178</v>
      </c>
      <c r="P30" s="133">
        <f>IF(SER_hh_fech_in!P30=0,0,SER_hh_fech_in!P30/SER_summary!P$27)</f>
        <v>4.2792090617499152</v>
      </c>
      <c r="Q30" s="133">
        <f>IF(SER_hh_fech_in!Q30=0,0,SER_hh_fech_in!Q30/SER_summary!Q$27)</f>
        <v>29.440144554272202</v>
      </c>
      <c r="R30" s="133">
        <f>IF(SER_hh_fech_in!R30=0,0,SER_hh_fech_in!R30/SER_summary!R$27)</f>
        <v>23.234742591613006</v>
      </c>
      <c r="S30" s="133">
        <f>IF(SER_hh_fech_in!S30=0,0,SER_hh_fech_in!S30/SER_summary!S$27)</f>
        <v>20.81225015860409</v>
      </c>
      <c r="T30" s="133">
        <f>IF(SER_hh_fech_in!T30=0,0,SER_hh_fech_in!T30/SER_summary!T$27)</f>
        <v>25.143591006069755</v>
      </c>
      <c r="U30" s="133">
        <f>IF(SER_hh_fech_in!U30=0,0,SER_hh_fech_in!U30/SER_summary!U$27)</f>
        <v>31.179344812861622</v>
      </c>
      <c r="V30" s="133">
        <f>IF(SER_hh_fech_in!V30=0,0,SER_hh_fech_in!V30/SER_summary!V$27)</f>
        <v>23.206831080734709</v>
      </c>
      <c r="W30" s="133">
        <f>IF(SER_hh_fech_in!W30=0,0,SER_hh_fech_in!W30/SER_summary!W$27)</f>
        <v>21.394717750321213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24.224632074291758</v>
      </c>
      <c r="D31" s="133">
        <f>IF(SER_hh_fech_in!D31=0,0,SER_hh_fech_in!D31/SER_summary!D$27)</f>
        <v>23.938993228669716</v>
      </c>
      <c r="E31" s="133">
        <f>IF(SER_hh_fech_in!E31=0,0,SER_hh_fech_in!E31/SER_summary!E$27)</f>
        <v>24.643856944057436</v>
      </c>
      <c r="F31" s="133">
        <f>IF(SER_hh_fech_in!F31=0,0,SER_hh_fech_in!F31/SER_summary!F$27)</f>
        <v>24.527666811345245</v>
      </c>
      <c r="G31" s="133">
        <f>IF(SER_hh_fech_in!G31=0,0,SER_hh_fech_in!G31/SER_summary!G$27)</f>
        <v>24.431089399024959</v>
      </c>
      <c r="H31" s="133">
        <f>IF(SER_hh_fech_in!H31=0,0,SER_hh_fech_in!H31/SER_summary!H$27)</f>
        <v>22.777917974896429</v>
      </c>
      <c r="I31" s="133">
        <f>IF(SER_hh_fech_in!I31=0,0,SER_hh_fech_in!I31/SER_summary!I$27)</f>
        <v>24.870194205954672</v>
      </c>
      <c r="J31" s="133">
        <f>IF(SER_hh_fech_in!J31=0,0,SER_hh_fech_in!J31/SER_summary!J$27)</f>
        <v>25.325164401664416</v>
      </c>
      <c r="K31" s="133">
        <f>IF(SER_hh_fech_in!K31=0,0,SER_hh_fech_in!K31/SER_summary!K$27)</f>
        <v>23.889925083404798</v>
      </c>
      <c r="L31" s="133">
        <f>IF(SER_hh_fech_in!L31=0,0,SER_hh_fech_in!L31/SER_summary!L$27)</f>
        <v>23.07543974247298</v>
      </c>
      <c r="M31" s="133">
        <f>IF(SER_hh_fech_in!M31=0,0,SER_hh_fech_in!M31/SER_summary!M$27)</f>
        <v>24.922044388522036</v>
      </c>
      <c r="N31" s="133">
        <f>IF(SER_hh_fech_in!N31=0,0,SER_hh_fech_in!N31/SER_summary!N$27)</f>
        <v>23.50417187234147</v>
      </c>
      <c r="O31" s="133">
        <f>IF(SER_hh_fech_in!O31=0,0,SER_hh_fech_in!O31/SER_summary!O$27)</f>
        <v>23.576116536772375</v>
      </c>
      <c r="P31" s="133">
        <f>IF(SER_hh_fech_in!P31=0,0,SER_hh_fech_in!P31/SER_summary!P$27)</f>
        <v>26.342705711016816</v>
      </c>
      <c r="Q31" s="133">
        <f>IF(SER_hh_fech_in!Q31=0,0,SER_hh_fech_in!Q31/SER_summary!Q$27)</f>
        <v>23.330380505586664</v>
      </c>
      <c r="R31" s="133">
        <f>IF(SER_hh_fech_in!R31=0,0,SER_hh_fech_in!R31/SER_summary!R$27)</f>
        <v>23.950790816707329</v>
      </c>
      <c r="S31" s="133">
        <f>IF(SER_hh_fech_in!S31=0,0,SER_hh_fech_in!S31/SER_summary!S$27)</f>
        <v>24.98608029773856</v>
      </c>
      <c r="T31" s="133">
        <f>IF(SER_hh_fech_in!T31=0,0,SER_hh_fech_in!T31/SER_summary!T$27)</f>
        <v>23.538720398706204</v>
      </c>
      <c r="U31" s="133">
        <f>IF(SER_hh_fech_in!U31=0,0,SER_hh_fech_in!U31/SER_summary!U$27)</f>
        <v>20.960548473207876</v>
      </c>
      <c r="V31" s="133">
        <f>IF(SER_hh_fech_in!V31=0,0,SER_hh_fech_in!V31/SER_summary!V$27)</f>
        <v>23.374114880849465</v>
      </c>
      <c r="W31" s="133">
        <f>IF(SER_hh_fech_in!W31=0,0,SER_hh_fech_in!W31/SER_summary!W$27)</f>
        <v>25.046928489963971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18.254406770725403</v>
      </c>
      <c r="D33" s="68">
        <f>IF(SER_hh_fech_in!D33=0,0,SER_hh_fech_in!D33/SER_summary!D$27)</f>
        <v>18.255854440831303</v>
      </c>
      <c r="E33" s="68">
        <f>IF(SER_hh_fech_in!E33=0,0,SER_hh_fech_in!E33/SER_summary!E$27)</f>
        <v>18.368922990234466</v>
      </c>
      <c r="F33" s="68">
        <f>IF(SER_hh_fech_in!F33=0,0,SER_hh_fech_in!F33/SER_summary!F$27)</f>
        <v>18.664041013902963</v>
      </c>
      <c r="G33" s="68">
        <f>IF(SER_hh_fech_in!G33=0,0,SER_hh_fech_in!G33/SER_summary!G$27)</f>
        <v>18.758058343219233</v>
      </c>
      <c r="H33" s="68">
        <f>IF(SER_hh_fech_in!H33=0,0,SER_hh_fech_in!H33/SER_summary!H$27)</f>
        <v>18.418077556212538</v>
      </c>
      <c r="I33" s="68">
        <f>IF(SER_hh_fech_in!I33=0,0,SER_hh_fech_in!I33/SER_summary!I$27)</f>
        <v>18.144857863629415</v>
      </c>
      <c r="J33" s="68">
        <f>IF(SER_hh_fech_in!J33=0,0,SER_hh_fech_in!J33/SER_summary!J$27)</f>
        <v>17.968801411372468</v>
      </c>
      <c r="K33" s="68">
        <f>IF(SER_hh_fech_in!K33=0,0,SER_hh_fech_in!K33/SER_summary!K$27)</f>
        <v>18.368519128249677</v>
      </c>
      <c r="L33" s="68">
        <f>IF(SER_hh_fech_in!L33=0,0,SER_hh_fech_in!L33/SER_summary!L$27)</f>
        <v>18.349070642521372</v>
      </c>
      <c r="M33" s="68">
        <f>IF(SER_hh_fech_in!M33=0,0,SER_hh_fech_in!M33/SER_summary!M$27)</f>
        <v>17.960761986459673</v>
      </c>
      <c r="N33" s="68">
        <f>IF(SER_hh_fech_in!N33=0,0,SER_hh_fech_in!N33/SER_summary!N$27)</f>
        <v>17.952928651551765</v>
      </c>
      <c r="O33" s="68">
        <f>IF(SER_hh_fech_in!O33=0,0,SER_hh_fech_in!O33/SER_summary!O$27)</f>
        <v>18.067349827375494</v>
      </c>
      <c r="P33" s="68">
        <f>IF(SER_hh_fech_in!P33=0,0,SER_hh_fech_in!P33/SER_summary!P$27)</f>
        <v>18.280897737506344</v>
      </c>
      <c r="Q33" s="68">
        <f>IF(SER_hh_fech_in!Q33=0,0,SER_hh_fech_in!Q33/SER_summary!Q$27)</f>
        <v>17.737469985061548</v>
      </c>
      <c r="R33" s="68">
        <f>IF(SER_hh_fech_in!R33=0,0,SER_hh_fech_in!R33/SER_summary!R$27)</f>
        <v>17.632543659885943</v>
      </c>
      <c r="S33" s="68">
        <f>IF(SER_hh_fech_in!S33=0,0,SER_hh_fech_in!S33/SER_summary!S$27)</f>
        <v>17.376146412462255</v>
      </c>
      <c r="T33" s="68">
        <f>IF(SER_hh_fech_in!T33=0,0,SER_hh_fech_in!T33/SER_summary!T$27)</f>
        <v>17.12779129824402</v>
      </c>
      <c r="U33" s="68">
        <f>IF(SER_hh_fech_in!U33=0,0,SER_hh_fech_in!U33/SER_summary!U$27)</f>
        <v>16.781139378395359</v>
      </c>
      <c r="V33" s="68">
        <f>IF(SER_hh_fech_in!V33=0,0,SER_hh_fech_in!V33/SER_summary!V$27)</f>
        <v>16.550406707405926</v>
      </c>
      <c r="W33" s="68">
        <f>IF(SER_hh_fech_in!W33=0,0,SER_hh_fech_in!W33/SER_summary!W$27)</f>
        <v>16.266940345998666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138.58825049751897</v>
      </c>
      <c r="D3" s="126">
        <f>IF(SER_hh_tesh_in!D3=0,0,SER_hh_tesh_in!D3/SER_summary!D$27)</f>
        <v>137.7970692514327</v>
      </c>
      <c r="E3" s="126">
        <f>IF(SER_hh_tesh_in!E3=0,0,SER_hh_tesh_in!E3/SER_summary!E$27)</f>
        <v>143.26168304985825</v>
      </c>
      <c r="F3" s="126">
        <f>IF(SER_hh_tesh_in!F3=0,0,SER_hh_tesh_in!F3/SER_summary!F$27)</f>
        <v>148.38837161674695</v>
      </c>
      <c r="G3" s="126">
        <f>IF(SER_hh_tesh_in!G3=0,0,SER_hh_tesh_in!G3/SER_summary!G$27)</f>
        <v>138.97248888561617</v>
      </c>
      <c r="H3" s="126">
        <f>IF(SER_hh_tesh_in!H3=0,0,SER_hh_tesh_in!H3/SER_summary!H$27)</f>
        <v>139.46647384810282</v>
      </c>
      <c r="I3" s="126">
        <f>IF(SER_hh_tesh_in!I3=0,0,SER_hh_tesh_in!I3/SER_summary!I$27)</f>
        <v>128.67432745917159</v>
      </c>
      <c r="J3" s="126">
        <f>IF(SER_hh_tesh_in!J3=0,0,SER_hh_tesh_in!J3/SER_summary!J$27)</f>
        <v>130.85314698553665</v>
      </c>
      <c r="K3" s="126">
        <f>IF(SER_hh_tesh_in!K3=0,0,SER_hh_tesh_in!K3/SER_summary!K$27)</f>
        <v>133.77208666644762</v>
      </c>
      <c r="L3" s="126">
        <f>IF(SER_hh_tesh_in!L3=0,0,SER_hh_tesh_in!L3/SER_summary!L$27)</f>
        <v>142.51849752553986</v>
      </c>
      <c r="M3" s="126">
        <f>IF(SER_hh_tesh_in!M3=0,0,SER_hh_tesh_in!M3/SER_summary!M$27)</f>
        <v>122.18271082516719</v>
      </c>
      <c r="N3" s="126">
        <f>IF(SER_hh_tesh_in!N3=0,0,SER_hh_tesh_in!N3/SER_summary!N$27)</f>
        <v>126.27681998033025</v>
      </c>
      <c r="O3" s="126">
        <f>IF(SER_hh_tesh_in!O3=0,0,SER_hh_tesh_in!O3/SER_summary!O$27)</f>
        <v>124.27346204017897</v>
      </c>
      <c r="P3" s="126">
        <f>IF(SER_hh_tesh_in!P3=0,0,SER_hh_tesh_in!P3/SER_summary!P$27)</f>
        <v>106.08406274725694</v>
      </c>
      <c r="Q3" s="126">
        <f>IF(SER_hh_tesh_in!Q3=0,0,SER_hh_tesh_in!Q3/SER_summary!Q$27)</f>
        <v>107.71939373427128</v>
      </c>
      <c r="R3" s="126">
        <f>IF(SER_hh_tesh_in!R3=0,0,SER_hh_tesh_in!R3/SER_summary!R$27)</f>
        <v>103.33910804841329</v>
      </c>
      <c r="S3" s="126">
        <f>IF(SER_hh_tesh_in!S3=0,0,SER_hh_tesh_in!S3/SER_summary!S$27)</f>
        <v>101.36267994361032</v>
      </c>
      <c r="T3" s="126">
        <f>IF(SER_hh_tesh_in!T3=0,0,SER_hh_tesh_in!T3/SER_summary!T$27)</f>
        <v>99.29518027342418</v>
      </c>
      <c r="U3" s="126">
        <f>IF(SER_hh_tesh_in!U3=0,0,SER_hh_tesh_in!U3/SER_summary!U$27)</f>
        <v>92.703788706870512</v>
      </c>
      <c r="V3" s="126">
        <f>IF(SER_hh_tesh_in!V3=0,0,SER_hh_tesh_in!V3/SER_summary!V$27)</f>
        <v>85.367356227267209</v>
      </c>
      <c r="W3" s="126">
        <f>IF(SER_hh_tesh_in!W3=0,0,SER_hh_tesh_in!W3/SER_summary!W$27)</f>
        <v>76.366154765287831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78.479854361289981</v>
      </c>
      <c r="D4" s="131">
        <f>IF(SER_hh_tesh_in!D4=0,0,SER_hh_tesh_in!D4/SER_summary!D$27)</f>
        <v>78.107602738205387</v>
      </c>
      <c r="E4" s="131">
        <f>IF(SER_hh_tesh_in!E4=0,0,SER_hh_tesh_in!E4/SER_summary!E$27)</f>
        <v>81.192173305659907</v>
      </c>
      <c r="F4" s="131">
        <f>IF(SER_hh_tesh_in!F4=0,0,SER_hh_tesh_in!F4/SER_summary!F$27)</f>
        <v>89.013564718366041</v>
      </c>
      <c r="G4" s="131">
        <f>IF(SER_hh_tesh_in!G4=0,0,SER_hh_tesh_in!G4/SER_summary!G$27)</f>
        <v>80.383025432632564</v>
      </c>
      <c r="H4" s="131">
        <f>IF(SER_hh_tesh_in!H4=0,0,SER_hh_tesh_in!H4/SER_summary!H$27)</f>
        <v>79.217216993742824</v>
      </c>
      <c r="I4" s="131">
        <f>IF(SER_hh_tesh_in!I4=0,0,SER_hh_tesh_in!I4/SER_summary!I$27)</f>
        <v>71.492415521058234</v>
      </c>
      <c r="J4" s="131">
        <f>IF(SER_hh_tesh_in!J4=0,0,SER_hh_tesh_in!J4/SER_summary!J$27)</f>
        <v>74.118446514024029</v>
      </c>
      <c r="K4" s="131">
        <f>IF(SER_hh_tesh_in!K4=0,0,SER_hh_tesh_in!K4/SER_summary!K$27)</f>
        <v>77.244350659674353</v>
      </c>
      <c r="L4" s="131">
        <f>IF(SER_hh_tesh_in!L4=0,0,SER_hh_tesh_in!L4/SER_summary!L$27)</f>
        <v>85.541825016020454</v>
      </c>
      <c r="M4" s="131">
        <f>IF(SER_hh_tesh_in!M4=0,0,SER_hh_tesh_in!M4/SER_summary!M$27)</f>
        <v>66.829426627012097</v>
      </c>
      <c r="N4" s="131">
        <f>IF(SER_hh_tesh_in!N4=0,0,SER_hh_tesh_in!N4/SER_summary!N$27)</f>
        <v>71.452432126805263</v>
      </c>
      <c r="O4" s="131">
        <f>IF(SER_hh_tesh_in!O4=0,0,SER_hh_tesh_in!O4/SER_summary!O$27)</f>
        <v>69.796314898900945</v>
      </c>
      <c r="P4" s="131">
        <f>IF(SER_hh_tesh_in!P4=0,0,SER_hh_tesh_in!P4/SER_summary!P$27)</f>
        <v>53.065024765762573</v>
      </c>
      <c r="Q4" s="131">
        <f>IF(SER_hh_tesh_in!Q4=0,0,SER_hh_tesh_in!Q4/SER_summary!Q$27)</f>
        <v>53.767561170429403</v>
      </c>
      <c r="R4" s="131">
        <f>IF(SER_hh_tesh_in!R4=0,0,SER_hh_tesh_in!R4/SER_summary!R$27)</f>
        <v>51.209599172341477</v>
      </c>
      <c r="S4" s="131">
        <f>IF(SER_hh_tesh_in!S4=0,0,SER_hh_tesh_in!S4/SER_summary!S$27)</f>
        <v>50.752670729044752</v>
      </c>
      <c r="T4" s="131">
        <f>IF(SER_hh_tesh_in!T4=0,0,SER_hh_tesh_in!T4/SER_summary!T$27)</f>
        <v>47.104494500865329</v>
      </c>
      <c r="U4" s="131">
        <f>IF(SER_hh_tesh_in!U4=0,0,SER_hh_tesh_in!U4/SER_summary!U$27)</f>
        <v>42.0818479819225</v>
      </c>
      <c r="V4" s="131">
        <f>IF(SER_hh_tesh_in!V4=0,0,SER_hh_tesh_in!V4/SER_summary!V$27)</f>
        <v>35.483700137437239</v>
      </c>
      <c r="W4" s="131">
        <f>IF(SER_hh_tesh_in!W4=0,0,SER_hh_tesh_in!W4/SER_summary!W$27)</f>
        <v>31.358043858143894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76.239917678018898</v>
      </c>
      <c r="D5" s="133">
        <f>IF(SER_hh_tesh_in!D5=0,0,SER_hh_tesh_in!D5/SER_summary!D$27)</f>
        <v>65.551456899489409</v>
      </c>
      <c r="E5" s="133">
        <f>IF(SER_hh_tesh_in!E5=0,0,SER_hh_tesh_in!E5/SER_summary!E$27)</f>
        <v>107.83253814150856</v>
      </c>
      <c r="F5" s="133">
        <f>IF(SER_hh_tesh_in!F5=0,0,SER_hh_tesh_in!F5/SER_summary!F$27)</f>
        <v>53.767832785849947</v>
      </c>
      <c r="G5" s="133">
        <f>IF(SER_hh_tesh_in!G5=0,0,SER_hh_tesh_in!G5/SER_summary!G$27)</f>
        <v>74.075797159549026</v>
      </c>
      <c r="H5" s="133">
        <f>IF(SER_hh_tesh_in!H5=0,0,SER_hh_tesh_in!H5/SER_summary!H$27)</f>
        <v>50.429612364220695</v>
      </c>
      <c r="I5" s="133">
        <f>IF(SER_hh_tesh_in!I5=0,0,SER_hh_tesh_in!I5/SER_summary!I$27)</f>
        <v>78.1060887133725</v>
      </c>
      <c r="J5" s="133">
        <f>IF(SER_hh_tesh_in!J5=0,0,SER_hh_tesh_in!J5/SER_summary!J$27)</f>
        <v>83.742678166082484</v>
      </c>
      <c r="K5" s="133">
        <f>IF(SER_hh_tesh_in!K5=0,0,SER_hh_tesh_in!K5/SER_summary!K$27)</f>
        <v>82.031391951826237</v>
      </c>
      <c r="L5" s="133">
        <f>IF(SER_hh_tesh_in!L5=0,0,SER_hh_tesh_in!L5/SER_summary!L$27)</f>
        <v>77.861275507847679</v>
      </c>
      <c r="M5" s="133">
        <f>IF(SER_hh_tesh_in!M5=0,0,SER_hh_tesh_in!M5/SER_summary!M$27)</f>
        <v>75.086284204523395</v>
      </c>
      <c r="N5" s="133">
        <f>IF(SER_hh_tesh_in!N5=0,0,SER_hh_tesh_in!N5/SER_summary!N$27)</f>
        <v>71.599541168028296</v>
      </c>
      <c r="O5" s="133">
        <f>IF(SER_hh_tesh_in!O5=0,0,SER_hh_tesh_in!O5/SER_summary!O$27)</f>
        <v>41.815835897228972</v>
      </c>
      <c r="P5" s="133">
        <f>IF(SER_hh_tesh_in!P5=0,0,SER_hh_tesh_in!P5/SER_summary!P$27)</f>
        <v>15.249436773130602</v>
      </c>
      <c r="Q5" s="133">
        <f>IF(SER_hh_tesh_in!Q5=0,0,SER_hh_tesh_in!Q5/SER_summary!Q$27)</f>
        <v>64.06270941055817</v>
      </c>
      <c r="R5" s="133">
        <f>IF(SER_hh_tesh_in!R5=0,0,SER_hh_tesh_in!R5/SER_summary!R$27)</f>
        <v>58.927171119106781</v>
      </c>
      <c r="S5" s="133">
        <f>IF(SER_hh_tesh_in!S5=0,0,SER_hh_tesh_in!S5/SER_summary!S$27)</f>
        <v>52.880960392392218</v>
      </c>
      <c r="T5" s="133">
        <f>IF(SER_hh_tesh_in!T5=0,0,SER_hh_tesh_in!T5/SER_summary!T$27)</f>
        <v>49.157122172303545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74.811512511543867</v>
      </c>
      <c r="D7" s="133">
        <f>IF(SER_hh_tesh_in!D7=0,0,SER_hh_tesh_in!D7/SER_summary!D$27)</f>
        <v>77.69957277782018</v>
      </c>
      <c r="E7" s="133">
        <f>IF(SER_hh_tesh_in!E7=0,0,SER_hh_tesh_in!E7/SER_summary!E$27)</f>
        <v>81.502196874753949</v>
      </c>
      <c r="F7" s="133">
        <f>IF(SER_hh_tesh_in!F7=0,0,SER_hh_tesh_in!F7/SER_summary!F$27)</f>
        <v>78.250157082836566</v>
      </c>
      <c r="G7" s="133">
        <f>IF(SER_hh_tesh_in!G7=0,0,SER_hh_tesh_in!G7/SER_summary!G$27)</f>
        <v>79.73579877831736</v>
      </c>
      <c r="H7" s="133">
        <f>IF(SER_hh_tesh_in!H7=0,0,SER_hh_tesh_in!H7/SER_summary!H$27)</f>
        <v>75.284868476112749</v>
      </c>
      <c r="I7" s="133">
        <f>IF(SER_hh_tesh_in!I7=0,0,SER_hh_tesh_in!I7/SER_summary!I$27)</f>
        <v>75.017407894521085</v>
      </c>
      <c r="J7" s="133">
        <f>IF(SER_hh_tesh_in!J7=0,0,SER_hh_tesh_in!J7/SER_summary!J$27)</f>
        <v>73.913816684205912</v>
      </c>
      <c r="K7" s="133">
        <f>IF(SER_hh_tesh_in!K7=0,0,SER_hh_tesh_in!K7/SER_summary!K$27)</f>
        <v>70.806918757547791</v>
      </c>
      <c r="L7" s="133">
        <f>IF(SER_hh_tesh_in!L7=0,0,SER_hh_tesh_in!L7/SER_summary!L$27)</f>
        <v>80.599595622211481</v>
      </c>
      <c r="M7" s="133">
        <f>IF(SER_hh_tesh_in!M7=0,0,SER_hh_tesh_in!M7/SER_summary!M$27)</f>
        <v>71.196581722022998</v>
      </c>
      <c r="N7" s="133">
        <f>IF(SER_hh_tesh_in!N7=0,0,SER_hh_tesh_in!N7/SER_summary!N$27)</f>
        <v>67.369815553864015</v>
      </c>
      <c r="O7" s="133">
        <f>IF(SER_hh_tesh_in!O7=0,0,SER_hh_tesh_in!O7/SER_summary!O$27)</f>
        <v>65.253767994996991</v>
      </c>
      <c r="P7" s="133">
        <f>IF(SER_hh_tesh_in!P7=0,0,SER_hh_tesh_in!P7/SER_summary!P$27)</f>
        <v>59.840863429488756</v>
      </c>
      <c r="Q7" s="133">
        <f>IF(SER_hh_tesh_in!Q7=0,0,SER_hh_tesh_in!Q7/SER_summary!Q$27)</f>
        <v>51.85410422601592</v>
      </c>
      <c r="R7" s="133">
        <f>IF(SER_hh_tesh_in!R7=0,0,SER_hh_tesh_in!R7/SER_summary!R$27)</f>
        <v>49.45250420397479</v>
      </c>
      <c r="S7" s="133">
        <f>IF(SER_hh_tesh_in!S7=0,0,SER_hh_tesh_in!S7/SER_summary!S$27)</f>
        <v>46.761384858999719</v>
      </c>
      <c r="T7" s="133">
        <f>IF(SER_hh_tesh_in!T7=0,0,SER_hh_tesh_in!T7/SER_summary!T$27)</f>
        <v>44.734140559868045</v>
      </c>
      <c r="U7" s="133">
        <f>IF(SER_hh_tesh_in!U7=0,0,SER_hh_tesh_in!U7/SER_summary!U$27)</f>
        <v>42.512899212586724</v>
      </c>
      <c r="V7" s="133">
        <f>IF(SER_hh_tesh_in!V7=0,0,SER_hh_tesh_in!V7/SER_summary!V$27)</f>
        <v>36.121619285692042</v>
      </c>
      <c r="W7" s="133">
        <f>IF(SER_hh_tesh_in!W7=0,0,SER_hh_tesh_in!W7/SER_summary!W$27)</f>
        <v>30.057556808118928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79.454491715073573</v>
      </c>
      <c r="D8" s="133">
        <f>IF(SER_hh_tesh_in!D8=0,0,SER_hh_tesh_in!D8/SER_summary!D$27)</f>
        <v>74.099022184945781</v>
      </c>
      <c r="E8" s="133">
        <f>IF(SER_hh_tesh_in!E8=0,0,SER_hh_tesh_in!E8/SER_summary!E$27)</f>
        <v>84.473833768291925</v>
      </c>
      <c r="F8" s="133">
        <f>IF(SER_hh_tesh_in!F8=0,0,SER_hh_tesh_in!F8/SER_summary!F$27)</f>
        <v>87.016147570233301</v>
      </c>
      <c r="G8" s="133">
        <f>IF(SER_hh_tesh_in!G8=0,0,SER_hh_tesh_in!G8/SER_summary!G$27)</f>
        <v>76.631028817759855</v>
      </c>
      <c r="H8" s="133">
        <f>IF(SER_hh_tesh_in!H8=0,0,SER_hh_tesh_in!H8/SER_summary!H$27)</f>
        <v>72.232849627676714</v>
      </c>
      <c r="I8" s="133">
        <f>IF(SER_hh_tesh_in!I8=0,0,SER_hh_tesh_in!I8/SER_summary!I$27)</f>
        <v>75.823487436246893</v>
      </c>
      <c r="J8" s="133">
        <f>IF(SER_hh_tesh_in!J8=0,0,SER_hh_tesh_in!J8/SER_summary!J$27)</f>
        <v>75.677632062194149</v>
      </c>
      <c r="K8" s="133">
        <f>IF(SER_hh_tesh_in!K8=0,0,SER_hh_tesh_in!K8/SER_summary!K$27)</f>
        <v>74.829818218585089</v>
      </c>
      <c r="L8" s="133">
        <f>IF(SER_hh_tesh_in!L8=0,0,SER_hh_tesh_in!L8/SER_summary!L$27)</f>
        <v>75.07082677914687</v>
      </c>
      <c r="M8" s="133">
        <f>IF(SER_hh_tesh_in!M8=0,0,SER_hh_tesh_in!M8/SER_summary!M$27)</f>
        <v>74.94222176922041</v>
      </c>
      <c r="N8" s="133">
        <f>IF(SER_hh_tesh_in!N8=0,0,SER_hh_tesh_in!N8/SER_summary!N$27)</f>
        <v>64.060143632643403</v>
      </c>
      <c r="O8" s="133">
        <f>IF(SER_hh_tesh_in!O8=0,0,SER_hh_tesh_in!O8/SER_summary!O$27)</f>
        <v>53.045809179519225</v>
      </c>
      <c r="P8" s="133">
        <f>IF(SER_hh_tesh_in!P8=0,0,SER_hh_tesh_in!P8/SER_summary!P$27)</f>
        <v>56.708933757141494</v>
      </c>
      <c r="Q8" s="133">
        <f>IF(SER_hh_tesh_in!Q8=0,0,SER_hh_tesh_in!Q8/SER_summary!Q$27)</f>
        <v>58.526096832018133</v>
      </c>
      <c r="R8" s="133">
        <f>IF(SER_hh_tesh_in!R8=0,0,SER_hh_tesh_in!R8/SER_summary!R$27)</f>
        <v>53.887047786705274</v>
      </c>
      <c r="S8" s="133">
        <f>IF(SER_hh_tesh_in!S8=0,0,SER_hh_tesh_in!S8/SER_summary!S$27)</f>
        <v>49.286911362538532</v>
      </c>
      <c r="T8" s="133">
        <f>IF(SER_hh_tesh_in!T8=0,0,SER_hh_tesh_in!T8/SER_summary!T$27)</f>
        <v>45.837681675758908</v>
      </c>
      <c r="U8" s="133">
        <f>IF(SER_hh_tesh_in!U8=0,0,SER_hh_tesh_in!U8/SER_summary!U$27)</f>
        <v>40.996978112013899</v>
      </c>
      <c r="V8" s="133">
        <f>IF(SER_hh_tesh_in!V8=0,0,SER_hh_tesh_in!V8/SER_summary!V$27)</f>
        <v>35.674848024310144</v>
      </c>
      <c r="W8" s="133">
        <f>IF(SER_hh_tesh_in!W8=0,0,SER_hh_tesh_in!W8/SER_summary!W$27)</f>
        <v>32.397078736501008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78.858823157704975</v>
      </c>
      <c r="D9" s="133">
        <f>IF(SER_hh_tesh_in!D9=0,0,SER_hh_tesh_in!D9/SER_summary!D$27)</f>
        <v>73.09664655572837</v>
      </c>
      <c r="E9" s="133">
        <f>IF(SER_hh_tesh_in!E9=0,0,SER_hh_tesh_in!E9/SER_summary!E$27)</f>
        <v>79.415071462579846</v>
      </c>
      <c r="F9" s="133">
        <f>IF(SER_hh_tesh_in!F9=0,0,SER_hh_tesh_in!F9/SER_summary!F$27)</f>
        <v>89.283576436260788</v>
      </c>
      <c r="G9" s="133">
        <f>IF(SER_hh_tesh_in!G9=0,0,SER_hh_tesh_in!G9/SER_summary!G$27)</f>
        <v>79.905642262522079</v>
      </c>
      <c r="H9" s="133">
        <f>IF(SER_hh_tesh_in!H9=0,0,SER_hh_tesh_in!H9/SER_summary!H$27)</f>
        <v>79.074183995293467</v>
      </c>
      <c r="I9" s="133">
        <f>IF(SER_hh_tesh_in!I9=0,0,SER_hh_tesh_in!I9/SER_summary!I$27)</f>
        <v>67.104441783442439</v>
      </c>
      <c r="J9" s="133">
        <f>IF(SER_hh_tesh_in!J9=0,0,SER_hh_tesh_in!J9/SER_summary!J$27)</f>
        <v>72.459552106579082</v>
      </c>
      <c r="K9" s="133">
        <f>IF(SER_hh_tesh_in!K9=0,0,SER_hh_tesh_in!K9/SER_summary!K$27)</f>
        <v>75.09710758474742</v>
      </c>
      <c r="L9" s="133">
        <f>IF(SER_hh_tesh_in!L9=0,0,SER_hh_tesh_in!L9/SER_summary!L$27)</f>
        <v>85.234862050029264</v>
      </c>
      <c r="M9" s="133">
        <f>IF(SER_hh_tesh_in!M9=0,0,SER_hh_tesh_in!M9/SER_summary!M$27)</f>
        <v>63.778002960246603</v>
      </c>
      <c r="N9" s="133">
        <f>IF(SER_hh_tesh_in!N9=0,0,SER_hh_tesh_in!N9/SER_summary!N$27)</f>
        <v>70.856194253086855</v>
      </c>
      <c r="O9" s="133">
        <f>IF(SER_hh_tesh_in!O9=0,0,SER_hh_tesh_in!O9/SER_summary!O$27)</f>
        <v>69.766597914646468</v>
      </c>
      <c r="P9" s="133">
        <f>IF(SER_hh_tesh_in!P9=0,0,SER_hh_tesh_in!P9/SER_summary!P$27)</f>
        <v>50.594200494578992</v>
      </c>
      <c r="Q9" s="133">
        <f>IF(SER_hh_tesh_in!Q9=0,0,SER_hh_tesh_in!Q9/SER_summary!Q$27)</f>
        <v>53.227775458110465</v>
      </c>
      <c r="R9" s="133">
        <f>IF(SER_hh_tesh_in!R9=0,0,SER_hh_tesh_in!R9/SER_summary!R$27)</f>
        <v>51.478188032784594</v>
      </c>
      <c r="S9" s="133">
        <f>IF(SER_hh_tesh_in!S9=0,0,SER_hh_tesh_in!S9/SER_summary!S$27)</f>
        <v>49.234286471061971</v>
      </c>
      <c r="T9" s="133">
        <f>IF(SER_hh_tesh_in!T9=0,0,SER_hh_tesh_in!T9/SER_summary!T$27)</f>
        <v>46.220971164494244</v>
      </c>
      <c r="U9" s="133">
        <f>IF(SER_hh_tesh_in!U9=0,0,SER_hh_tesh_in!U9/SER_summary!U$27)</f>
        <v>40.742586275121091</v>
      </c>
      <c r="V9" s="133">
        <f>IF(SER_hh_tesh_in!V9=0,0,SER_hh_tesh_in!V9/SER_summary!V$27)</f>
        <v>33.897767780828573</v>
      </c>
      <c r="W9" s="133">
        <f>IF(SER_hh_tesh_in!W9=0,0,SER_hh_tesh_in!W9/SER_summary!W$27)</f>
        <v>30.863486335218308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82.19548495453526</v>
      </c>
      <c r="D10" s="133">
        <f>IF(SER_hh_tesh_in!D10=0,0,SER_hh_tesh_in!D10/SER_summary!D$27)</f>
        <v>80.093938198413596</v>
      </c>
      <c r="E10" s="133">
        <f>IF(SER_hh_tesh_in!E10=0,0,SER_hh_tesh_in!E10/SER_summary!E$27)</f>
        <v>77.454046771643874</v>
      </c>
      <c r="F10" s="133">
        <f>IF(SER_hh_tesh_in!F10=0,0,SER_hh_tesh_in!F10/SER_summary!F$27)</f>
        <v>83.770529575313603</v>
      </c>
      <c r="G10" s="133">
        <f>IF(SER_hh_tesh_in!G10=0,0,SER_hh_tesh_in!G10/SER_summary!G$27)</f>
        <v>75.952267851396613</v>
      </c>
      <c r="H10" s="133">
        <f>IF(SER_hh_tesh_in!H10=0,0,SER_hh_tesh_in!H10/SER_summary!H$27)</f>
        <v>77.887632948677123</v>
      </c>
      <c r="I10" s="133">
        <f>IF(SER_hh_tesh_in!I10=0,0,SER_hh_tesh_in!I10/SER_summary!I$27)</f>
        <v>73.088872399217792</v>
      </c>
      <c r="J10" s="133">
        <f>IF(SER_hh_tesh_in!J10=0,0,SER_hh_tesh_in!J10/SER_summary!J$27)</f>
        <v>80.545370595750938</v>
      </c>
      <c r="K10" s="133">
        <f>IF(SER_hh_tesh_in!K10=0,0,SER_hh_tesh_in!K10/SER_summary!K$27)</f>
        <v>75.220974826359623</v>
      </c>
      <c r="L10" s="133">
        <f>IF(SER_hh_tesh_in!L10=0,0,SER_hh_tesh_in!L10/SER_summary!L$27)</f>
        <v>79.595924914051267</v>
      </c>
      <c r="M10" s="133">
        <f>IF(SER_hh_tesh_in!M10=0,0,SER_hh_tesh_in!M10/SER_summary!M$27)</f>
        <v>70.974271446021461</v>
      </c>
      <c r="N10" s="133">
        <f>IF(SER_hh_tesh_in!N10=0,0,SER_hh_tesh_in!N10/SER_summary!N$27)</f>
        <v>68.075003985125065</v>
      </c>
      <c r="O10" s="133">
        <f>IF(SER_hh_tesh_in!O10=0,0,SER_hh_tesh_in!O10/SER_summary!O$27)</f>
        <v>63.502831128208797</v>
      </c>
      <c r="P10" s="133">
        <f>IF(SER_hh_tesh_in!P10=0,0,SER_hh_tesh_in!P10/SER_summary!P$27)</f>
        <v>57.804470153083045</v>
      </c>
      <c r="Q10" s="133">
        <f>IF(SER_hh_tesh_in!Q10=0,0,SER_hh_tesh_in!Q10/SER_summary!Q$27)</f>
        <v>51.130045116043277</v>
      </c>
      <c r="R10" s="133">
        <f>IF(SER_hh_tesh_in!R10=0,0,SER_hh_tesh_in!R10/SER_summary!R$27)</f>
        <v>46.134317646201531</v>
      </c>
      <c r="S10" s="133">
        <f>IF(SER_hh_tesh_in!S10=0,0,SER_hh_tesh_in!S10/SER_summary!S$27)</f>
        <v>50.983997569675417</v>
      </c>
      <c r="T10" s="133">
        <f>IF(SER_hh_tesh_in!T10=0,0,SER_hh_tesh_in!T10/SER_summary!T$27)</f>
        <v>46.410091433940224</v>
      </c>
      <c r="U10" s="133">
        <f>IF(SER_hh_tesh_in!U10=0,0,SER_hh_tesh_in!U10/SER_summary!U$27)</f>
        <v>44.391791650266484</v>
      </c>
      <c r="V10" s="133">
        <f>IF(SER_hh_tesh_in!V10=0,0,SER_hh_tesh_in!V10/SER_summary!V$27)</f>
        <v>39.72218914359653</v>
      </c>
      <c r="W10" s="133">
        <f>IF(SER_hh_tesh_in!W10=0,0,SER_hh_tesh_in!W10/SER_summary!W$27)</f>
        <v>29.802892797048646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67.532132574292532</v>
      </c>
      <c r="D12" s="133">
        <f>IF(SER_hh_tesh_in!D12=0,0,SER_hh_tesh_in!D12/SER_summary!D$27)</f>
        <v>97.914449919005008</v>
      </c>
      <c r="E12" s="133">
        <f>IF(SER_hh_tesh_in!E12=0,0,SER_hh_tesh_in!E12/SER_summary!E$27)</f>
        <v>81.321481981092944</v>
      </c>
      <c r="F12" s="133">
        <f>IF(SER_hh_tesh_in!F12=0,0,SER_hh_tesh_in!F12/SER_summary!F$27)</f>
        <v>0</v>
      </c>
      <c r="G12" s="133">
        <f>IF(SER_hh_tesh_in!G12=0,0,SER_hh_tesh_in!G12/SER_summary!G$27)</f>
        <v>62.799036856837375</v>
      </c>
      <c r="H12" s="133">
        <f>IF(SER_hh_tesh_in!H12=0,0,SER_hh_tesh_in!H12/SER_summary!H$27)</f>
        <v>72.843158519921943</v>
      </c>
      <c r="I12" s="133">
        <f>IF(SER_hh_tesh_in!I12=0,0,SER_hh_tesh_in!I12/SER_summary!I$27)</f>
        <v>82.485605709006563</v>
      </c>
      <c r="J12" s="133">
        <f>IF(SER_hh_tesh_in!J12=0,0,SER_hh_tesh_in!J12/SER_summary!J$27)</f>
        <v>72.476762538227732</v>
      </c>
      <c r="K12" s="133">
        <f>IF(SER_hh_tesh_in!K12=0,0,SER_hh_tesh_in!K12/SER_summary!K$27)</f>
        <v>86.810477914236074</v>
      </c>
      <c r="L12" s="133">
        <f>IF(SER_hh_tesh_in!L12=0,0,SER_hh_tesh_in!L12/SER_summary!L$27)</f>
        <v>81.171356217779277</v>
      </c>
      <c r="M12" s="133">
        <f>IF(SER_hh_tesh_in!M12=0,0,SER_hh_tesh_in!M12/SER_summary!M$27)</f>
        <v>0</v>
      </c>
      <c r="N12" s="133">
        <f>IF(SER_hh_tesh_in!N12=0,0,SER_hh_tesh_in!N12/SER_summary!N$27)</f>
        <v>0</v>
      </c>
      <c r="O12" s="133">
        <f>IF(SER_hh_tesh_in!O12=0,0,SER_hh_tesh_in!O12/SER_summary!O$27)</f>
        <v>0</v>
      </c>
      <c r="P12" s="133">
        <f>IF(SER_hh_tesh_in!P12=0,0,SER_hh_tesh_in!P12/SER_summary!P$27)</f>
        <v>0</v>
      </c>
      <c r="Q12" s="133">
        <f>IF(SER_hh_tesh_in!Q12=0,0,SER_hh_tesh_in!Q12/SER_summary!Q$27)</f>
        <v>49.749928738017935</v>
      </c>
      <c r="R12" s="133">
        <f>IF(SER_hh_tesh_in!R12=0,0,SER_hh_tesh_in!R12/SER_summary!R$27)</f>
        <v>46.753143954507088</v>
      </c>
      <c r="S12" s="133">
        <f>IF(SER_hh_tesh_in!S12=0,0,SER_hh_tesh_in!S12/SER_summary!S$27)</f>
        <v>55.411600173222702</v>
      </c>
      <c r="T12" s="133">
        <f>IF(SER_hh_tesh_in!T12=0,0,SER_hh_tesh_in!T12/SER_summary!T$27)</f>
        <v>43.442011371524437</v>
      </c>
      <c r="U12" s="133">
        <f>IF(SER_hh_tesh_in!U12=0,0,SER_hh_tesh_in!U12/SER_summary!U$27)</f>
        <v>44.573201156165155</v>
      </c>
      <c r="V12" s="133">
        <f>IF(SER_hh_tesh_in!V12=0,0,SER_hh_tesh_in!V12/SER_summary!V$27)</f>
        <v>39.351771989465981</v>
      </c>
      <c r="W12" s="133">
        <f>IF(SER_hh_tesh_in!W12=0,0,SER_hh_tesh_in!W12/SER_summary!W$27)</f>
        <v>29.40984906322052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76.037587251345542</v>
      </c>
      <c r="D13" s="133">
        <f>IF(SER_hh_tesh_in!D13=0,0,SER_hh_tesh_in!D13/SER_summary!D$27)</f>
        <v>78.150805767477962</v>
      </c>
      <c r="E13" s="133">
        <f>IF(SER_hh_tesh_in!E13=0,0,SER_hh_tesh_in!E13/SER_summary!E$27)</f>
        <v>73.66593318782806</v>
      </c>
      <c r="F13" s="133">
        <f>IF(SER_hh_tesh_in!F13=0,0,SER_hh_tesh_in!F13/SER_summary!F$27)</f>
        <v>81.112040723387196</v>
      </c>
      <c r="G13" s="133">
        <f>IF(SER_hh_tesh_in!G13=0,0,SER_hh_tesh_in!G13/SER_summary!G$27)</f>
        <v>79.592221610377365</v>
      </c>
      <c r="H13" s="133">
        <f>IF(SER_hh_tesh_in!H13=0,0,SER_hh_tesh_in!H13/SER_summary!H$27)</f>
        <v>73.815195186225921</v>
      </c>
      <c r="I13" s="133">
        <f>IF(SER_hh_tesh_in!I13=0,0,SER_hh_tesh_in!I13/SER_summary!I$27)</f>
        <v>73.77946411391585</v>
      </c>
      <c r="J13" s="133">
        <f>IF(SER_hh_tesh_in!J13=0,0,SER_hh_tesh_in!J13/SER_summary!J$27)</f>
        <v>76.509013425546343</v>
      </c>
      <c r="K13" s="133">
        <f>IF(SER_hh_tesh_in!K13=0,0,SER_hh_tesh_in!K13/SER_summary!K$27)</f>
        <v>76.66156990039805</v>
      </c>
      <c r="L13" s="133">
        <f>IF(SER_hh_tesh_in!L13=0,0,SER_hh_tesh_in!L13/SER_summary!L$27)</f>
        <v>77.333121587011959</v>
      </c>
      <c r="M13" s="133">
        <f>IF(SER_hh_tesh_in!M13=0,0,SER_hh_tesh_in!M13/SER_summary!M$27)</f>
        <v>72.542943334546933</v>
      </c>
      <c r="N13" s="133">
        <f>IF(SER_hh_tesh_in!N13=0,0,SER_hh_tesh_in!N13/SER_summary!N$27)</f>
        <v>68.381122725332361</v>
      </c>
      <c r="O13" s="133">
        <f>IF(SER_hh_tesh_in!O13=0,0,SER_hh_tesh_in!O13/SER_summary!O$27)</f>
        <v>63.520696599285522</v>
      </c>
      <c r="P13" s="133">
        <f>IF(SER_hh_tesh_in!P13=0,0,SER_hh_tesh_in!P13/SER_summary!P$27)</f>
        <v>56.693013335981618</v>
      </c>
      <c r="Q13" s="133">
        <f>IF(SER_hh_tesh_in!Q13=0,0,SER_hh_tesh_in!Q13/SER_summary!Q$27)</f>
        <v>54.046291160915985</v>
      </c>
      <c r="R13" s="133">
        <f>IF(SER_hh_tesh_in!R13=0,0,SER_hh_tesh_in!R13/SER_summary!R$27)</f>
        <v>51.480399114272288</v>
      </c>
      <c r="S13" s="133">
        <f>IF(SER_hh_tesh_in!S13=0,0,SER_hh_tesh_in!S13/SER_summary!S$27)</f>
        <v>49.444057987043593</v>
      </c>
      <c r="T13" s="133">
        <f>IF(SER_hh_tesh_in!T13=0,0,SER_hh_tesh_in!T13/SER_summary!T$27)</f>
        <v>46.220028409825467</v>
      </c>
      <c r="U13" s="133">
        <f>IF(SER_hh_tesh_in!U13=0,0,SER_hh_tesh_in!U13/SER_summary!U$27)</f>
        <v>41.733222902340714</v>
      </c>
      <c r="V13" s="133">
        <f>IF(SER_hh_tesh_in!V13=0,0,SER_hh_tesh_in!V13/SER_summary!V$27)</f>
        <v>36.942445701766523</v>
      </c>
      <c r="W13" s="133">
        <f>IF(SER_hh_tesh_in!W13=0,0,SER_hh_tesh_in!W13/SER_summary!W$27)</f>
        <v>31.65439810014913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80.360599319924233</v>
      </c>
      <c r="D14" s="65">
        <f>IF(SER_hh_tesh_in!D14=0,0,SER_hh_tesh_in!D14/SER_summary!D$27)</f>
        <v>76.591993973528403</v>
      </c>
      <c r="E14" s="65">
        <f>IF(SER_hh_tesh_in!E14=0,0,SER_hh_tesh_in!E14/SER_summary!E$27)</f>
        <v>82.376357007954851</v>
      </c>
      <c r="F14" s="65">
        <f>IF(SER_hh_tesh_in!F14=0,0,SER_hh_tesh_in!F14/SER_summary!F$27)</f>
        <v>86.255452532151665</v>
      </c>
      <c r="G14" s="65">
        <f>IF(SER_hh_tesh_in!G14=0,0,SER_hh_tesh_in!G14/SER_summary!G$27)</f>
        <v>80.875358512143194</v>
      </c>
      <c r="H14" s="65">
        <f>IF(SER_hh_tesh_in!H14=0,0,SER_hh_tesh_in!H14/SER_summary!H$27)</f>
        <v>78.966170468362861</v>
      </c>
      <c r="I14" s="65">
        <f>IF(SER_hh_tesh_in!I14=0,0,SER_hh_tesh_in!I14/SER_summary!I$27)</f>
        <v>76.86386399214058</v>
      </c>
      <c r="J14" s="65">
        <f>IF(SER_hh_tesh_in!J14=0,0,SER_hh_tesh_in!J14/SER_summary!J$27)</f>
        <v>74.596872694150093</v>
      </c>
      <c r="K14" s="65">
        <f>IF(SER_hh_tesh_in!K14=0,0,SER_hh_tesh_in!K14/SER_summary!K$27)</f>
        <v>78.114873780467008</v>
      </c>
      <c r="L14" s="65">
        <f>IF(SER_hh_tesh_in!L14=0,0,SER_hh_tesh_in!L14/SER_summary!L$27)</f>
        <v>76.66880096594123</v>
      </c>
      <c r="M14" s="65">
        <f>IF(SER_hh_tesh_in!M14=0,0,SER_hh_tesh_in!M14/SER_summary!M$27)</f>
        <v>72.647566049564418</v>
      </c>
      <c r="N14" s="65">
        <f>IF(SER_hh_tesh_in!N14=0,0,SER_hh_tesh_in!N14/SER_summary!N$27)</f>
        <v>70.106649398293442</v>
      </c>
      <c r="O14" s="65">
        <f>IF(SER_hh_tesh_in!O14=0,0,SER_hh_tesh_in!O14/SER_summary!O$27)</f>
        <v>71.557354907736297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47.603268643975539</v>
      </c>
      <c r="S14" s="65">
        <f>IF(SER_hh_tesh_in!S14=0,0,SER_hh_tesh_in!S14/SER_summary!S$27)</f>
        <v>50.355096237291896</v>
      </c>
      <c r="T14" s="65">
        <f>IF(SER_hh_tesh_in!T14=0,0,SER_hh_tesh_in!T14/SER_summary!T$27)</f>
        <v>51.238818640121067</v>
      </c>
      <c r="U14" s="65">
        <f>IF(SER_hh_tesh_in!U14=0,0,SER_hh_tesh_in!U14/SER_summary!U$27)</f>
        <v>41.267023077384465</v>
      </c>
      <c r="V14" s="65">
        <f>IF(SER_hh_tesh_in!V14=0,0,SER_hh_tesh_in!V14/SER_summary!V$27)</f>
        <v>33.242990062680519</v>
      </c>
      <c r="W14" s="65">
        <f>IF(SER_hh_tesh_in!W14=0,0,SER_hh_tesh_in!W14/SER_summary!W$27)</f>
        <v>32.346310576555261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1.2977770693110964</v>
      </c>
      <c r="D15" s="135">
        <f>IF(SER_hh_tesh_in!D15=0,0,SER_hh_tesh_in!D15/SER_summary!D$27)</f>
        <v>1.2511182749282559</v>
      </c>
      <c r="E15" s="135">
        <f>IF(SER_hh_tesh_in!E15=0,0,SER_hh_tesh_in!E15/SER_summary!E$27)</f>
        <v>1.4005708230228113</v>
      </c>
      <c r="F15" s="135">
        <f>IF(SER_hh_tesh_in!F15=0,0,SER_hh_tesh_in!F15/SER_summary!F$27)</f>
        <v>1.6122211565980782</v>
      </c>
      <c r="G15" s="135">
        <f>IF(SER_hh_tesh_in!G15=0,0,SER_hh_tesh_in!G15/SER_summary!G$27)</f>
        <v>1.3648020866798709</v>
      </c>
      <c r="H15" s="135">
        <f>IF(SER_hh_tesh_in!H15=0,0,SER_hh_tesh_in!H15/SER_summary!H$27)</f>
        <v>1.281535325132571</v>
      </c>
      <c r="I15" s="135">
        <f>IF(SER_hh_tesh_in!I15=0,0,SER_hh_tesh_in!I15/SER_summary!I$27)</f>
        <v>1.0820115123185041</v>
      </c>
      <c r="J15" s="135">
        <f>IF(SER_hh_tesh_in!J15=0,0,SER_hh_tesh_in!J15/SER_summary!J$27)</f>
        <v>1.1626806182301948</v>
      </c>
      <c r="K15" s="135">
        <f>IF(SER_hh_tesh_in!K15=0,0,SER_hh_tesh_in!K15/SER_summary!K$27)</f>
        <v>1.1806386355033291</v>
      </c>
      <c r="L15" s="135">
        <f>IF(SER_hh_tesh_in!L15=0,0,SER_hh_tesh_in!L15/SER_summary!L$27)</f>
        <v>1.4099878257129861</v>
      </c>
      <c r="M15" s="135">
        <f>IF(SER_hh_tesh_in!M15=0,0,SER_hh_tesh_in!M15/SER_summary!M$27)</f>
        <v>1.0702538568871265</v>
      </c>
      <c r="N15" s="135">
        <f>IF(SER_hh_tesh_in!N15=0,0,SER_hh_tesh_in!N15/SER_summary!N$27)</f>
        <v>1.1611673973708263</v>
      </c>
      <c r="O15" s="135">
        <f>IF(SER_hh_tesh_in!O15=0,0,SER_hh_tesh_in!O15/SER_summary!O$27)</f>
        <v>1.1226794125783583</v>
      </c>
      <c r="P15" s="135">
        <f>IF(SER_hh_tesh_in!P15=0,0,SER_hh_tesh_in!P15/SER_summary!P$27)</f>
        <v>0.80412790280908308</v>
      </c>
      <c r="Q15" s="135">
        <f>IF(SER_hh_tesh_in!Q15=0,0,SER_hh_tesh_in!Q15/SER_summary!Q$27)</f>
        <v>0.79885860853143142</v>
      </c>
      <c r="R15" s="135">
        <f>IF(SER_hh_tesh_in!R15=0,0,SER_hh_tesh_in!R15/SER_summary!R$27)</f>
        <v>0.71593216283831052</v>
      </c>
      <c r="S15" s="135">
        <f>IF(SER_hh_tesh_in!S15=0,0,SER_hh_tesh_in!S15/SER_summary!S$27)</f>
        <v>0.65509771539813011</v>
      </c>
      <c r="T15" s="135">
        <f>IF(SER_hh_tesh_in!T15=0,0,SER_hh_tesh_in!T15/SER_summary!T$27)</f>
        <v>0.62254046778870087</v>
      </c>
      <c r="U15" s="135">
        <f>IF(SER_hh_tesh_in!U15=0,0,SER_hh_tesh_in!U15/SER_summary!U$27)</f>
        <v>0.56378896658128008</v>
      </c>
      <c r="V15" s="135">
        <f>IF(SER_hh_tesh_in!V15=0,0,SER_hh_tesh_in!V15/SER_summary!V$27)</f>
        <v>0.49319315492406507</v>
      </c>
      <c r="W15" s="135">
        <f>IF(SER_hh_tesh_in!W15=0,0,SER_hh_tesh_in!W15/SER_summary!W$27)</f>
        <v>0.46272625868374512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28.608765163542419</v>
      </c>
      <c r="D16" s="131">
        <f>IF(SER_hh_tesh_in!D16=0,0,SER_hh_tesh_in!D16/SER_summary!D$27)</f>
        <v>28.140404525514128</v>
      </c>
      <c r="E16" s="131">
        <f>IF(SER_hh_tesh_in!E16=0,0,SER_hh_tesh_in!E16/SER_summary!E$27)</f>
        <v>30.645759538538154</v>
      </c>
      <c r="F16" s="131">
        <f>IF(SER_hh_tesh_in!F16=0,0,SER_hh_tesh_in!F16/SER_summary!F$27)</f>
        <v>27.728988639213586</v>
      </c>
      <c r="G16" s="131">
        <f>IF(SER_hh_tesh_in!G16=0,0,SER_hh_tesh_in!G16/SER_summary!G$27)</f>
        <v>27.183556482706063</v>
      </c>
      <c r="H16" s="131">
        <f>IF(SER_hh_tesh_in!H16=0,0,SER_hh_tesh_in!H16/SER_summary!H$27)</f>
        <v>29.593155737963183</v>
      </c>
      <c r="I16" s="131">
        <f>IF(SER_hh_tesh_in!I16=0,0,SER_hh_tesh_in!I16/SER_summary!I$27)</f>
        <v>26.926473326702116</v>
      </c>
      <c r="J16" s="131">
        <f>IF(SER_hh_tesh_in!J16=0,0,SER_hh_tesh_in!J16/SER_summary!J$27)</f>
        <v>26.778298886340462</v>
      </c>
      <c r="K16" s="131">
        <f>IF(SER_hh_tesh_in!K16=0,0,SER_hh_tesh_in!K16/SER_summary!K$27)</f>
        <v>26.434750484355725</v>
      </c>
      <c r="L16" s="131">
        <f>IF(SER_hh_tesh_in!L16=0,0,SER_hh_tesh_in!L16/SER_summary!L$27)</f>
        <v>26.956169347026673</v>
      </c>
      <c r="M16" s="131">
        <f>IF(SER_hh_tesh_in!M16=0,0,SER_hh_tesh_in!M16/SER_summary!M$27)</f>
        <v>25.719072686243027</v>
      </c>
      <c r="N16" s="131">
        <f>IF(SER_hh_tesh_in!N16=0,0,SER_hh_tesh_in!N16/SER_summary!N$27)</f>
        <v>25.338213643283837</v>
      </c>
      <c r="O16" s="131">
        <f>IF(SER_hh_tesh_in!O16=0,0,SER_hh_tesh_in!O16/SER_summary!O$27)</f>
        <v>24.89784897054346</v>
      </c>
      <c r="P16" s="131">
        <f>IF(SER_hh_tesh_in!P16=0,0,SER_hh_tesh_in!P16/SER_summary!P$27)</f>
        <v>23.971027551640361</v>
      </c>
      <c r="Q16" s="131">
        <f>IF(SER_hh_tesh_in!Q16=0,0,SER_hh_tesh_in!Q16/SER_summary!Q$27)</f>
        <v>24.491988832369472</v>
      </c>
      <c r="R16" s="131">
        <f>IF(SER_hh_tesh_in!R16=0,0,SER_hh_tesh_in!R16/SER_summary!R$27)</f>
        <v>23.115774225542804</v>
      </c>
      <c r="S16" s="131">
        <f>IF(SER_hh_tesh_in!S16=0,0,SER_hh_tesh_in!S16/SER_summary!S$27)</f>
        <v>21.905670221680303</v>
      </c>
      <c r="T16" s="131">
        <f>IF(SER_hh_tesh_in!T16=0,0,SER_hh_tesh_in!T16/SER_summary!T$27)</f>
        <v>23.287106830475892</v>
      </c>
      <c r="U16" s="131">
        <f>IF(SER_hh_tesh_in!U16=0,0,SER_hh_tesh_in!U16/SER_summary!U$27)</f>
        <v>21.938722966382628</v>
      </c>
      <c r="V16" s="131">
        <f>IF(SER_hh_tesh_in!V16=0,0,SER_hh_tesh_in!V16/SER_summary!V$27)</f>
        <v>21.501821134956611</v>
      </c>
      <c r="W16" s="131">
        <f>IF(SER_hh_tesh_in!W16=0,0,SER_hh_tesh_in!W16/SER_summary!W$27)</f>
        <v>16.926066875630831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28.60446471718187</v>
      </c>
      <c r="D17" s="133">
        <f>IF(SER_hh_tesh_in!D17=0,0,SER_hh_tesh_in!D17/SER_summary!D$27)</f>
        <v>28.146214751980377</v>
      </c>
      <c r="E17" s="133">
        <f>IF(SER_hh_tesh_in!E17=0,0,SER_hh_tesh_in!E17/SER_summary!E$27)</f>
        <v>30.649095029261648</v>
      </c>
      <c r="F17" s="133">
        <f>IF(SER_hh_tesh_in!F17=0,0,SER_hh_tesh_in!F17/SER_summary!F$27)</f>
        <v>27.734181772606409</v>
      </c>
      <c r="G17" s="133">
        <f>IF(SER_hh_tesh_in!G17=0,0,SER_hh_tesh_in!G17/SER_summary!G$27)</f>
        <v>27.197487313826585</v>
      </c>
      <c r="H17" s="133">
        <f>IF(SER_hh_tesh_in!H17=0,0,SER_hh_tesh_in!H17/SER_summary!H$27)</f>
        <v>29.669730592302404</v>
      </c>
      <c r="I17" s="133">
        <f>IF(SER_hh_tesh_in!I17=0,0,SER_hh_tesh_in!I17/SER_summary!I$27)</f>
        <v>27.04551191800649</v>
      </c>
      <c r="J17" s="133">
        <f>IF(SER_hh_tesh_in!J17=0,0,SER_hh_tesh_in!J17/SER_summary!J$27)</f>
        <v>26.881907289471886</v>
      </c>
      <c r="K17" s="133">
        <f>IF(SER_hh_tesh_in!K17=0,0,SER_hh_tesh_in!K17/SER_summary!K$27)</f>
        <v>26.505108772254193</v>
      </c>
      <c r="L17" s="133">
        <f>IF(SER_hh_tesh_in!L17=0,0,SER_hh_tesh_in!L17/SER_summary!L$27)</f>
        <v>27.016165367786911</v>
      </c>
      <c r="M17" s="133">
        <f>IF(SER_hh_tesh_in!M17=0,0,SER_hh_tesh_in!M17/SER_summary!M$27)</f>
        <v>25.773649179496573</v>
      </c>
      <c r="N17" s="133">
        <f>IF(SER_hh_tesh_in!N17=0,0,SER_hh_tesh_in!N17/SER_summary!N$27)</f>
        <v>25.374484320240114</v>
      </c>
      <c r="O17" s="133">
        <f>IF(SER_hh_tesh_in!O17=0,0,SER_hh_tesh_in!O17/SER_summary!O$27)</f>
        <v>24.9015993612465</v>
      </c>
      <c r="P17" s="133">
        <f>IF(SER_hh_tesh_in!P17=0,0,SER_hh_tesh_in!P17/SER_summary!P$27)</f>
        <v>23.967272551413245</v>
      </c>
      <c r="Q17" s="133">
        <f>IF(SER_hh_tesh_in!Q17=0,0,SER_hh_tesh_in!Q17/SER_summary!Q$27)</f>
        <v>24.370362625338345</v>
      </c>
      <c r="R17" s="133">
        <f>IF(SER_hh_tesh_in!R17=0,0,SER_hh_tesh_in!R17/SER_summary!R$27)</f>
        <v>23.428148858643603</v>
      </c>
      <c r="S17" s="133">
        <f>IF(SER_hh_tesh_in!S17=0,0,SER_hh_tesh_in!S17/SER_summary!S$27)</f>
        <v>23.324967584021948</v>
      </c>
      <c r="T17" s="133">
        <f>IF(SER_hh_tesh_in!T17=0,0,SER_hh_tesh_in!T17/SER_summary!T$27)</f>
        <v>23.493991202393858</v>
      </c>
      <c r="U17" s="133">
        <f>IF(SER_hh_tesh_in!U17=0,0,SER_hh_tesh_in!U17/SER_summary!U$27)</f>
        <v>22.07742069512252</v>
      </c>
      <c r="V17" s="133">
        <f>IF(SER_hh_tesh_in!V17=0,0,SER_hh_tesh_in!V17/SER_summary!V$27)</f>
        <v>21.685710840083814</v>
      </c>
      <c r="W17" s="133">
        <f>IF(SER_hh_tesh_in!W17=0,0,SER_hh_tesh_in!W17/SER_summary!W$27)</f>
        <v>20.490157467752589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28.608777441609561</v>
      </c>
      <c r="D18" s="133">
        <f>IF(SER_hh_tesh_in!D18=0,0,SER_hh_tesh_in!D18/SER_summary!D$27)</f>
        <v>28.140379548730611</v>
      </c>
      <c r="E18" s="133">
        <f>IF(SER_hh_tesh_in!E18=0,0,SER_hh_tesh_in!E18/SER_summary!E$27)</f>
        <v>30.645749108973853</v>
      </c>
      <c r="F18" s="133">
        <f>IF(SER_hh_tesh_in!F18=0,0,SER_hh_tesh_in!F18/SER_summary!F$27)</f>
        <v>27.728952003734431</v>
      </c>
      <c r="G18" s="133">
        <f>IF(SER_hh_tesh_in!G18=0,0,SER_hh_tesh_in!G18/SER_summary!G$27)</f>
        <v>27.183491023697769</v>
      </c>
      <c r="H18" s="133">
        <f>IF(SER_hh_tesh_in!H18=0,0,SER_hh_tesh_in!H18/SER_summary!H$27)</f>
        <v>29.592674914993818</v>
      </c>
      <c r="I18" s="133">
        <f>IF(SER_hh_tesh_in!I18=0,0,SER_hh_tesh_in!I18/SER_summary!I$27)</f>
        <v>26.925593613389534</v>
      </c>
      <c r="J18" s="133">
        <f>IF(SER_hh_tesh_in!J18=0,0,SER_hh_tesh_in!J18/SER_summary!J$27)</f>
        <v>26.777520225146176</v>
      </c>
      <c r="K18" s="133">
        <f>IF(SER_hh_tesh_in!K18=0,0,SER_hh_tesh_in!K18/SER_summary!K$27)</f>
        <v>26.434228854880963</v>
      </c>
      <c r="L18" s="133">
        <f>IF(SER_hh_tesh_in!L18=0,0,SER_hh_tesh_in!L18/SER_summary!L$27)</f>
        <v>26.955747616452012</v>
      </c>
      <c r="M18" s="133">
        <f>IF(SER_hh_tesh_in!M18=0,0,SER_hh_tesh_in!M18/SER_summary!M$27)</f>
        <v>25.718622283068715</v>
      </c>
      <c r="N18" s="133">
        <f>IF(SER_hh_tesh_in!N18=0,0,SER_hh_tesh_in!N18/SER_summary!N$27)</f>
        <v>25.337802917969206</v>
      </c>
      <c r="O18" s="133">
        <f>IF(SER_hh_tesh_in!O18=0,0,SER_hh_tesh_in!O18/SER_summary!O$27)</f>
        <v>24.897781977619502</v>
      </c>
      <c r="P18" s="133">
        <f>IF(SER_hh_tesh_in!P18=0,0,SER_hh_tesh_in!P18/SER_summary!P$27)</f>
        <v>23.971133083325917</v>
      </c>
      <c r="Q18" s="133">
        <f>IF(SER_hh_tesh_in!Q18=0,0,SER_hh_tesh_in!Q18/SER_summary!Q$27)</f>
        <v>24.496307653649961</v>
      </c>
      <c r="R18" s="133">
        <f>IF(SER_hh_tesh_in!R18=0,0,SER_hh_tesh_in!R18/SER_summary!R$27)</f>
        <v>23.104251574046511</v>
      </c>
      <c r="S18" s="133">
        <f>IF(SER_hh_tesh_in!S18=0,0,SER_hh_tesh_in!S18/SER_summary!S$27)</f>
        <v>21.864375190577924</v>
      </c>
      <c r="T18" s="133">
        <f>IF(SER_hh_tesh_in!T18=0,0,SER_hh_tesh_in!T18/SER_summary!T$27)</f>
        <v>23.282255286392843</v>
      </c>
      <c r="U18" s="133">
        <f>IF(SER_hh_tesh_in!U18=0,0,SER_hh_tesh_in!U18/SER_summary!U$27)</f>
        <v>21.93445269170676</v>
      </c>
      <c r="V18" s="133">
        <f>IF(SER_hh_tesh_in!V18=0,0,SER_hh_tesh_in!V18/SER_summary!V$27)</f>
        <v>21.494579363485499</v>
      </c>
      <c r="W18" s="133">
        <f>IF(SER_hh_tesh_in!W18=0,0,SER_hh_tesh_in!W18/SER_summary!W$27)</f>
        <v>16.873508222842535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16.788320591749216</v>
      </c>
      <c r="D19" s="131">
        <f>IF(SER_hh_tesh_in!D19=0,0,SER_hh_tesh_in!D19/SER_summary!D$27)</f>
        <v>16.785136747991181</v>
      </c>
      <c r="E19" s="131">
        <f>IF(SER_hh_tesh_in!E19=0,0,SER_hh_tesh_in!E19/SER_summary!E$27)</f>
        <v>16.580473949703975</v>
      </c>
      <c r="F19" s="131">
        <f>IF(SER_hh_tesh_in!F19=0,0,SER_hh_tesh_in!F19/SER_summary!F$27)</f>
        <v>16.606940346670079</v>
      </c>
      <c r="G19" s="131">
        <f>IF(SER_hh_tesh_in!G19=0,0,SER_hh_tesh_in!G19/SER_summary!G$27)</f>
        <v>16.332140089535418</v>
      </c>
      <c r="H19" s="131">
        <f>IF(SER_hh_tesh_in!H19=0,0,SER_hh_tesh_in!H19/SER_summary!H$27)</f>
        <v>15.87632891637811</v>
      </c>
      <c r="I19" s="131">
        <f>IF(SER_hh_tesh_in!I19=0,0,SER_hh_tesh_in!I19/SER_summary!I$27)</f>
        <v>15.362057511321767</v>
      </c>
      <c r="J19" s="131">
        <f>IF(SER_hh_tesh_in!J19=0,0,SER_hh_tesh_in!J19/SER_summary!J$27)</f>
        <v>15.056995560310034</v>
      </c>
      <c r="K19" s="131">
        <f>IF(SER_hh_tesh_in!K19=0,0,SER_hh_tesh_in!K19/SER_summary!K$27)</f>
        <v>15.151432242943043</v>
      </c>
      <c r="L19" s="131">
        <f>IF(SER_hh_tesh_in!L19=0,0,SER_hh_tesh_in!L19/SER_summary!L$27)</f>
        <v>14.958119709694314</v>
      </c>
      <c r="M19" s="131">
        <f>IF(SER_hh_tesh_in!M19=0,0,SER_hh_tesh_in!M19/SER_summary!M$27)</f>
        <v>14.781024104177639</v>
      </c>
      <c r="N19" s="131">
        <f>IF(SER_hh_tesh_in!N19=0,0,SER_hh_tesh_in!N19/SER_summary!N$27)</f>
        <v>14.842415568863011</v>
      </c>
      <c r="O19" s="131">
        <f>IF(SER_hh_tesh_in!O19=0,0,SER_hh_tesh_in!O19/SER_summary!O$27)</f>
        <v>14.76872753588918</v>
      </c>
      <c r="P19" s="131">
        <f>IF(SER_hh_tesh_in!P19=0,0,SER_hh_tesh_in!P19/SER_summary!P$27)</f>
        <v>14.815674308008957</v>
      </c>
      <c r="Q19" s="131">
        <f>IF(SER_hh_tesh_in!Q19=0,0,SER_hh_tesh_in!Q19/SER_summary!Q$27)</f>
        <v>14.512360194288513</v>
      </c>
      <c r="R19" s="131">
        <f>IF(SER_hh_tesh_in!R19=0,0,SER_hh_tesh_in!R19/SER_summary!R$27)</f>
        <v>14.306163002072596</v>
      </c>
      <c r="S19" s="131">
        <f>IF(SER_hh_tesh_in!S19=0,0,SER_hh_tesh_in!S19/SER_summary!S$27)</f>
        <v>14.272976964882362</v>
      </c>
      <c r="T19" s="131">
        <f>IF(SER_hh_tesh_in!T19=0,0,SER_hh_tesh_in!T19/SER_summary!T$27)</f>
        <v>14.048648772046599</v>
      </c>
      <c r="U19" s="131">
        <f>IF(SER_hh_tesh_in!U19=0,0,SER_hh_tesh_in!U19/SER_summary!U$27)</f>
        <v>13.835011266706521</v>
      </c>
      <c r="V19" s="131">
        <f>IF(SER_hh_tesh_in!V19=0,0,SER_hh_tesh_in!V19/SER_summary!V$27)</f>
        <v>13.833721987151719</v>
      </c>
      <c r="W19" s="131">
        <f>IF(SER_hh_tesh_in!W19=0,0,SER_hh_tesh_in!W19/SER_summary!W$27)</f>
        <v>13.3987774098215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16.765802450465539</v>
      </c>
      <c r="D22" s="133">
        <f>IF(SER_hh_tesh_in!D22=0,0,SER_hh_tesh_in!D22/SER_summary!D$27)</f>
        <v>16.372468884798725</v>
      </c>
      <c r="E22" s="133">
        <f>IF(SER_hh_tesh_in!E22=0,0,SER_hh_tesh_in!E22/SER_summary!E$27)</f>
        <v>16.317647740713568</v>
      </c>
      <c r="F22" s="133">
        <f>IF(SER_hh_tesh_in!F22=0,0,SER_hh_tesh_in!F22/SER_summary!F$27)</f>
        <v>16.116549570362956</v>
      </c>
      <c r="G22" s="133">
        <f>IF(SER_hh_tesh_in!G22=0,0,SER_hh_tesh_in!G22/SER_summary!G$27)</f>
        <v>16.120239789335706</v>
      </c>
      <c r="H22" s="133">
        <f>IF(SER_hh_tesh_in!H22=0,0,SER_hh_tesh_in!H22/SER_summary!H$27)</f>
        <v>15.71165727160936</v>
      </c>
      <c r="I22" s="133">
        <f>IF(SER_hh_tesh_in!I22=0,0,SER_hh_tesh_in!I22/SER_summary!I$27)</f>
        <v>15.274912373441337</v>
      </c>
      <c r="J22" s="133">
        <f>IF(SER_hh_tesh_in!J22=0,0,SER_hh_tesh_in!J22/SER_summary!J$27)</f>
        <v>15.227637043924421</v>
      </c>
      <c r="K22" s="133">
        <f>IF(SER_hh_tesh_in!K22=0,0,SER_hh_tesh_in!K22/SER_summary!K$27)</f>
        <v>14.594658385418477</v>
      </c>
      <c r="L22" s="133">
        <f>IF(SER_hh_tesh_in!L22=0,0,SER_hh_tesh_in!L22/SER_summary!L$27)</f>
        <v>14.840289983328679</v>
      </c>
      <c r="M22" s="133">
        <f>IF(SER_hh_tesh_in!M22=0,0,SER_hh_tesh_in!M22/SER_summary!M$27)</f>
        <v>14.492101592611274</v>
      </c>
      <c r="N22" s="133">
        <f>IF(SER_hh_tesh_in!N22=0,0,SER_hh_tesh_in!N22/SER_summary!N$27)</f>
        <v>14.536576783659811</v>
      </c>
      <c r="O22" s="133">
        <f>IF(SER_hh_tesh_in!O22=0,0,SER_hh_tesh_in!O22/SER_summary!O$27)</f>
        <v>14.263680632494884</v>
      </c>
      <c r="P22" s="133">
        <f>IF(SER_hh_tesh_in!P22=0,0,SER_hh_tesh_in!P22/SER_summary!P$27)</f>
        <v>14.343943890198629</v>
      </c>
      <c r="Q22" s="133">
        <f>IF(SER_hh_tesh_in!Q22=0,0,SER_hh_tesh_in!Q22/SER_summary!Q$27)</f>
        <v>14.373048822205511</v>
      </c>
      <c r="R22" s="133">
        <f>IF(SER_hh_tesh_in!R22=0,0,SER_hh_tesh_in!R22/SER_summary!R$27)</f>
        <v>14.051121519760226</v>
      </c>
      <c r="S22" s="133">
        <f>IF(SER_hh_tesh_in!S22=0,0,SER_hh_tesh_in!S22/SER_summary!S$27)</f>
        <v>13.918300956697765</v>
      </c>
      <c r="T22" s="133">
        <f>IF(SER_hh_tesh_in!T22=0,0,SER_hh_tesh_in!T22/SER_summary!T$27)</f>
        <v>14.000543220481859</v>
      </c>
      <c r="U22" s="133">
        <f>IF(SER_hh_tesh_in!U22=0,0,SER_hh_tesh_in!U22/SER_summary!U$27)</f>
        <v>13.914108953436811</v>
      </c>
      <c r="V22" s="133">
        <f>IF(SER_hh_tesh_in!V22=0,0,SER_hh_tesh_in!V22/SER_summary!V$27)</f>
        <v>13.346041821501444</v>
      </c>
      <c r="W22" s="133">
        <f>IF(SER_hh_tesh_in!W22=0,0,SER_hh_tesh_in!W22/SER_summary!W$27)</f>
        <v>13.408466089267311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16.577773421442647</v>
      </c>
      <c r="D23" s="133">
        <f>IF(SER_hh_tesh_in!D23=0,0,SER_hh_tesh_in!D23/SER_summary!D$27)</f>
        <v>17.02931859048665</v>
      </c>
      <c r="E23" s="133">
        <f>IF(SER_hh_tesh_in!E23=0,0,SER_hh_tesh_in!E23/SER_summary!E$27)</f>
        <v>16.430221579776035</v>
      </c>
      <c r="F23" s="133">
        <f>IF(SER_hh_tesh_in!F23=0,0,SER_hh_tesh_in!F23/SER_summary!F$27)</f>
        <v>16.048029249460409</v>
      </c>
      <c r="G23" s="133">
        <f>IF(SER_hh_tesh_in!G23=0,0,SER_hh_tesh_in!G23/SER_summary!G$27)</f>
        <v>16.062991578983695</v>
      </c>
      <c r="H23" s="133">
        <f>IF(SER_hh_tesh_in!H23=0,0,SER_hh_tesh_in!H23/SER_summary!H$27)</f>
        <v>15.887573024414257</v>
      </c>
      <c r="I23" s="133">
        <f>IF(SER_hh_tesh_in!I23=0,0,SER_hh_tesh_in!I23/SER_summary!I$27)</f>
        <v>15.304670950402206</v>
      </c>
      <c r="J23" s="133">
        <f>IF(SER_hh_tesh_in!J23=0,0,SER_hh_tesh_in!J23/SER_summary!J$27)</f>
        <v>15.056460643211388</v>
      </c>
      <c r="K23" s="133">
        <f>IF(SER_hh_tesh_in!K23=0,0,SER_hh_tesh_in!K23/SER_summary!K$27)</f>
        <v>14.510559459053326</v>
      </c>
      <c r="L23" s="133">
        <f>IF(SER_hh_tesh_in!L23=0,0,SER_hh_tesh_in!L23/SER_summary!L$27)</f>
        <v>14.85361940429927</v>
      </c>
      <c r="M23" s="133">
        <f>IF(SER_hh_tesh_in!M23=0,0,SER_hh_tesh_in!M23/SER_summary!M$27)</f>
        <v>14.263415492240535</v>
      </c>
      <c r="N23" s="133">
        <f>IF(SER_hh_tesh_in!N23=0,0,SER_hh_tesh_in!N23/SER_summary!N$27)</f>
        <v>14.840965240040489</v>
      </c>
      <c r="O23" s="133">
        <f>IF(SER_hh_tesh_in!O23=0,0,SER_hh_tesh_in!O23/SER_summary!O$27)</f>
        <v>14.730903121354235</v>
      </c>
      <c r="P23" s="133">
        <f>IF(SER_hh_tesh_in!P23=0,0,SER_hh_tesh_in!P23/SER_summary!P$27)</f>
        <v>14.284822374490179</v>
      </c>
      <c r="Q23" s="133">
        <f>IF(SER_hh_tesh_in!Q23=0,0,SER_hh_tesh_in!Q23/SER_summary!Q$27)</f>
        <v>14.017359560615866</v>
      </c>
      <c r="R23" s="133">
        <f>IF(SER_hh_tesh_in!R23=0,0,SER_hh_tesh_in!R23/SER_summary!R$27)</f>
        <v>13.819070105734236</v>
      </c>
      <c r="S23" s="133">
        <f>IF(SER_hh_tesh_in!S23=0,0,SER_hh_tesh_in!S23/SER_summary!S$27)</f>
        <v>14.362870611969807</v>
      </c>
      <c r="T23" s="133">
        <f>IF(SER_hh_tesh_in!T23=0,0,SER_hh_tesh_in!T23/SER_summary!T$27)</f>
        <v>14.440544785409017</v>
      </c>
      <c r="U23" s="133">
        <f>IF(SER_hh_tesh_in!U23=0,0,SER_hh_tesh_in!U23/SER_summary!U$27)</f>
        <v>14.427033834170592</v>
      </c>
      <c r="V23" s="133">
        <f>IF(SER_hh_tesh_in!V23=0,0,SER_hh_tesh_in!V23/SER_summary!V$27)</f>
        <v>12.863801339992824</v>
      </c>
      <c r="W23" s="133">
        <f>IF(SER_hh_tesh_in!W23=0,0,SER_hh_tesh_in!W23/SER_summary!W$27)</f>
        <v>13.393502966362911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16.755368370041705</v>
      </c>
      <c r="D25" s="133">
        <f>IF(SER_hh_tesh_in!D25=0,0,SER_hh_tesh_in!D25/SER_summary!D$27)</f>
        <v>16.52094559742466</v>
      </c>
      <c r="E25" s="133">
        <f>IF(SER_hh_tesh_in!E25=0,0,SER_hh_tesh_in!E25/SER_summary!E$27)</f>
        <v>16.399258840996691</v>
      </c>
      <c r="F25" s="133">
        <f>IF(SER_hh_tesh_in!F25=0,0,SER_hh_tesh_in!F25/SER_summary!F$27)</f>
        <v>15.975144198802774</v>
      </c>
      <c r="G25" s="133">
        <f>IF(SER_hh_tesh_in!G25=0,0,SER_hh_tesh_in!G25/SER_summary!G$27)</f>
        <v>16.006042825321238</v>
      </c>
      <c r="H25" s="133">
        <f>IF(SER_hh_tesh_in!H25=0,0,SER_hh_tesh_in!H25/SER_summary!H$27)</f>
        <v>15.70631015618736</v>
      </c>
      <c r="I25" s="133">
        <f>IF(SER_hh_tesh_in!I25=0,0,SER_hh_tesh_in!I25/SER_summary!I$27)</f>
        <v>15.313585623742478</v>
      </c>
      <c r="J25" s="133">
        <f>IF(SER_hh_tesh_in!J25=0,0,SER_hh_tesh_in!J25/SER_summary!J$27)</f>
        <v>15.039459353276284</v>
      </c>
      <c r="K25" s="133">
        <f>IF(SER_hh_tesh_in!K25=0,0,SER_hh_tesh_in!K25/SER_summary!K$27)</f>
        <v>14.624928658508878</v>
      </c>
      <c r="L25" s="133">
        <f>IF(SER_hh_tesh_in!L25=0,0,SER_hh_tesh_in!L25/SER_summary!L$27)</f>
        <v>15.019636866224175</v>
      </c>
      <c r="M25" s="133">
        <f>IF(SER_hh_tesh_in!M25=0,0,SER_hh_tesh_in!M25/SER_summary!M$27)</f>
        <v>14.731744193916168</v>
      </c>
      <c r="N25" s="133">
        <f>IF(SER_hh_tesh_in!N25=0,0,SER_hh_tesh_in!N25/SER_summary!N$27)</f>
        <v>14.777764515910139</v>
      </c>
      <c r="O25" s="133">
        <f>IF(SER_hh_tesh_in!O25=0,0,SER_hh_tesh_in!O25/SER_summary!O$27)</f>
        <v>14.36704569800122</v>
      </c>
      <c r="P25" s="133">
        <f>IF(SER_hh_tesh_in!P25=0,0,SER_hh_tesh_in!P25/SER_summary!P$27)</f>
        <v>0</v>
      </c>
      <c r="Q25" s="133">
        <f>IF(SER_hh_tesh_in!Q25=0,0,SER_hh_tesh_in!Q25/SER_summary!Q$27)</f>
        <v>14.17443662033091</v>
      </c>
      <c r="R25" s="133">
        <f>IF(SER_hh_tesh_in!R25=0,0,SER_hh_tesh_in!R25/SER_summary!R$27)</f>
        <v>14.022335773097311</v>
      </c>
      <c r="S25" s="133">
        <f>IF(SER_hh_tesh_in!S25=0,0,SER_hh_tesh_in!S25/SER_summary!S$27)</f>
        <v>13.940754975161617</v>
      </c>
      <c r="T25" s="133">
        <f>IF(SER_hh_tesh_in!T25=0,0,SER_hh_tesh_in!T25/SER_summary!T$27)</f>
        <v>14.109904520905312</v>
      </c>
      <c r="U25" s="133">
        <f>IF(SER_hh_tesh_in!U25=0,0,SER_hh_tesh_in!U25/SER_summary!U$27)</f>
        <v>13.921416588204684</v>
      </c>
      <c r="V25" s="133">
        <f>IF(SER_hh_tesh_in!V25=0,0,SER_hh_tesh_in!V25/SER_summary!V$27)</f>
        <v>13.512354874923421</v>
      </c>
      <c r="W25" s="133">
        <f>IF(SER_hh_tesh_in!W25=0,0,SER_hh_tesh_in!W25/SER_summary!W$27)</f>
        <v>13.15224587125908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16.253459930083686</v>
      </c>
      <c r="D26" s="65">
        <f>IF(SER_hh_tesh_in!D26=0,0,SER_hh_tesh_in!D26/SER_summary!D$27)</f>
        <v>13.940910351417221</v>
      </c>
      <c r="E26" s="65">
        <f>IF(SER_hh_tesh_in!E26=0,0,SER_hh_tesh_in!E26/SER_summary!E$27)</f>
        <v>14.421099006109554</v>
      </c>
      <c r="F26" s="65">
        <f>IF(SER_hh_tesh_in!F26=0,0,SER_hh_tesh_in!F26/SER_summary!F$27)</f>
        <v>12.485024961395757</v>
      </c>
      <c r="G26" s="65">
        <f>IF(SER_hh_tesh_in!G26=0,0,SER_hh_tesh_in!G26/SER_summary!G$27)</f>
        <v>15.233485033113302</v>
      </c>
      <c r="H26" s="65">
        <f>IF(SER_hh_tesh_in!H26=0,0,SER_hh_tesh_in!H26/SER_summary!H$27)</f>
        <v>15.237462097467164</v>
      </c>
      <c r="I26" s="65">
        <f>IF(SER_hh_tesh_in!I26=0,0,SER_hh_tesh_in!I26/SER_summary!I$27)</f>
        <v>14.38816051849731</v>
      </c>
      <c r="J26" s="65">
        <f>IF(SER_hh_tesh_in!J26=0,0,SER_hh_tesh_in!J26/SER_summary!J$27)</f>
        <v>14.872457051614886</v>
      </c>
      <c r="K26" s="65">
        <f>IF(SER_hh_tesh_in!K26=0,0,SER_hh_tesh_in!K26/SER_summary!K$27)</f>
        <v>7.7408774225373298</v>
      </c>
      <c r="L26" s="65">
        <f>IF(SER_hh_tesh_in!L26=0,0,SER_hh_tesh_in!L26/SER_summary!L$27)</f>
        <v>15.036305265157223</v>
      </c>
      <c r="M26" s="65">
        <f>IF(SER_hh_tesh_in!M26=0,0,SER_hh_tesh_in!M26/SER_summary!M$27)</f>
        <v>12.654940315026828</v>
      </c>
      <c r="N26" s="65">
        <f>IF(SER_hh_tesh_in!N26=0,0,SER_hh_tesh_in!N26/SER_summary!N$27)</f>
        <v>13.089520870136193</v>
      </c>
      <c r="O26" s="65">
        <f>IF(SER_hh_tesh_in!O26=0,0,SER_hh_tesh_in!O26/SER_summary!O$27)</f>
        <v>9.7065719626779483</v>
      </c>
      <c r="P26" s="65">
        <f>IF(SER_hh_tesh_in!P26=0,0,SER_hh_tesh_in!P26/SER_summary!P$27)</f>
        <v>11.123864309598591</v>
      </c>
      <c r="Q26" s="65">
        <f>IF(SER_hh_tesh_in!Q26=0,0,SER_hh_tesh_in!Q26/SER_summary!Q$27)</f>
        <v>13.89433033884317</v>
      </c>
      <c r="R26" s="65">
        <f>IF(SER_hh_tesh_in!R26=0,0,SER_hh_tesh_in!R26/SER_summary!R$27)</f>
        <v>11.867535380781957</v>
      </c>
      <c r="S26" s="65">
        <f>IF(SER_hh_tesh_in!S26=0,0,SER_hh_tesh_in!S26/SER_summary!S$27)</f>
        <v>12.478971189798074</v>
      </c>
      <c r="T26" s="65">
        <f>IF(SER_hh_tesh_in!T26=0,0,SER_hh_tesh_in!T26/SER_summary!T$27)</f>
        <v>12.8705010158622</v>
      </c>
      <c r="U26" s="65">
        <f>IF(SER_hh_tesh_in!U26=0,0,SER_hh_tesh_in!U26/SER_summary!U$27)</f>
        <v>12.593984820400575</v>
      </c>
      <c r="V26" s="65">
        <f>IF(SER_hh_tesh_in!V26=0,0,SER_hh_tesh_in!V26/SER_summary!V$27)</f>
        <v>12.66315641027791</v>
      </c>
      <c r="W26" s="65">
        <f>IF(SER_hh_tesh_in!W26=0,0,SER_hh_tesh_in!W26/SER_summary!W$27)</f>
        <v>12.388332949921066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0.37020694843392976</v>
      </c>
      <c r="D27" s="146">
        <f>IF(SER_hh_tesh_in!D27=0,0,SER_hh_tesh_in!D27/SER_summary!D$27)</f>
        <v>1.4333556814804187</v>
      </c>
      <c r="E27" s="146">
        <f>IF(SER_hh_tesh_in!E27=0,0,SER_hh_tesh_in!E27/SER_summary!E$27)</f>
        <v>1.3282570437939316</v>
      </c>
      <c r="F27" s="146">
        <f>IF(SER_hh_tesh_in!F27=0,0,SER_hh_tesh_in!F27/SER_summary!F$27)</f>
        <v>2.4650598622556528</v>
      </c>
      <c r="G27" s="146">
        <f>IF(SER_hh_tesh_in!G27=0,0,SER_hh_tesh_in!G27/SER_summary!G$27)</f>
        <v>0.75843192648713076</v>
      </c>
      <c r="H27" s="146">
        <f>IF(SER_hh_tesh_in!H27=0,0,SER_hh_tesh_in!H27/SER_summary!H$27)</f>
        <v>0.38554049889516651</v>
      </c>
      <c r="I27" s="146">
        <f>IF(SER_hh_tesh_in!I27=0,0,SER_hh_tesh_in!I27/SER_summary!I$27)</f>
        <v>0.61193235294641757</v>
      </c>
      <c r="J27" s="146">
        <f>IF(SER_hh_tesh_in!J27=0,0,SER_hh_tesh_in!J27/SER_summary!J$27)</f>
        <v>9.8319431385061051E-2</v>
      </c>
      <c r="K27" s="146">
        <f>IF(SER_hh_tesh_in!K27=0,0,SER_hh_tesh_in!K27/SER_summary!K$27)</f>
        <v>3.6888376771313856</v>
      </c>
      <c r="L27" s="146">
        <f>IF(SER_hh_tesh_in!L27=0,0,SER_hh_tesh_in!L27/SER_summary!L$27)</f>
        <v>3.3577971542444909E-15</v>
      </c>
      <c r="M27" s="146">
        <f>IF(SER_hh_tesh_in!M27=0,0,SER_hh_tesh_in!M27/SER_summary!M$27)</f>
        <v>1.2902393356870183</v>
      </c>
      <c r="N27" s="146">
        <f>IF(SER_hh_tesh_in!N27=0,0,SER_hh_tesh_in!N27/SER_summary!N$27)</f>
        <v>0.81459887741394066</v>
      </c>
      <c r="O27" s="146">
        <f>IF(SER_hh_tesh_in!O27=0,0,SER_hh_tesh_in!O27/SER_summary!O$27)</f>
        <v>2.8244066642627521</v>
      </c>
      <c r="P27" s="146">
        <f>IF(SER_hh_tesh_in!P27=0,0,SER_hh_tesh_in!P27/SER_summary!P$27)</f>
        <v>2.9580750496832535</v>
      </c>
      <c r="Q27" s="146">
        <f>IF(SER_hh_tesh_in!Q27=0,0,SER_hh_tesh_in!Q27/SER_summary!Q$27)</f>
        <v>0.56280455164266308</v>
      </c>
      <c r="R27" s="146">
        <f>IF(SER_hh_tesh_in!R27=0,0,SER_hh_tesh_in!R27/SER_summary!R$27)</f>
        <v>1.4520414272255937</v>
      </c>
      <c r="S27" s="146">
        <f>IF(SER_hh_tesh_in!S27=0,0,SER_hh_tesh_in!S27/SER_summary!S$27)</f>
        <v>0.83041224471606101</v>
      </c>
      <c r="T27" s="146">
        <f>IF(SER_hh_tesh_in!T27=0,0,SER_hh_tesh_in!T27/SER_summary!T$27)</f>
        <v>0.61769416846990777</v>
      </c>
      <c r="U27" s="146">
        <f>IF(SER_hh_tesh_in!U27=0,0,SER_hh_tesh_in!U27/SER_summary!U$27)</f>
        <v>0.82517219567279043</v>
      </c>
      <c r="V27" s="146">
        <f>IF(SER_hh_tesh_in!V27=0,0,SER_hh_tesh_in!V27/SER_summary!V$27)</f>
        <v>1.0975255371641905</v>
      </c>
      <c r="W27" s="146">
        <f>IF(SER_hh_tesh_in!W27=0,0,SER_hh_tesh_in!W27/SER_summary!W$27)</f>
        <v>0.73968872604519487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8.6368348461783153</v>
      </c>
      <c r="D28" s="147">
        <f>IF(SER_hh_tesh_in!D28=0,0,SER_hh_tesh_in!D28/SER_summary!D$27)</f>
        <v>8.1915893390462013</v>
      </c>
      <c r="E28" s="147">
        <f>IF(SER_hh_tesh_in!E28=0,0,SER_hh_tesh_in!E28/SER_summary!E$27)</f>
        <v>8.3030586900312944</v>
      </c>
      <c r="F28" s="147">
        <f>IF(SER_hh_tesh_in!F28=0,0,SER_hh_tesh_in!F28/SER_summary!F$27)</f>
        <v>8.3129807763178665</v>
      </c>
      <c r="G28" s="147">
        <f>IF(SER_hh_tesh_in!G28=0,0,SER_hh_tesh_in!G28/SER_summary!G$27)</f>
        <v>8.0655552503008057</v>
      </c>
      <c r="H28" s="147">
        <f>IF(SER_hh_tesh_in!H28=0,0,SER_hh_tesh_in!H28/SER_summary!H$27)</f>
        <v>7.9919607477681991</v>
      </c>
      <c r="I28" s="147">
        <f>IF(SER_hh_tesh_in!I28=0,0,SER_hh_tesh_in!I28/SER_summary!I$27)</f>
        <v>7.2275385961190981</v>
      </c>
      <c r="J28" s="147">
        <f>IF(SER_hh_tesh_in!J28=0,0,SER_hh_tesh_in!J28/SER_summary!J$27)</f>
        <v>7.8477647738566079</v>
      </c>
      <c r="K28" s="147">
        <f>IF(SER_hh_tesh_in!K28=0,0,SER_hh_tesh_in!K28/SER_summary!K$27)</f>
        <v>7.6561073565833153</v>
      </c>
      <c r="L28" s="147">
        <f>IF(SER_hh_tesh_in!L28=0,0,SER_hh_tesh_in!L28/SER_summary!L$27)</f>
        <v>8.6601447838531058</v>
      </c>
      <c r="M28" s="147">
        <f>IF(SER_hh_tesh_in!M28=0,0,SER_hh_tesh_in!M28/SER_summary!M$27)</f>
        <v>8.0397464472583895</v>
      </c>
      <c r="N28" s="147">
        <f>IF(SER_hh_tesh_in!N28=0,0,SER_hh_tesh_in!N28/SER_summary!N$27)</f>
        <v>8.4415089436876851</v>
      </c>
      <c r="O28" s="147">
        <f>IF(SER_hh_tesh_in!O28=0,0,SER_hh_tesh_in!O28/SER_summary!O$27)</f>
        <v>8.2099192085086194</v>
      </c>
      <c r="P28" s="147">
        <f>IF(SER_hh_tesh_in!P28=0,0,SER_hh_tesh_in!P28/SER_summary!P$27)</f>
        <v>7.9180026560030603</v>
      </c>
      <c r="Q28" s="147">
        <f>IF(SER_hh_tesh_in!Q28=0,0,SER_hh_tesh_in!Q28/SER_summary!Q$27)</f>
        <v>7.7461644975166077</v>
      </c>
      <c r="R28" s="147">
        <f>IF(SER_hh_tesh_in!R28=0,0,SER_hh_tesh_in!R28/SER_summary!R$27)</f>
        <v>7.4314256871232054</v>
      </c>
      <c r="S28" s="147">
        <f>IF(SER_hh_tesh_in!S28=0,0,SER_hh_tesh_in!S28/SER_summary!S$27)</f>
        <v>7.3964981125437914</v>
      </c>
      <c r="T28" s="147">
        <f>IF(SER_hh_tesh_in!T28=0,0,SER_hh_tesh_in!T28/SER_summary!T$27)</f>
        <v>7.6360474543885193</v>
      </c>
      <c r="U28" s="147">
        <f>IF(SER_hh_tesh_in!U28=0,0,SER_hh_tesh_in!U28/SER_summary!U$27)</f>
        <v>7.8297494142261073</v>
      </c>
      <c r="V28" s="147">
        <f>IF(SER_hh_tesh_in!V28=0,0,SER_hh_tesh_in!V28/SER_summary!V$27)</f>
        <v>7.745415432807305</v>
      </c>
      <c r="W28" s="147">
        <f>IF(SER_hh_tesh_in!W28=0,0,SER_hh_tesh_in!W28/SER_summary!W$27)</f>
        <v>7.7009985449806946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14.711310380937341</v>
      </c>
      <c r="D29" s="131">
        <f>IF(SER_hh_tesh_in!D29=0,0,SER_hh_tesh_in!D29/SER_summary!D$27)</f>
        <v>14.763925239722001</v>
      </c>
      <c r="E29" s="131">
        <f>IF(SER_hh_tesh_in!E29=0,0,SER_hh_tesh_in!E29/SER_summary!E$27)</f>
        <v>14.84327625595621</v>
      </c>
      <c r="F29" s="131">
        <f>IF(SER_hh_tesh_in!F29=0,0,SER_hh_tesh_in!F29/SER_summary!F$27)</f>
        <v>15.038877912497263</v>
      </c>
      <c r="G29" s="131">
        <f>IF(SER_hh_tesh_in!G29=0,0,SER_hh_tesh_in!G29/SER_summary!G$27)</f>
        <v>15.073766880742134</v>
      </c>
      <c r="H29" s="131">
        <f>IF(SER_hh_tesh_in!H29=0,0,SER_hh_tesh_in!H29/SER_summary!H$27)</f>
        <v>14.779772200018689</v>
      </c>
      <c r="I29" s="131">
        <f>IF(SER_hh_tesh_in!I29=0,0,SER_hh_tesh_in!I29/SER_summary!I$27)</f>
        <v>14.893381100089455</v>
      </c>
      <c r="J29" s="131">
        <f>IF(SER_hh_tesh_in!J29=0,0,SER_hh_tesh_in!J29/SER_summary!J$27)</f>
        <v>14.899406024862161</v>
      </c>
      <c r="K29" s="131">
        <f>IF(SER_hh_tesh_in!K29=0,0,SER_hh_tesh_in!K29/SER_summary!K$27)</f>
        <v>14.941553279474482</v>
      </c>
      <c r="L29" s="131">
        <f>IF(SER_hh_tesh_in!L29=0,0,SER_hh_tesh_in!L29/SER_summary!L$27)</f>
        <v>15.062383452798423</v>
      </c>
      <c r="M29" s="131">
        <f>IF(SER_hh_tesh_in!M29=0,0,SER_hh_tesh_in!M29/SER_summary!M$27)</f>
        <v>14.853187407734438</v>
      </c>
      <c r="N29" s="131">
        <f>IF(SER_hh_tesh_in!N29=0,0,SER_hh_tesh_in!N29/SER_summary!N$27)</f>
        <v>14.643758641378144</v>
      </c>
      <c r="O29" s="131">
        <f>IF(SER_hh_tesh_in!O29=0,0,SER_hh_tesh_in!O29/SER_summary!O$27)</f>
        <v>14.810570634845387</v>
      </c>
      <c r="P29" s="131">
        <f>IF(SER_hh_tesh_in!P29=0,0,SER_hh_tesh_in!P29/SER_summary!P$27)</f>
        <v>14.232336121845046</v>
      </c>
      <c r="Q29" s="131">
        <f>IF(SER_hh_tesh_in!Q29=0,0,SER_hh_tesh_in!Q29/SER_summary!Q$27)</f>
        <v>14.94748353718389</v>
      </c>
      <c r="R29" s="131">
        <f>IF(SER_hh_tesh_in!R29=0,0,SER_hh_tesh_in!R29/SER_summary!R$27)</f>
        <v>14.707571648456438</v>
      </c>
      <c r="S29" s="131">
        <f>IF(SER_hh_tesh_in!S29=0,0,SER_hh_tesh_in!S29/SER_summary!S$27)</f>
        <v>14.431362028002903</v>
      </c>
      <c r="T29" s="131">
        <f>IF(SER_hh_tesh_in!T29=0,0,SER_hh_tesh_in!T29/SER_summary!T$27)</f>
        <v>14.854930170036351</v>
      </c>
      <c r="U29" s="131">
        <f>IF(SER_hh_tesh_in!U29=0,0,SER_hh_tesh_in!U29/SER_summary!U$27)</f>
        <v>14.848206491858878</v>
      </c>
      <c r="V29" s="131">
        <f>IF(SER_hh_tesh_in!V29=0,0,SER_hh_tesh_in!V29/SER_summary!V$27)</f>
        <v>14.548112967721609</v>
      </c>
      <c r="W29" s="131">
        <f>IF(SER_hh_tesh_in!W29=0,0,SER_hh_tesh_in!W29/SER_summary!W$27)</f>
        <v>14.683266621691601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14.743596650027907</v>
      </c>
      <c r="D30" s="133">
        <f>IF(SER_hh_tesh_in!D30=0,0,SER_hh_tesh_in!D30/SER_summary!D$27)</f>
        <v>15.718132134541657</v>
      </c>
      <c r="E30" s="133">
        <f>IF(SER_hh_tesh_in!E30=0,0,SER_hh_tesh_in!E30/SER_summary!E$27)</f>
        <v>14.177234496071904</v>
      </c>
      <c r="F30" s="133">
        <f>IF(SER_hh_tesh_in!F30=0,0,SER_hh_tesh_in!F30/SER_summary!F$27)</f>
        <v>15.047485695478318</v>
      </c>
      <c r="G30" s="133">
        <f>IF(SER_hh_tesh_in!G30=0,0,SER_hh_tesh_in!G30/SER_summary!G$27)</f>
        <v>14.80642795103193</v>
      </c>
      <c r="H30" s="133">
        <f>IF(SER_hh_tesh_in!H30=0,0,SER_hh_tesh_in!H30/SER_summary!H$27)</f>
        <v>19.154116504602356</v>
      </c>
      <c r="I30" s="133">
        <f>IF(SER_hh_tesh_in!I30=0,0,SER_hh_tesh_in!I30/SER_summary!I$27)</f>
        <v>0</v>
      </c>
      <c r="J30" s="133">
        <f>IF(SER_hh_tesh_in!J30=0,0,SER_hh_tesh_in!J30/SER_summary!J$27)</f>
        <v>0</v>
      </c>
      <c r="K30" s="133">
        <f>IF(SER_hh_tesh_in!K30=0,0,SER_hh_tesh_in!K30/SER_summary!K$27)</f>
        <v>16.279800470964691</v>
      </c>
      <c r="L30" s="133">
        <f>IF(SER_hh_tesh_in!L30=0,0,SER_hh_tesh_in!L30/SER_summary!L$27)</f>
        <v>18.462445754823584</v>
      </c>
      <c r="M30" s="133">
        <f>IF(SER_hh_tesh_in!M30=0,0,SER_hh_tesh_in!M30/SER_summary!M$27)</f>
        <v>0</v>
      </c>
      <c r="N30" s="133">
        <f>IF(SER_hh_tesh_in!N30=0,0,SER_hh_tesh_in!N30/SER_summary!N$27)</f>
        <v>16.638142927765703</v>
      </c>
      <c r="O30" s="133">
        <f>IF(SER_hh_tesh_in!O30=0,0,SER_hh_tesh_in!O30/SER_summary!O$27)</f>
        <v>17.547491010827589</v>
      </c>
      <c r="P30" s="133">
        <f>IF(SER_hh_tesh_in!P30=0,0,SER_hh_tesh_in!P30/SER_summary!P$27)</f>
        <v>2.6098530244987517</v>
      </c>
      <c r="Q30" s="133">
        <f>IF(SER_hh_tesh_in!Q30=0,0,SER_hh_tesh_in!Q30/SER_summary!Q$27)</f>
        <v>17.955292484641433</v>
      </c>
      <c r="R30" s="133">
        <f>IF(SER_hh_tesh_in!R30=0,0,SER_hh_tesh_in!R30/SER_summary!R$27)</f>
        <v>14.187904163491117</v>
      </c>
      <c r="S30" s="133">
        <f>IF(SER_hh_tesh_in!S30=0,0,SER_hh_tesh_in!S30/SER_summary!S$27)</f>
        <v>12.733892168629479</v>
      </c>
      <c r="T30" s="133">
        <f>IF(SER_hh_tesh_in!T30=0,0,SER_hh_tesh_in!T30/SER_summary!T$27)</f>
        <v>15.419583835264982</v>
      </c>
      <c r="U30" s="133">
        <f>IF(SER_hh_tesh_in!U30=0,0,SER_hh_tesh_in!U30/SER_summary!U$27)</f>
        <v>19.166770557325286</v>
      </c>
      <c r="V30" s="133">
        <f>IF(SER_hh_tesh_in!V30=0,0,SER_hh_tesh_in!V30/SER_summary!V$27)</f>
        <v>14.297519612207012</v>
      </c>
      <c r="W30" s="133">
        <f>IF(SER_hh_tesh_in!W30=0,0,SER_hh_tesh_in!W30/SER_summary!W$27)</f>
        <v>13.208122753122936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14.8001016118812</v>
      </c>
      <c r="D31" s="133">
        <f>IF(SER_hh_tesh_in!D31=0,0,SER_hh_tesh_in!D31/SER_summary!D$27)</f>
        <v>14.635684431350475</v>
      </c>
      <c r="E31" s="133">
        <f>IF(SER_hh_tesh_in!E31=0,0,SER_hh_tesh_in!E31/SER_summary!E$27)</f>
        <v>15.076865250185444</v>
      </c>
      <c r="F31" s="133">
        <f>IF(SER_hh_tesh_in!F31=0,0,SER_hh_tesh_in!F31/SER_summary!F$27)</f>
        <v>15.015958375624153</v>
      </c>
      <c r="G31" s="133">
        <f>IF(SER_hh_tesh_in!G31=0,0,SER_hh_tesh_in!G31/SER_summary!G$27)</f>
        <v>14.966836418241346</v>
      </c>
      <c r="H31" s="133">
        <f>IF(SER_hh_tesh_in!H31=0,0,SER_hh_tesh_in!H31/SER_summary!H$27)</f>
        <v>13.963294431454457</v>
      </c>
      <c r="I31" s="133">
        <f>IF(SER_hh_tesh_in!I31=0,0,SER_hh_tesh_in!I31/SER_summary!I$27)</f>
        <v>15.255809716161338</v>
      </c>
      <c r="J31" s="133">
        <f>IF(SER_hh_tesh_in!J31=0,0,SER_hh_tesh_in!J31/SER_summary!J$27)</f>
        <v>15.544715406806974</v>
      </c>
      <c r="K31" s="133">
        <f>IF(SER_hh_tesh_in!K31=0,0,SER_hh_tesh_in!K31/SER_summary!K$27)</f>
        <v>14.672667913487194</v>
      </c>
      <c r="L31" s="133">
        <f>IF(SER_hh_tesh_in!L31=0,0,SER_hh_tesh_in!L31/SER_summary!L$27)</f>
        <v>14.180669319137973</v>
      </c>
      <c r="M31" s="133">
        <f>IF(SER_hh_tesh_in!M31=0,0,SER_hh_tesh_in!M31/SER_summary!M$27)</f>
        <v>15.320262131864009</v>
      </c>
      <c r="N31" s="133">
        <f>IF(SER_hh_tesh_in!N31=0,0,SER_hh_tesh_in!N31/SER_summary!N$27)</f>
        <v>14.448657127121457</v>
      </c>
      <c r="O31" s="133">
        <f>IF(SER_hh_tesh_in!O31=0,0,SER_hh_tesh_in!O31/SER_summary!O$27)</f>
        <v>14.492883479538117</v>
      </c>
      <c r="P31" s="133">
        <f>IF(SER_hh_tesh_in!P31=0,0,SER_hh_tesh_in!P31/SER_summary!P$27)</f>
        <v>16.193581492102556</v>
      </c>
      <c r="Q31" s="133">
        <f>IF(SER_hh_tesh_in!Q31=0,0,SER_hh_tesh_in!Q31/SER_summary!Q$27)</f>
        <v>14.34182282198055</v>
      </c>
      <c r="R31" s="133">
        <f>IF(SER_hh_tesh_in!R31=0,0,SER_hh_tesh_in!R31/SER_summary!R$27)</f>
        <v>14.752284238211006</v>
      </c>
      <c r="S31" s="133">
        <f>IF(SER_hh_tesh_in!S31=0,0,SER_hh_tesh_in!S31/SER_summary!S$27)</f>
        <v>15.439566778057543</v>
      </c>
      <c r="T31" s="133">
        <f>IF(SER_hh_tesh_in!T31=0,0,SER_hh_tesh_in!T31/SER_summary!T$27)</f>
        <v>14.599724402538742</v>
      </c>
      <c r="U31" s="133">
        <f>IF(SER_hh_tesh_in!U31=0,0,SER_hh_tesh_in!U31/SER_summary!U$27)</f>
        <v>13.050913891706417</v>
      </c>
      <c r="V31" s="133">
        <f>IF(SER_hh_tesh_in!V31=0,0,SER_hh_tesh_in!V31/SER_summary!V$27)</f>
        <v>14.605906458963512</v>
      </c>
      <c r="W31" s="133">
        <f>IF(SER_hh_tesh_in!W31=0,0,SER_hh_tesh_in!W31/SER_summary!W$27)</f>
        <v>15.703003888212152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14.662718493939254</v>
      </c>
      <c r="D33" s="68">
        <f>IF(SER_hh_tesh_in!D33=0,0,SER_hh_tesh_in!D33/SER_summary!D$27)</f>
        <v>14.682260640364124</v>
      </c>
      <c r="E33" s="68">
        <f>IF(SER_hh_tesh_in!E33=0,0,SER_hh_tesh_in!E33/SER_summary!E$27)</f>
        <v>14.792372938535715</v>
      </c>
      <c r="F33" s="68">
        <f>IF(SER_hh_tesh_in!F33=0,0,SER_hh_tesh_in!F33/SER_summary!F$27)</f>
        <v>15.049609372522369</v>
      </c>
      <c r="G33" s="68">
        <f>IF(SER_hh_tesh_in!G33=0,0,SER_hh_tesh_in!G33/SER_summary!G$27)</f>
        <v>15.145741110407482</v>
      </c>
      <c r="H33" s="68">
        <f>IF(SER_hh_tesh_in!H33=0,0,SER_hh_tesh_in!H33/SER_summary!H$27)</f>
        <v>14.891750702886222</v>
      </c>
      <c r="I33" s="68">
        <f>IF(SER_hh_tesh_in!I33=0,0,SER_hh_tesh_in!I33/SER_summary!I$27)</f>
        <v>14.691743972055029</v>
      </c>
      <c r="J33" s="68">
        <f>IF(SER_hh_tesh_in!J33=0,0,SER_hh_tesh_in!J33/SER_summary!J$27)</f>
        <v>14.571102885648855</v>
      </c>
      <c r="K33" s="68">
        <f>IF(SER_hh_tesh_in!K33=0,0,SER_hh_tesh_in!K33/SER_summary!K$27)</f>
        <v>14.919334576455155</v>
      </c>
      <c r="L33" s="68">
        <f>IF(SER_hh_tesh_in!L33=0,0,SER_hh_tesh_in!L33/SER_summary!L$27)</f>
        <v>14.929428238547175</v>
      </c>
      <c r="M33" s="68">
        <f>IF(SER_hh_tesh_in!M33=0,0,SER_hh_tesh_in!M33/SER_summary!M$27)</f>
        <v>14.647966085536119</v>
      </c>
      <c r="N33" s="68">
        <f>IF(SER_hh_tesh_in!N33=0,0,SER_hh_tesh_in!N33/SER_summary!N$27)</f>
        <v>14.68725905621028</v>
      </c>
      <c r="O33" s="68">
        <f>IF(SER_hh_tesh_in!O33=0,0,SER_hh_tesh_in!O33/SER_summary!O$27)</f>
        <v>14.843229939251589</v>
      </c>
      <c r="P33" s="68">
        <f>IF(SER_hh_tesh_in!P33=0,0,SER_hh_tesh_in!P33/SER_summary!P$27)</f>
        <v>15.10106567311753</v>
      </c>
      <c r="Q33" s="68">
        <f>IF(SER_hh_tesh_in!Q33=0,0,SER_hh_tesh_in!Q33/SER_summary!Q$27)</f>
        <v>14.755203223739224</v>
      </c>
      <c r="R33" s="68">
        <f>IF(SER_hh_tesh_in!R33=0,0,SER_hh_tesh_in!R33/SER_summary!R$27)</f>
        <v>14.807259287210353</v>
      </c>
      <c r="S33" s="68">
        <f>IF(SER_hh_tesh_in!S33=0,0,SER_hh_tesh_in!S33/SER_summary!S$27)</f>
        <v>14.763326306769564</v>
      </c>
      <c r="T33" s="68">
        <f>IF(SER_hh_tesh_in!T33=0,0,SER_hh_tesh_in!T33/SER_summary!T$27)</f>
        <v>14.733945080843169</v>
      </c>
      <c r="U33" s="68">
        <f>IF(SER_hh_tesh_in!U33=0,0,SER_hh_tesh_in!U33/SER_summary!U$27)</f>
        <v>14.605676026254548</v>
      </c>
      <c r="V33" s="68">
        <f>IF(SER_hh_tesh_in!V33=0,0,SER_hh_tesh_in!V33/SER_summary!V$27)</f>
        <v>14.544363769624994</v>
      </c>
      <c r="W33" s="68">
        <f>IF(SER_hh_tesh_in!W33=0,0,SER_hh_tesh_in!W33/SER_summary!W$27)</f>
        <v>14.397801454077063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20.489628328080574</v>
      </c>
      <c r="D3" s="126">
        <f>IF(SER_hh_emih_in!D3=0,0,SER_hh_emih_in!D3/SER_summary!D$27)</f>
        <v>19.773294368023194</v>
      </c>
      <c r="E3" s="126">
        <f>IF(SER_hh_emih_in!E3=0,0,SER_hh_emih_in!E3/SER_summary!E$27)</f>
        <v>21.171273190868668</v>
      </c>
      <c r="F3" s="126">
        <f>IF(SER_hh_emih_in!F3=0,0,SER_hh_emih_in!F3/SER_summary!F$27)</f>
        <v>24.493315699236156</v>
      </c>
      <c r="G3" s="126">
        <f>IF(SER_hh_emih_in!G3=0,0,SER_hh_emih_in!G3/SER_summary!G$27)</f>
        <v>20.408529602457637</v>
      </c>
      <c r="H3" s="126">
        <f>IF(SER_hh_emih_in!H3=0,0,SER_hh_emih_in!H3/SER_summary!H$27)</f>
        <v>20.407777262122877</v>
      </c>
      <c r="I3" s="126">
        <f>IF(SER_hh_emih_in!I3=0,0,SER_hh_emih_in!I3/SER_summary!I$27)</f>
        <v>18.280352797453698</v>
      </c>
      <c r="J3" s="126">
        <f>IF(SER_hh_emih_in!J3=0,0,SER_hh_emih_in!J3/SER_summary!J$27)</f>
        <v>20.193445332710141</v>
      </c>
      <c r="K3" s="126">
        <f>IF(SER_hh_emih_in!K3=0,0,SER_hh_emih_in!K3/SER_summary!K$27)</f>
        <v>20.680933283243643</v>
      </c>
      <c r="L3" s="126">
        <f>IF(SER_hh_emih_in!L3=0,0,SER_hh_emih_in!L3/SER_summary!L$27)</f>
        <v>25.227359719315643</v>
      </c>
      <c r="M3" s="126">
        <f>IF(SER_hh_emih_in!M3=0,0,SER_hh_emih_in!M3/SER_summary!M$27)</f>
        <v>18.171062239562872</v>
      </c>
      <c r="N3" s="126">
        <f>IF(SER_hh_emih_in!N3=0,0,SER_hh_emih_in!N3/SER_summary!N$27)</f>
        <v>20.60740984480087</v>
      </c>
      <c r="O3" s="126">
        <f>IF(SER_hh_emih_in!O3=0,0,SER_hh_emih_in!O3/SER_summary!O$27)</f>
        <v>19.22961289175262</v>
      </c>
      <c r="P3" s="126">
        <f>IF(SER_hh_emih_in!P3=0,0,SER_hh_emih_in!P3/SER_summary!P$27)</f>
        <v>13.157650310965506</v>
      </c>
      <c r="Q3" s="126">
        <f>IF(SER_hh_emih_in!Q3=0,0,SER_hh_emih_in!Q3/SER_summary!Q$27)</f>
        <v>13.263489564180558</v>
      </c>
      <c r="R3" s="126">
        <f>IF(SER_hh_emih_in!R3=0,0,SER_hh_emih_in!R3/SER_summary!R$27)</f>
        <v>12.314744191635748</v>
      </c>
      <c r="S3" s="126">
        <f>IF(SER_hh_emih_in!S3=0,0,SER_hh_emih_in!S3/SER_summary!S$27)</f>
        <v>10.386216669683098</v>
      </c>
      <c r="T3" s="126">
        <f>IF(SER_hh_emih_in!T3=0,0,SER_hh_emih_in!T3/SER_summary!T$27)</f>
        <v>9.4438670929671744</v>
      </c>
      <c r="U3" s="126">
        <f>IF(SER_hh_emih_in!U3=0,0,SER_hh_emih_in!U3/SER_summary!U$27)</f>
        <v>8.5394424683201162</v>
      </c>
      <c r="V3" s="126">
        <f>IF(SER_hh_emih_in!V3=0,0,SER_hh_emih_in!V3/SER_summary!V$27)</f>
        <v>7.4162694037956758</v>
      </c>
      <c r="W3" s="126">
        <f>IF(SER_hh_emih_in!W3=0,0,SER_hh_emih_in!W3/SER_summary!W$27)</f>
        <v>7.8117573838108099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16.373524781894503</v>
      </c>
      <c r="D4" s="131">
        <f>IF(SER_hh_emih_in!D4=0,0,SER_hh_emih_in!D4/SER_summary!D$27)</f>
        <v>15.427935098052869</v>
      </c>
      <c r="E4" s="131">
        <f>IF(SER_hh_emih_in!E4=0,0,SER_hh_emih_in!E4/SER_summary!E$27)</f>
        <v>17.204874799408273</v>
      </c>
      <c r="F4" s="131">
        <f>IF(SER_hh_emih_in!F4=0,0,SER_hh_emih_in!F4/SER_summary!F$27)</f>
        <v>20.256203148540266</v>
      </c>
      <c r="G4" s="131">
        <f>IF(SER_hh_emih_in!G4=0,0,SER_hh_emih_in!G4/SER_summary!G$27)</f>
        <v>16.842934805067785</v>
      </c>
      <c r="H4" s="131">
        <f>IF(SER_hh_emih_in!H4=0,0,SER_hh_emih_in!H4/SER_summary!H$27)</f>
        <v>16.942566552450643</v>
      </c>
      <c r="I4" s="131">
        <f>IF(SER_hh_emih_in!I4=0,0,SER_hh_emih_in!I4/SER_summary!I$27)</f>
        <v>14.918645889070453</v>
      </c>
      <c r="J4" s="131">
        <f>IF(SER_hh_emih_in!J4=0,0,SER_hh_emih_in!J4/SER_summary!J$27)</f>
        <v>16.771414175250321</v>
      </c>
      <c r="K4" s="131">
        <f>IF(SER_hh_emih_in!K4=0,0,SER_hh_emih_in!K4/SER_summary!K$27)</f>
        <v>16.781779817929738</v>
      </c>
      <c r="L4" s="131">
        <f>IF(SER_hh_emih_in!L4=0,0,SER_hh_emih_in!L4/SER_summary!L$27)</f>
        <v>21.652507417213457</v>
      </c>
      <c r="M4" s="131">
        <f>IF(SER_hh_emih_in!M4=0,0,SER_hh_emih_in!M4/SER_summary!M$27)</f>
        <v>14.82805827852725</v>
      </c>
      <c r="N4" s="131">
        <f>IF(SER_hh_emih_in!N4=0,0,SER_hh_emih_in!N4/SER_summary!N$27)</f>
        <v>16.903008259852186</v>
      </c>
      <c r="O4" s="131">
        <f>IF(SER_hh_emih_in!O4=0,0,SER_hh_emih_in!O4/SER_summary!O$27)</f>
        <v>15.731491471441457</v>
      </c>
      <c r="P4" s="131">
        <f>IF(SER_hh_emih_in!P4=0,0,SER_hh_emih_in!P4/SER_summary!P$27)</f>
        <v>10.335472327616094</v>
      </c>
      <c r="Q4" s="131">
        <f>IF(SER_hh_emih_in!Q4=0,0,SER_hh_emih_in!Q4/SER_summary!Q$27)</f>
        <v>10.955080162878344</v>
      </c>
      <c r="R4" s="131">
        <f>IF(SER_hh_emih_in!R4=0,0,SER_hh_emih_in!R4/SER_summary!R$27)</f>
        <v>9.1442456850146439</v>
      </c>
      <c r="S4" s="131">
        <f>IF(SER_hh_emih_in!S4=0,0,SER_hh_emih_in!S4/SER_summary!S$27)</f>
        <v>7.1800818490980296</v>
      </c>
      <c r="T4" s="131">
        <f>IF(SER_hh_emih_in!T4=0,0,SER_hh_emih_in!T4/SER_summary!T$27)</f>
        <v>6.6820067785832906</v>
      </c>
      <c r="U4" s="131">
        <f>IF(SER_hh_emih_in!U4=0,0,SER_hh_emih_in!U4/SER_summary!U$27)</f>
        <v>6.4826647324781819</v>
      </c>
      <c r="V4" s="131">
        <f>IF(SER_hh_emih_in!V4=0,0,SER_hh_emih_in!V4/SER_summary!V$27)</f>
        <v>5.7812069900694629</v>
      </c>
      <c r="W4" s="131">
        <f>IF(SER_hh_emih_in!W4=0,0,SER_hh_emih_in!W4/SER_summary!W$27)</f>
        <v>5.431898061067888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40.242312814418547</v>
      </c>
      <c r="D5" s="133">
        <f>IF(SER_hh_emih_in!D5=0,0,SER_hh_emih_in!D5/SER_summary!D$27)</f>
        <v>34.275505685436521</v>
      </c>
      <c r="E5" s="133">
        <f>IF(SER_hh_emih_in!E5=0,0,SER_hh_emih_in!E5/SER_summary!E$27)</f>
        <v>55.859746897342774</v>
      </c>
      <c r="F5" s="133">
        <f>IF(SER_hh_emih_in!F5=0,0,SER_hh_emih_in!F5/SER_summary!F$27)</f>
        <v>27.596745155418173</v>
      </c>
      <c r="G5" s="133">
        <f>IF(SER_hh_emih_in!G5=0,0,SER_hh_emih_in!G5/SER_summary!G$27)</f>
        <v>37.674032033297593</v>
      </c>
      <c r="H5" s="133">
        <f>IF(SER_hh_emih_in!H5=0,0,SER_hh_emih_in!H5/SER_summary!H$27)</f>
        <v>25.417008584237212</v>
      </c>
      <c r="I5" s="133">
        <f>IF(SER_hh_emih_in!I5=0,0,SER_hh_emih_in!I5/SER_summary!I$27)</f>
        <v>39.015758291745193</v>
      </c>
      <c r="J5" s="133">
        <f>IF(SER_hh_emih_in!J5=0,0,SER_hh_emih_in!J5/SER_summary!J$27)</f>
        <v>41.463609857789869</v>
      </c>
      <c r="K5" s="133">
        <f>IF(SER_hh_emih_in!K5=0,0,SER_hh_emih_in!K5/SER_summary!K$27)</f>
        <v>40.264146282396759</v>
      </c>
      <c r="L5" s="133">
        <f>IF(SER_hh_emih_in!L5=0,0,SER_hh_emih_in!L5/SER_summary!L$27)</f>
        <v>37.89059665555687</v>
      </c>
      <c r="M5" s="133">
        <f>IF(SER_hh_emih_in!M5=0,0,SER_hh_emih_in!M5/SER_summary!M$27)</f>
        <v>36.247051546570923</v>
      </c>
      <c r="N5" s="133">
        <f>IF(SER_hh_emih_in!N5=0,0,SER_hh_emih_in!N5/SER_summary!N$27)</f>
        <v>34.309155344223321</v>
      </c>
      <c r="O5" s="133">
        <f>IF(SER_hh_emih_in!O5=0,0,SER_hh_emih_in!O5/SER_summary!O$27)</f>
        <v>19.902292864011425</v>
      </c>
      <c r="P5" s="133">
        <f>IF(SER_hh_emih_in!P5=0,0,SER_hh_emih_in!P5/SER_summary!P$27)</f>
        <v>7.210104558616548</v>
      </c>
      <c r="Q5" s="133">
        <f>IF(SER_hh_emih_in!Q5=0,0,SER_hh_emih_in!Q5/SER_summary!Q$27)</f>
        <v>30.948355791467357</v>
      </c>
      <c r="R5" s="133">
        <f>IF(SER_hh_emih_in!R5=0,0,SER_hh_emih_in!R5/SER_summary!R$27)</f>
        <v>27.994531591867354</v>
      </c>
      <c r="S5" s="133">
        <f>IF(SER_hh_emih_in!S5=0,0,SER_hh_emih_in!S5/SER_summary!S$27)</f>
        <v>24.794741393268641</v>
      </c>
      <c r="T5" s="133">
        <f>IF(SER_hh_emih_in!T5=0,0,SER_hh_emih_in!T5/SER_summary!T$27)</f>
        <v>22.771359779809334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34.59532604651276</v>
      </c>
      <c r="D7" s="133">
        <f>IF(SER_hh_emih_in!D7=0,0,SER_hh_emih_in!D7/SER_summary!D$27)</f>
        <v>35.567276515679666</v>
      </c>
      <c r="E7" s="133">
        <f>IF(SER_hh_emih_in!E7=0,0,SER_hh_emih_in!E7/SER_summary!E$27)</f>
        <v>36.974151234750302</v>
      </c>
      <c r="F7" s="133">
        <f>IF(SER_hh_emih_in!F7=0,0,SER_hh_emih_in!F7/SER_summary!F$27)</f>
        <v>35.174485257817516</v>
      </c>
      <c r="G7" s="133">
        <f>IF(SER_hh_emih_in!G7=0,0,SER_hh_emih_in!G7/SER_summary!G$27)</f>
        <v>35.482950317616535</v>
      </c>
      <c r="H7" s="133">
        <f>IF(SER_hh_emih_in!H7=0,0,SER_hh_emih_in!H7/SER_summary!H$27)</f>
        <v>33.2420669962601</v>
      </c>
      <c r="I7" s="133">
        <f>IF(SER_hh_emih_in!I7=0,0,SER_hh_emih_in!I7/SER_summary!I$27)</f>
        <v>32.790426825648446</v>
      </c>
      <c r="J7" s="133">
        <f>IF(SER_hh_emih_in!J7=0,0,SER_hh_emih_in!J7/SER_summary!J$27)</f>
        <v>31.943494193902826</v>
      </c>
      <c r="K7" s="133">
        <f>IF(SER_hh_emih_in!K7=0,0,SER_hh_emih_in!K7/SER_summary!K$27)</f>
        <v>30.261421218451368</v>
      </c>
      <c r="L7" s="133">
        <f>IF(SER_hh_emih_in!L7=0,0,SER_hh_emih_in!L7/SER_summary!L$27)</f>
        <v>34.058530994509439</v>
      </c>
      <c r="M7" s="133">
        <f>IF(SER_hh_emih_in!M7=0,0,SER_hh_emih_in!M7/SER_summary!M$27)</f>
        <v>29.544153328322192</v>
      </c>
      <c r="N7" s="133">
        <f>IF(SER_hh_emih_in!N7=0,0,SER_hh_emih_in!N7/SER_summary!N$27)</f>
        <v>27.222158109194655</v>
      </c>
      <c r="O7" s="133">
        <f>IF(SER_hh_emih_in!O7=0,0,SER_hh_emih_in!O7/SER_summary!O$27)</f>
        <v>25.451094779993777</v>
      </c>
      <c r="P7" s="133">
        <f>IF(SER_hh_emih_in!P7=0,0,SER_hh_emih_in!P7/SER_summary!P$27)</f>
        <v>22.437261001046956</v>
      </c>
      <c r="Q7" s="133">
        <f>IF(SER_hh_emih_in!Q7=0,0,SER_hh_emih_in!Q7/SER_summary!Q$27)</f>
        <v>18.854541204886416</v>
      </c>
      <c r="R7" s="133">
        <f>IF(SER_hh_emih_in!R7=0,0,SER_hh_emih_in!R7/SER_summary!R$27)</f>
        <v>17.71318154329272</v>
      </c>
      <c r="S7" s="133">
        <f>IF(SER_hh_emih_in!S7=0,0,SER_hh_emih_in!S7/SER_summary!S$27)</f>
        <v>16.58118761897029</v>
      </c>
      <c r="T7" s="133">
        <f>IF(SER_hh_emih_in!T7=0,0,SER_hh_emih_in!T7/SER_summary!T$27)</f>
        <v>15.120451709288451</v>
      </c>
      <c r="U7" s="133">
        <f>IF(SER_hh_emih_in!U7=0,0,SER_hh_emih_in!U7/SER_summary!U$27)</f>
        <v>14.277326513094891</v>
      </c>
      <c r="V7" s="133">
        <f>IF(SER_hh_emih_in!V7=0,0,SER_hh_emih_in!V7/SER_summary!V$27)</f>
        <v>12.057530481946927</v>
      </c>
      <c r="W7" s="133">
        <f>IF(SER_hh_emih_in!W7=0,0,SER_hh_emih_in!W7/SER_summary!W$27)</f>
        <v>10.016876786461664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12.278242861743419</v>
      </c>
      <c r="D8" s="133">
        <f>IF(SER_hh_emih_in!D8=0,0,SER_hh_emih_in!D8/SER_summary!D$27)</f>
        <v>10.861290648423738</v>
      </c>
      <c r="E8" s="133">
        <f>IF(SER_hh_emih_in!E8=0,0,SER_hh_emih_in!E8/SER_summary!E$27)</f>
        <v>11.778411869194588</v>
      </c>
      <c r="F8" s="133">
        <f>IF(SER_hh_emih_in!F8=0,0,SER_hh_emih_in!F8/SER_summary!F$27)</f>
        <v>11.552546438965841</v>
      </c>
      <c r="G8" s="133">
        <f>IF(SER_hh_emih_in!G8=0,0,SER_hh_emih_in!G8/SER_summary!G$27)</f>
        <v>9.6896777642032994</v>
      </c>
      <c r="H8" s="133">
        <f>IF(SER_hh_emih_in!H8=0,0,SER_hh_emih_in!H8/SER_summary!H$27)</f>
        <v>8.7154128405737517</v>
      </c>
      <c r="I8" s="133">
        <f>IF(SER_hh_emih_in!I8=0,0,SER_hh_emih_in!I8/SER_summary!I$27)</f>
        <v>8.7325745496517833</v>
      </c>
      <c r="J8" s="133">
        <f>IF(SER_hh_emih_in!J8=0,0,SER_hh_emih_in!J8/SER_summary!J$27)</f>
        <v>8.3366576633154423</v>
      </c>
      <c r="K8" s="133">
        <f>IF(SER_hh_emih_in!K8=0,0,SER_hh_emih_in!K8/SER_summary!K$27)</f>
        <v>7.8857511307309842</v>
      </c>
      <c r="L8" s="133">
        <f>IF(SER_hh_emih_in!L8=0,0,SER_hh_emih_in!L8/SER_summary!L$27)</f>
        <v>7.5805110709608341</v>
      </c>
      <c r="M8" s="133">
        <f>IF(SER_hh_emih_in!M8=0,0,SER_hh_emih_in!M8/SER_summary!M$27)</f>
        <v>7.2107989509768622</v>
      </c>
      <c r="N8" s="133">
        <f>IF(SER_hh_emih_in!N8=0,0,SER_hh_emih_in!N8/SER_summary!N$27)</f>
        <v>5.8780025318098374</v>
      </c>
      <c r="O8" s="133">
        <f>IF(SER_hh_emih_in!O8=0,0,SER_hh_emih_in!O8/SER_summary!O$27)</f>
        <v>4.6253870321986224</v>
      </c>
      <c r="P8" s="133">
        <f>IF(SER_hh_emih_in!P8=0,0,SER_hh_emih_in!P8/SER_summary!P$27)</f>
        <v>4.6913025467319018</v>
      </c>
      <c r="Q8" s="133">
        <f>IF(SER_hh_emih_in!Q8=0,0,SER_hh_emih_in!Q8/SER_summary!Q$27)</f>
        <v>4.6815290334919473</v>
      </c>
      <c r="R8" s="133">
        <f>IF(SER_hh_emih_in!R8=0,0,SER_hh_emih_in!R8/SER_summary!R$27)</f>
        <v>4.2375993883316685</v>
      </c>
      <c r="S8" s="133">
        <f>IF(SER_hh_emih_in!S8=0,0,SER_hh_emih_in!S8/SER_summary!S$27)</f>
        <v>3.8346166430768776</v>
      </c>
      <c r="T8" s="133">
        <f>IF(SER_hh_emih_in!T8=0,0,SER_hh_emih_in!T8/SER_summary!T$27)</f>
        <v>3.5407077185728726</v>
      </c>
      <c r="U8" s="133">
        <f>IF(SER_hh_emih_in!U8=0,0,SER_hh_emih_in!U8/SER_summary!U$27)</f>
        <v>3.1445550276278786</v>
      </c>
      <c r="V8" s="133">
        <f>IF(SER_hh_emih_in!V8=0,0,SER_hh_emih_in!V8/SER_summary!V$27)</f>
        <v>2.7142445449074031</v>
      </c>
      <c r="W8" s="133">
        <f>IF(SER_hh_emih_in!W8=0,0,SER_hh_emih_in!W8/SER_summary!W$27)</f>
        <v>2.4565785497860029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23.993055360404341</v>
      </c>
      <c r="D9" s="133">
        <f>IF(SER_hh_emih_in!D9=0,0,SER_hh_emih_in!D9/SER_summary!D$27)</f>
        <v>21.944414690709007</v>
      </c>
      <c r="E9" s="133">
        <f>IF(SER_hh_emih_in!E9=0,0,SER_hh_emih_in!E9/SER_summary!E$27)</f>
        <v>23.562133633393227</v>
      </c>
      <c r="F9" s="133">
        <f>IF(SER_hh_emih_in!F9=0,0,SER_hh_emih_in!F9/SER_summary!F$27)</f>
        <v>26.172625744518029</v>
      </c>
      <c r="G9" s="133">
        <f>IF(SER_hh_emih_in!G9=0,0,SER_hh_emih_in!G9/SER_summary!G$27)</f>
        <v>23.122707386127932</v>
      </c>
      <c r="H9" s="133">
        <f>IF(SER_hh_emih_in!H9=0,0,SER_hh_emih_in!H9/SER_summary!H$27)</f>
        <v>22.60650084249848</v>
      </c>
      <c r="I9" s="133">
        <f>IF(SER_hh_emih_in!I9=0,0,SER_hh_emih_in!I9/SER_summary!I$27)</f>
        <v>18.93987008748736</v>
      </c>
      <c r="J9" s="133">
        <f>IF(SER_hh_emih_in!J9=0,0,SER_hh_emih_in!J9/SER_summary!J$27)</f>
        <v>20.212401312467392</v>
      </c>
      <c r="K9" s="133">
        <f>IF(SER_hh_emih_in!K9=0,0,SER_hh_emih_in!K9/SER_summary!K$27)</f>
        <v>20.685790674217326</v>
      </c>
      <c r="L9" s="133">
        <f>IF(SER_hh_emih_in!L9=0,0,SER_hh_emih_in!L9/SER_summary!L$27)</f>
        <v>23.199512042594993</v>
      </c>
      <c r="M9" s="133">
        <f>IF(SER_hh_emih_in!M9=0,0,SER_hh_emih_in!M9/SER_summary!M$27)</f>
        <v>17.041886368402334</v>
      </c>
      <c r="N9" s="133">
        <f>IF(SER_hh_emih_in!N9=0,0,SER_hh_emih_in!N9/SER_summary!N$27)</f>
        <v>18.576656186823779</v>
      </c>
      <c r="O9" s="133">
        <f>IF(SER_hh_emih_in!O9=0,0,SER_hh_emih_in!O9/SER_summary!O$27)</f>
        <v>17.837856711710394</v>
      </c>
      <c r="P9" s="133">
        <f>IF(SER_hh_emih_in!P9=0,0,SER_hh_emih_in!P9/SER_summary!P$27)</f>
        <v>12.543591535176148</v>
      </c>
      <c r="Q9" s="133">
        <f>IF(SER_hh_emih_in!Q9=0,0,SER_hh_emih_in!Q9/SER_summary!Q$27)</f>
        <v>12.966609443751256</v>
      </c>
      <c r="R9" s="133">
        <f>IF(SER_hh_emih_in!R9=0,0,SER_hh_emih_in!R9/SER_summary!R$27)</f>
        <v>12.383889858114561</v>
      </c>
      <c r="S9" s="133">
        <f>IF(SER_hh_emih_in!S9=0,0,SER_hh_emih_in!S9/SER_summary!S$27)</f>
        <v>11.732926783574722</v>
      </c>
      <c r="T9" s="133">
        <f>IF(SER_hh_emih_in!T9=0,0,SER_hh_emih_in!T9/SER_summary!T$27)</f>
        <v>10.930532450393965</v>
      </c>
      <c r="U9" s="133">
        <f>IF(SER_hh_emih_in!U9=0,0,SER_hh_emih_in!U9/SER_summary!U$27)</f>
        <v>9.5613240047901513</v>
      </c>
      <c r="V9" s="133">
        <f>IF(SER_hh_emih_in!V9=0,0,SER_hh_emih_in!V9/SER_summary!V$27)</f>
        <v>7.8994188987049379</v>
      </c>
      <c r="W9" s="133">
        <f>IF(SER_hh_emih_in!W9=0,0,SER_hh_emih_in!W9/SER_summary!W$27)</f>
        <v>7.1922548180570436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14.292325349186607</v>
      </c>
      <c r="D10" s="133">
        <f>IF(SER_hh_emih_in!D10=0,0,SER_hh_emih_in!D10/SER_summary!D$27)</f>
        <v>14.0533685882874</v>
      </c>
      <c r="E10" s="133">
        <f>IF(SER_hh_emih_in!E10=0,0,SER_hh_emih_in!E10/SER_summary!E$27)</f>
        <v>14.160035904700209</v>
      </c>
      <c r="F10" s="133">
        <f>IF(SER_hh_emih_in!F10=0,0,SER_hh_emih_in!F10/SER_summary!F$27)</f>
        <v>16.534960347050436</v>
      </c>
      <c r="G10" s="133">
        <f>IF(SER_hh_emih_in!G10=0,0,SER_hh_emih_in!G10/SER_summary!G$27)</f>
        <v>16.480424052316767</v>
      </c>
      <c r="H10" s="133">
        <f>IF(SER_hh_emih_in!H10=0,0,SER_hh_emih_in!H10/SER_summary!H$27)</f>
        <v>17.051594577646856</v>
      </c>
      <c r="I10" s="133">
        <f>IF(SER_hh_emih_in!I10=0,0,SER_hh_emih_in!I10/SER_summary!I$27)</f>
        <v>15.404185969255952</v>
      </c>
      <c r="J10" s="133">
        <f>IF(SER_hh_emih_in!J10=0,0,SER_hh_emih_in!J10/SER_summary!J$27)</f>
        <v>16.761832710119954</v>
      </c>
      <c r="K10" s="133">
        <f>IF(SER_hh_emih_in!K10=0,0,SER_hh_emih_in!K10/SER_summary!K$27)</f>
        <v>17.219517439088659</v>
      </c>
      <c r="L10" s="133">
        <f>IF(SER_hh_emih_in!L10=0,0,SER_hh_emih_in!L10/SER_summary!L$27)</f>
        <v>17.801005213493049</v>
      </c>
      <c r="M10" s="133">
        <f>IF(SER_hh_emih_in!M10=0,0,SER_hh_emih_in!M10/SER_summary!M$27)</f>
        <v>14.911936982578213</v>
      </c>
      <c r="N10" s="133">
        <f>IF(SER_hh_emih_in!N10=0,0,SER_hh_emih_in!N10/SER_summary!N$27)</f>
        <v>12.179362415260043</v>
      </c>
      <c r="O10" s="133">
        <f>IF(SER_hh_emih_in!O10=0,0,SER_hh_emih_in!O10/SER_summary!O$27)</f>
        <v>11.959333319304518</v>
      </c>
      <c r="P10" s="133">
        <f>IF(SER_hh_emih_in!P10=0,0,SER_hh_emih_in!P10/SER_summary!P$27)</f>
        <v>10.866332869978095</v>
      </c>
      <c r="Q10" s="133">
        <f>IF(SER_hh_emih_in!Q10=0,0,SER_hh_emih_in!Q10/SER_summary!Q$27)</f>
        <v>8.9959879568180909</v>
      </c>
      <c r="R10" s="133">
        <f>IF(SER_hh_emih_in!R10=0,0,SER_hh_emih_in!R10/SER_summary!R$27)</f>
        <v>7.7639062974357165</v>
      </c>
      <c r="S10" s="133">
        <f>IF(SER_hh_emih_in!S10=0,0,SER_hh_emih_in!S10/SER_summary!S$27)</f>
        <v>5.8260768865842154</v>
      </c>
      <c r="T10" s="133">
        <f>IF(SER_hh_emih_in!T10=0,0,SER_hh_emih_in!T10/SER_summary!T$27)</f>
        <v>6.100237855348916</v>
      </c>
      <c r="U10" s="133">
        <f>IF(SER_hh_emih_in!U10=0,0,SER_hh_emih_in!U10/SER_summary!U$27)</f>
        <v>5.2353635180219316</v>
      </c>
      <c r="V10" s="133">
        <f>IF(SER_hh_emih_in!V10=0,0,SER_hh_emih_in!V10/SER_summary!V$27)</f>
        <v>4.3154062347704647</v>
      </c>
      <c r="W10" s="133">
        <f>IF(SER_hh_emih_in!W10=0,0,SER_hh_emih_in!W10/SER_summary!W$27)</f>
        <v>3.3392922487151053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1.2068546921779603E-2</v>
      </c>
      <c r="D16" s="131">
        <f>IF(SER_hh_emih_in!D16=0,0,SER_hh_emih_in!D16/SER_summary!D$27)</f>
        <v>1.776755127024688E-2</v>
      </c>
      <c r="E16" s="131">
        <f>IF(SER_hh_emih_in!E16=0,0,SER_hh_emih_in!E16/SER_summary!E$27)</f>
        <v>1.4050829239012401E-2</v>
      </c>
      <c r="F16" s="131">
        <f>IF(SER_hh_emih_in!F16=0,0,SER_hh_emih_in!F16/SER_summary!F$27)</f>
        <v>2.8494879674414324E-2</v>
      </c>
      <c r="G16" s="131">
        <f>IF(SER_hh_emih_in!G16=0,0,SER_hh_emih_in!G16/SER_summary!G$27)</f>
        <v>1.8595125990691894E-2</v>
      </c>
      <c r="H16" s="131">
        <f>IF(SER_hh_emih_in!H16=0,0,SER_hh_emih_in!H16/SER_summary!H$27)</f>
        <v>2.7003144317254188E-2</v>
      </c>
      <c r="I16" s="131">
        <f>IF(SER_hh_emih_in!I16=0,0,SER_hh_emih_in!I16/SER_summary!I$27)</f>
        <v>2.8855563698365495E-2</v>
      </c>
      <c r="J16" s="131">
        <f>IF(SER_hh_emih_in!J16=0,0,SER_hh_emih_in!J16/SER_summary!J$27)</f>
        <v>2.9114314460152883E-2</v>
      </c>
      <c r="K16" s="131">
        <f>IF(SER_hh_emih_in!K16=0,0,SER_hh_emih_in!K16/SER_summary!K$27)</f>
        <v>2.8247198249404939E-2</v>
      </c>
      <c r="L16" s="131">
        <f>IF(SER_hh_emih_in!L16=0,0,SER_hh_emih_in!L16/SER_summary!L$27)</f>
        <v>2.724899278087544E-2</v>
      </c>
      <c r="M16" s="131">
        <f>IF(SER_hh_emih_in!M16=0,0,SER_hh_emih_in!M16/SER_summary!M$27)</f>
        <v>3.0229880677634446E-2</v>
      </c>
      <c r="N16" s="131">
        <f>IF(SER_hh_emih_in!N16=0,0,SER_hh_emih_in!N16/SER_summary!N$27)</f>
        <v>4.0273241208787142E-2</v>
      </c>
      <c r="O16" s="131">
        <f>IF(SER_hh_emih_in!O16=0,0,SER_hh_emih_in!O16/SER_summary!O$27)</f>
        <v>6.0746473868367602E-2</v>
      </c>
      <c r="P16" s="131">
        <f>IF(SER_hh_emih_in!P16=0,0,SER_hh_emih_in!P16/SER_summary!P$27)</f>
        <v>8.8430293363434109E-2</v>
      </c>
      <c r="Q16" s="131">
        <f>IF(SER_hh_emih_in!Q16=0,0,SER_hh_emih_in!Q16/SER_summary!Q$27)</f>
        <v>0.11039743938793734</v>
      </c>
      <c r="R16" s="131">
        <f>IF(SER_hh_emih_in!R16=0,0,SER_hh_emih_in!R16/SER_summary!R$27)</f>
        <v>0.10782070279836813</v>
      </c>
      <c r="S16" s="131">
        <f>IF(SER_hh_emih_in!S16=0,0,SER_hh_emih_in!S16/SER_summary!S$27)</f>
        <v>8.3624544225967101E-2</v>
      </c>
      <c r="T16" s="131">
        <f>IF(SER_hh_emih_in!T16=0,0,SER_hh_emih_in!T16/SER_summary!T$27)</f>
        <v>6.6716255902397159E-2</v>
      </c>
      <c r="U16" s="131">
        <f>IF(SER_hh_emih_in!U16=0,0,SER_hh_emih_in!U16/SER_summary!U$27)</f>
        <v>7.971189013568275E-2</v>
      </c>
      <c r="V16" s="131">
        <f>IF(SER_hh_emih_in!V16=0,0,SER_hh_emih_in!V16/SER_summary!V$27)</f>
        <v>9.6978383970391727E-2</v>
      </c>
      <c r="W16" s="131">
        <f>IF(SER_hh_emih_in!W16=0,0,SER_hh_emih_in!W16/SER_summary!W$27)</f>
        <v>3.4651727439358432E-2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4.2391295402595066</v>
      </c>
      <c r="D17" s="133">
        <f>IF(SER_hh_emih_in!D17=0,0,SER_hh_emih_in!D17/SER_summary!D$27)</f>
        <v>4.150945731039644</v>
      </c>
      <c r="E17" s="133">
        <f>IF(SER_hh_emih_in!E17=0,0,SER_hh_emih_in!E17/SER_summary!E$27)</f>
        <v>4.5076623765971</v>
      </c>
      <c r="F17" s="133">
        <f>IF(SER_hh_emih_in!F17=0,0,SER_hh_emih_in!F17/SER_summary!F$27)</f>
        <v>4.0676862480941551</v>
      </c>
      <c r="G17" s="133">
        <f>IF(SER_hh_emih_in!G17=0,0,SER_hh_emih_in!G17/SER_summary!G$27)</f>
        <v>3.9759658012902603</v>
      </c>
      <c r="H17" s="133">
        <f>IF(SER_hh_emih_in!H17=0,0,SER_hh_emih_in!H17/SER_summary!H$27)</f>
        <v>4.3274670874653642</v>
      </c>
      <c r="I17" s="133">
        <f>IF(SER_hh_emih_in!I17=0,0,SER_hh_emih_in!I17/SER_summary!I$27)</f>
        <v>3.93345221448546</v>
      </c>
      <c r="J17" s="133">
        <f>IF(SER_hh_emih_in!J17=0,0,SER_hh_emih_in!J17/SER_summary!J$27)</f>
        <v>3.9030554477959063</v>
      </c>
      <c r="K17" s="133">
        <f>IF(SER_hh_emih_in!K17=0,0,SER_hh_emih_in!K17/SER_summary!K$27)</f>
        <v>3.8382782699474864</v>
      </c>
      <c r="L17" s="133">
        <f>IF(SER_hh_emih_in!L17=0,0,SER_hh_emih_in!L17/SER_summary!L$27)</f>
        <v>3.9037313604340373</v>
      </c>
      <c r="M17" s="133">
        <f>IF(SER_hh_emih_in!M17=0,0,SER_hh_emih_in!M17/SER_summary!M$27)</f>
        <v>3.6932610779766342</v>
      </c>
      <c r="N17" s="133">
        <f>IF(SER_hh_emih_in!N17=0,0,SER_hh_emih_in!N17/SER_summary!N$27)</f>
        <v>3.5967565399491255</v>
      </c>
      <c r="O17" s="133">
        <f>IF(SER_hh_emih_in!O17=0,0,SER_hh_emih_in!O17/SER_summary!O$27)</f>
        <v>3.4614490762877912</v>
      </c>
      <c r="P17" s="133">
        <f>IF(SER_hh_emih_in!P17=0,0,SER_hh_emih_in!P17/SER_summary!P$27)</f>
        <v>3.2349333544652468</v>
      </c>
      <c r="Q17" s="133">
        <f>IF(SER_hh_emih_in!Q17=0,0,SER_hh_emih_in!Q17/SER_summary!Q$27)</f>
        <v>3.2193989346233587</v>
      </c>
      <c r="R17" s="133">
        <f>IF(SER_hh_emih_in!R17=0,0,SER_hh_emih_in!R17/SER_summary!R$27)</f>
        <v>3.0307983254517183</v>
      </c>
      <c r="S17" s="133">
        <f>IF(SER_hh_emih_in!S17=0,0,SER_hh_emih_in!S17/SER_summary!S$27)</f>
        <v>2.9577740939064885</v>
      </c>
      <c r="T17" s="133">
        <f>IF(SER_hh_emih_in!T17=0,0,SER_hh_emih_in!T17/SER_summary!T$27)</f>
        <v>2.9116972481027545</v>
      </c>
      <c r="U17" s="133">
        <f>IF(SER_hh_emih_in!U17=0,0,SER_hh_emih_in!U17/SER_summary!U$27)</f>
        <v>2.6687392840543755</v>
      </c>
      <c r="V17" s="133">
        <f>IF(SER_hh_emih_in!V17=0,0,SER_hh_emih_in!V17/SER_summary!V$27)</f>
        <v>2.5595424821563717</v>
      </c>
      <c r="W17" s="133">
        <f>IF(SER_hh_emih_in!W17=0,0,SER_hh_emih_in!W17/SER_summary!W$27)</f>
        <v>2.3844436116575967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2.1175454780875764</v>
      </c>
      <c r="D19" s="131">
        <f>IF(SER_hh_emih_in!D19=0,0,SER_hh_emih_in!D19/SER_summary!D$27)</f>
        <v>2.2611066635272516</v>
      </c>
      <c r="E19" s="131">
        <f>IF(SER_hh_emih_in!E19=0,0,SER_hh_emih_in!E19/SER_summary!E$27)</f>
        <v>1.9080199504092001</v>
      </c>
      <c r="F19" s="131">
        <f>IF(SER_hh_emih_in!F19=0,0,SER_hh_emih_in!F19/SER_summary!F$27)</f>
        <v>2.0685694355041546</v>
      </c>
      <c r="G19" s="131">
        <f>IF(SER_hh_emih_in!G19=0,0,SER_hh_emih_in!G19/SER_summary!G$27)</f>
        <v>1.7771058815606451</v>
      </c>
      <c r="H19" s="131">
        <f>IF(SER_hh_emih_in!H19=0,0,SER_hh_emih_in!H19/SER_summary!H$27)</f>
        <v>1.74397337306216</v>
      </c>
      <c r="I19" s="131">
        <f>IF(SER_hh_emih_in!I19=0,0,SER_hh_emih_in!I19/SER_summary!I$27)</f>
        <v>1.5547006656664022</v>
      </c>
      <c r="J19" s="131">
        <f>IF(SER_hh_emih_in!J19=0,0,SER_hh_emih_in!J19/SER_summary!J$27)</f>
        <v>1.6840434953813999</v>
      </c>
      <c r="K19" s="131">
        <f>IF(SER_hh_emih_in!K19=0,0,SER_hh_emih_in!K19/SER_summary!K$27)</f>
        <v>1.9875587195396427</v>
      </c>
      <c r="L19" s="131">
        <f>IF(SER_hh_emih_in!L19=0,0,SER_hh_emih_in!L19/SER_summary!L$27)</f>
        <v>1.8451457588278315</v>
      </c>
      <c r="M19" s="131">
        <f>IF(SER_hh_emih_in!M19=0,0,SER_hh_emih_in!M19/SER_summary!M$27)</f>
        <v>1.7938222771463261</v>
      </c>
      <c r="N19" s="131">
        <f>IF(SER_hh_emih_in!N19=0,0,SER_hh_emih_in!N19/SER_summary!N$27)</f>
        <v>2.0537390900097185</v>
      </c>
      <c r="O19" s="131">
        <f>IF(SER_hh_emih_in!O19=0,0,SER_hh_emih_in!O19/SER_summary!O$27)</f>
        <v>1.6643881630384187</v>
      </c>
      <c r="P19" s="131">
        <f>IF(SER_hh_emih_in!P19=0,0,SER_hh_emih_in!P19/SER_summary!P$27)</f>
        <v>0.91975901174161057</v>
      </c>
      <c r="Q19" s="131">
        <f>IF(SER_hh_emih_in!Q19=0,0,SER_hh_emih_in!Q19/SER_summary!Q$27)</f>
        <v>1.0180268014275906</v>
      </c>
      <c r="R19" s="131">
        <f>IF(SER_hh_emih_in!R19=0,0,SER_hh_emih_in!R19/SER_summary!R$27)</f>
        <v>1.5290416174661314</v>
      </c>
      <c r="S19" s="131">
        <f>IF(SER_hh_emih_in!S19=0,0,SER_hh_emih_in!S19/SER_summary!S$27)</f>
        <v>1.6723441384170079</v>
      </c>
      <c r="T19" s="131">
        <f>IF(SER_hh_emih_in!T19=0,0,SER_hh_emih_in!T19/SER_summary!T$27)</f>
        <v>1.1344389752548873</v>
      </c>
      <c r="U19" s="131">
        <f>IF(SER_hh_emih_in!U19=0,0,SER_hh_emih_in!U19/SER_summary!U$27)</f>
        <v>0.71616719432372544</v>
      </c>
      <c r="V19" s="131">
        <f>IF(SER_hh_emih_in!V19=0,0,SER_hh_emih_in!V19/SER_summary!V$27)</f>
        <v>0.18688650748851465</v>
      </c>
      <c r="W19" s="131">
        <f>IF(SER_hh_emih_in!W19=0,0,SER_hh_emih_in!W19/SER_summary!W$27)</f>
        <v>0.74298925484480915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7.5199249542504978</v>
      </c>
      <c r="D22" s="133">
        <f>IF(SER_hh_emih_in!D22=0,0,SER_hh_emih_in!D22/SER_summary!D$27)</f>
        <v>7.3135985534046473</v>
      </c>
      <c r="E22" s="133">
        <f>IF(SER_hh_emih_in!E22=0,0,SER_hh_emih_in!E22/SER_summary!E$27)</f>
        <v>7.2659774441330498</v>
      </c>
      <c r="F22" s="133">
        <f>IF(SER_hh_emih_in!F22=0,0,SER_hh_emih_in!F22/SER_summary!F$27)</f>
        <v>7.1509003608400645</v>
      </c>
      <c r="G22" s="133">
        <f>IF(SER_hh_emih_in!G22=0,0,SER_hh_emih_in!G22/SER_summary!G$27)</f>
        <v>7.1186571730118882</v>
      </c>
      <c r="H22" s="133">
        <f>IF(SER_hh_emih_in!H22=0,0,SER_hh_emih_in!H22/SER_summary!H$27)</f>
        <v>6.9191576412778142</v>
      </c>
      <c r="I22" s="133">
        <f>IF(SER_hh_emih_in!I22=0,0,SER_hh_emih_in!I22/SER_summary!I$27)</f>
        <v>6.6906425467607242</v>
      </c>
      <c r="J22" s="133">
        <f>IF(SER_hh_emih_in!J22=0,0,SER_hh_emih_in!J22/SER_summary!J$27)</f>
        <v>6.6230608625783667</v>
      </c>
      <c r="K22" s="133">
        <f>IF(SER_hh_emih_in!K22=0,0,SER_hh_emih_in!K22/SER_summary!K$27)</f>
        <v>6.3009579479415505</v>
      </c>
      <c r="L22" s="133">
        <f>IF(SER_hh_emih_in!L22=0,0,SER_hh_emih_in!L22/SER_summary!L$27)</f>
        <v>6.3548922423388117</v>
      </c>
      <c r="M22" s="133">
        <f>IF(SER_hh_emih_in!M22=0,0,SER_hh_emih_in!M22/SER_summary!M$27)</f>
        <v>6.0983945862882916</v>
      </c>
      <c r="N22" s="133">
        <f>IF(SER_hh_emih_in!N22=0,0,SER_hh_emih_in!N22/SER_summary!N$27)</f>
        <v>5.942209816625784</v>
      </c>
      <c r="O22" s="133">
        <f>IF(SER_hh_emih_in!O22=0,0,SER_hh_emih_in!O22/SER_summary!O$27)</f>
        <v>5.5932847358367299</v>
      </c>
      <c r="P22" s="133">
        <f>IF(SER_hh_emih_in!P22=0,0,SER_hh_emih_in!P22/SER_summary!P$27)</f>
        <v>5.3568459686983836</v>
      </c>
      <c r="Q22" s="133">
        <f>IF(SER_hh_emih_in!Q22=0,0,SER_hh_emih_in!Q22/SER_summary!Q$27)</f>
        <v>5.1493698306154325</v>
      </c>
      <c r="R22" s="133">
        <f>IF(SER_hh_emih_in!R22=0,0,SER_hh_emih_in!R22/SER_summary!R$27)</f>
        <v>4.8974604864130926</v>
      </c>
      <c r="S22" s="133">
        <f>IF(SER_hh_emih_in!S22=0,0,SER_hh_emih_in!S22/SER_summary!S$27)</f>
        <v>4.7301540862194642</v>
      </c>
      <c r="T22" s="133">
        <f>IF(SER_hh_emih_in!T22=0,0,SER_hh_emih_in!T22/SER_summary!T$27)</f>
        <v>4.4676702732034705</v>
      </c>
      <c r="U22" s="133">
        <f>IF(SER_hh_emih_in!U22=0,0,SER_hh_emih_in!U22/SER_summary!U$27)</f>
        <v>4.3561555169083608</v>
      </c>
      <c r="V22" s="133">
        <f>IF(SER_hh_emih_in!V22=0,0,SER_hh_emih_in!V22/SER_summary!V$27)</f>
        <v>4.1193904623516797</v>
      </c>
      <c r="W22" s="133">
        <f>IF(SER_hh_emih_in!W22=0,0,SER_hh_emih_in!W22/SER_summary!W$27)</f>
        <v>4.1199888287183173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5.1400981729970106</v>
      </c>
      <c r="D23" s="133">
        <f>IF(SER_hh_emih_in!D23=0,0,SER_hh_emih_in!D23/SER_summary!D$27)</f>
        <v>5.2324871845203997</v>
      </c>
      <c r="E23" s="133">
        <f>IF(SER_hh_emih_in!E23=0,0,SER_hh_emih_in!E23/SER_summary!E$27)</f>
        <v>5.0085237219157088</v>
      </c>
      <c r="F23" s="133">
        <f>IF(SER_hh_emih_in!F23=0,0,SER_hh_emih_in!F23/SER_summary!F$27)</f>
        <v>4.8504850973574563</v>
      </c>
      <c r="G23" s="133">
        <f>IF(SER_hh_emih_in!G23=0,0,SER_hh_emih_in!G23/SER_summary!G$27)</f>
        <v>4.8075508478556719</v>
      </c>
      <c r="H23" s="133">
        <f>IF(SER_hh_emih_in!H23=0,0,SER_hh_emih_in!H23/SER_summary!H$27)</f>
        <v>4.7105330540376142</v>
      </c>
      <c r="I23" s="133">
        <f>IF(SER_hh_emih_in!I23=0,0,SER_hh_emih_in!I23/SER_summary!I$27)</f>
        <v>4.4901928226698553</v>
      </c>
      <c r="J23" s="133">
        <f>IF(SER_hh_emih_in!J23=0,0,SER_hh_emih_in!J23/SER_summary!J$27)</f>
        <v>4.3736410278355526</v>
      </c>
      <c r="K23" s="133">
        <f>IF(SER_hh_emih_in!K23=0,0,SER_hh_emih_in!K23/SER_summary!K$27)</f>
        <v>4.1673882940704523</v>
      </c>
      <c r="L23" s="133">
        <f>IF(SER_hh_emih_in!L23=0,0,SER_hh_emih_in!L23/SER_summary!L$27)</f>
        <v>4.2180359683506996</v>
      </c>
      <c r="M23" s="133">
        <f>IF(SER_hh_emih_in!M23=0,0,SER_hh_emih_in!M23/SER_summary!M$27)</f>
        <v>3.9688001854672801</v>
      </c>
      <c r="N23" s="133">
        <f>IF(SER_hh_emih_in!N23=0,0,SER_hh_emih_in!N23/SER_summary!N$27)</f>
        <v>4.0321560428849379</v>
      </c>
      <c r="O23" s="133">
        <f>IF(SER_hh_emih_in!O23=0,0,SER_hh_emih_in!O23/SER_summary!O$27)</f>
        <v>3.8718551575335223</v>
      </c>
      <c r="P23" s="133">
        <f>IF(SER_hh_emih_in!P23=0,0,SER_hh_emih_in!P23/SER_summary!P$27)</f>
        <v>3.6043465479256973</v>
      </c>
      <c r="Q23" s="133">
        <f>IF(SER_hh_emih_in!Q23=0,0,SER_hh_emih_in!Q23/SER_summary!Q$27)</f>
        <v>3.4425244757969757</v>
      </c>
      <c r="R23" s="133">
        <f>IF(SER_hh_emih_in!R23=0,0,SER_hh_emih_in!R23/SER_summary!R$27)</f>
        <v>3.325245221885154</v>
      </c>
      <c r="S23" s="133">
        <f>IF(SER_hh_emih_in!S23=0,0,SER_hh_emih_in!S23/SER_summary!S$27)</f>
        <v>3.3942109751501275</v>
      </c>
      <c r="T23" s="133">
        <f>IF(SER_hh_emih_in!T23=0,0,SER_hh_emih_in!T23/SER_summary!T$27)</f>
        <v>3.3589852039235262</v>
      </c>
      <c r="U23" s="133">
        <f>IF(SER_hh_emih_in!U23=0,0,SER_hh_emih_in!U23/SER_summary!U$27)</f>
        <v>3.3083702546020186</v>
      </c>
      <c r="V23" s="133">
        <f>IF(SER_hh_emih_in!V23=0,0,SER_hh_emih_in!V23/SER_summary!V$27)</f>
        <v>2.9172311002557061</v>
      </c>
      <c r="W23" s="133">
        <f>IF(SER_hh_emih_in!W23=0,0,SER_hh_emih_in!W23/SER_summary!W$27)</f>
        <v>3.0337320326670141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1.9864895211767148</v>
      </c>
      <c r="D29" s="131">
        <f>IF(SER_hh_emih_in!D29=0,0,SER_hh_emih_in!D29/SER_summary!D$27)</f>
        <v>2.0664850551728255</v>
      </c>
      <c r="E29" s="131">
        <f>IF(SER_hh_emih_in!E29=0,0,SER_hh_emih_in!E29/SER_summary!E$27)</f>
        <v>2.0443276118121774</v>
      </c>
      <c r="F29" s="131">
        <f>IF(SER_hh_emih_in!F29=0,0,SER_hh_emih_in!F29/SER_summary!F$27)</f>
        <v>2.1400482355173218</v>
      </c>
      <c r="G29" s="131">
        <f>IF(SER_hh_emih_in!G29=0,0,SER_hh_emih_in!G29/SER_summary!G$27)</f>
        <v>1.7698937898385128</v>
      </c>
      <c r="H29" s="131">
        <f>IF(SER_hh_emih_in!H29=0,0,SER_hh_emih_in!H29/SER_summary!H$27)</f>
        <v>1.6942341922928184</v>
      </c>
      <c r="I29" s="131">
        <f>IF(SER_hh_emih_in!I29=0,0,SER_hh_emih_in!I29/SER_summary!I$27)</f>
        <v>1.7781506790184802</v>
      </c>
      <c r="J29" s="131">
        <f>IF(SER_hh_emih_in!J29=0,0,SER_hh_emih_in!J29/SER_summary!J$27)</f>
        <v>1.7088733476182687</v>
      </c>
      <c r="K29" s="131">
        <f>IF(SER_hh_emih_in!K29=0,0,SER_hh_emih_in!K29/SER_summary!K$27)</f>
        <v>1.8833475475248536</v>
      </c>
      <c r="L29" s="131">
        <f>IF(SER_hh_emih_in!L29=0,0,SER_hh_emih_in!L29/SER_summary!L$27)</f>
        <v>1.7024575504934765</v>
      </c>
      <c r="M29" s="131">
        <f>IF(SER_hh_emih_in!M29=0,0,SER_hh_emih_in!M29/SER_summary!M$27)</f>
        <v>1.5189518032116627</v>
      </c>
      <c r="N29" s="131">
        <f>IF(SER_hh_emih_in!N29=0,0,SER_hh_emih_in!N29/SER_summary!N$27)</f>
        <v>1.6103892537301754</v>
      </c>
      <c r="O29" s="131">
        <f>IF(SER_hh_emih_in!O29=0,0,SER_hh_emih_in!O29/SER_summary!O$27)</f>
        <v>1.7729867834043729</v>
      </c>
      <c r="P29" s="131">
        <f>IF(SER_hh_emih_in!P29=0,0,SER_hh_emih_in!P29/SER_summary!P$27)</f>
        <v>1.8139886782443662</v>
      </c>
      <c r="Q29" s="131">
        <f>IF(SER_hh_emih_in!Q29=0,0,SER_hh_emih_in!Q29/SER_summary!Q$27)</f>
        <v>1.1799851604866829</v>
      </c>
      <c r="R29" s="131">
        <f>IF(SER_hh_emih_in!R29=0,0,SER_hh_emih_in!R29/SER_summary!R$27)</f>
        <v>1.5336361863566046</v>
      </c>
      <c r="S29" s="131">
        <f>IF(SER_hh_emih_in!S29=0,0,SER_hh_emih_in!S29/SER_summary!S$27)</f>
        <v>1.4501661379420931</v>
      </c>
      <c r="T29" s="131">
        <f>IF(SER_hh_emih_in!T29=0,0,SER_hh_emih_in!T29/SER_summary!T$27)</f>
        <v>1.5607050832265983</v>
      </c>
      <c r="U29" s="131">
        <f>IF(SER_hh_emih_in!U29=0,0,SER_hh_emih_in!U29/SER_summary!U$27)</f>
        <v>1.2608986513825244</v>
      </c>
      <c r="V29" s="131">
        <f>IF(SER_hh_emih_in!V29=0,0,SER_hh_emih_in!V29/SER_summary!V$27)</f>
        <v>1.3511975222673065</v>
      </c>
      <c r="W29" s="131">
        <f>IF(SER_hh_emih_in!W29=0,0,SER_hh_emih_in!W29/SER_summary!W$27)</f>
        <v>1.6022183404587549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5.5122382433348411</v>
      </c>
      <c r="D30" s="133">
        <f>IF(SER_hh_emih_in!D30=0,0,SER_hh_emih_in!D30/SER_summary!D$27)</f>
        <v>5.8741005380379407</v>
      </c>
      <c r="E30" s="133">
        <f>IF(SER_hh_emih_in!E30=0,0,SER_hh_emih_in!E30/SER_summary!E$27)</f>
        <v>5.29603122328641</v>
      </c>
      <c r="F30" s="133">
        <f>IF(SER_hh_emih_in!F30=0,0,SER_hh_emih_in!F30/SER_summary!F$27)</f>
        <v>5.6187790787038008</v>
      </c>
      <c r="G30" s="133">
        <f>IF(SER_hh_emih_in!G30=0,0,SER_hh_emih_in!G30/SER_summary!G$27)</f>
        <v>5.5264950026772803</v>
      </c>
      <c r="H30" s="133">
        <f>IF(SER_hh_emih_in!H30=0,0,SER_hh_emih_in!H30/SER_summary!H$27)</f>
        <v>7.146366518495018</v>
      </c>
      <c r="I30" s="133">
        <f>IF(SER_hh_emih_in!I30=0,0,SER_hh_emih_in!I30/SER_summary!I$27)</f>
        <v>0</v>
      </c>
      <c r="J30" s="133">
        <f>IF(SER_hh_emih_in!J30=0,0,SER_hh_emih_in!J30/SER_summary!J$27)</f>
        <v>0</v>
      </c>
      <c r="K30" s="133">
        <f>IF(SER_hh_emih_in!K30=0,0,SER_hh_emih_in!K30/SER_summary!K$27)</f>
        <v>6.0669079826309087</v>
      </c>
      <c r="L30" s="133">
        <f>IF(SER_hh_emih_in!L30=0,0,SER_hh_emih_in!L30/SER_summary!L$27)</f>
        <v>6.8778413507971905</v>
      </c>
      <c r="M30" s="133">
        <f>IF(SER_hh_emih_in!M30=0,0,SER_hh_emih_in!M30/SER_summary!M$27)</f>
        <v>0</v>
      </c>
      <c r="N30" s="133">
        <f>IF(SER_hh_emih_in!N30=0,0,SER_hh_emih_in!N30/SER_summary!N$27)</f>
        <v>6.1970380799184115</v>
      </c>
      <c r="O30" s="133">
        <f>IF(SER_hh_emih_in!O30=0,0,SER_hh_emih_in!O30/SER_summary!O$27)</f>
        <v>6.5357336136147355</v>
      </c>
      <c r="P30" s="133">
        <f>IF(SER_hh_emih_in!P30=0,0,SER_hh_emih_in!P30/SER_summary!P$27)</f>
        <v>0.97206513046711129</v>
      </c>
      <c r="Q30" s="133">
        <f>IF(SER_hh_emih_in!Q30=0,0,SER_hh_emih_in!Q30/SER_summary!Q$27)</f>
        <v>6.6876232369484745</v>
      </c>
      <c r="R30" s="133">
        <f>IF(SER_hh_emih_in!R30=0,0,SER_hh_emih_in!R30/SER_summary!R$27)</f>
        <v>5.2780041271108118</v>
      </c>
      <c r="S30" s="133">
        <f>IF(SER_hh_emih_in!S30=0,0,SER_hh_emih_in!S30/SER_summary!S$27)</f>
        <v>4.7277107460285057</v>
      </c>
      <c r="T30" s="133">
        <f>IF(SER_hh_emih_in!T30=0,0,SER_hh_emih_in!T30/SER_summary!T$27)</f>
        <v>5.7116181329388063</v>
      </c>
      <c r="U30" s="133">
        <f>IF(SER_hh_emih_in!U30=0,0,SER_hh_emih_in!U30/SER_summary!U$27)</f>
        <v>7.0826999676896465</v>
      </c>
      <c r="V30" s="133">
        <f>IF(SER_hh_emih_in!V30=0,0,SER_hh_emih_in!V30/SER_summary!V$27)</f>
        <v>5.2716637482996962</v>
      </c>
      <c r="W30" s="133">
        <f>IF(SER_hh_emih_in!W30=0,0,SER_hh_emih_in!W30/SER_summary!W$27)</f>
        <v>4.8600240841629665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4.8396176232737576</v>
      </c>
      <c r="D31" s="133">
        <f>IF(SER_hh_emih_in!D31=0,0,SER_hh_emih_in!D31/SER_summary!D$27)</f>
        <v>4.781858225917003</v>
      </c>
      <c r="E31" s="133">
        <f>IF(SER_hh_emih_in!E31=0,0,SER_hh_emih_in!E31/SER_summary!E$27)</f>
        <v>4.9289805749641875</v>
      </c>
      <c r="F31" s="133">
        <f>IF(SER_hh_emih_in!F31=0,0,SER_hh_emih_in!F31/SER_summary!F$27)</f>
        <v>4.9090717726805231</v>
      </c>
      <c r="G31" s="133">
        <f>IF(SER_hh_emih_in!G31=0,0,SER_hh_emih_in!G31/SER_summary!G$27)</f>
        <v>4.8879753903258489</v>
      </c>
      <c r="H31" s="133">
        <f>IF(SER_hh_emih_in!H31=0,0,SER_hh_emih_in!H31/SER_summary!H$27)</f>
        <v>4.5584447610096772</v>
      </c>
      <c r="I31" s="133">
        <f>IF(SER_hh_emih_in!I31=0,0,SER_hh_emih_in!I31/SER_summary!I$27)</f>
        <v>4.9742519925321309</v>
      </c>
      <c r="J31" s="133">
        <f>IF(SER_hh_emih_in!J31=0,0,SER_hh_emih_in!J31/SER_summary!J$27)</f>
        <v>5.0678177866387655</v>
      </c>
      <c r="K31" s="133">
        <f>IF(SER_hh_emih_in!K31=0,0,SER_hh_emih_in!K31/SER_summary!K$27)</f>
        <v>4.779602030631426</v>
      </c>
      <c r="L31" s="133">
        <f>IF(SER_hh_emih_in!L31=0,0,SER_hh_emih_in!L31/SER_summary!L$27)</f>
        <v>4.6194681952443313</v>
      </c>
      <c r="M31" s="133">
        <f>IF(SER_hh_emih_in!M31=0,0,SER_hh_emih_in!M31/SER_summary!M$27)</f>
        <v>4.9760194551080268</v>
      </c>
      <c r="N31" s="133">
        <f>IF(SER_hh_emih_in!N31=0,0,SER_hh_emih_in!N31/SER_summary!N$27)</f>
        <v>4.6972893486229745</v>
      </c>
      <c r="O31" s="133">
        <f>IF(SER_hh_emih_in!O31=0,0,SER_hh_emih_in!O31/SER_summary!O$27)</f>
        <v>4.7083727668999638</v>
      </c>
      <c r="P31" s="133">
        <f>IF(SER_hh_emih_in!P31=0,0,SER_hh_emih_in!P31/SER_summary!P$27)</f>
        <v>5.2378406839615606</v>
      </c>
      <c r="Q31" s="133">
        <f>IF(SER_hh_emih_in!Q31=0,0,SER_hh_emih_in!Q31/SER_summary!Q$27)</f>
        <v>4.6587833172847581</v>
      </c>
      <c r="R31" s="133">
        <f>IF(SER_hh_emih_in!R31=0,0,SER_hh_emih_in!R31/SER_summary!R$27)</f>
        <v>4.7810149604330174</v>
      </c>
      <c r="S31" s="133">
        <f>IF(SER_hh_emih_in!S31=0,0,SER_hh_emih_in!S31/SER_summary!S$27)</f>
        <v>4.9871643261433682</v>
      </c>
      <c r="T31" s="133">
        <f>IF(SER_hh_emih_in!T31=0,0,SER_hh_emih_in!T31/SER_summary!T$27)</f>
        <v>4.6968083461197434</v>
      </c>
      <c r="U31" s="133">
        <f>IF(SER_hh_emih_in!U31=0,0,SER_hh_emih_in!U31/SER_summary!U$27)</f>
        <v>4.1757754384658314</v>
      </c>
      <c r="V31" s="133">
        <f>IF(SER_hh_emih_in!V31=0,0,SER_hh_emih_in!V31/SER_summary!V$27)</f>
        <v>4.6484640151059216</v>
      </c>
      <c r="W31" s="133">
        <f>IF(SER_hh_emih_in!W31=0,0,SER_hh_emih_in!W31/SER_summary!W$27)</f>
        <v>4.9991801352719696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1235.1589308331374</v>
      </c>
      <c r="C3" s="180">
        <f t="shared" ref="C3:W3" si="1">SUM(C4:C9)</f>
        <v>1283.9221911163681</v>
      </c>
      <c r="D3" s="180">
        <f t="shared" si="1"/>
        <v>1329.165781516919</v>
      </c>
      <c r="E3" s="180">
        <f t="shared" si="1"/>
        <v>1373.3033692842509</v>
      </c>
      <c r="F3" s="180">
        <f t="shared" si="1"/>
        <v>1417.462560177956</v>
      </c>
      <c r="G3" s="180">
        <f t="shared" si="1"/>
        <v>1469.786868029704</v>
      </c>
      <c r="H3" s="180">
        <f t="shared" si="1"/>
        <v>1521.1410963557796</v>
      </c>
      <c r="I3" s="180">
        <f t="shared" si="1"/>
        <v>1575.0692433496492</v>
      </c>
      <c r="J3" s="180">
        <f t="shared" si="1"/>
        <v>1619.041666418339</v>
      </c>
      <c r="K3" s="180">
        <f t="shared" si="1"/>
        <v>1647.1528884161016</v>
      </c>
      <c r="L3" s="180">
        <f t="shared" si="1"/>
        <v>1685.1167622511553</v>
      </c>
      <c r="M3" s="180">
        <f t="shared" si="1"/>
        <v>1723.3143757964685</v>
      </c>
      <c r="N3" s="180">
        <f t="shared" si="1"/>
        <v>1737.4678094555236</v>
      </c>
      <c r="O3" s="180">
        <f t="shared" si="1"/>
        <v>1746.4608948003056</v>
      </c>
      <c r="P3" s="180">
        <f t="shared" si="1"/>
        <v>1784.054782893071</v>
      </c>
      <c r="Q3" s="180">
        <f t="shared" si="1"/>
        <v>1863.9008200442843</v>
      </c>
      <c r="R3" s="180">
        <f t="shared" si="1"/>
        <v>1859.1598007416605</v>
      </c>
      <c r="S3" s="180">
        <f t="shared" si="1"/>
        <v>1877.837984349806</v>
      </c>
      <c r="T3" s="180">
        <f t="shared" si="1"/>
        <v>1861.8794566505885</v>
      </c>
      <c r="U3" s="180">
        <f t="shared" si="1"/>
        <v>1852.3180037519667</v>
      </c>
      <c r="V3" s="180">
        <f t="shared" si="1"/>
        <v>1818.923037334006</v>
      </c>
      <c r="W3" s="180">
        <f t="shared" si="1"/>
        <v>1808.9283330862354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109.96819585078039</v>
      </c>
      <c r="C4" s="181">
        <f t="shared" ref="C4:R9" si="3">C12*C44/11630</f>
        <v>112.04738033621787</v>
      </c>
      <c r="D4" s="181">
        <f t="shared" si="3"/>
        <v>113.51328315459067</v>
      </c>
      <c r="E4" s="181">
        <f t="shared" si="3"/>
        <v>114.64347777068629</v>
      </c>
      <c r="F4" s="181">
        <f t="shared" si="3"/>
        <v>114.86353979462955</v>
      </c>
      <c r="G4" s="181">
        <f t="shared" si="3"/>
        <v>116.87640225531038</v>
      </c>
      <c r="H4" s="181">
        <f t="shared" si="3"/>
        <v>119.8134076485687</v>
      </c>
      <c r="I4" s="181">
        <f t="shared" si="3"/>
        <v>123.69003171015552</v>
      </c>
      <c r="J4" s="181">
        <f t="shared" si="3"/>
        <v>126.14022321585703</v>
      </c>
      <c r="K4" s="181">
        <f t="shared" si="3"/>
        <v>125.93564685442009</v>
      </c>
      <c r="L4" s="181">
        <f t="shared" si="3"/>
        <v>127.23805429109613</v>
      </c>
      <c r="M4" s="181">
        <f t="shared" si="3"/>
        <v>128.76878776350574</v>
      </c>
      <c r="N4" s="181">
        <f t="shared" si="3"/>
        <v>128.9459654585981</v>
      </c>
      <c r="O4" s="181">
        <f t="shared" si="3"/>
        <v>128.42247595148049</v>
      </c>
      <c r="P4" s="181">
        <f t="shared" si="3"/>
        <v>128.04004936827096</v>
      </c>
      <c r="Q4" s="181">
        <f t="shared" si="3"/>
        <v>128.9258331362054</v>
      </c>
      <c r="R4" s="181">
        <f t="shared" si="3"/>
        <v>128.5630556907395</v>
      </c>
      <c r="S4" s="181">
        <f t="shared" ref="D4:W9" si="4">S12*S44/11630</f>
        <v>128.35573528418348</v>
      </c>
      <c r="T4" s="181">
        <f t="shared" si="4"/>
        <v>127.96778109963519</v>
      </c>
      <c r="U4" s="181">
        <f t="shared" si="4"/>
        <v>128.24039405335787</v>
      </c>
      <c r="V4" s="181">
        <f t="shared" si="4"/>
        <v>128.49557276890613</v>
      </c>
      <c r="W4" s="181">
        <f t="shared" si="4"/>
        <v>128.64859496737085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83.334293087847428</v>
      </c>
      <c r="C5" s="181">
        <f t="shared" si="3"/>
        <v>84.497664665606152</v>
      </c>
      <c r="D5" s="181">
        <f t="shared" si="4"/>
        <v>85.97814097708013</v>
      </c>
      <c r="E5" s="181">
        <f t="shared" si="4"/>
        <v>87.52584548055134</v>
      </c>
      <c r="F5" s="181">
        <f t="shared" si="4"/>
        <v>89.088279470848775</v>
      </c>
      <c r="G5" s="181">
        <f t="shared" si="4"/>
        <v>90.037467713588001</v>
      </c>
      <c r="H5" s="181">
        <f t="shared" si="4"/>
        <v>91.663641011341568</v>
      </c>
      <c r="I5" s="181">
        <f t="shared" si="4"/>
        <v>92.611479531957798</v>
      </c>
      <c r="J5" s="181">
        <f t="shared" si="4"/>
        <v>94.659493112340868</v>
      </c>
      <c r="K5" s="181">
        <f t="shared" si="4"/>
        <v>96.893902089951951</v>
      </c>
      <c r="L5" s="181">
        <f t="shared" si="4"/>
        <v>99.228635972662687</v>
      </c>
      <c r="M5" s="181">
        <f t="shared" si="4"/>
        <v>100.63546987640325</v>
      </c>
      <c r="N5" s="181">
        <f t="shared" si="4"/>
        <v>102.59615544430702</v>
      </c>
      <c r="O5" s="181">
        <f t="shared" si="4"/>
        <v>104.27742401924593</v>
      </c>
      <c r="P5" s="181">
        <f t="shared" si="4"/>
        <v>106.46429202659165</v>
      </c>
      <c r="Q5" s="181">
        <f t="shared" si="4"/>
        <v>107.20412929468924</v>
      </c>
      <c r="R5" s="181">
        <f t="shared" si="4"/>
        <v>106.13488865175263</v>
      </c>
      <c r="S5" s="181">
        <f t="shared" si="4"/>
        <v>106.66021030256016</v>
      </c>
      <c r="T5" s="181">
        <f t="shared" si="4"/>
        <v>104.50048638547614</v>
      </c>
      <c r="U5" s="181">
        <f t="shared" si="4"/>
        <v>101.84421620059409</v>
      </c>
      <c r="V5" s="181">
        <f t="shared" si="4"/>
        <v>98.447656495244615</v>
      </c>
      <c r="W5" s="181">
        <f t="shared" si="4"/>
        <v>96.165471507903035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477.87407323270645</v>
      </c>
      <c r="C6" s="181">
        <f t="shared" si="3"/>
        <v>487.9035946037518</v>
      </c>
      <c r="D6" s="181">
        <f t="shared" si="4"/>
        <v>492.02080061957986</v>
      </c>
      <c r="E6" s="181">
        <f t="shared" si="4"/>
        <v>492.47730648343935</v>
      </c>
      <c r="F6" s="181">
        <f t="shared" si="4"/>
        <v>489.58589642866218</v>
      </c>
      <c r="G6" s="181">
        <f t="shared" si="4"/>
        <v>491.78553972876932</v>
      </c>
      <c r="H6" s="181">
        <f t="shared" si="4"/>
        <v>497.79118440581055</v>
      </c>
      <c r="I6" s="181">
        <f t="shared" si="4"/>
        <v>510.54411800886368</v>
      </c>
      <c r="J6" s="181">
        <f t="shared" si="4"/>
        <v>519.63456801708242</v>
      </c>
      <c r="K6" s="181">
        <f t="shared" si="4"/>
        <v>520.36310131825292</v>
      </c>
      <c r="L6" s="181">
        <f t="shared" si="4"/>
        <v>527.28791755735131</v>
      </c>
      <c r="M6" s="181">
        <f t="shared" si="4"/>
        <v>533.89170951328015</v>
      </c>
      <c r="N6" s="181">
        <f t="shared" si="4"/>
        <v>533.20268861315833</v>
      </c>
      <c r="O6" s="181">
        <f t="shared" si="4"/>
        <v>530.12969204113892</v>
      </c>
      <c r="P6" s="181">
        <f t="shared" si="4"/>
        <v>531.3291843708173</v>
      </c>
      <c r="Q6" s="181">
        <f t="shared" si="4"/>
        <v>542.94025756893677</v>
      </c>
      <c r="R6" s="181">
        <f t="shared" si="4"/>
        <v>534.55151803875651</v>
      </c>
      <c r="S6" s="181">
        <f t="shared" si="4"/>
        <v>533.39494904719299</v>
      </c>
      <c r="T6" s="181">
        <f t="shared" si="4"/>
        <v>511.25942316013106</v>
      </c>
      <c r="U6" s="181">
        <f t="shared" si="4"/>
        <v>486.26424560536759</v>
      </c>
      <c r="V6" s="181">
        <f t="shared" si="4"/>
        <v>454.95657518527889</v>
      </c>
      <c r="W6" s="181">
        <f t="shared" si="4"/>
        <v>431.96584293571982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199.31064220780482</v>
      </c>
      <c r="C7" s="181">
        <f t="shared" si="3"/>
        <v>199.40675138715673</v>
      </c>
      <c r="D7" s="181">
        <f t="shared" si="4"/>
        <v>199.4175145153273</v>
      </c>
      <c r="E7" s="181">
        <f t="shared" si="4"/>
        <v>199.05714213539903</v>
      </c>
      <c r="F7" s="181">
        <f t="shared" si="4"/>
        <v>198.53398746217198</v>
      </c>
      <c r="G7" s="181">
        <f t="shared" si="4"/>
        <v>197.93140899456981</v>
      </c>
      <c r="H7" s="181">
        <f t="shared" si="4"/>
        <v>197.3345241995797</v>
      </c>
      <c r="I7" s="181">
        <f t="shared" si="4"/>
        <v>196.90741092384596</v>
      </c>
      <c r="J7" s="181">
        <f t="shared" si="4"/>
        <v>196.90462249257615</v>
      </c>
      <c r="K7" s="181">
        <f t="shared" si="4"/>
        <v>197.40256356687064</v>
      </c>
      <c r="L7" s="181">
        <f t="shared" si="4"/>
        <v>198.15304601961299</v>
      </c>
      <c r="M7" s="181">
        <f t="shared" si="4"/>
        <v>199.28043389034289</v>
      </c>
      <c r="N7" s="181">
        <f t="shared" si="4"/>
        <v>200.78424448597167</v>
      </c>
      <c r="O7" s="181">
        <f t="shared" si="4"/>
        <v>202.41665386129554</v>
      </c>
      <c r="P7" s="181">
        <f t="shared" si="4"/>
        <v>204.5091432515097</v>
      </c>
      <c r="Q7" s="181">
        <f t="shared" si="4"/>
        <v>207.82459779377672</v>
      </c>
      <c r="R7" s="181">
        <f t="shared" si="4"/>
        <v>209.98297627430961</v>
      </c>
      <c r="S7" s="181">
        <f t="shared" si="4"/>
        <v>212.22186449344747</v>
      </c>
      <c r="T7" s="181">
        <f t="shared" si="4"/>
        <v>213.92692225945913</v>
      </c>
      <c r="U7" s="181">
        <f t="shared" si="4"/>
        <v>215.15782682942077</v>
      </c>
      <c r="V7" s="181">
        <f t="shared" si="4"/>
        <v>215.71534035983933</v>
      </c>
      <c r="W7" s="181">
        <f t="shared" si="4"/>
        <v>216.28253536735463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109.19535598395321</v>
      </c>
      <c r="C8" s="55">
        <f t="shared" si="3"/>
        <v>115.57255347747889</v>
      </c>
      <c r="D8" s="55">
        <f t="shared" si="4"/>
        <v>122.78866088580851</v>
      </c>
      <c r="E8" s="55">
        <f t="shared" si="4"/>
        <v>132.50928264000072</v>
      </c>
      <c r="F8" s="55">
        <f t="shared" si="4"/>
        <v>145.15655036758577</v>
      </c>
      <c r="G8" s="55">
        <f t="shared" si="4"/>
        <v>160.68982749863235</v>
      </c>
      <c r="H8" s="55">
        <f t="shared" si="4"/>
        <v>176.8746483776888</v>
      </c>
      <c r="I8" s="55">
        <f t="shared" si="4"/>
        <v>192.38228416891673</v>
      </c>
      <c r="J8" s="55">
        <f t="shared" si="4"/>
        <v>204.25960488518325</v>
      </c>
      <c r="K8" s="55">
        <f t="shared" si="4"/>
        <v>211.31720709956863</v>
      </c>
      <c r="L8" s="55">
        <f t="shared" si="4"/>
        <v>218.26208309048778</v>
      </c>
      <c r="M8" s="55">
        <f t="shared" si="4"/>
        <v>224.60336217557685</v>
      </c>
      <c r="N8" s="55">
        <f t="shared" si="4"/>
        <v>229.71629774580498</v>
      </c>
      <c r="O8" s="55">
        <f t="shared" si="4"/>
        <v>232.57731211154706</v>
      </c>
      <c r="P8" s="55">
        <f t="shared" si="4"/>
        <v>234.67169747472929</v>
      </c>
      <c r="Q8" s="55">
        <f t="shared" si="4"/>
        <v>237.92237679491566</v>
      </c>
      <c r="R8" s="55">
        <f t="shared" si="4"/>
        <v>241.3579033769557</v>
      </c>
      <c r="S8" s="55">
        <f t="shared" si="4"/>
        <v>249.67121095931896</v>
      </c>
      <c r="T8" s="55">
        <f t="shared" si="4"/>
        <v>253.29401236470491</v>
      </c>
      <c r="U8" s="55">
        <f t="shared" si="4"/>
        <v>257.20877125323517</v>
      </c>
      <c r="V8" s="55">
        <f t="shared" si="4"/>
        <v>256.07609992517115</v>
      </c>
      <c r="W8" s="55">
        <f t="shared" si="4"/>
        <v>259.71987343036471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255.4763704700452</v>
      </c>
      <c r="C9" s="63">
        <f t="shared" si="3"/>
        <v>284.49424664615663</v>
      </c>
      <c r="D9" s="63">
        <f t="shared" si="4"/>
        <v>315.44738136453248</v>
      </c>
      <c r="E9" s="63">
        <f t="shared" si="4"/>
        <v>347.09031477417409</v>
      </c>
      <c r="F9" s="63">
        <f t="shared" si="4"/>
        <v>380.23430665405772</v>
      </c>
      <c r="G9" s="63">
        <f t="shared" si="4"/>
        <v>412.46622183883414</v>
      </c>
      <c r="H9" s="63">
        <f t="shared" si="4"/>
        <v>437.66369071279036</v>
      </c>
      <c r="I9" s="63">
        <f t="shared" si="4"/>
        <v>458.9339190059095</v>
      </c>
      <c r="J9" s="63">
        <f t="shared" si="4"/>
        <v>477.44315469529926</v>
      </c>
      <c r="K9" s="63">
        <f t="shared" si="4"/>
        <v>495.24046748703751</v>
      </c>
      <c r="L9" s="63">
        <f t="shared" si="4"/>
        <v>514.9470253199446</v>
      </c>
      <c r="M9" s="63">
        <f t="shared" si="4"/>
        <v>536.13461257735958</v>
      </c>
      <c r="N9" s="63">
        <f t="shared" si="4"/>
        <v>542.22245770768359</v>
      </c>
      <c r="O9" s="63">
        <f t="shared" si="4"/>
        <v>548.63733681559756</v>
      </c>
      <c r="P9" s="63">
        <f t="shared" si="4"/>
        <v>579.04041640115202</v>
      </c>
      <c r="Q9" s="63">
        <f t="shared" si="4"/>
        <v>639.08362545576051</v>
      </c>
      <c r="R9" s="63">
        <f t="shared" si="4"/>
        <v>638.56945870914649</v>
      </c>
      <c r="S9" s="63">
        <f t="shared" si="4"/>
        <v>647.5340142631029</v>
      </c>
      <c r="T9" s="63">
        <f t="shared" si="4"/>
        <v>650.9308313811822</v>
      </c>
      <c r="U9" s="63">
        <f t="shared" si="4"/>
        <v>663.60254980999116</v>
      </c>
      <c r="V9" s="63">
        <f t="shared" si="4"/>
        <v>665.23179259956612</v>
      </c>
      <c r="W9" s="63">
        <f t="shared" si="4"/>
        <v>676.14601487752236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6409.5005786933434</v>
      </c>
      <c r="C11" s="180">
        <f t="shared" ref="C11:W11" si="6">SUM(C12:C17)</f>
        <v>6711.4781535500179</v>
      </c>
      <c r="D11" s="180">
        <f t="shared" si="6"/>
        <v>6993.3805705852992</v>
      </c>
      <c r="E11" s="180">
        <f t="shared" si="6"/>
        <v>7292.1140676827818</v>
      </c>
      <c r="F11" s="180">
        <f t="shared" si="6"/>
        <v>7612.0332505688548</v>
      </c>
      <c r="G11" s="180">
        <f t="shared" si="6"/>
        <v>7994.9745120401431</v>
      </c>
      <c r="H11" s="180">
        <f t="shared" si="6"/>
        <v>8353.7788121731719</v>
      </c>
      <c r="I11" s="180">
        <f t="shared" si="6"/>
        <v>8711.421817354516</v>
      </c>
      <c r="J11" s="180">
        <f t="shared" si="6"/>
        <v>8989.2790097677789</v>
      </c>
      <c r="K11" s="180">
        <f t="shared" si="6"/>
        <v>9164.369970768581</v>
      </c>
      <c r="L11" s="180">
        <f t="shared" si="6"/>
        <v>9367.4416550613259</v>
      </c>
      <c r="M11" s="180">
        <f t="shared" si="6"/>
        <v>9575.5340066300359</v>
      </c>
      <c r="N11" s="180">
        <f t="shared" si="6"/>
        <v>9645.6845148131579</v>
      </c>
      <c r="O11" s="180">
        <f t="shared" si="6"/>
        <v>9677.250596058926</v>
      </c>
      <c r="P11" s="180">
        <f t="shared" si="6"/>
        <v>9853.5093922343858</v>
      </c>
      <c r="Q11" s="180">
        <f t="shared" si="6"/>
        <v>10257.620534313741</v>
      </c>
      <c r="R11" s="180">
        <f t="shared" si="6"/>
        <v>10249.649523842701</v>
      </c>
      <c r="S11" s="180">
        <f t="shared" si="6"/>
        <v>10215.275875137842</v>
      </c>
      <c r="T11" s="180">
        <f t="shared" si="6"/>
        <v>10220.054632622994</v>
      </c>
      <c r="U11" s="180">
        <f t="shared" si="6"/>
        <v>10268.417146564352</v>
      </c>
      <c r="V11" s="180">
        <f t="shared" si="6"/>
        <v>10258.582943280522</v>
      </c>
      <c r="W11" s="180">
        <f t="shared" si="6"/>
        <v>10188.236696152193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145.99658878362743</v>
      </c>
      <c r="C12" s="181">
        <f t="shared" ref="C12:W12" si="7">C20*C52</f>
        <v>148.75696727285549</v>
      </c>
      <c r="D12" s="181">
        <f t="shared" si="7"/>
        <v>150.70313733880019</v>
      </c>
      <c r="E12" s="181">
        <f t="shared" si="7"/>
        <v>152.20361261108241</v>
      </c>
      <c r="F12" s="181">
        <f t="shared" si="7"/>
        <v>152.49577258122622</v>
      </c>
      <c r="G12" s="181">
        <f t="shared" si="7"/>
        <v>155.16810025448177</v>
      </c>
      <c r="H12" s="181">
        <f t="shared" si="7"/>
        <v>159.06734371607925</v>
      </c>
      <c r="I12" s="181">
        <f t="shared" si="7"/>
        <v>164.21404894852839</v>
      </c>
      <c r="J12" s="181">
        <f t="shared" si="7"/>
        <v>167.46698584479654</v>
      </c>
      <c r="K12" s="181">
        <f t="shared" si="7"/>
        <v>167.19538503617636</v>
      </c>
      <c r="L12" s="181">
        <f t="shared" si="7"/>
        <v>168.92449445267675</v>
      </c>
      <c r="M12" s="181">
        <f t="shared" si="7"/>
        <v>170.95673535269083</v>
      </c>
      <c r="N12" s="181">
        <f t="shared" si="7"/>
        <v>171.19196099126665</v>
      </c>
      <c r="O12" s="181">
        <f t="shared" si="7"/>
        <v>170.49696293558429</v>
      </c>
      <c r="P12" s="181">
        <f t="shared" si="7"/>
        <v>169.98924362477072</v>
      </c>
      <c r="Q12" s="181">
        <f t="shared" si="7"/>
        <v>171.16523280525902</v>
      </c>
      <c r="R12" s="181">
        <f t="shared" si="7"/>
        <v>170.6836001921576</v>
      </c>
      <c r="S12" s="181">
        <f t="shared" si="7"/>
        <v>170.40835631907009</v>
      </c>
      <c r="T12" s="181">
        <f t="shared" si="7"/>
        <v>169.89329842337412</v>
      </c>
      <c r="U12" s="181">
        <f t="shared" si="7"/>
        <v>170.25522635166118</v>
      </c>
      <c r="V12" s="181">
        <f t="shared" si="7"/>
        <v>170.5940081395409</v>
      </c>
      <c r="W12" s="181">
        <f t="shared" si="7"/>
        <v>170.79716432311906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237.14434019156289</v>
      </c>
      <c r="C13" s="181">
        <f t="shared" ref="C13:W13" si="8">C21*C53/1000</f>
        <v>240.35829216122389</v>
      </c>
      <c r="D13" s="181">
        <f t="shared" si="8"/>
        <v>244.54930425460662</v>
      </c>
      <c r="E13" s="181">
        <f t="shared" si="8"/>
        <v>248.92425141430334</v>
      </c>
      <c r="F13" s="181">
        <f t="shared" si="8"/>
        <v>253.3362424798452</v>
      </c>
      <c r="G13" s="181">
        <f t="shared" si="8"/>
        <v>256.23011745145379</v>
      </c>
      <c r="H13" s="181">
        <f t="shared" si="8"/>
        <v>260.97957036562883</v>
      </c>
      <c r="I13" s="181">
        <f t="shared" si="8"/>
        <v>263.91949759115397</v>
      </c>
      <c r="J13" s="181">
        <f t="shared" si="8"/>
        <v>270.15098173140262</v>
      </c>
      <c r="K13" s="181">
        <f t="shared" si="8"/>
        <v>277.0048111252687</v>
      </c>
      <c r="L13" s="181">
        <f t="shared" si="8"/>
        <v>284.42763402614054</v>
      </c>
      <c r="M13" s="181">
        <f t="shared" si="8"/>
        <v>290.25197415111535</v>
      </c>
      <c r="N13" s="181">
        <f t="shared" si="8"/>
        <v>298.1123511903516</v>
      </c>
      <c r="O13" s="181">
        <f t="shared" si="8"/>
        <v>305.65144964037512</v>
      </c>
      <c r="P13" s="181">
        <f t="shared" si="8"/>
        <v>314.64218359752465</v>
      </c>
      <c r="Q13" s="181">
        <f t="shared" si="8"/>
        <v>319.76941649619471</v>
      </c>
      <c r="R13" s="181">
        <f t="shared" si="8"/>
        <v>318.70236800058814</v>
      </c>
      <c r="S13" s="181">
        <f t="shared" si="8"/>
        <v>316.60762343975171</v>
      </c>
      <c r="T13" s="181">
        <f t="shared" si="8"/>
        <v>313.36410657713702</v>
      </c>
      <c r="U13" s="181">
        <f t="shared" si="8"/>
        <v>308.39065162261335</v>
      </c>
      <c r="V13" s="181">
        <f t="shared" si="8"/>
        <v>301.06590197410912</v>
      </c>
      <c r="W13" s="181">
        <f t="shared" si="8"/>
        <v>293.3819948731504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2456.5887323231054</v>
      </c>
      <c r="C14" s="181">
        <f t="shared" ref="C14:W14" si="9">C22*C54</f>
        <v>2491.0687166558714</v>
      </c>
      <c r="D14" s="181">
        <f t="shared" si="9"/>
        <v>2500.9575406207236</v>
      </c>
      <c r="E14" s="181">
        <f t="shared" si="9"/>
        <v>2492.4619664676025</v>
      </c>
      <c r="F14" s="181">
        <f t="shared" si="9"/>
        <v>2463.5301515316751</v>
      </c>
      <c r="G14" s="181">
        <f t="shared" si="9"/>
        <v>2466.0488490241105</v>
      </c>
      <c r="H14" s="181">
        <f t="shared" si="9"/>
        <v>2484.8190270895275</v>
      </c>
      <c r="I14" s="181">
        <f t="shared" si="9"/>
        <v>2531.2323089418178</v>
      </c>
      <c r="J14" s="181">
        <f t="shared" si="9"/>
        <v>2563.957049907036</v>
      </c>
      <c r="K14" s="181">
        <f t="shared" si="9"/>
        <v>2558.7197201048671</v>
      </c>
      <c r="L14" s="181">
        <f t="shared" si="9"/>
        <v>2581.7241271995586</v>
      </c>
      <c r="M14" s="181">
        <f t="shared" si="9"/>
        <v>2607.2700934819695</v>
      </c>
      <c r="N14" s="181">
        <f t="shared" si="9"/>
        <v>2593.7451788778844</v>
      </c>
      <c r="O14" s="181">
        <f t="shared" si="9"/>
        <v>2572.0682536103664</v>
      </c>
      <c r="P14" s="181">
        <f t="shared" si="9"/>
        <v>2567.9693601945301</v>
      </c>
      <c r="Q14" s="181">
        <f t="shared" si="9"/>
        <v>2610.948902256579</v>
      </c>
      <c r="R14" s="181">
        <f t="shared" si="9"/>
        <v>2564.276268594966</v>
      </c>
      <c r="S14" s="181">
        <f t="shared" si="9"/>
        <v>2505.0762956568688</v>
      </c>
      <c r="T14" s="181">
        <f t="shared" si="9"/>
        <v>2427.7650417864938</v>
      </c>
      <c r="U14" s="181">
        <f t="shared" si="9"/>
        <v>2332.1072764923556</v>
      </c>
      <c r="V14" s="181">
        <f t="shared" si="9"/>
        <v>2224.4356786951766</v>
      </c>
      <c r="W14" s="181">
        <f t="shared" si="9"/>
        <v>2095.3443697628968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264.60990512291897</v>
      </c>
      <c r="C15" s="181">
        <f t="shared" ref="C15:W15" si="10">C23*C55/1000</f>
        <v>264.73750212701282</v>
      </c>
      <c r="D15" s="181">
        <f t="shared" si="10"/>
        <v>264.7517915311937</v>
      </c>
      <c r="E15" s="181">
        <f t="shared" si="10"/>
        <v>264.27335194459943</v>
      </c>
      <c r="F15" s="181">
        <f t="shared" si="10"/>
        <v>263.57879842295193</v>
      </c>
      <c r="G15" s="181">
        <f t="shared" si="10"/>
        <v>262.77879984096433</v>
      </c>
      <c r="H15" s="181">
        <f t="shared" si="10"/>
        <v>261.9863603243279</v>
      </c>
      <c r="I15" s="181">
        <f t="shared" si="10"/>
        <v>261.4193138178457</v>
      </c>
      <c r="J15" s="181">
        <f t="shared" si="10"/>
        <v>261.41561182518956</v>
      </c>
      <c r="K15" s="181">
        <f t="shared" si="10"/>
        <v>262.07669112816279</v>
      </c>
      <c r="L15" s="181">
        <f t="shared" si="10"/>
        <v>263.0730508228425</v>
      </c>
      <c r="M15" s="181">
        <f t="shared" si="10"/>
        <v>264.56979978820641</v>
      </c>
      <c r="N15" s="181">
        <f t="shared" si="10"/>
        <v>266.56629718856743</v>
      </c>
      <c r="O15" s="181">
        <f t="shared" si="10"/>
        <v>268.73352561722237</v>
      </c>
      <c r="P15" s="181">
        <f t="shared" si="10"/>
        <v>271.51156803824858</v>
      </c>
      <c r="Q15" s="181">
        <f t="shared" si="10"/>
        <v>275.91325026730863</v>
      </c>
      <c r="R15" s="181">
        <f t="shared" si="10"/>
        <v>278.77876872947729</v>
      </c>
      <c r="S15" s="181">
        <f t="shared" si="10"/>
        <v>281.75117397931444</v>
      </c>
      <c r="T15" s="181">
        <f t="shared" si="10"/>
        <v>284.01485226912223</v>
      </c>
      <c r="U15" s="181">
        <f t="shared" si="10"/>
        <v>285.64903265138855</v>
      </c>
      <c r="V15" s="181">
        <f t="shared" si="10"/>
        <v>286.38920187042595</v>
      </c>
      <c r="W15" s="181">
        <f t="shared" si="10"/>
        <v>287.14222446601985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1532.1131459758135</v>
      </c>
      <c r="C16" s="55">
        <f t="shared" ref="C16:W16" si="11">C24*C56</f>
        <v>1613.8818779618907</v>
      </c>
      <c r="D16" s="55">
        <f t="shared" si="11"/>
        <v>1707.2057752300054</v>
      </c>
      <c r="E16" s="55">
        <f t="shared" si="11"/>
        <v>1834.9988894265334</v>
      </c>
      <c r="F16" s="55">
        <f t="shared" si="11"/>
        <v>2002.7046555546985</v>
      </c>
      <c r="G16" s="55">
        <f t="shared" si="11"/>
        <v>2209.3803752406143</v>
      </c>
      <c r="H16" s="55">
        <f t="shared" si="11"/>
        <v>2424.0761623925746</v>
      </c>
      <c r="I16" s="55">
        <f t="shared" si="11"/>
        <v>2628.6290386436422</v>
      </c>
      <c r="J16" s="55">
        <f t="shared" si="11"/>
        <v>2782.9508272375665</v>
      </c>
      <c r="K16" s="55">
        <f t="shared" si="11"/>
        <v>2871.3349193582676</v>
      </c>
      <c r="L16" s="55">
        <f t="shared" si="11"/>
        <v>2958.1041893413176</v>
      </c>
      <c r="M16" s="55">
        <f t="shared" si="11"/>
        <v>3039.100862798754</v>
      </c>
      <c r="N16" s="55">
        <f t="shared" si="11"/>
        <v>3103.4676507609734</v>
      </c>
      <c r="O16" s="55">
        <f t="shared" si="11"/>
        <v>3137.4676492334406</v>
      </c>
      <c r="P16" s="55">
        <f t="shared" si="11"/>
        <v>3161.2330272501208</v>
      </c>
      <c r="Q16" s="55">
        <f t="shared" si="11"/>
        <v>3200.6643064550212</v>
      </c>
      <c r="R16" s="55">
        <f t="shared" si="11"/>
        <v>3262.3737745504991</v>
      </c>
      <c r="S16" s="55">
        <f t="shared" si="11"/>
        <v>3320.8927562980753</v>
      </c>
      <c r="T16" s="55">
        <f t="shared" si="11"/>
        <v>3391.7879599524827</v>
      </c>
      <c r="U16" s="55">
        <f t="shared" si="11"/>
        <v>3473.6025429252777</v>
      </c>
      <c r="V16" s="55">
        <f t="shared" si="11"/>
        <v>3525.6331102920326</v>
      </c>
      <c r="W16" s="55">
        <f t="shared" si="11"/>
        <v>3547.5567209365513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1773.0478662963153</v>
      </c>
      <c r="C17" s="63">
        <f t="shared" ref="C17:W17" si="12">C25*C57/1000</f>
        <v>1952.6747973711638</v>
      </c>
      <c r="D17" s="63">
        <f t="shared" si="12"/>
        <v>2125.213021609969</v>
      </c>
      <c r="E17" s="63">
        <f t="shared" si="12"/>
        <v>2299.2519958186608</v>
      </c>
      <c r="F17" s="63">
        <f t="shared" si="12"/>
        <v>2476.3876299984581</v>
      </c>
      <c r="G17" s="63">
        <f t="shared" si="12"/>
        <v>2645.3682702285178</v>
      </c>
      <c r="H17" s="63">
        <f t="shared" si="12"/>
        <v>2762.8503482850338</v>
      </c>
      <c r="I17" s="63">
        <f t="shared" si="12"/>
        <v>2862.0076094115275</v>
      </c>
      <c r="J17" s="63">
        <f t="shared" si="12"/>
        <v>2943.3375532217879</v>
      </c>
      <c r="K17" s="63">
        <f t="shared" si="12"/>
        <v>3028.0384440158386</v>
      </c>
      <c r="L17" s="63">
        <f t="shared" si="12"/>
        <v>3111.1881592187901</v>
      </c>
      <c r="M17" s="63">
        <f t="shared" si="12"/>
        <v>3203.3845410573003</v>
      </c>
      <c r="N17" s="63">
        <f t="shared" si="12"/>
        <v>3212.6010758041134</v>
      </c>
      <c r="O17" s="63">
        <f t="shared" si="12"/>
        <v>3222.8327550219365</v>
      </c>
      <c r="P17" s="63">
        <f t="shared" si="12"/>
        <v>3368.1640095291909</v>
      </c>
      <c r="Q17" s="63">
        <f t="shared" si="12"/>
        <v>3679.1594260333791</v>
      </c>
      <c r="R17" s="63">
        <f t="shared" si="12"/>
        <v>3654.8347437750144</v>
      </c>
      <c r="S17" s="63">
        <f t="shared" si="12"/>
        <v>3620.5396694447631</v>
      </c>
      <c r="T17" s="63">
        <f t="shared" si="12"/>
        <v>3633.2293736143833</v>
      </c>
      <c r="U17" s="63">
        <f t="shared" si="12"/>
        <v>3698.4124165210555</v>
      </c>
      <c r="V17" s="63">
        <f t="shared" si="12"/>
        <v>3750.4650423092376</v>
      </c>
      <c r="W17" s="63">
        <f t="shared" si="12"/>
        <v>3794.0142217904563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233.75397436399666</v>
      </c>
      <c r="C20" s="182">
        <v>239.85761833731627</v>
      </c>
      <c r="D20" s="182">
        <v>244.68418592569915</v>
      </c>
      <c r="E20" s="182">
        <v>248.8857514702884</v>
      </c>
      <c r="F20" s="182">
        <v>251.05710785196655</v>
      </c>
      <c r="G20" s="182">
        <v>257.83696567332959</v>
      </c>
      <c r="H20" s="182">
        <v>267.19286029461142</v>
      </c>
      <c r="I20" s="182">
        <v>279.22938722435902</v>
      </c>
      <c r="J20" s="182">
        <v>288.04038719457549</v>
      </c>
      <c r="K20" s="182">
        <v>290.35313780248856</v>
      </c>
      <c r="L20" s="182">
        <v>296.9761393534568</v>
      </c>
      <c r="M20" s="182">
        <v>304.63328706285643</v>
      </c>
      <c r="N20" s="182">
        <v>309.04837125288952</v>
      </c>
      <c r="O20" s="182">
        <v>311.94405722112037</v>
      </c>
      <c r="P20" s="182">
        <v>315.6408383424386</v>
      </c>
      <c r="Q20" s="182">
        <v>323.43455784341188</v>
      </c>
      <c r="R20" s="182">
        <v>327.92447671475509</v>
      </c>
      <c r="S20" s="182">
        <v>333.22155376703222</v>
      </c>
      <c r="T20" s="182">
        <v>338.34453047692642</v>
      </c>
      <c r="U20" s="182">
        <v>343.23313409567828</v>
      </c>
      <c r="V20" s="182">
        <v>347.80190197612427</v>
      </c>
      <c r="W20" s="182">
        <v>351.87554416613136</v>
      </c>
      <c r="DA20" s="191" t="s">
        <v>921</v>
      </c>
    </row>
    <row r="21" spans="1:105" ht="12" customHeight="1" x14ac:dyDescent="0.25">
      <c r="A21" s="132" t="s">
        <v>163</v>
      </c>
      <c r="B21" s="182">
        <v>1303.7334304745691</v>
      </c>
      <c r="C21" s="182">
        <v>1334.1078387122725</v>
      </c>
      <c r="D21" s="182">
        <v>1373.6227351988121</v>
      </c>
      <c r="E21" s="182">
        <v>1418.4019654329236</v>
      </c>
      <c r="F21" s="182">
        <v>1468.5245601658617</v>
      </c>
      <c r="G21" s="182">
        <v>1514.0280329264417</v>
      </c>
      <c r="H21" s="182">
        <v>1576.4939626829901</v>
      </c>
      <c r="I21" s="182">
        <v>1633.8565456721037</v>
      </c>
      <c r="J21" s="182">
        <v>1700.0224428480956</v>
      </c>
      <c r="K21" s="182">
        <v>1775.0445783432829</v>
      </c>
      <c r="L21" s="182">
        <v>1858.9996275766384</v>
      </c>
      <c r="M21" s="182">
        <v>1938.1716732307702</v>
      </c>
      <c r="N21" s="182">
        <v>2040.027806070781</v>
      </c>
      <c r="O21" s="182">
        <v>2152.9275841269937</v>
      </c>
      <c r="P21" s="182">
        <v>2289.5746248252485</v>
      </c>
      <c r="Q21" s="182">
        <v>2407.5953044155117</v>
      </c>
      <c r="R21" s="182">
        <v>2491.4826439985477</v>
      </c>
      <c r="S21" s="182">
        <v>2581.4583012943262</v>
      </c>
      <c r="T21" s="182">
        <v>2670.0011478829106</v>
      </c>
      <c r="U21" s="182">
        <v>2756.1873233306428</v>
      </c>
      <c r="V21" s="182">
        <v>2837.416462917141</v>
      </c>
      <c r="W21" s="182">
        <v>2910.7975668011677</v>
      </c>
      <c r="DA21" s="191" t="s">
        <v>922</v>
      </c>
    </row>
    <row r="22" spans="1:105" ht="12" customHeight="1" x14ac:dyDescent="0.25">
      <c r="A22" s="132" t="s">
        <v>167</v>
      </c>
      <c r="B22" s="182">
        <v>70.498009523840764</v>
      </c>
      <c r="C22" s="182">
        <v>72.29830136438612</v>
      </c>
      <c r="D22" s="182">
        <v>73.861436883926501</v>
      </c>
      <c r="E22" s="182">
        <v>75.127981271439864</v>
      </c>
      <c r="F22" s="182">
        <v>75.948824960515523</v>
      </c>
      <c r="G22" s="182">
        <v>78.156728049999302</v>
      </c>
      <c r="H22" s="182">
        <v>81.393363892838821</v>
      </c>
      <c r="I22" s="182">
        <v>85.071034498868059</v>
      </c>
      <c r="J22" s="182">
        <v>88.082061158661375</v>
      </c>
      <c r="K22" s="182">
        <v>89.696454112032313</v>
      </c>
      <c r="L22" s="182">
        <v>92.580313889776392</v>
      </c>
      <c r="M22" s="182">
        <v>96.117311363997601</v>
      </c>
      <c r="N22" s="182">
        <v>98.577713953439471</v>
      </c>
      <c r="O22" s="182">
        <v>101.06832278725994</v>
      </c>
      <c r="P22" s="182">
        <v>104.55606587229141</v>
      </c>
      <c r="Q22" s="182">
        <v>110.83333693583808</v>
      </c>
      <c r="R22" s="182">
        <v>113.7645467189087</v>
      </c>
      <c r="S22" s="182">
        <v>117.01815909774237</v>
      </c>
      <c r="T22" s="182">
        <v>120.14936316047613</v>
      </c>
      <c r="U22" s="182">
        <v>123.0684584863757</v>
      </c>
      <c r="V22" s="182">
        <v>125.61902413175915</v>
      </c>
      <c r="W22" s="182">
        <v>127.56374921661664</v>
      </c>
      <c r="DA22" s="191" t="s">
        <v>923</v>
      </c>
    </row>
    <row r="23" spans="1:105" ht="12" customHeight="1" x14ac:dyDescent="0.25">
      <c r="A23" s="132" t="s">
        <v>180</v>
      </c>
      <c r="B23" s="182">
        <v>428.58643346051673</v>
      </c>
      <c r="C23" s="182">
        <v>432.79765662212503</v>
      </c>
      <c r="D23" s="182">
        <v>437.80673398138731</v>
      </c>
      <c r="E23" s="182">
        <v>442.80271681393293</v>
      </c>
      <c r="F23" s="182">
        <v>447.97761406130491</v>
      </c>
      <c r="G23" s="182">
        <v>453.57385623658229</v>
      </c>
      <c r="H23" s="182">
        <v>459.85598893399782</v>
      </c>
      <c r="I23" s="182">
        <v>467.22847388866256</v>
      </c>
      <c r="J23" s="182">
        <v>476.53956894114617</v>
      </c>
      <c r="K23" s="182">
        <v>488.53834334714361</v>
      </c>
      <c r="L23" s="182">
        <v>502.61172197180315</v>
      </c>
      <c r="M23" s="182">
        <v>513.59088847038493</v>
      </c>
      <c r="N23" s="182">
        <v>525.77755835832329</v>
      </c>
      <c r="O23" s="182">
        <v>538.48139108130442</v>
      </c>
      <c r="P23" s="182">
        <v>554.19221004946485</v>
      </c>
      <c r="Q23" s="182">
        <v>574.12278006841177</v>
      </c>
      <c r="R23" s="182">
        <v>591.26125737272514</v>
      </c>
      <c r="S23" s="182">
        <v>609.83778199745518</v>
      </c>
      <c r="T23" s="182">
        <v>627.93434124340445</v>
      </c>
      <c r="U23" s="182">
        <v>645.25112148728545</v>
      </c>
      <c r="V23" s="182">
        <v>661.02017765372398</v>
      </c>
      <c r="W23" s="182">
        <v>674.53376559857134</v>
      </c>
      <c r="DA23" s="191" t="s">
        <v>924</v>
      </c>
    </row>
    <row r="24" spans="1:105" ht="12" customHeight="1" x14ac:dyDescent="0.25">
      <c r="A24" s="60" t="s">
        <v>166</v>
      </c>
      <c r="B24" s="36">
        <v>34.293311765532131</v>
      </c>
      <c r="C24" s="36">
        <v>36.296611884814375</v>
      </c>
      <c r="D24" s="36">
        <v>38.604759936170055</v>
      </c>
      <c r="E24" s="36">
        <v>41.781190939647168</v>
      </c>
      <c r="F24" s="36">
        <v>45.974581798239129</v>
      </c>
      <c r="G24" s="36">
        <v>51.190191120220717</v>
      </c>
      <c r="H24" s="36">
        <v>56.688770381450411</v>
      </c>
      <c r="I24" s="36">
        <v>62.023988600241935</v>
      </c>
      <c r="J24" s="36">
        <v>66.199534797673721</v>
      </c>
      <c r="K24" s="36">
        <v>68.794443017393419</v>
      </c>
      <c r="L24" s="36">
        <v>71.467736225180801</v>
      </c>
      <c r="M24" s="36">
        <v>74.148638883588418</v>
      </c>
      <c r="N24" s="36">
        <v>76.573380469332392</v>
      </c>
      <c r="O24" s="36">
        <v>78.379924737919879</v>
      </c>
      <c r="P24" s="36">
        <v>80.156740348388539</v>
      </c>
      <c r="Q24" s="36">
        <v>82.702146586322343</v>
      </c>
      <c r="R24" s="36">
        <v>85.312410162071515</v>
      </c>
      <c r="S24" s="36">
        <v>87.996654252244895</v>
      </c>
      <c r="T24" s="36">
        <v>91.387486527091099</v>
      </c>
      <c r="U24" s="36">
        <v>95.511017181618001</v>
      </c>
      <c r="V24" s="36">
        <v>99.103074755885117</v>
      </c>
      <c r="W24" s="36">
        <v>101.85812090416036</v>
      </c>
      <c r="DA24" s="89" t="s">
        <v>925</v>
      </c>
    </row>
    <row r="25" spans="1:105" ht="12" customHeight="1" x14ac:dyDescent="0.25">
      <c r="A25" s="62" t="s">
        <v>164</v>
      </c>
      <c r="B25" s="38">
        <v>4814.1050471410153</v>
      </c>
      <c r="C25" s="38">
        <v>5441.5848854960268</v>
      </c>
      <c r="D25" s="38">
        <v>6120.4131532824376</v>
      </c>
      <c r="E25" s="38">
        <v>6865.9306947276236</v>
      </c>
      <c r="F25" s="38">
        <v>7699.0120522968273</v>
      </c>
      <c r="G25" s="38">
        <v>8582.1424304584089</v>
      </c>
      <c r="H25" s="38">
        <v>9440.5367568875663</v>
      </c>
      <c r="I25" s="38">
        <v>10334.139035622677</v>
      </c>
      <c r="J25" s="38">
        <v>11306.830154571237</v>
      </c>
      <c r="K25" s="38">
        <v>12475.154047520109</v>
      </c>
      <c r="L25" s="38">
        <v>13840.46644371619</v>
      </c>
      <c r="M25" s="38">
        <v>15593.072061494493</v>
      </c>
      <c r="N25" s="38">
        <v>16883.570275253271</v>
      </c>
      <c r="O25" s="38">
        <v>18091.746794289866</v>
      </c>
      <c r="P25" s="38">
        <v>20014.67292279733</v>
      </c>
      <c r="Q25" s="38">
        <v>22820.168104978187</v>
      </c>
      <c r="R25" s="38">
        <v>23445.811039450593</v>
      </c>
      <c r="S25" s="38">
        <v>23766.10548132897</v>
      </c>
      <c r="T25" s="38">
        <v>24364.066098227257</v>
      </c>
      <c r="U25" s="38">
        <v>25499.544395856305</v>
      </c>
      <c r="V25" s="38">
        <v>26741.091807511264</v>
      </c>
      <c r="W25" s="38">
        <v>27742.331454253897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16.242331575144306</v>
      </c>
      <c r="D28" s="183">
        <v>15.252033994425858</v>
      </c>
      <c r="E28" s="183">
        <v>14.921922463759813</v>
      </c>
      <c r="F28" s="183">
        <v>13.194944967392956</v>
      </c>
      <c r="G28" s="183">
        <v>18.115255161520224</v>
      </c>
      <c r="H28" s="183">
        <v>21.011920411808063</v>
      </c>
      <c r="I28" s="183">
        <v>24.022250336910389</v>
      </c>
      <c r="J28" s="183">
        <v>21.135746687040978</v>
      </c>
      <c r="K28" s="183">
        <v>14.98611011019392</v>
      </c>
      <c r="L28" s="183">
        <v>19.654834558521941</v>
      </c>
      <c r="M28" s="183">
        <v>21.05759385836285</v>
      </c>
      <c r="N28" s="183">
        <v>18.194569922176584</v>
      </c>
      <c r="O28" s="183">
        <v>17.064932643427312</v>
      </c>
      <c r="P28" s="183">
        <v>18.266813359476032</v>
      </c>
      <c r="Q28" s="183">
        <v>22.775873759926753</v>
      </c>
      <c r="R28" s="183">
        <v>19.895852267373868</v>
      </c>
      <c r="S28" s="183">
        <v>21.138776430128189</v>
      </c>
      <c r="T28" s="183">
        <v>21.412767969336301</v>
      </c>
      <c r="U28" s="183">
        <v>21.130935193896164</v>
      </c>
      <c r="V28" s="183">
        <v>19.820801874871847</v>
      </c>
      <c r="W28" s="183">
        <v>18.995564653766905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193.92050471933544</v>
      </c>
      <c r="D29" s="183">
        <v>210.10081531275</v>
      </c>
      <c r="E29" s="183">
        <v>222.70799972357872</v>
      </c>
      <c r="F29" s="183">
        <v>235.71028702241188</v>
      </c>
      <c r="G29" s="183">
        <v>239.07976527448614</v>
      </c>
      <c r="H29" s="183">
        <v>264.37469084498298</v>
      </c>
      <c r="I29" s="183">
        <v>267.96248277455857</v>
      </c>
      <c r="J29" s="183">
        <v>260.0864018953273</v>
      </c>
      <c r="K29" s="183">
        <v>285.12295080793729</v>
      </c>
      <c r="L29" s="183">
        <v>306.66304895693429</v>
      </c>
      <c r="M29" s="183">
        <v>314.88233267654368</v>
      </c>
      <c r="N29" s="183">
        <v>340.93589811449692</v>
      </c>
      <c r="O29" s="183">
        <v>377.27446890119563</v>
      </c>
      <c r="P29" s="183">
        <v>404.60952347281341</v>
      </c>
      <c r="Q29" s="183">
        <v>378.10708148559047</v>
      </c>
      <c r="R29" s="183">
        <v>369.0102903909733</v>
      </c>
      <c r="S29" s="183">
        <v>396.63870625271284</v>
      </c>
      <c r="T29" s="183">
        <v>403.42517926512801</v>
      </c>
      <c r="U29" s="183">
        <v>427.12207356222916</v>
      </c>
      <c r="V29" s="183">
        <v>458.50360848769378</v>
      </c>
      <c r="W29" s="183">
        <v>477.99062735684038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12.809690851148034</v>
      </c>
      <c r="D30" s="183">
        <v>12.858540573886444</v>
      </c>
      <c r="E30" s="183">
        <v>12.855385451305658</v>
      </c>
      <c r="F30" s="183">
        <v>12.710743746282041</v>
      </c>
      <c r="G30" s="183">
        <v>14.406683156633562</v>
      </c>
      <c r="H30" s="183">
        <v>15.752320113583082</v>
      </c>
      <c r="I30" s="183">
        <v>16.487361457177272</v>
      </c>
      <c r="J30" s="183">
        <v>15.86956723367976</v>
      </c>
      <c r="K30" s="183">
        <v>14.469778404676589</v>
      </c>
      <c r="L30" s="183">
        <v>15.594603524026127</v>
      </c>
      <c r="M30" s="183">
        <v>17.943680630854772</v>
      </c>
      <c r="N30" s="183">
        <v>18.212722703024951</v>
      </c>
      <c r="O30" s="183">
        <v>18.977970290997746</v>
      </c>
      <c r="P30" s="183">
        <v>19.357310318711228</v>
      </c>
      <c r="Q30" s="183">
        <v>20.747049468223253</v>
      </c>
      <c r="R30" s="183">
        <v>18.525813307096755</v>
      </c>
      <c r="S30" s="183">
        <v>21.197293009688437</v>
      </c>
      <c r="T30" s="183">
        <v>21.34392676575871</v>
      </c>
      <c r="U30" s="183">
        <v>21.897065616897322</v>
      </c>
      <c r="V30" s="183">
        <v>21.907875964094671</v>
      </c>
      <c r="W30" s="183">
        <v>22.691774553080748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43.162487872799943</v>
      </c>
      <c r="D31" s="183">
        <v>44.780818723861159</v>
      </c>
      <c r="E31" s="183">
        <v>45.605483522726274</v>
      </c>
      <c r="F31" s="183">
        <v>46.639803980716295</v>
      </c>
      <c r="G31" s="183">
        <v>47.934573383094346</v>
      </c>
      <c r="H31" s="183">
        <v>49.512286354588241</v>
      </c>
      <c r="I31" s="183">
        <v>51.513246574426319</v>
      </c>
      <c r="J31" s="183">
        <v>54.381645849596964</v>
      </c>
      <c r="K31" s="183">
        <v>58.018699631885454</v>
      </c>
      <c r="L31" s="183">
        <v>61.062676078108097</v>
      </c>
      <c r="M31" s="183">
        <v>54.141654371381719</v>
      </c>
      <c r="N31" s="183">
        <v>56.967488611799524</v>
      </c>
      <c r="O31" s="183">
        <v>58.309316245707407</v>
      </c>
      <c r="P31" s="183">
        <v>62.350622948876719</v>
      </c>
      <c r="Q31" s="183">
        <v>67.865143402041269</v>
      </c>
      <c r="R31" s="183">
        <v>66.65076365890161</v>
      </c>
      <c r="S31" s="183">
        <v>70.089771199156417</v>
      </c>
      <c r="T31" s="183">
        <v>72.478205095546286</v>
      </c>
      <c r="U31" s="183">
        <v>75.335479875766396</v>
      </c>
      <c r="V31" s="183">
        <v>76.831732244546629</v>
      </c>
      <c r="W31" s="183">
        <v>67.655242316229078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2.9800578128418138</v>
      </c>
      <c r="D32" s="41">
        <v>3.3948217299601069</v>
      </c>
      <c r="E32" s="41">
        <v>4.3853896751700958</v>
      </c>
      <c r="F32" s="41">
        <v>5.5383954341502033</v>
      </c>
      <c r="G32" s="41">
        <v>6.7119692477839266</v>
      </c>
      <c r="H32" s="41">
        <v>7.1633267782541949</v>
      </c>
      <c r="I32" s="41">
        <v>7.1873022312347601</v>
      </c>
      <c r="J32" s="41">
        <v>6.2360479576499586</v>
      </c>
      <c r="K32" s="41">
        <v>4.8872812845146285</v>
      </c>
      <c r="L32" s="41">
        <v>5.2236303973275113</v>
      </c>
      <c r="M32" s="41">
        <v>5.5182330564304749</v>
      </c>
      <c r="N32" s="41">
        <v>5.5813609616297697</v>
      </c>
      <c r="O32" s="41">
        <v>5.3183826823164821</v>
      </c>
      <c r="P32" s="41">
        <v>5.6838463847069249</v>
      </c>
      <c r="Q32" s="41">
        <v>6.8921009523514982</v>
      </c>
      <c r="R32" s="41">
        <v>5.5903213885909935</v>
      </c>
      <c r="S32" s="41">
        <v>6.0790658201334793</v>
      </c>
      <c r="T32" s="41">
        <v>7.776221950016307</v>
      </c>
      <c r="U32" s="41">
        <v>9.6619260886771059</v>
      </c>
      <c r="V32" s="41">
        <v>10.304026822051043</v>
      </c>
      <c r="W32" s="41">
        <v>9.9183729265294289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1590.3008477832145</v>
      </c>
      <c r="D33" s="42">
        <v>1641.6492772146139</v>
      </c>
      <c r="E33" s="42">
        <v>1708.3385508733891</v>
      </c>
      <c r="F33" s="42">
        <v>1795.9023669974067</v>
      </c>
      <c r="G33" s="42">
        <v>1845.9513875897846</v>
      </c>
      <c r="H33" s="42">
        <v>2448.695174212372</v>
      </c>
      <c r="I33" s="42">
        <v>2535.2515559497242</v>
      </c>
      <c r="J33" s="42">
        <v>2681.0296698219481</v>
      </c>
      <c r="K33" s="42">
        <v>2964.2262599462792</v>
      </c>
      <c r="L33" s="42">
        <v>3211.2637837858656</v>
      </c>
      <c r="M33" s="42">
        <v>4201.3007919906759</v>
      </c>
      <c r="N33" s="42">
        <v>3825.7497697085018</v>
      </c>
      <c r="O33" s="42">
        <v>3889.2061888585431</v>
      </c>
      <c r="P33" s="42">
        <v>4887.1523884537437</v>
      </c>
      <c r="Q33" s="42">
        <v>6016.7589659667246</v>
      </c>
      <c r="R33" s="42">
        <v>4826.9437264630833</v>
      </c>
      <c r="S33" s="42">
        <v>4146.0442115868791</v>
      </c>
      <c r="T33" s="42">
        <v>4487.1668057568277</v>
      </c>
      <c r="U33" s="42">
        <v>6022.6306860827899</v>
      </c>
      <c r="V33" s="42">
        <v>7258.3063776216841</v>
      </c>
      <c r="W33" s="42">
        <v>5828.1833732057166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10.138687601824699</v>
      </c>
      <c r="D36" s="183">
        <v>10.425466406042972</v>
      </c>
      <c r="E36" s="183">
        <v>10.720356919170598</v>
      </c>
      <c r="F36" s="183">
        <v>11.023588585714805</v>
      </c>
      <c r="G36" s="183">
        <v>11.335397340157215</v>
      </c>
      <c r="H36" s="183">
        <v>11.656025790526257</v>
      </c>
      <c r="I36" s="183">
        <v>11.985723407162823</v>
      </c>
      <c r="J36" s="183">
        <v>12.324746716824507</v>
      </c>
      <c r="K36" s="183">
        <v>12.673359502280846</v>
      </c>
      <c r="L36" s="183">
        <v>13.031833007553701</v>
      </c>
      <c r="M36" s="183">
        <v>13.400446148963226</v>
      </c>
      <c r="N36" s="183">
        <v>13.779485732143485</v>
      </c>
      <c r="O36" s="183">
        <v>14.169246675196462</v>
      </c>
      <c r="P36" s="183">
        <v>14.570032238157808</v>
      </c>
      <c r="Q36" s="183">
        <v>14.982154258953472</v>
      </c>
      <c r="R36" s="183">
        <v>15.405933396030662</v>
      </c>
      <c r="S36" s="183">
        <v>15.841699377851057</v>
      </c>
      <c r="T36" s="183">
        <v>16.289791259442097</v>
      </c>
      <c r="U36" s="183">
        <v>16.242331575144306</v>
      </c>
      <c r="V36" s="183">
        <v>15.252033994425858</v>
      </c>
      <c r="W36" s="183">
        <v>14.921922463759813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163.54609648163205</v>
      </c>
      <c r="D37" s="183">
        <v>170.58591882621045</v>
      </c>
      <c r="E37" s="183">
        <v>177.92876948946719</v>
      </c>
      <c r="F37" s="183">
        <v>185.58769228947381</v>
      </c>
      <c r="G37" s="183">
        <v>193.57629251390608</v>
      </c>
      <c r="H37" s="183">
        <v>201.90876108843463</v>
      </c>
      <c r="I37" s="183">
        <v>210.5998997854449</v>
      </c>
      <c r="J37" s="183">
        <v>193.92050471933544</v>
      </c>
      <c r="K37" s="183">
        <v>210.10081531275</v>
      </c>
      <c r="L37" s="183">
        <v>222.70799972357872</v>
      </c>
      <c r="M37" s="183">
        <v>235.71028702241188</v>
      </c>
      <c r="N37" s="183">
        <v>239.07976527448636</v>
      </c>
      <c r="O37" s="183">
        <v>264.37469084498298</v>
      </c>
      <c r="P37" s="183">
        <v>267.96248277455879</v>
      </c>
      <c r="Q37" s="183">
        <v>260.08640189532753</v>
      </c>
      <c r="R37" s="183">
        <v>285.12295080793729</v>
      </c>
      <c r="S37" s="183">
        <v>306.66304895693429</v>
      </c>
      <c r="T37" s="183">
        <v>314.88233267654368</v>
      </c>
      <c r="U37" s="183">
        <v>340.93589811449692</v>
      </c>
      <c r="V37" s="183">
        <v>377.27446890119563</v>
      </c>
      <c r="W37" s="183">
        <v>404.60952347281363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11.009399010602678</v>
      </c>
      <c r="D38" s="183">
        <v>11.295405054346062</v>
      </c>
      <c r="E38" s="183">
        <v>11.588841063792302</v>
      </c>
      <c r="F38" s="183">
        <v>11.88990005720639</v>
      </c>
      <c r="G38" s="183">
        <v>12.198780067149784</v>
      </c>
      <c r="H38" s="183">
        <v>12.515684270743563</v>
      </c>
      <c r="I38" s="183">
        <v>12.809690851148034</v>
      </c>
      <c r="J38" s="183">
        <v>12.858540573886444</v>
      </c>
      <c r="K38" s="183">
        <v>12.855385451305651</v>
      </c>
      <c r="L38" s="183">
        <v>12.710743746282049</v>
      </c>
      <c r="M38" s="183">
        <v>14.406683156633562</v>
      </c>
      <c r="N38" s="183">
        <v>15.752320113583082</v>
      </c>
      <c r="O38" s="183">
        <v>16.487361457177272</v>
      </c>
      <c r="P38" s="183">
        <v>15.86956723367976</v>
      </c>
      <c r="Q38" s="183">
        <v>14.469778404676589</v>
      </c>
      <c r="R38" s="183">
        <v>15.594603524026141</v>
      </c>
      <c r="S38" s="183">
        <v>17.943680630854772</v>
      </c>
      <c r="T38" s="183">
        <v>18.212722703024951</v>
      </c>
      <c r="U38" s="183">
        <v>18.977970290997746</v>
      </c>
      <c r="V38" s="183">
        <v>19.357310318711228</v>
      </c>
      <c r="W38" s="183">
        <v>20.747049468223238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38.951264711191641</v>
      </c>
      <c r="D39" s="183">
        <v>39.771741364598881</v>
      </c>
      <c r="E39" s="183">
        <v>40.609500690180653</v>
      </c>
      <c r="F39" s="183">
        <v>41.464906733344321</v>
      </c>
      <c r="G39" s="183">
        <v>42.338331207816964</v>
      </c>
      <c r="H39" s="183">
        <v>43.230153657172707</v>
      </c>
      <c r="I39" s="183">
        <v>44.140761619761577</v>
      </c>
      <c r="J39" s="183">
        <v>45.070550797113356</v>
      </c>
      <c r="K39" s="183">
        <v>46.019925225888073</v>
      </c>
      <c r="L39" s="183">
        <v>46.989297453448557</v>
      </c>
      <c r="M39" s="183">
        <v>43.162487872799943</v>
      </c>
      <c r="N39" s="183">
        <v>44.780818723861216</v>
      </c>
      <c r="O39" s="183">
        <v>45.605483522726331</v>
      </c>
      <c r="P39" s="183">
        <v>46.639803980716351</v>
      </c>
      <c r="Q39" s="183">
        <v>47.934573383094289</v>
      </c>
      <c r="R39" s="183">
        <v>49.512286354588241</v>
      </c>
      <c r="S39" s="183">
        <v>51.513246574426375</v>
      </c>
      <c r="T39" s="183">
        <v>54.381645849597021</v>
      </c>
      <c r="U39" s="183">
        <v>58.018699631885397</v>
      </c>
      <c r="V39" s="183">
        <v>61.062676078108097</v>
      </c>
      <c r="W39" s="183">
        <v>54.141654371381719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0.97675769355956987</v>
      </c>
      <c r="D40" s="41">
        <v>1.0866736786044271</v>
      </c>
      <c r="E40" s="41">
        <v>1.208958671692983</v>
      </c>
      <c r="F40" s="41">
        <v>1.3450045755582423</v>
      </c>
      <c r="G40" s="41">
        <v>1.4963599258023379</v>
      </c>
      <c r="H40" s="41">
        <v>1.6647475170245016</v>
      </c>
      <c r="I40" s="41">
        <v>1.8520840124432354</v>
      </c>
      <c r="J40" s="41">
        <v>2.0605017602181732</v>
      </c>
      <c r="K40" s="41">
        <v>2.2923730647949299</v>
      </c>
      <c r="L40" s="41">
        <v>2.5503371895401301</v>
      </c>
      <c r="M40" s="41">
        <v>2.837330398022857</v>
      </c>
      <c r="N40" s="41">
        <v>3.1566193758857963</v>
      </c>
      <c r="O40" s="41">
        <v>3.5118384137289951</v>
      </c>
      <c r="P40" s="41">
        <v>3.9070307742382653</v>
      </c>
      <c r="Q40" s="41">
        <v>4.3466947144176942</v>
      </c>
      <c r="R40" s="41">
        <v>2.9800578128418209</v>
      </c>
      <c r="S40" s="41">
        <v>3.3948217299600998</v>
      </c>
      <c r="T40" s="41">
        <v>4.3853896751701029</v>
      </c>
      <c r="U40" s="41">
        <v>5.5383954341502033</v>
      </c>
      <c r="V40" s="41">
        <v>6.7119692477839266</v>
      </c>
      <c r="W40" s="41">
        <v>7.1633267782541878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962.82100942820307</v>
      </c>
      <c r="D41" s="42">
        <v>962.82100942820307</v>
      </c>
      <c r="E41" s="42">
        <v>962.82100942820307</v>
      </c>
      <c r="F41" s="42">
        <v>962.82100942820307</v>
      </c>
      <c r="G41" s="42">
        <v>962.82100942820216</v>
      </c>
      <c r="H41" s="42">
        <v>1590.3008477832154</v>
      </c>
      <c r="I41" s="42">
        <v>1641.6492772146139</v>
      </c>
      <c r="J41" s="42">
        <v>1708.3385508733882</v>
      </c>
      <c r="K41" s="42">
        <v>1795.9023669974067</v>
      </c>
      <c r="L41" s="42">
        <v>1845.9513875897846</v>
      </c>
      <c r="M41" s="42">
        <v>2448.6951742123729</v>
      </c>
      <c r="N41" s="42">
        <v>2535.2515559497224</v>
      </c>
      <c r="O41" s="42">
        <v>2681.0296698219463</v>
      </c>
      <c r="P41" s="42">
        <v>2964.2262599462811</v>
      </c>
      <c r="Q41" s="42">
        <v>3211.2637837858674</v>
      </c>
      <c r="R41" s="42">
        <v>4201.3007919906777</v>
      </c>
      <c r="S41" s="42">
        <v>3825.7497697085018</v>
      </c>
      <c r="T41" s="42">
        <v>3889.2061888585413</v>
      </c>
      <c r="U41" s="42">
        <v>4887.1523884537419</v>
      </c>
      <c r="V41" s="42">
        <v>6016.7589659667246</v>
      </c>
      <c r="W41" s="42">
        <v>4826.9437264630833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8759.9999999999982</v>
      </c>
      <c r="D44" s="185">
        <v>8759.9999999999982</v>
      </c>
      <c r="E44" s="185">
        <v>8759.9999999999982</v>
      </c>
      <c r="F44" s="185">
        <v>8760</v>
      </c>
      <c r="G44" s="185">
        <v>8759.9999999999964</v>
      </c>
      <c r="H44" s="185">
        <v>8759.9999999999982</v>
      </c>
      <c r="I44" s="185">
        <v>8760</v>
      </c>
      <c r="J44" s="185">
        <v>8759.9999999999982</v>
      </c>
      <c r="K44" s="185">
        <v>8760.0000000000036</v>
      </c>
      <c r="L44" s="185">
        <v>8759.9999999999982</v>
      </c>
      <c r="M44" s="185">
        <v>8760</v>
      </c>
      <c r="N44" s="185">
        <v>8760</v>
      </c>
      <c r="O44" s="185">
        <v>8759.9999999999982</v>
      </c>
      <c r="P44" s="185">
        <v>8759.9999999999982</v>
      </c>
      <c r="Q44" s="185">
        <v>8759.9999999999982</v>
      </c>
      <c r="R44" s="185">
        <v>8760</v>
      </c>
      <c r="S44" s="185">
        <v>8760</v>
      </c>
      <c r="T44" s="185">
        <v>8760</v>
      </c>
      <c r="U44" s="185">
        <v>8760</v>
      </c>
      <c r="V44" s="185">
        <v>8760</v>
      </c>
      <c r="W44" s="185">
        <v>8760</v>
      </c>
      <c r="DA44" s="194" t="s">
        <v>939</v>
      </c>
    </row>
    <row r="45" spans="1:105" ht="12" customHeight="1" x14ac:dyDescent="0.25">
      <c r="A45" s="132" t="s">
        <v>6</v>
      </c>
      <c r="B45" s="185">
        <v>4086.868899459178</v>
      </c>
      <c r="C45" s="185">
        <v>4088.5123255986259</v>
      </c>
      <c r="D45" s="185">
        <v>4088.8514592639904</v>
      </c>
      <c r="E45" s="185">
        <v>4089.2985603262978</v>
      </c>
      <c r="F45" s="185">
        <v>4089.8083910295645</v>
      </c>
      <c r="G45" s="185">
        <v>4086.7005015810537</v>
      </c>
      <c r="H45" s="185">
        <v>4084.795386352976</v>
      </c>
      <c r="I45" s="185">
        <v>4081.0607658294148</v>
      </c>
      <c r="J45" s="185">
        <v>4075.0912613417158</v>
      </c>
      <c r="K45" s="185">
        <v>4068.0740407665289</v>
      </c>
      <c r="L45" s="185">
        <v>4057.3731181689791</v>
      </c>
      <c r="M45" s="185">
        <v>4032.325768276165</v>
      </c>
      <c r="N45" s="185">
        <v>4002.4953110896404</v>
      </c>
      <c r="O45" s="185">
        <v>3967.7431360810797</v>
      </c>
      <c r="P45" s="185">
        <v>3935.1993496621603</v>
      </c>
      <c r="Q45" s="185">
        <v>3899.0095968482738</v>
      </c>
      <c r="R45" s="185">
        <v>3873.045446018165</v>
      </c>
      <c r="S45" s="185">
        <v>3917.9670796992841</v>
      </c>
      <c r="T45" s="185">
        <v>3878.3658726527501</v>
      </c>
      <c r="U45" s="185">
        <v>3840.7397506405391</v>
      </c>
      <c r="V45" s="185">
        <v>3802.9754865370219</v>
      </c>
      <c r="W45" s="185">
        <v>3812.1099903232885</v>
      </c>
      <c r="DA45" s="194" t="s">
        <v>940</v>
      </c>
    </row>
    <row r="46" spans="1:105" ht="12" customHeight="1" x14ac:dyDescent="0.25">
      <c r="A46" s="132" t="s">
        <v>5</v>
      </c>
      <c r="B46" s="185">
        <v>2262.354865741278</v>
      </c>
      <c r="C46" s="185">
        <v>2277.8652259979031</v>
      </c>
      <c r="D46" s="185">
        <v>2288.0044216126498</v>
      </c>
      <c r="E46" s="185">
        <v>2297.9331887337135</v>
      </c>
      <c r="F46" s="185">
        <v>2311.2702606563294</v>
      </c>
      <c r="G46" s="185">
        <v>2319.2832653371611</v>
      </c>
      <c r="H46" s="185">
        <v>2329.872482271116</v>
      </c>
      <c r="I46" s="185">
        <v>2345.7460113273091</v>
      </c>
      <c r="J46" s="185">
        <v>2357.040273454576</v>
      </c>
      <c r="K46" s="185">
        <v>2365.176154613469</v>
      </c>
      <c r="L46" s="185">
        <v>2375.2958019739594</v>
      </c>
      <c r="M46" s="185">
        <v>2381.479616232321</v>
      </c>
      <c r="N46" s="185">
        <v>2390.8082101009609</v>
      </c>
      <c r="O46" s="185">
        <v>2397.0624845527218</v>
      </c>
      <c r="P46" s="185">
        <v>2406.3209281299614</v>
      </c>
      <c r="Q46" s="185">
        <v>2418.4292500206948</v>
      </c>
      <c r="R46" s="185">
        <v>2424.4010799183911</v>
      </c>
      <c r="S46" s="185">
        <v>2476.3250796687744</v>
      </c>
      <c r="T46" s="185">
        <v>2449.1443731214381</v>
      </c>
      <c r="U46" s="185">
        <v>2424.9541319970076</v>
      </c>
      <c r="V46" s="185">
        <v>2378.64597303551</v>
      </c>
      <c r="W46" s="185">
        <v>2397.5833403990277</v>
      </c>
      <c r="DA46" s="194" t="s">
        <v>941</v>
      </c>
    </row>
    <row r="47" spans="1:105" ht="12" customHeight="1" x14ac:dyDescent="0.25">
      <c r="A47" s="132" t="s">
        <v>179</v>
      </c>
      <c r="B47" s="185">
        <v>8760</v>
      </c>
      <c r="C47" s="185">
        <v>8760.0000000000018</v>
      </c>
      <c r="D47" s="185">
        <v>8759.9999999999982</v>
      </c>
      <c r="E47" s="185">
        <v>8760</v>
      </c>
      <c r="F47" s="185">
        <v>8760.0000000000036</v>
      </c>
      <c r="G47" s="185">
        <v>8759.9999999999982</v>
      </c>
      <c r="H47" s="185">
        <v>8759.9999999999982</v>
      </c>
      <c r="I47" s="185">
        <v>8760</v>
      </c>
      <c r="J47" s="185">
        <v>8760</v>
      </c>
      <c r="K47" s="185">
        <v>8759.9999999999982</v>
      </c>
      <c r="L47" s="185">
        <v>8759.9999999999964</v>
      </c>
      <c r="M47" s="185">
        <v>8760</v>
      </c>
      <c r="N47" s="185">
        <v>8759.9999999999982</v>
      </c>
      <c r="O47" s="185">
        <v>8759.9999999999982</v>
      </c>
      <c r="P47" s="185">
        <v>8760</v>
      </c>
      <c r="Q47" s="185">
        <v>8759.9999999999982</v>
      </c>
      <c r="R47" s="185">
        <v>8759.9999999999982</v>
      </c>
      <c r="S47" s="185">
        <v>8759.9999999999982</v>
      </c>
      <c r="T47" s="185">
        <v>8759.9999999999964</v>
      </c>
      <c r="U47" s="185">
        <v>8760</v>
      </c>
      <c r="V47" s="185">
        <v>8760</v>
      </c>
      <c r="W47" s="185">
        <v>8760.0000000000018</v>
      </c>
      <c r="DA47" s="194" t="s">
        <v>942</v>
      </c>
    </row>
    <row r="48" spans="1:105" ht="12" customHeight="1" x14ac:dyDescent="0.25">
      <c r="A48" s="60" t="s">
        <v>4</v>
      </c>
      <c r="B48" s="44">
        <v>828.8826405732201</v>
      </c>
      <c r="C48" s="44">
        <v>832.84211521137024</v>
      </c>
      <c r="D48" s="44">
        <v>836.4733454053362</v>
      </c>
      <c r="E48" s="44">
        <v>839.82773285755036</v>
      </c>
      <c r="F48" s="44">
        <v>842.94540190572525</v>
      </c>
      <c r="G48" s="44">
        <v>845.85828440952309</v>
      </c>
      <c r="H48" s="44">
        <v>848.59221527189993</v>
      </c>
      <c r="I48" s="44">
        <v>851.16839690662107</v>
      </c>
      <c r="J48" s="44">
        <v>853.60444804290955</v>
      </c>
      <c r="K48" s="44">
        <v>855.91517102339697</v>
      </c>
      <c r="L48" s="44">
        <v>858.11312376647459</v>
      </c>
      <c r="M48" s="44">
        <v>859.50984189988424</v>
      </c>
      <c r="N48" s="44">
        <v>860.84368951892668</v>
      </c>
      <c r="O48" s="44">
        <v>862.12016895796796</v>
      </c>
      <c r="P48" s="44">
        <v>863.34408697646484</v>
      </c>
      <c r="Q48" s="44">
        <v>864.51966754038403</v>
      </c>
      <c r="R48" s="44">
        <v>860.41410649236593</v>
      </c>
      <c r="S48" s="44">
        <v>874.36614083669394</v>
      </c>
      <c r="T48" s="44">
        <v>868.51224150308838</v>
      </c>
      <c r="U48" s="44">
        <v>861.16300662193328</v>
      </c>
      <c r="V48" s="44">
        <v>844.71779931833441</v>
      </c>
      <c r="W48" s="44">
        <v>851.44294104414541</v>
      </c>
      <c r="DA48" s="95" t="s">
        <v>943</v>
      </c>
    </row>
    <row r="49" spans="1:105" ht="12" customHeight="1" x14ac:dyDescent="0.25">
      <c r="A49" s="62" t="s">
        <v>3</v>
      </c>
      <c r="B49" s="186">
        <v>1675.7529478169622</v>
      </c>
      <c r="C49" s="186">
        <v>1694.4286334566191</v>
      </c>
      <c r="D49" s="186">
        <v>1726.2519135565528</v>
      </c>
      <c r="E49" s="186">
        <v>1755.6406901742714</v>
      </c>
      <c r="F49" s="186">
        <v>1785.7159892166983</v>
      </c>
      <c r="G49" s="186">
        <v>1813.3513635782961</v>
      </c>
      <c r="H49" s="186">
        <v>1842.3106869140606</v>
      </c>
      <c r="I49" s="186">
        <v>1864.9151946651109</v>
      </c>
      <c r="J49" s="186">
        <v>1886.5195679062922</v>
      </c>
      <c r="K49" s="186">
        <v>1902.1048587598843</v>
      </c>
      <c r="L49" s="186">
        <v>1924.9346545387771</v>
      </c>
      <c r="M49" s="186">
        <v>1946.4555267588023</v>
      </c>
      <c r="N49" s="186">
        <v>1962.9101262010745</v>
      </c>
      <c r="O49" s="186">
        <v>1979.8272861732685</v>
      </c>
      <c r="P49" s="186">
        <v>1999.3800847265522</v>
      </c>
      <c r="Q49" s="186">
        <v>2020.1740950551196</v>
      </c>
      <c r="R49" s="186">
        <v>2031.9832018223096</v>
      </c>
      <c r="S49" s="186">
        <v>2080.0270880707667</v>
      </c>
      <c r="T49" s="186">
        <v>2083.6354632441198</v>
      </c>
      <c r="U49" s="186">
        <v>2086.7596106412379</v>
      </c>
      <c r="V49" s="186">
        <v>2062.8497161432929</v>
      </c>
      <c r="W49" s="186">
        <v>2072.6274845945718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0.6245737176484738</v>
      </c>
      <c r="C52" s="181">
        <v>0.62018862817046649</v>
      </c>
      <c r="D52" s="181">
        <v>0.61590877550444856</v>
      </c>
      <c r="E52" s="181">
        <v>0.61154008098873525</v>
      </c>
      <c r="F52" s="181">
        <v>0.60741467901854396</v>
      </c>
      <c r="G52" s="181">
        <v>0.6018070366646896</v>
      </c>
      <c r="H52" s="181">
        <v>0.59532782253496175</v>
      </c>
      <c r="I52" s="181">
        <v>0.58809730086390744</v>
      </c>
      <c r="J52" s="181">
        <v>0.58140105794146901</v>
      </c>
      <c r="K52" s="181">
        <v>0.57583460713247148</v>
      </c>
      <c r="L52" s="181">
        <v>0.56881503955314472</v>
      </c>
      <c r="M52" s="181">
        <v>0.56118862452945439</v>
      </c>
      <c r="N52" s="181">
        <v>0.55393257792380635</v>
      </c>
      <c r="O52" s="181">
        <v>0.54656262553746349</v>
      </c>
      <c r="P52" s="181">
        <v>0.53855275672645841</v>
      </c>
      <c r="Q52" s="181">
        <v>0.52921133086875405</v>
      </c>
      <c r="R52" s="181">
        <v>0.52049667625337592</v>
      </c>
      <c r="S52" s="181">
        <v>0.51139656001426914</v>
      </c>
      <c r="T52" s="181">
        <v>0.50213106203872881</v>
      </c>
      <c r="U52" s="181">
        <v>0.49603377249762115</v>
      </c>
      <c r="V52" s="181">
        <v>0.49049187819350037</v>
      </c>
      <c r="W52" s="181">
        <v>0.48539083535308275</v>
      </c>
      <c r="DA52" s="190" t="s">
        <v>945</v>
      </c>
    </row>
    <row r="53" spans="1:105" ht="12" customHeight="1" x14ac:dyDescent="0.25">
      <c r="A53" s="132" t="s">
        <v>100</v>
      </c>
      <c r="B53" s="181">
        <v>181.89634065396368</v>
      </c>
      <c r="C53" s="181">
        <v>180.16406559249822</v>
      </c>
      <c r="D53" s="181">
        <v>178.03236506507855</v>
      </c>
      <c r="E53" s="181">
        <v>175.49626796965617</v>
      </c>
      <c r="F53" s="181">
        <v>172.51072903488401</v>
      </c>
      <c r="G53" s="181">
        <v>169.23736673236527</v>
      </c>
      <c r="H53" s="181">
        <v>165.54428785853079</v>
      </c>
      <c r="I53" s="181">
        <v>161.53162178787733</v>
      </c>
      <c r="J53" s="181">
        <v>158.91024431348745</v>
      </c>
      <c r="K53" s="181">
        <v>156.05512926543395</v>
      </c>
      <c r="L53" s="181">
        <v>153.000371709012</v>
      </c>
      <c r="M53" s="181">
        <v>149.75555476326281</v>
      </c>
      <c r="N53" s="181">
        <v>146.13151365055867</v>
      </c>
      <c r="O53" s="181">
        <v>141.97014887721639</v>
      </c>
      <c r="P53" s="181">
        <v>137.42386039133348</v>
      </c>
      <c r="Q53" s="181">
        <v>132.81692978456138</v>
      </c>
      <c r="R53" s="181">
        <v>127.91675220707415</v>
      </c>
      <c r="S53" s="181">
        <v>122.64680908500699</v>
      </c>
      <c r="T53" s="181">
        <v>117.36478346670702</v>
      </c>
      <c r="U53" s="181">
        <v>111.89030912817157</v>
      </c>
      <c r="V53" s="181">
        <v>106.10564431017082</v>
      </c>
      <c r="W53" s="181">
        <v>100.79093036880737</v>
      </c>
      <c r="DA53" s="190" t="s">
        <v>946</v>
      </c>
    </row>
    <row r="54" spans="1:105" ht="12" customHeight="1" x14ac:dyDescent="0.25">
      <c r="A54" s="132" t="s">
        <v>140</v>
      </c>
      <c r="B54" s="181">
        <v>34.846214083425224</v>
      </c>
      <c r="C54" s="181">
        <v>34.45542522639353</v>
      </c>
      <c r="D54" s="181">
        <v>33.860125745332937</v>
      </c>
      <c r="E54" s="181">
        <v>33.176213765976961</v>
      </c>
      <c r="F54" s="181">
        <v>32.436711862394468</v>
      </c>
      <c r="G54" s="181">
        <v>31.552611151358615</v>
      </c>
      <c r="H54" s="181">
        <v>30.528521101069124</v>
      </c>
      <c r="I54" s="181">
        <v>29.754337934793753</v>
      </c>
      <c r="J54" s="181">
        <v>29.108731291932468</v>
      </c>
      <c r="K54" s="181">
        <v>28.526431121892344</v>
      </c>
      <c r="L54" s="181">
        <v>27.886318578194597</v>
      </c>
      <c r="M54" s="181">
        <v>27.125915784391857</v>
      </c>
      <c r="N54" s="181">
        <v>26.311679129655715</v>
      </c>
      <c r="O54" s="181">
        <v>25.448807130443303</v>
      </c>
      <c r="P54" s="181">
        <v>24.560692282847953</v>
      </c>
      <c r="Q54" s="181">
        <v>23.557432938864498</v>
      </c>
      <c r="R54" s="181">
        <v>22.540205560971657</v>
      </c>
      <c r="S54" s="181">
        <v>21.40758592488573</v>
      </c>
      <c r="T54" s="181">
        <v>20.206224801573665</v>
      </c>
      <c r="U54" s="181">
        <v>18.949674881566274</v>
      </c>
      <c r="V54" s="181">
        <v>17.707793019964978</v>
      </c>
      <c r="W54" s="181">
        <v>16.425860658930478</v>
      </c>
      <c r="DA54" s="190" t="s">
        <v>947</v>
      </c>
    </row>
    <row r="55" spans="1:105" ht="12" customHeight="1" x14ac:dyDescent="0.25">
      <c r="A55" s="132" t="s">
        <v>181</v>
      </c>
      <c r="B55" s="181">
        <v>617.40149585788504</v>
      </c>
      <c r="C55" s="181">
        <v>611.68885292314496</v>
      </c>
      <c r="D55" s="181">
        <v>604.72297701672449</v>
      </c>
      <c r="E55" s="181">
        <v>596.8196262346961</v>
      </c>
      <c r="F55" s="181">
        <v>588.3749324734822</v>
      </c>
      <c r="G55" s="181">
        <v>579.35173341185691</v>
      </c>
      <c r="H55" s="181">
        <v>569.71392485644083</v>
      </c>
      <c r="I55" s="181">
        <v>559.51066432680682</v>
      </c>
      <c r="J55" s="181">
        <v>548.57063056913762</v>
      </c>
      <c r="K55" s="181">
        <v>536.45060760755359</v>
      </c>
      <c r="L55" s="181">
        <v>523.41208794489887</v>
      </c>
      <c r="M55" s="181">
        <v>515.1372536537167</v>
      </c>
      <c r="N55" s="181">
        <v>506.99443700276663</v>
      </c>
      <c r="O55" s="181">
        <v>499.05814772463833</v>
      </c>
      <c r="P55" s="181">
        <v>489.92310450198249</v>
      </c>
      <c r="Q55" s="181">
        <v>480.58230721036904</v>
      </c>
      <c r="R55" s="181">
        <v>471.49845394611737</v>
      </c>
      <c r="S55" s="181">
        <v>462.01003331815576</v>
      </c>
      <c r="T55" s="181">
        <v>452.3002384401052</v>
      </c>
      <c r="U55" s="181">
        <v>442.69436059712024</v>
      </c>
      <c r="V55" s="181">
        <v>433.25334316867281</v>
      </c>
      <c r="W55" s="181">
        <v>425.68991963095283</v>
      </c>
      <c r="DA55" s="190" t="s">
        <v>948</v>
      </c>
    </row>
    <row r="56" spans="1:105" ht="12" customHeight="1" x14ac:dyDescent="0.25">
      <c r="A56" s="60" t="s">
        <v>99</v>
      </c>
      <c r="B56" s="55">
        <v>44.67673336570909</v>
      </c>
      <c r="C56" s="55">
        <v>44.463705953698117</v>
      </c>
      <c r="D56" s="55">
        <v>44.22267559888305</v>
      </c>
      <c r="E56" s="55">
        <v>43.919257641008485</v>
      </c>
      <c r="F56" s="55">
        <v>43.561128284834211</v>
      </c>
      <c r="G56" s="55">
        <v>43.160229076931174</v>
      </c>
      <c r="H56" s="55">
        <v>42.761134984606684</v>
      </c>
      <c r="I56" s="55">
        <v>42.380844862875989</v>
      </c>
      <c r="J56" s="55">
        <v>42.038827549817775</v>
      </c>
      <c r="K56" s="55">
        <v>41.737890350130506</v>
      </c>
      <c r="L56" s="55">
        <v>41.390763798938757</v>
      </c>
      <c r="M56" s="55">
        <v>40.986603510956812</v>
      </c>
      <c r="N56" s="55">
        <v>40.529327969318409</v>
      </c>
      <c r="O56" s="55">
        <v>40.028969914480498</v>
      </c>
      <c r="P56" s="55">
        <v>39.438143486253601</v>
      </c>
      <c r="Q56" s="55">
        <v>38.701103158359395</v>
      </c>
      <c r="R56" s="55">
        <v>38.240318944838535</v>
      </c>
      <c r="S56" s="55">
        <v>37.738852511126645</v>
      </c>
      <c r="T56" s="55">
        <v>37.114358746993375</v>
      </c>
      <c r="U56" s="55">
        <v>36.368605899360112</v>
      </c>
      <c r="V56" s="55">
        <v>35.575415989630201</v>
      </c>
      <c r="W56" s="55">
        <v>34.828413183417098</v>
      </c>
      <c r="DA56" s="101" t="s">
        <v>949</v>
      </c>
    </row>
    <row r="57" spans="1:105" ht="12" customHeight="1" x14ac:dyDescent="0.25">
      <c r="A57" s="62" t="s">
        <v>98</v>
      </c>
      <c r="B57" s="63">
        <v>368.30269571065696</v>
      </c>
      <c r="C57" s="63">
        <v>358.84302798910909</v>
      </c>
      <c r="D57" s="63">
        <v>347.23358838450253</v>
      </c>
      <c r="E57" s="63">
        <v>334.87841605862201</v>
      </c>
      <c r="F57" s="63">
        <v>321.65005239336955</v>
      </c>
      <c r="G57" s="63">
        <v>308.24101227217892</v>
      </c>
      <c r="H57" s="63">
        <v>292.6581845327101</v>
      </c>
      <c r="I57" s="63">
        <v>276.94688445219657</v>
      </c>
      <c r="J57" s="63">
        <v>260.31500544224821</v>
      </c>
      <c r="K57" s="63">
        <v>242.7255352905058</v>
      </c>
      <c r="L57" s="63">
        <v>224.78925633545558</v>
      </c>
      <c r="M57" s="63">
        <v>205.43639690909484</v>
      </c>
      <c r="N57" s="63">
        <v>190.2797230342278</v>
      </c>
      <c r="O57" s="63">
        <v>178.13828546611816</v>
      </c>
      <c r="P57" s="63">
        <v>168.28473902727376</v>
      </c>
      <c r="Q57" s="63">
        <v>161.22402819770534</v>
      </c>
      <c r="R57" s="63">
        <v>155.88433846989915</v>
      </c>
      <c r="S57" s="63">
        <v>152.34046959393984</v>
      </c>
      <c r="T57" s="63">
        <v>149.12245595486786</v>
      </c>
      <c r="U57" s="63">
        <v>145.03837241586365</v>
      </c>
      <c r="V57" s="63">
        <v>140.25100655223716</v>
      </c>
      <c r="W57" s="63">
        <v>136.75902575263541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0.55981718232441957</v>
      </c>
      <c r="D60" s="181">
        <v>0.55452553937902171</v>
      </c>
      <c r="E60" s="181">
        <v>0.54926759388494761</v>
      </c>
      <c r="F60" s="181">
        <v>0.54393585518447563</v>
      </c>
      <c r="G60" s="181">
        <v>0.53833737609918952</v>
      </c>
      <c r="H60" s="181">
        <v>0.53204517262070727</v>
      </c>
      <c r="I60" s="181">
        <v>0.52587384122614511</v>
      </c>
      <c r="J60" s="181">
        <v>0.5181103811669584</v>
      </c>
      <c r="K60" s="181">
        <v>0.51006207712403306</v>
      </c>
      <c r="L60" s="181">
        <v>0.50208765565637958</v>
      </c>
      <c r="M60" s="181">
        <v>0.49396941736955574</v>
      </c>
      <c r="N60" s="181">
        <v>0.48594335053823889</v>
      </c>
      <c r="O60" s="181">
        <v>0.47786540895983104</v>
      </c>
      <c r="P60" s="181">
        <v>0.47037979319876316</v>
      </c>
      <c r="Q60" s="181">
        <v>0.46248276028465596</v>
      </c>
      <c r="R60" s="181">
        <v>0.45941779015374112</v>
      </c>
      <c r="S60" s="181">
        <v>0.45504361300197355</v>
      </c>
      <c r="T60" s="181">
        <v>0.45109149852851921</v>
      </c>
      <c r="U60" s="181">
        <v>0.44743236105301931</v>
      </c>
      <c r="V60" s="181">
        <v>0.44379759309424038</v>
      </c>
      <c r="W60" s="181">
        <v>0.44217083221685927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169.97887095857666</v>
      </c>
      <c r="D61" s="181">
        <v>167.6336497911114</v>
      </c>
      <c r="E61" s="181">
        <v>164.96730819051811</v>
      </c>
      <c r="F61" s="181">
        <v>161.93486353771954</v>
      </c>
      <c r="G61" s="181">
        <v>159.38067436824531</v>
      </c>
      <c r="H61" s="181">
        <v>156.88308729392034</v>
      </c>
      <c r="I61" s="181">
        <v>153.92930350362175</v>
      </c>
      <c r="J61" s="181">
        <v>150.69558539985641</v>
      </c>
      <c r="K61" s="181">
        <v>147.5636940821787</v>
      </c>
      <c r="L61" s="181">
        <v>144.00940145210362</v>
      </c>
      <c r="M61" s="181">
        <v>139.71585167840365</v>
      </c>
      <c r="N61" s="181">
        <v>134.82027416499625</v>
      </c>
      <c r="O61" s="181">
        <v>129.91872016920573</v>
      </c>
      <c r="P61" s="181">
        <v>124.16418640999737</v>
      </c>
      <c r="Q61" s="181">
        <v>117.21839567957889</v>
      </c>
      <c r="R61" s="181">
        <v>111.12629772404607</v>
      </c>
      <c r="S61" s="181">
        <v>106.06029342009286</v>
      </c>
      <c r="T61" s="181">
        <v>101.01138580393399</v>
      </c>
      <c r="U61" s="181">
        <v>95.971664400505034</v>
      </c>
      <c r="V61" s="181">
        <v>90.926801298609305</v>
      </c>
      <c r="W61" s="181">
        <v>89.027070321635065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32.64058938226475</v>
      </c>
      <c r="D62" s="181">
        <v>31.379216352672316</v>
      </c>
      <c r="E62" s="181">
        <v>30.752221629762435</v>
      </c>
      <c r="F62" s="181">
        <v>30.319719725349888</v>
      </c>
      <c r="G62" s="181">
        <v>29.68066935462997</v>
      </c>
      <c r="H62" s="181">
        <v>28.8779296182569</v>
      </c>
      <c r="I62" s="181">
        <v>28.174862439019783</v>
      </c>
      <c r="J62" s="181">
        <v>27.487559124299342</v>
      </c>
      <c r="K62" s="181">
        <v>26.959247185591241</v>
      </c>
      <c r="L62" s="181">
        <v>26.187943435273105</v>
      </c>
      <c r="M62" s="181">
        <v>25.253791285839547</v>
      </c>
      <c r="N62" s="181">
        <v>24.234129303847173</v>
      </c>
      <c r="O62" s="181">
        <v>23.335067395532601</v>
      </c>
      <c r="P62" s="181">
        <v>22.323182667546831</v>
      </c>
      <c r="Q62" s="181">
        <v>20.873998274201035</v>
      </c>
      <c r="R62" s="181">
        <v>19.525078620031696</v>
      </c>
      <c r="S62" s="181">
        <v>18.584731193422396</v>
      </c>
      <c r="T62" s="181">
        <v>17.056759381028694</v>
      </c>
      <c r="U62" s="181">
        <v>15.855752389433839</v>
      </c>
      <c r="V62" s="181">
        <v>14.809522243577703</v>
      </c>
      <c r="W62" s="181">
        <v>13.396156618386009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560.11984697423679</v>
      </c>
      <c r="D63" s="181">
        <v>548.65950904255146</v>
      </c>
      <c r="E63" s="181">
        <v>539.27565252782244</v>
      </c>
      <c r="F63" s="181">
        <v>534.00614486768814</v>
      </c>
      <c r="G63" s="181">
        <v>528.63202172113358</v>
      </c>
      <c r="H63" s="181">
        <v>523.06051536374446</v>
      </c>
      <c r="I63" s="181">
        <v>518.0323027652646</v>
      </c>
      <c r="J63" s="181">
        <v>511.62341731197648</v>
      </c>
      <c r="K63" s="181">
        <v>501.11171331262148</v>
      </c>
      <c r="L63" s="181">
        <v>491.42330731404206</v>
      </c>
      <c r="M63" s="181">
        <v>474.18046910059303</v>
      </c>
      <c r="N63" s="181">
        <v>466.33474747236147</v>
      </c>
      <c r="O63" s="181">
        <v>458.95162278103572</v>
      </c>
      <c r="P63" s="181">
        <v>444.00493584245618</v>
      </c>
      <c r="Q63" s="181">
        <v>438.24312711922482</v>
      </c>
      <c r="R63" s="181">
        <v>431.55455242552728</v>
      </c>
      <c r="S63" s="181">
        <v>423.14207177864307</v>
      </c>
      <c r="T63" s="181">
        <v>415.11240156631641</v>
      </c>
      <c r="U63" s="181">
        <v>407.61710696753426</v>
      </c>
      <c r="V63" s="181">
        <v>400.19651454584647</v>
      </c>
      <c r="W63" s="181">
        <v>390.59704405136392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42.082094677402715</v>
      </c>
      <c r="D64" s="55">
        <v>41.79098013029563</v>
      </c>
      <c r="E64" s="55">
        <v>41.457077224241331</v>
      </c>
      <c r="F64" s="55">
        <v>41.130356189706028</v>
      </c>
      <c r="G64" s="55">
        <v>40.752301301205819</v>
      </c>
      <c r="H64" s="55">
        <v>40.354332147575327</v>
      </c>
      <c r="I64" s="55">
        <v>39.972987165802024</v>
      </c>
      <c r="J64" s="55">
        <v>39.508720588417745</v>
      </c>
      <c r="K64" s="55">
        <v>39.040075903923956</v>
      </c>
      <c r="L64" s="55">
        <v>38.423469756871128</v>
      </c>
      <c r="M64" s="55">
        <v>37.649610843858675</v>
      </c>
      <c r="N64" s="55">
        <v>36.800026296046035</v>
      </c>
      <c r="O64" s="55">
        <v>35.89389449932267</v>
      </c>
      <c r="P64" s="55">
        <v>34.891644978749511</v>
      </c>
      <c r="Q64" s="55">
        <v>33.897849378332914</v>
      </c>
      <c r="R64" s="55">
        <v>33.471518024258295</v>
      </c>
      <c r="S64" s="55">
        <v>32.964260486627815</v>
      </c>
      <c r="T64" s="55">
        <v>32.49658300658389</v>
      </c>
      <c r="U64" s="55">
        <v>32.044414028551721</v>
      </c>
      <c r="V64" s="55">
        <v>31.595294354258037</v>
      </c>
      <c r="W64" s="55">
        <v>31.355433097697642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335.934238530279</v>
      </c>
      <c r="D65" s="63">
        <v>321.10865872184337</v>
      </c>
      <c r="E65" s="63">
        <v>309.4518631553932</v>
      </c>
      <c r="F65" s="63">
        <v>296.08803752961921</v>
      </c>
      <c r="G65" s="63">
        <v>283.64247130741728</v>
      </c>
      <c r="H65" s="63">
        <v>266.14933098002058</v>
      </c>
      <c r="I65" s="63">
        <v>247.03862508426434</v>
      </c>
      <c r="J65" s="63">
        <v>227.51650164271555</v>
      </c>
      <c r="K65" s="63">
        <v>207.96189095372338</v>
      </c>
      <c r="L65" s="63">
        <v>188.94116757265212</v>
      </c>
      <c r="M65" s="63">
        <v>177.06777045036421</v>
      </c>
      <c r="N65" s="63">
        <v>166.11687424078372</v>
      </c>
      <c r="O65" s="63">
        <v>159.46960391885654</v>
      </c>
      <c r="P65" s="63">
        <v>155.87346008283291</v>
      </c>
      <c r="Q65" s="63">
        <v>152.52985043734552</v>
      </c>
      <c r="R65" s="63">
        <v>149.07782703695401</v>
      </c>
      <c r="S65" s="63">
        <v>145.01208582409362</v>
      </c>
      <c r="T65" s="63">
        <v>141.04665640102266</v>
      </c>
      <c r="U65" s="63">
        <v>137.30883375565341</v>
      </c>
      <c r="V65" s="63">
        <v>133.61077922731786</v>
      </c>
      <c r="W65" s="63">
        <v>130.93950766209974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601.27178601774096</v>
      </c>
      <c r="C68" s="188">
        <f>1000000*C20/SER_summary!C$8</f>
        <v>607.57359072318536</v>
      </c>
      <c r="D68" s="188">
        <f>1000000*D20/SER_summary!D$8</f>
        <v>614.57893210550799</v>
      </c>
      <c r="E68" s="188">
        <f>1000000*E20/SER_summary!E$8</f>
        <v>622.85908043215716</v>
      </c>
      <c r="F68" s="188">
        <f>1000000*F20/SER_summary!F$8</f>
        <v>630.89904077835536</v>
      </c>
      <c r="G68" s="188">
        <f>1000000*G20/SER_summary!G$8</f>
        <v>638.2644942355912</v>
      </c>
      <c r="H68" s="188">
        <f>1000000*H20/SER_summary!H$8</f>
        <v>644.98550179645758</v>
      </c>
      <c r="I68" s="188">
        <f>1000000*I20/SER_summary!I$8</f>
        <v>653.50901916579073</v>
      </c>
      <c r="J68" s="188">
        <f>1000000*J20/SER_summary!J$8</f>
        <v>662.37567350567747</v>
      </c>
      <c r="K68" s="188">
        <f>1000000*K20/SER_summary!K$8</f>
        <v>670.35417685374614</v>
      </c>
      <c r="L68" s="188">
        <f>1000000*L20/SER_summary!L$8</f>
        <v>678.68436979489309</v>
      </c>
      <c r="M68" s="188">
        <f>1000000*M20/SER_summary!M$8</f>
        <v>687.25141278134902</v>
      </c>
      <c r="N68" s="188">
        <f>1000000*N20/SER_summary!N$8</f>
        <v>695.0820898983236</v>
      </c>
      <c r="O68" s="188">
        <f>1000000*O20/SER_summary!O$8</f>
        <v>703.40008635383606</v>
      </c>
      <c r="P68" s="188">
        <f>1000000*P20/SER_summary!P$8</f>
        <v>711.5502641900049</v>
      </c>
      <c r="Q68" s="188">
        <f>1000000*Q20/SER_summary!Q$8</f>
        <v>718.50301756115982</v>
      </c>
      <c r="R68" s="188">
        <f>1000000*R20/SER_summary!R$8</f>
        <v>725.31546767521161</v>
      </c>
      <c r="S68" s="188">
        <f>1000000*S20/SER_summary!S$8</f>
        <v>732.17624485350188</v>
      </c>
      <c r="T68" s="188">
        <f>1000000*T20/SER_summary!T$8</f>
        <v>738.82976047357965</v>
      </c>
      <c r="U68" s="188">
        <f>1000000*U20/SER_summary!U$8</f>
        <v>745.12099649830338</v>
      </c>
      <c r="V68" s="188">
        <f>1000000*V20/SER_summary!V$8</f>
        <v>750.76140880980302</v>
      </c>
      <c r="W68" s="188">
        <f>1000000*W20/SER_summary!W$8</f>
        <v>755.28295759305115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8.2182144451701439E-2</v>
      </c>
      <c r="C69" s="188">
        <f>1000*C21/SER_summary!C$3</f>
        <v>8.3449151186960252E-2</v>
      </c>
      <c r="D69" s="188">
        <f>1000*D21/SER_summary!D$3</f>
        <v>8.529018488023106E-2</v>
      </c>
      <c r="E69" s="188">
        <f>1000*E21/SER_summary!E$3</f>
        <v>8.7595841193908133E-2</v>
      </c>
      <c r="F69" s="188">
        <f>1000*F21/SER_summary!F$3</f>
        <v>9.0326096059219319E-2</v>
      </c>
      <c r="G69" s="188">
        <f>1000*G21/SER_summary!G$3</f>
        <v>9.2853676289034875E-2</v>
      </c>
      <c r="H69" s="188">
        <f>1000*H21/SER_summary!H$3</f>
        <v>9.6514858244322196E-2</v>
      </c>
      <c r="I69" s="188">
        <f>1000*I21/SER_summary!I$3</f>
        <v>9.9881241271673429E-2</v>
      </c>
      <c r="J69" s="188">
        <f>1000*J21/SER_summary!J$3</f>
        <v>0.10362579068318276</v>
      </c>
      <c r="K69" s="188">
        <f>1000*K21/SER_summary!K$3</f>
        <v>0.10767120661836059</v>
      </c>
      <c r="L69" s="188">
        <f>1000*L21/SER_summary!L$3</f>
        <v>0.11215691470906186</v>
      </c>
      <c r="M69" s="188">
        <f>1000*M21/SER_summary!M$3</f>
        <v>0.11636617812395372</v>
      </c>
      <c r="N69" s="188">
        <f>1000*N21/SER_summary!N$3</f>
        <v>0.12193576643299835</v>
      </c>
      <c r="O69" s="188">
        <f>1000*O21/SER_summary!O$3</f>
        <v>0.12830644304918293</v>
      </c>
      <c r="P69" s="188">
        <f>1000*P21/SER_summary!P$3</f>
        <v>0.13604702045494901</v>
      </c>
      <c r="Q69" s="188">
        <f>1000*Q21/SER_summary!Q$3</f>
        <v>0.1424551409457506</v>
      </c>
      <c r="R69" s="188">
        <f>1000*R21/SER_summary!R$3</f>
        <v>0.14673803141732597</v>
      </c>
      <c r="S69" s="188">
        <f>1000*S21/SER_summary!S$3</f>
        <v>0.15112591068775877</v>
      </c>
      <c r="T69" s="188">
        <f>1000*T21/SER_summary!T$3</f>
        <v>0.15540353262244166</v>
      </c>
      <c r="U69" s="188">
        <f>1000*U21/SER_summary!U$3</f>
        <v>0.15948161832119293</v>
      </c>
      <c r="V69" s="188">
        <f>1000*V21/SER_summary!V$3</f>
        <v>0.16299885727498337</v>
      </c>
      <c r="W69" s="188">
        <f>1000*W21/SER_summary!W$3</f>
        <v>0.16656528996886011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181.33793965397589</v>
      </c>
      <c r="C70" s="188">
        <f>1000000*C22/SER_summary!C$8</f>
        <v>183.13589064897801</v>
      </c>
      <c r="D70" s="188">
        <f>1000000*D22/SER_summary!D$8</f>
        <v>185.51948027277163</v>
      </c>
      <c r="E70" s="188">
        <f>1000000*E22/SER_summary!E$8</f>
        <v>188.0145611109424</v>
      </c>
      <c r="F70" s="188">
        <f>1000000*F22/SER_summary!F$8</f>
        <v>190.85713695103067</v>
      </c>
      <c r="G70" s="188">
        <f>1000000*G22/SER_summary!G$8</f>
        <v>193.47367189832497</v>
      </c>
      <c r="H70" s="188">
        <f>1000000*H22/SER_summary!H$8</f>
        <v>196.47807802738302</v>
      </c>
      <c r="I70" s="188">
        <f>1000000*I22/SER_summary!I$8</f>
        <v>199.10042015063564</v>
      </c>
      <c r="J70" s="188">
        <f>1000000*J22/SER_summary!J$8</f>
        <v>202.55289597401065</v>
      </c>
      <c r="K70" s="188">
        <f>1000000*K22/SER_summary!K$8</f>
        <v>207.08711163945921</v>
      </c>
      <c r="L70" s="188">
        <f>1000000*L22/SER_summary!L$8</f>
        <v>211.5752872418937</v>
      </c>
      <c r="M70" s="188">
        <f>1000000*M22/SER_summary!M$8</f>
        <v>216.84024968033896</v>
      </c>
      <c r="N70" s="188">
        <f>1000000*N22/SER_summary!N$8</f>
        <v>221.71158241143846</v>
      </c>
      <c r="O70" s="188">
        <f>1000000*O22/SER_summary!O$8</f>
        <v>227.89812894497013</v>
      </c>
      <c r="P70" s="188">
        <f>1000000*P22/SER_summary!P$8</f>
        <v>235.7011110627686</v>
      </c>
      <c r="Q70" s="188">
        <f>1000000*Q22/SER_summary!Q$8</f>
        <v>246.21390974963964</v>
      </c>
      <c r="R70" s="188">
        <f>1000000*R22/SER_summary!R$8</f>
        <v>251.62862569743314</v>
      </c>
      <c r="S70" s="188">
        <f>1000000*S22/SER_summary!S$8</f>
        <v>257.11997120016832</v>
      </c>
      <c r="T70" s="188">
        <f>1000000*T22/SER_summary!T$8</f>
        <v>262.36548018015446</v>
      </c>
      <c r="U70" s="188">
        <f>1000000*U22/SER_summary!U$8</f>
        <v>267.16794888256965</v>
      </c>
      <c r="V70" s="188">
        <f>1000000*V22/SER_summary!V$8</f>
        <v>271.15986138841265</v>
      </c>
      <c r="W70" s="188">
        <f>1000000*W22/SER_summary!W$8</f>
        <v>273.80909923224505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2.7016375710999893E-2</v>
      </c>
      <c r="C71" s="188">
        <f>1000*C23/SER_summary!C$3</f>
        <v>2.7071722414645893E-2</v>
      </c>
      <c r="D71" s="188">
        <f>1000*D23/SER_summary!D$3</f>
        <v>2.7184041386500598E-2</v>
      </c>
      <c r="E71" s="188">
        <f>1000*E23/SER_summary!E$3</f>
        <v>2.7346039703509295E-2</v>
      </c>
      <c r="F71" s="188">
        <f>1000*F23/SER_summary!F$3</f>
        <v>2.755423375112713E-2</v>
      </c>
      <c r="G71" s="188">
        <f>1000*G23/SER_summary!G$3</f>
        <v>2.7817186408864228E-2</v>
      </c>
      <c r="H71" s="188">
        <f>1000*H23/SER_summary!H$3</f>
        <v>2.8152937236266572E-2</v>
      </c>
      <c r="I71" s="188">
        <f>1000*I23/SER_summary!I$3</f>
        <v>2.8562703410581359E-2</v>
      </c>
      <c r="J71" s="188">
        <f>1000*J23/SER_summary!J$3</f>
        <v>2.9047728064471104E-2</v>
      </c>
      <c r="K71" s="188">
        <f>1000*K23/SER_summary!K$3</f>
        <v>2.9633910916545485E-2</v>
      </c>
      <c r="L71" s="188">
        <f>1000*L23/SER_summary!L$3</f>
        <v>3.0323502596098444E-2</v>
      </c>
      <c r="M71" s="188">
        <f>1000*M23/SER_summary!M$3</f>
        <v>3.0835559943439814E-2</v>
      </c>
      <c r="N71" s="188">
        <f>1000*N23/SER_summary!N$3</f>
        <v>3.1426576324552445E-2</v>
      </c>
      <c r="O71" s="188">
        <f>1000*O23/SER_summary!O$3</f>
        <v>3.2091479735410725E-2</v>
      </c>
      <c r="P71" s="188">
        <f>1000*P23/SER_summary!P$3</f>
        <v>3.2930221238072793E-2</v>
      </c>
      <c r="Q71" s="188">
        <f>1000*Q23/SER_summary!Q$3</f>
        <v>3.3970302818258323E-2</v>
      </c>
      <c r="R71" s="188">
        <f>1000*R23/SER_summary!R$3</f>
        <v>3.4822844609892926E-2</v>
      </c>
      <c r="S71" s="188">
        <f>1000*S23/SER_summary!S$3</f>
        <v>3.5701638151566788E-2</v>
      </c>
      <c r="T71" s="188">
        <f>1000*T23/SER_summary!T$3</f>
        <v>3.6548004843198742E-2</v>
      </c>
      <c r="U71" s="188">
        <f>1000*U23/SER_summary!U$3</f>
        <v>3.7336247869394906E-2</v>
      </c>
      <c r="V71" s="188">
        <f>1000*V23/SER_summary!V$3</f>
        <v>3.7973112160803693E-2</v>
      </c>
      <c r="W71" s="188">
        <f>1000*W23/SER_summary!W$3</f>
        <v>3.8599012704337576E-2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88.210696181004025</v>
      </c>
      <c r="C72" s="188">
        <f>1000000*C24/SER_summary!C$8</f>
        <v>91.941473307423408</v>
      </c>
      <c r="D72" s="188">
        <f>1000000*D24/SER_summary!D$8</f>
        <v>96.964468896921019</v>
      </c>
      <c r="E72" s="188">
        <f>1000000*E24/SER_summary!E$8</f>
        <v>104.56120534941789</v>
      </c>
      <c r="F72" s="188">
        <f>1000000*F24/SER_summary!F$8</f>
        <v>115.53275589312457</v>
      </c>
      <c r="G72" s="188">
        <f>1000000*G24/SER_summary!G$8</f>
        <v>126.71915122739354</v>
      </c>
      <c r="H72" s="188">
        <f>1000000*H24/SER_summary!H$8</f>
        <v>136.84285938774144</v>
      </c>
      <c r="I72" s="188">
        <f>1000000*I24/SER_summary!I$8</f>
        <v>145.16106760040302</v>
      </c>
      <c r="J72" s="188">
        <f>1000000*J24/SER_summary!J$8</f>
        <v>152.2319903623482</v>
      </c>
      <c r="K72" s="188">
        <f>1000000*K24/SER_summary!K$8</f>
        <v>158.82949490426157</v>
      </c>
      <c r="L72" s="188">
        <f>1000000*L24/SER_summary!L$8</f>
        <v>163.32637236867595</v>
      </c>
      <c r="M72" s="188">
        <f>1000000*M24/SER_summary!M$8</f>
        <v>167.27901707617937</v>
      </c>
      <c r="N72" s="188">
        <f>1000000*N24/SER_summary!N$8</f>
        <v>172.22153642625094</v>
      </c>
      <c r="O72" s="188">
        <f>1000000*O24/SER_summary!O$8</f>
        <v>176.73824697990509</v>
      </c>
      <c r="P72" s="188">
        <f>1000000*P24/SER_summary!P$8</f>
        <v>180.69762477828564</v>
      </c>
      <c r="Q72" s="188">
        <f>1000000*Q24/SER_summary!Q$8</f>
        <v>183.7210664106787</v>
      </c>
      <c r="R72" s="188">
        <f>1000000*R24/SER_summary!R$8</f>
        <v>188.69713933866328</v>
      </c>
      <c r="S72" s="188">
        <f>1000000*S24/SER_summary!S$8</f>
        <v>193.35201802439644</v>
      </c>
      <c r="T72" s="188">
        <f>1000000*T24/SER_summary!T$8</f>
        <v>199.55929148882086</v>
      </c>
      <c r="U72" s="188">
        <f>1000000*U24/SER_summary!U$8</f>
        <v>207.34380579671975</v>
      </c>
      <c r="V72" s="188">
        <f>1000000*V24/SER_summary!V$8</f>
        <v>213.92282100348922</v>
      </c>
      <c r="W72" s="188">
        <f>1000000*W24/SER_summary!W$8</f>
        <v>218.63327556246134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0.3034619402570618</v>
      </c>
      <c r="C73" s="52">
        <f>1000*C25/SER_summary!C$3</f>
        <v>0.34037401372646509</v>
      </c>
      <c r="D73" s="52">
        <f>1000*D25/SER_summary!D$3</f>
        <v>0.38002513791481723</v>
      </c>
      <c r="E73" s="52">
        <f>1000*E25/SER_summary!E$3</f>
        <v>0.42401730217581396</v>
      </c>
      <c r="F73" s="52">
        <f>1000*F25/SER_summary!F$3</f>
        <v>0.47355129158909437</v>
      </c>
      <c r="G73" s="52">
        <f>1000*G25/SER_summary!G$3</f>
        <v>0.52633336885043813</v>
      </c>
      <c r="H73" s="52">
        <f>1000*H25/SER_summary!H$3</f>
        <v>0.57796102516666348</v>
      </c>
      <c r="I73" s="52">
        <f>1000*I25/SER_summary!I$3</f>
        <v>0.63174863000438419</v>
      </c>
      <c r="J73" s="52">
        <f>1000*J25/SER_summary!J$3</f>
        <v>0.68921396880205332</v>
      </c>
      <c r="K73" s="52">
        <f>1000*K25/SER_summary!K$3</f>
        <v>0.75672177782717376</v>
      </c>
      <c r="L73" s="52">
        <f>1000*L25/SER_summary!L$3</f>
        <v>0.83502115408439737</v>
      </c>
      <c r="M73" s="52">
        <f>1000*M25/SER_summary!M$3</f>
        <v>0.93619477885717128</v>
      </c>
      <c r="N73" s="52">
        <f>1000*N25/SER_summary!N$3</f>
        <v>1.0091583435833653</v>
      </c>
      <c r="O73" s="52">
        <f>1000*O25/SER_summary!O$3</f>
        <v>1.0782005381119524</v>
      </c>
      <c r="P73" s="52">
        <f>1000*P25/SER_summary!P$3</f>
        <v>1.1892762031002813</v>
      </c>
      <c r="Q73" s="52">
        <f>1000*Q25/SER_summary!Q$3</f>
        <v>1.350247800300306</v>
      </c>
      <c r="R73" s="52">
        <f>1000*R25/SER_summary!R$3</f>
        <v>1.3808613779424725</v>
      </c>
      <c r="S73" s="52">
        <f>1000*S25/SER_summary!S$3</f>
        <v>1.3913354062571277</v>
      </c>
      <c r="T73" s="52">
        <f>1000*T25/SER_summary!T$3</f>
        <v>1.4180750235682018</v>
      </c>
      <c r="U73" s="52">
        <f>1000*U25/SER_summary!U$3</f>
        <v>1.4754833868802364</v>
      </c>
      <c r="V73" s="52">
        <f>1000*V25/SER_summary!V$3</f>
        <v>1.5361747081810178</v>
      </c>
      <c r="W73" s="52">
        <f>1000*W25/SER_summary!W$3</f>
        <v>1.5875063026688578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109.96819585078039</v>
      </c>
      <c r="C3" s="199">
        <f>'SER_se-appl'!C4</f>
        <v>112.04738033621787</v>
      </c>
      <c r="D3" s="199">
        <f>'SER_se-appl'!D4</f>
        <v>113.51328315459067</v>
      </c>
      <c r="E3" s="199">
        <f>'SER_se-appl'!E4</f>
        <v>114.64347777068629</v>
      </c>
      <c r="F3" s="199">
        <f>'SER_se-appl'!F4</f>
        <v>114.86353979462955</v>
      </c>
      <c r="G3" s="199">
        <f>'SER_se-appl'!G4</f>
        <v>116.87640225531038</v>
      </c>
      <c r="H3" s="199">
        <f>'SER_se-appl'!H4</f>
        <v>119.8134076485687</v>
      </c>
      <c r="I3" s="199">
        <f>'SER_se-appl'!I4</f>
        <v>123.69003171015552</v>
      </c>
      <c r="J3" s="199">
        <f>'SER_se-appl'!J4</f>
        <v>126.14022321585703</v>
      </c>
      <c r="K3" s="199">
        <f>'SER_se-appl'!K4</f>
        <v>125.93564685442009</v>
      </c>
      <c r="L3" s="199">
        <f>'SER_se-appl'!L4</f>
        <v>127.23805429109613</v>
      </c>
      <c r="M3" s="199">
        <f>'SER_se-appl'!M4</f>
        <v>128.76878776350574</v>
      </c>
      <c r="N3" s="199">
        <f>'SER_se-appl'!N4</f>
        <v>128.9459654585981</v>
      </c>
      <c r="O3" s="199">
        <f>'SER_se-appl'!O4</f>
        <v>128.42247595148049</v>
      </c>
      <c r="P3" s="199">
        <f>'SER_se-appl'!P4</f>
        <v>128.04004936827096</v>
      </c>
      <c r="Q3" s="199">
        <f>'SER_se-appl'!Q4</f>
        <v>128.9258331362054</v>
      </c>
      <c r="R3" s="199">
        <f>'SER_se-appl'!R4</f>
        <v>128.5630556907395</v>
      </c>
      <c r="S3" s="199">
        <f>'SER_se-appl'!S4</f>
        <v>128.35573528418348</v>
      </c>
      <c r="T3" s="199">
        <f>'SER_se-appl'!T4</f>
        <v>127.96778109963519</v>
      </c>
      <c r="U3" s="199">
        <f>'SER_se-appl'!U4</f>
        <v>128.24039405335787</v>
      </c>
      <c r="V3" s="199">
        <f>'SER_se-appl'!V4</f>
        <v>128.49557276890613</v>
      </c>
      <c r="W3" s="199">
        <f>'SER_se-appl'!W4</f>
        <v>128.64859496737085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145.99658878362743</v>
      </c>
      <c r="C5" s="59">
        <f>'SER_se-appl'!C12</f>
        <v>148.75696727285549</v>
      </c>
      <c r="D5" s="59">
        <f>'SER_se-appl'!D12</f>
        <v>150.70313733880019</v>
      </c>
      <c r="E5" s="59">
        <f>'SER_se-appl'!E12</f>
        <v>152.20361261108241</v>
      </c>
      <c r="F5" s="59">
        <f>'SER_se-appl'!F12</f>
        <v>152.49577258122622</v>
      </c>
      <c r="G5" s="59">
        <f>'SER_se-appl'!G12</f>
        <v>155.16810025448177</v>
      </c>
      <c r="H5" s="59">
        <f>'SER_se-appl'!H12</f>
        <v>159.06734371607925</v>
      </c>
      <c r="I5" s="59">
        <f>'SER_se-appl'!I12</f>
        <v>164.21404894852839</v>
      </c>
      <c r="J5" s="59">
        <f>'SER_se-appl'!J12</f>
        <v>167.46698584479654</v>
      </c>
      <c r="K5" s="59">
        <f>'SER_se-appl'!K12</f>
        <v>167.19538503617636</v>
      </c>
      <c r="L5" s="59">
        <f>'SER_se-appl'!L12</f>
        <v>168.92449445267675</v>
      </c>
      <c r="M5" s="59">
        <f>'SER_se-appl'!M12</f>
        <v>170.95673535269083</v>
      </c>
      <c r="N5" s="59">
        <f>'SER_se-appl'!N12</f>
        <v>171.19196099126665</v>
      </c>
      <c r="O5" s="59">
        <f>'SER_se-appl'!O12</f>
        <v>170.49696293558429</v>
      </c>
      <c r="P5" s="59">
        <f>'SER_se-appl'!P12</f>
        <v>169.98924362477072</v>
      </c>
      <c r="Q5" s="59">
        <f>'SER_se-appl'!Q12</f>
        <v>171.16523280525902</v>
      </c>
      <c r="R5" s="59">
        <f>'SER_se-appl'!R12</f>
        <v>170.6836001921576</v>
      </c>
      <c r="S5" s="59">
        <f>'SER_se-appl'!S12</f>
        <v>170.40835631907009</v>
      </c>
      <c r="T5" s="59">
        <f>'SER_se-appl'!T12</f>
        <v>169.89329842337412</v>
      </c>
      <c r="U5" s="59">
        <f>'SER_se-appl'!U12</f>
        <v>170.25522635166118</v>
      </c>
      <c r="V5" s="59">
        <f>'SER_se-appl'!V12</f>
        <v>170.5940081395409</v>
      </c>
      <c r="W5" s="59">
        <f>'SER_se-appl'!W12</f>
        <v>170.79716432311906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601.27178601774096</v>
      </c>
      <c r="C6" s="202">
        <f>'SER_se-appl'!C68</f>
        <v>607.57359072318536</v>
      </c>
      <c r="D6" s="202">
        <f>'SER_se-appl'!D68</f>
        <v>614.57893210550799</v>
      </c>
      <c r="E6" s="202">
        <f>'SER_se-appl'!E68</f>
        <v>622.85908043215716</v>
      </c>
      <c r="F6" s="202">
        <f>'SER_se-appl'!F68</f>
        <v>630.89904077835536</v>
      </c>
      <c r="G6" s="202">
        <f>'SER_se-appl'!G68</f>
        <v>638.2644942355912</v>
      </c>
      <c r="H6" s="202">
        <f>'SER_se-appl'!H68</f>
        <v>644.98550179645758</v>
      </c>
      <c r="I6" s="202">
        <f>'SER_se-appl'!I68</f>
        <v>653.50901916579073</v>
      </c>
      <c r="J6" s="202">
        <f>'SER_se-appl'!J68</f>
        <v>662.37567350567747</v>
      </c>
      <c r="K6" s="202">
        <f>'SER_se-appl'!K68</f>
        <v>670.35417685374614</v>
      </c>
      <c r="L6" s="202">
        <f>'SER_se-appl'!L68</f>
        <v>678.68436979489309</v>
      </c>
      <c r="M6" s="202">
        <f>'SER_se-appl'!M68</f>
        <v>687.25141278134902</v>
      </c>
      <c r="N6" s="202">
        <f>'SER_se-appl'!N68</f>
        <v>695.0820898983236</v>
      </c>
      <c r="O6" s="202">
        <f>'SER_se-appl'!O68</f>
        <v>703.40008635383606</v>
      </c>
      <c r="P6" s="202">
        <f>'SER_se-appl'!P68</f>
        <v>711.5502641900049</v>
      </c>
      <c r="Q6" s="202">
        <f>'SER_se-appl'!Q68</f>
        <v>718.50301756115982</v>
      </c>
      <c r="R6" s="202">
        <f>'SER_se-appl'!R68</f>
        <v>725.31546767521161</v>
      </c>
      <c r="S6" s="202">
        <f>'SER_se-appl'!S68</f>
        <v>732.17624485350188</v>
      </c>
      <c r="T6" s="202">
        <f>'SER_se-appl'!T68</f>
        <v>738.82976047357965</v>
      </c>
      <c r="U6" s="202">
        <f>'SER_se-appl'!U68</f>
        <v>745.12099649830338</v>
      </c>
      <c r="V6" s="202">
        <f>'SER_se-appl'!V68</f>
        <v>750.76140880980302</v>
      </c>
      <c r="W6" s="202">
        <f>'SER_se-appl'!W68</f>
        <v>755.28295759305115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233.75397436399666</v>
      </c>
      <c r="C8" s="34">
        <f>'SER_se-appl'!C20</f>
        <v>239.85761833731627</v>
      </c>
      <c r="D8" s="34">
        <f>'SER_se-appl'!D20</f>
        <v>244.68418592569915</v>
      </c>
      <c r="E8" s="34">
        <f>'SER_se-appl'!E20</f>
        <v>248.8857514702884</v>
      </c>
      <c r="F8" s="34">
        <f>'SER_se-appl'!F20</f>
        <v>251.05710785196655</v>
      </c>
      <c r="G8" s="34">
        <f>'SER_se-appl'!G20</f>
        <v>257.83696567332959</v>
      </c>
      <c r="H8" s="34">
        <f>'SER_se-appl'!H20</f>
        <v>267.19286029461142</v>
      </c>
      <c r="I8" s="34">
        <f>'SER_se-appl'!I20</f>
        <v>279.22938722435902</v>
      </c>
      <c r="J8" s="34">
        <f>'SER_se-appl'!J20</f>
        <v>288.04038719457549</v>
      </c>
      <c r="K8" s="34">
        <f>'SER_se-appl'!K20</f>
        <v>290.35313780248856</v>
      </c>
      <c r="L8" s="34">
        <f>'SER_se-appl'!L20</f>
        <v>296.9761393534568</v>
      </c>
      <c r="M8" s="34">
        <f>'SER_se-appl'!M20</f>
        <v>304.63328706285643</v>
      </c>
      <c r="N8" s="34">
        <f>'SER_se-appl'!N20</f>
        <v>309.04837125288952</v>
      </c>
      <c r="O8" s="34">
        <f>'SER_se-appl'!O20</f>
        <v>311.94405722112037</v>
      </c>
      <c r="P8" s="34">
        <f>'SER_se-appl'!P20</f>
        <v>315.6408383424386</v>
      </c>
      <c r="Q8" s="34">
        <f>'SER_se-appl'!Q20</f>
        <v>323.43455784341188</v>
      </c>
      <c r="R8" s="34">
        <f>'SER_se-appl'!R20</f>
        <v>327.92447671475509</v>
      </c>
      <c r="S8" s="34">
        <f>'SER_se-appl'!S20</f>
        <v>333.22155376703222</v>
      </c>
      <c r="T8" s="34">
        <f>'SER_se-appl'!T20</f>
        <v>338.34453047692642</v>
      </c>
      <c r="U8" s="34">
        <f>'SER_se-appl'!U20</f>
        <v>343.23313409567828</v>
      </c>
      <c r="V8" s="34">
        <f>'SER_se-appl'!V20</f>
        <v>347.80190197612427</v>
      </c>
      <c r="W8" s="34">
        <f>'SER_se-appl'!W20</f>
        <v>351.87554416613136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16.242331575144306</v>
      </c>
      <c r="D9" s="36">
        <f>'SER_se-appl'!D28</f>
        <v>15.252033994425858</v>
      </c>
      <c r="E9" s="36">
        <f>'SER_se-appl'!E28</f>
        <v>14.921922463759813</v>
      </c>
      <c r="F9" s="36">
        <f>'SER_se-appl'!F28</f>
        <v>13.194944967392956</v>
      </c>
      <c r="G9" s="36">
        <f>'SER_se-appl'!G28</f>
        <v>18.115255161520224</v>
      </c>
      <c r="H9" s="36">
        <f>'SER_se-appl'!H28</f>
        <v>21.011920411808063</v>
      </c>
      <c r="I9" s="36">
        <f>'SER_se-appl'!I28</f>
        <v>24.022250336910389</v>
      </c>
      <c r="J9" s="36">
        <f>'SER_se-appl'!J28</f>
        <v>21.135746687040978</v>
      </c>
      <c r="K9" s="36">
        <f>'SER_se-appl'!K28</f>
        <v>14.98611011019392</v>
      </c>
      <c r="L9" s="36">
        <f>'SER_se-appl'!L28</f>
        <v>19.654834558521941</v>
      </c>
      <c r="M9" s="36">
        <f>'SER_se-appl'!M28</f>
        <v>21.05759385836285</v>
      </c>
      <c r="N9" s="36">
        <f>'SER_se-appl'!N28</f>
        <v>18.194569922176584</v>
      </c>
      <c r="O9" s="36">
        <f>'SER_se-appl'!O28</f>
        <v>17.064932643427312</v>
      </c>
      <c r="P9" s="36">
        <f>'SER_se-appl'!P28</f>
        <v>18.266813359476032</v>
      </c>
      <c r="Q9" s="36">
        <f>'SER_se-appl'!Q28</f>
        <v>22.775873759926753</v>
      </c>
      <c r="R9" s="36">
        <f>'SER_se-appl'!R28</f>
        <v>19.895852267373868</v>
      </c>
      <c r="S9" s="36">
        <f>'SER_se-appl'!S28</f>
        <v>21.138776430128189</v>
      </c>
      <c r="T9" s="36">
        <f>'SER_se-appl'!T28</f>
        <v>21.412767969336301</v>
      </c>
      <c r="U9" s="36">
        <f>'SER_se-appl'!U28</f>
        <v>21.130935193896164</v>
      </c>
      <c r="V9" s="36">
        <f>'SER_se-appl'!V28</f>
        <v>19.820801874871847</v>
      </c>
      <c r="W9" s="36">
        <f>'SER_se-appl'!W28</f>
        <v>18.995564653766905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10.138687601824699</v>
      </c>
      <c r="D10" s="38">
        <f>'SER_se-appl'!D36</f>
        <v>10.425466406042972</v>
      </c>
      <c r="E10" s="38">
        <f>'SER_se-appl'!E36</f>
        <v>10.720356919170598</v>
      </c>
      <c r="F10" s="38">
        <f>'SER_se-appl'!F36</f>
        <v>11.023588585714805</v>
      </c>
      <c r="G10" s="38">
        <f>'SER_se-appl'!G36</f>
        <v>11.335397340157215</v>
      </c>
      <c r="H10" s="38">
        <f>'SER_se-appl'!H36</f>
        <v>11.656025790526257</v>
      </c>
      <c r="I10" s="38">
        <f>'SER_se-appl'!I36</f>
        <v>11.985723407162823</v>
      </c>
      <c r="J10" s="38">
        <f>'SER_se-appl'!J36</f>
        <v>12.324746716824507</v>
      </c>
      <c r="K10" s="38">
        <f>'SER_se-appl'!K36</f>
        <v>12.673359502280846</v>
      </c>
      <c r="L10" s="38">
        <f>'SER_se-appl'!L36</f>
        <v>13.031833007553701</v>
      </c>
      <c r="M10" s="38">
        <f>'SER_se-appl'!M36</f>
        <v>13.400446148963226</v>
      </c>
      <c r="N10" s="38">
        <f>'SER_se-appl'!N36</f>
        <v>13.779485732143485</v>
      </c>
      <c r="O10" s="38">
        <f>'SER_se-appl'!O36</f>
        <v>14.169246675196462</v>
      </c>
      <c r="P10" s="38">
        <f>'SER_se-appl'!P36</f>
        <v>14.570032238157808</v>
      </c>
      <c r="Q10" s="38">
        <f>'SER_se-appl'!Q36</f>
        <v>14.982154258953472</v>
      </c>
      <c r="R10" s="38">
        <f>'SER_se-appl'!R36</f>
        <v>15.405933396030662</v>
      </c>
      <c r="S10" s="38">
        <f>'SER_se-appl'!S36</f>
        <v>15.841699377851057</v>
      </c>
      <c r="T10" s="38">
        <f>'SER_se-appl'!T36</f>
        <v>16.289791259442097</v>
      </c>
      <c r="U10" s="38">
        <f>'SER_se-appl'!U36</f>
        <v>16.242331575144306</v>
      </c>
      <c r="V10" s="38">
        <f>'SER_se-appl'!V36</f>
        <v>15.252033994425858</v>
      </c>
      <c r="W10" s="38">
        <f>'SER_se-appl'!W36</f>
        <v>14.921922463759813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8759.9999999999982</v>
      </c>
      <c r="D12" s="205">
        <f>'SER_se-appl'!D44</f>
        <v>8759.9999999999982</v>
      </c>
      <c r="E12" s="205">
        <f>'SER_se-appl'!E44</f>
        <v>8759.9999999999982</v>
      </c>
      <c r="F12" s="205">
        <f>'SER_se-appl'!F44</f>
        <v>8760</v>
      </c>
      <c r="G12" s="205">
        <f>'SER_se-appl'!G44</f>
        <v>8759.9999999999964</v>
      </c>
      <c r="H12" s="205">
        <f>'SER_se-appl'!H44</f>
        <v>8759.9999999999982</v>
      </c>
      <c r="I12" s="205">
        <f>'SER_se-appl'!I44</f>
        <v>8760</v>
      </c>
      <c r="J12" s="205">
        <f>'SER_se-appl'!J44</f>
        <v>8759.9999999999982</v>
      </c>
      <c r="K12" s="205">
        <f>'SER_se-appl'!K44</f>
        <v>8760.0000000000036</v>
      </c>
      <c r="L12" s="205">
        <f>'SER_se-appl'!L44</f>
        <v>8759.9999999999982</v>
      </c>
      <c r="M12" s="205">
        <f>'SER_se-appl'!M44</f>
        <v>8760</v>
      </c>
      <c r="N12" s="205">
        <f>'SER_se-appl'!N44</f>
        <v>8760</v>
      </c>
      <c r="O12" s="205">
        <f>'SER_se-appl'!O44</f>
        <v>8759.9999999999982</v>
      </c>
      <c r="P12" s="205">
        <f>'SER_se-appl'!P44</f>
        <v>8759.9999999999982</v>
      </c>
      <c r="Q12" s="205">
        <f>'SER_se-appl'!Q44</f>
        <v>8759.9999999999982</v>
      </c>
      <c r="R12" s="205">
        <f>'SER_se-appl'!R44</f>
        <v>8760</v>
      </c>
      <c r="S12" s="205">
        <f>'SER_se-appl'!S44</f>
        <v>8760</v>
      </c>
      <c r="T12" s="205">
        <f>'SER_se-appl'!T44</f>
        <v>8760</v>
      </c>
      <c r="U12" s="205">
        <f>'SER_se-appl'!U44</f>
        <v>8760</v>
      </c>
      <c r="V12" s="205">
        <f>'SER_se-appl'!V44</f>
        <v>8760</v>
      </c>
      <c r="W12" s="205">
        <f>'SER_se-appl'!W44</f>
        <v>8760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0.6245737176484738</v>
      </c>
      <c r="C14" s="59">
        <f>'SER_se-appl'!C52</f>
        <v>0.62018862817046649</v>
      </c>
      <c r="D14" s="59">
        <f>'SER_se-appl'!D52</f>
        <v>0.61590877550444856</v>
      </c>
      <c r="E14" s="59">
        <f>'SER_se-appl'!E52</f>
        <v>0.61154008098873525</v>
      </c>
      <c r="F14" s="59">
        <f>'SER_se-appl'!F52</f>
        <v>0.60741467901854396</v>
      </c>
      <c r="G14" s="59">
        <f>'SER_se-appl'!G52</f>
        <v>0.6018070366646896</v>
      </c>
      <c r="H14" s="59">
        <f>'SER_se-appl'!H52</f>
        <v>0.59532782253496175</v>
      </c>
      <c r="I14" s="59">
        <f>'SER_se-appl'!I52</f>
        <v>0.58809730086390744</v>
      </c>
      <c r="J14" s="59">
        <f>'SER_se-appl'!J52</f>
        <v>0.58140105794146901</v>
      </c>
      <c r="K14" s="59">
        <f>'SER_se-appl'!K52</f>
        <v>0.57583460713247148</v>
      </c>
      <c r="L14" s="59">
        <f>'SER_se-appl'!L52</f>
        <v>0.56881503955314472</v>
      </c>
      <c r="M14" s="59">
        <f>'SER_se-appl'!M52</f>
        <v>0.56118862452945439</v>
      </c>
      <c r="N14" s="59">
        <f>'SER_se-appl'!N52</f>
        <v>0.55393257792380635</v>
      </c>
      <c r="O14" s="59">
        <f>'SER_se-appl'!O52</f>
        <v>0.54656262553746349</v>
      </c>
      <c r="P14" s="59">
        <f>'SER_se-appl'!P52</f>
        <v>0.53855275672645841</v>
      </c>
      <c r="Q14" s="59">
        <f>'SER_se-appl'!Q52</f>
        <v>0.52921133086875405</v>
      </c>
      <c r="R14" s="59">
        <f>'SER_se-appl'!R52</f>
        <v>0.52049667625337592</v>
      </c>
      <c r="S14" s="59">
        <f>'SER_se-appl'!S52</f>
        <v>0.51139656001426914</v>
      </c>
      <c r="T14" s="59">
        <f>'SER_se-appl'!T52</f>
        <v>0.50213106203872881</v>
      </c>
      <c r="U14" s="59">
        <f>'SER_se-appl'!U52</f>
        <v>0.49603377249762115</v>
      </c>
      <c r="V14" s="59">
        <f>'SER_se-appl'!V52</f>
        <v>0.49049187819350037</v>
      </c>
      <c r="W14" s="59">
        <f>'SER_se-appl'!W52</f>
        <v>0.48539083535308275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0.55981718232441957</v>
      </c>
      <c r="D15" s="63">
        <f>'SER_se-appl'!D60</f>
        <v>0.55452553937902171</v>
      </c>
      <c r="E15" s="63">
        <f>'SER_se-appl'!E60</f>
        <v>0.54926759388494761</v>
      </c>
      <c r="F15" s="63">
        <f>'SER_se-appl'!F60</f>
        <v>0.54393585518447563</v>
      </c>
      <c r="G15" s="63">
        <f>'SER_se-appl'!G60</f>
        <v>0.53833737609918952</v>
      </c>
      <c r="H15" s="63">
        <f>'SER_se-appl'!H60</f>
        <v>0.53204517262070727</v>
      </c>
      <c r="I15" s="63">
        <f>'SER_se-appl'!I60</f>
        <v>0.52587384122614511</v>
      </c>
      <c r="J15" s="63">
        <f>'SER_se-appl'!J60</f>
        <v>0.5181103811669584</v>
      </c>
      <c r="K15" s="63">
        <f>'SER_se-appl'!K60</f>
        <v>0.51006207712403306</v>
      </c>
      <c r="L15" s="63">
        <f>'SER_se-appl'!L60</f>
        <v>0.50208765565637958</v>
      </c>
      <c r="M15" s="63">
        <f>'SER_se-appl'!M60</f>
        <v>0.49396941736955574</v>
      </c>
      <c r="N15" s="63">
        <f>'SER_se-appl'!N60</f>
        <v>0.48594335053823889</v>
      </c>
      <c r="O15" s="63">
        <f>'SER_se-appl'!O60</f>
        <v>0.47786540895983104</v>
      </c>
      <c r="P15" s="63">
        <f>'SER_se-appl'!P60</f>
        <v>0.47037979319876316</v>
      </c>
      <c r="Q15" s="63">
        <f>'SER_se-appl'!Q60</f>
        <v>0.46248276028465596</v>
      </c>
      <c r="R15" s="63">
        <f>'SER_se-appl'!R60</f>
        <v>0.45941779015374112</v>
      </c>
      <c r="S15" s="63">
        <f>'SER_se-appl'!S60</f>
        <v>0.45504361300197355</v>
      </c>
      <c r="T15" s="63">
        <f>'SER_se-appl'!T60</f>
        <v>0.45109149852851921</v>
      </c>
      <c r="U15" s="63">
        <f>'SER_se-appl'!U60</f>
        <v>0.44743236105301931</v>
      </c>
      <c r="V15" s="63">
        <f>'SER_se-appl'!V60</f>
        <v>0.44379759309424038</v>
      </c>
      <c r="W15" s="63">
        <f>'SER_se-appl'!W60</f>
        <v>0.44217083221685927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83.334293087847428</v>
      </c>
      <c r="C3" s="199">
        <f>'SER_se-appl'!C5</f>
        <v>84.497664665606152</v>
      </c>
      <c r="D3" s="199">
        <f>'SER_se-appl'!D5</f>
        <v>85.97814097708013</v>
      </c>
      <c r="E3" s="199">
        <f>'SER_se-appl'!E5</f>
        <v>87.52584548055134</v>
      </c>
      <c r="F3" s="199">
        <f>'SER_se-appl'!F5</f>
        <v>89.088279470848775</v>
      </c>
      <c r="G3" s="199">
        <f>'SER_se-appl'!G5</f>
        <v>90.037467713588001</v>
      </c>
      <c r="H3" s="199">
        <f>'SER_se-appl'!H5</f>
        <v>91.663641011341568</v>
      </c>
      <c r="I3" s="199">
        <f>'SER_se-appl'!I5</f>
        <v>92.611479531957798</v>
      </c>
      <c r="J3" s="199">
        <f>'SER_se-appl'!J5</f>
        <v>94.659493112340868</v>
      </c>
      <c r="K3" s="199">
        <f>'SER_se-appl'!K5</f>
        <v>96.893902089951951</v>
      </c>
      <c r="L3" s="199">
        <f>'SER_se-appl'!L5</f>
        <v>99.228635972662687</v>
      </c>
      <c r="M3" s="199">
        <f>'SER_se-appl'!M5</f>
        <v>100.63546987640325</v>
      </c>
      <c r="N3" s="199">
        <f>'SER_se-appl'!N5</f>
        <v>102.59615544430702</v>
      </c>
      <c r="O3" s="199">
        <f>'SER_se-appl'!O5</f>
        <v>104.27742401924593</v>
      </c>
      <c r="P3" s="199">
        <f>'SER_se-appl'!P5</f>
        <v>106.46429202659165</v>
      </c>
      <c r="Q3" s="199">
        <f>'SER_se-appl'!Q5</f>
        <v>107.20412929468924</v>
      </c>
      <c r="R3" s="199">
        <f>'SER_se-appl'!R5</f>
        <v>106.13488865175263</v>
      </c>
      <c r="S3" s="199">
        <f>'SER_se-appl'!S5</f>
        <v>106.66021030256016</v>
      </c>
      <c r="T3" s="199">
        <f>'SER_se-appl'!T5</f>
        <v>104.50048638547614</v>
      </c>
      <c r="U3" s="199">
        <f>'SER_se-appl'!U5</f>
        <v>101.84421620059409</v>
      </c>
      <c r="V3" s="199">
        <f>'SER_se-appl'!V5</f>
        <v>98.447656495244615</v>
      </c>
      <c r="W3" s="199">
        <f>'SER_se-appl'!W5</f>
        <v>96.165471507903035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237.14434019156289</v>
      </c>
      <c r="C5" s="59">
        <f>'SER_se-appl'!C13</f>
        <v>240.35829216122389</v>
      </c>
      <c r="D5" s="59">
        <f>'SER_se-appl'!D13</f>
        <v>244.54930425460662</v>
      </c>
      <c r="E5" s="59">
        <f>'SER_se-appl'!E13</f>
        <v>248.92425141430334</v>
      </c>
      <c r="F5" s="59">
        <f>'SER_se-appl'!F13</f>
        <v>253.3362424798452</v>
      </c>
      <c r="G5" s="59">
        <f>'SER_se-appl'!G13</f>
        <v>256.23011745145379</v>
      </c>
      <c r="H5" s="59">
        <f>'SER_se-appl'!H13</f>
        <v>260.97957036562883</v>
      </c>
      <c r="I5" s="59">
        <f>'SER_se-appl'!I13</f>
        <v>263.91949759115397</v>
      </c>
      <c r="J5" s="59">
        <f>'SER_se-appl'!J13</f>
        <v>270.15098173140262</v>
      </c>
      <c r="K5" s="59">
        <f>'SER_se-appl'!K13</f>
        <v>277.0048111252687</v>
      </c>
      <c r="L5" s="59">
        <f>'SER_se-appl'!L13</f>
        <v>284.42763402614054</v>
      </c>
      <c r="M5" s="59">
        <f>'SER_se-appl'!M13</f>
        <v>290.25197415111535</v>
      </c>
      <c r="N5" s="59">
        <f>'SER_se-appl'!N13</f>
        <v>298.1123511903516</v>
      </c>
      <c r="O5" s="59">
        <f>'SER_se-appl'!O13</f>
        <v>305.65144964037512</v>
      </c>
      <c r="P5" s="59">
        <f>'SER_se-appl'!P13</f>
        <v>314.64218359752465</v>
      </c>
      <c r="Q5" s="59">
        <f>'SER_se-appl'!Q13</f>
        <v>319.76941649619471</v>
      </c>
      <c r="R5" s="59">
        <f>'SER_se-appl'!R13</f>
        <v>318.70236800058814</v>
      </c>
      <c r="S5" s="59">
        <f>'SER_se-appl'!S13</f>
        <v>316.60762343975171</v>
      </c>
      <c r="T5" s="59">
        <f>'SER_se-appl'!T13</f>
        <v>313.36410657713702</v>
      </c>
      <c r="U5" s="59">
        <f>'SER_se-appl'!U13</f>
        <v>308.39065162261335</v>
      </c>
      <c r="V5" s="59">
        <f>'SER_se-appl'!V13</f>
        <v>301.06590197410912</v>
      </c>
      <c r="W5" s="59">
        <f>'SER_se-appl'!W13</f>
        <v>293.3819948731504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8.2182144451701439E-2</v>
      </c>
      <c r="C6" s="202">
        <f>'SER_se-appl'!C69</f>
        <v>8.3449151186960252E-2</v>
      </c>
      <c r="D6" s="202">
        <f>'SER_se-appl'!D69</f>
        <v>8.529018488023106E-2</v>
      </c>
      <c r="E6" s="202">
        <f>'SER_se-appl'!E69</f>
        <v>8.7595841193908133E-2</v>
      </c>
      <c r="F6" s="202">
        <f>'SER_se-appl'!F69</f>
        <v>9.0326096059219319E-2</v>
      </c>
      <c r="G6" s="202">
        <f>'SER_se-appl'!G69</f>
        <v>9.2853676289034875E-2</v>
      </c>
      <c r="H6" s="202">
        <f>'SER_se-appl'!H69</f>
        <v>9.6514858244322196E-2</v>
      </c>
      <c r="I6" s="202">
        <f>'SER_se-appl'!I69</f>
        <v>9.9881241271673429E-2</v>
      </c>
      <c r="J6" s="202">
        <f>'SER_se-appl'!J69</f>
        <v>0.10362579068318276</v>
      </c>
      <c r="K6" s="202">
        <f>'SER_se-appl'!K69</f>
        <v>0.10767120661836059</v>
      </c>
      <c r="L6" s="202">
        <f>'SER_se-appl'!L69</f>
        <v>0.11215691470906186</v>
      </c>
      <c r="M6" s="202">
        <f>'SER_se-appl'!M69</f>
        <v>0.11636617812395372</v>
      </c>
      <c r="N6" s="202">
        <f>'SER_se-appl'!N69</f>
        <v>0.12193576643299835</v>
      </c>
      <c r="O6" s="202">
        <f>'SER_se-appl'!O69</f>
        <v>0.12830644304918293</v>
      </c>
      <c r="P6" s="202">
        <f>'SER_se-appl'!P69</f>
        <v>0.13604702045494901</v>
      </c>
      <c r="Q6" s="202">
        <f>'SER_se-appl'!Q69</f>
        <v>0.1424551409457506</v>
      </c>
      <c r="R6" s="202">
        <f>'SER_se-appl'!R69</f>
        <v>0.14673803141732597</v>
      </c>
      <c r="S6" s="202">
        <f>'SER_se-appl'!S69</f>
        <v>0.15112591068775877</v>
      </c>
      <c r="T6" s="202">
        <f>'SER_se-appl'!T69</f>
        <v>0.15540353262244166</v>
      </c>
      <c r="U6" s="202">
        <f>'SER_se-appl'!U69</f>
        <v>0.15948161832119293</v>
      </c>
      <c r="V6" s="202">
        <f>'SER_se-appl'!V69</f>
        <v>0.16299885727498337</v>
      </c>
      <c r="W6" s="202">
        <f>'SER_se-appl'!W69</f>
        <v>0.16656528996886011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1303.7334304745691</v>
      </c>
      <c r="C8" s="34">
        <f>'SER_se-appl'!C21</f>
        <v>1334.1078387122725</v>
      </c>
      <c r="D8" s="34">
        <f>'SER_se-appl'!D21</f>
        <v>1373.6227351988121</v>
      </c>
      <c r="E8" s="34">
        <f>'SER_se-appl'!E21</f>
        <v>1418.4019654329236</v>
      </c>
      <c r="F8" s="34">
        <f>'SER_se-appl'!F21</f>
        <v>1468.5245601658617</v>
      </c>
      <c r="G8" s="34">
        <f>'SER_se-appl'!G21</f>
        <v>1514.0280329264417</v>
      </c>
      <c r="H8" s="34">
        <f>'SER_se-appl'!H21</f>
        <v>1576.4939626829901</v>
      </c>
      <c r="I8" s="34">
        <f>'SER_se-appl'!I21</f>
        <v>1633.8565456721037</v>
      </c>
      <c r="J8" s="34">
        <f>'SER_se-appl'!J21</f>
        <v>1700.0224428480956</v>
      </c>
      <c r="K8" s="34">
        <f>'SER_se-appl'!K21</f>
        <v>1775.0445783432829</v>
      </c>
      <c r="L8" s="34">
        <f>'SER_se-appl'!L21</f>
        <v>1858.9996275766384</v>
      </c>
      <c r="M8" s="34">
        <f>'SER_se-appl'!M21</f>
        <v>1938.1716732307702</v>
      </c>
      <c r="N8" s="34">
        <f>'SER_se-appl'!N21</f>
        <v>2040.027806070781</v>
      </c>
      <c r="O8" s="34">
        <f>'SER_se-appl'!O21</f>
        <v>2152.9275841269937</v>
      </c>
      <c r="P8" s="34">
        <f>'SER_se-appl'!P21</f>
        <v>2289.5746248252485</v>
      </c>
      <c r="Q8" s="34">
        <f>'SER_se-appl'!Q21</f>
        <v>2407.5953044155117</v>
      </c>
      <c r="R8" s="34">
        <f>'SER_se-appl'!R21</f>
        <v>2491.4826439985477</v>
      </c>
      <c r="S8" s="34">
        <f>'SER_se-appl'!S21</f>
        <v>2581.4583012943262</v>
      </c>
      <c r="T8" s="34">
        <f>'SER_se-appl'!T21</f>
        <v>2670.0011478829106</v>
      </c>
      <c r="U8" s="34">
        <f>'SER_se-appl'!U21</f>
        <v>2756.1873233306428</v>
      </c>
      <c r="V8" s="34">
        <f>'SER_se-appl'!V21</f>
        <v>2837.416462917141</v>
      </c>
      <c r="W8" s="34">
        <f>'SER_se-appl'!W21</f>
        <v>2910.7975668011677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193.92050471933544</v>
      </c>
      <c r="D9" s="36">
        <f>'SER_se-appl'!D29</f>
        <v>210.10081531275</v>
      </c>
      <c r="E9" s="36">
        <f>'SER_se-appl'!E29</f>
        <v>222.70799972357872</v>
      </c>
      <c r="F9" s="36">
        <f>'SER_se-appl'!F29</f>
        <v>235.71028702241188</v>
      </c>
      <c r="G9" s="36">
        <f>'SER_se-appl'!G29</f>
        <v>239.07976527448614</v>
      </c>
      <c r="H9" s="36">
        <f>'SER_se-appl'!H29</f>
        <v>264.37469084498298</v>
      </c>
      <c r="I9" s="36">
        <f>'SER_se-appl'!I29</f>
        <v>267.96248277455857</v>
      </c>
      <c r="J9" s="36">
        <f>'SER_se-appl'!J29</f>
        <v>260.0864018953273</v>
      </c>
      <c r="K9" s="36">
        <f>'SER_se-appl'!K29</f>
        <v>285.12295080793729</v>
      </c>
      <c r="L9" s="36">
        <f>'SER_se-appl'!L29</f>
        <v>306.66304895693429</v>
      </c>
      <c r="M9" s="36">
        <f>'SER_se-appl'!M29</f>
        <v>314.88233267654368</v>
      </c>
      <c r="N9" s="36">
        <f>'SER_se-appl'!N29</f>
        <v>340.93589811449692</v>
      </c>
      <c r="O9" s="36">
        <f>'SER_se-appl'!O29</f>
        <v>377.27446890119563</v>
      </c>
      <c r="P9" s="36">
        <f>'SER_se-appl'!P29</f>
        <v>404.60952347281341</v>
      </c>
      <c r="Q9" s="36">
        <f>'SER_se-appl'!Q29</f>
        <v>378.10708148559047</v>
      </c>
      <c r="R9" s="36">
        <f>'SER_se-appl'!R29</f>
        <v>369.0102903909733</v>
      </c>
      <c r="S9" s="36">
        <f>'SER_se-appl'!S29</f>
        <v>396.63870625271284</v>
      </c>
      <c r="T9" s="36">
        <f>'SER_se-appl'!T29</f>
        <v>403.42517926512801</v>
      </c>
      <c r="U9" s="36">
        <f>'SER_se-appl'!U29</f>
        <v>427.12207356222916</v>
      </c>
      <c r="V9" s="36">
        <f>'SER_se-appl'!V29</f>
        <v>458.50360848769378</v>
      </c>
      <c r="W9" s="36">
        <f>'SER_se-appl'!W29</f>
        <v>477.99062735684038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163.54609648163205</v>
      </c>
      <c r="D10" s="38">
        <f>'SER_se-appl'!D37</f>
        <v>170.58591882621045</v>
      </c>
      <c r="E10" s="38">
        <f>'SER_se-appl'!E37</f>
        <v>177.92876948946719</v>
      </c>
      <c r="F10" s="38">
        <f>'SER_se-appl'!F37</f>
        <v>185.58769228947381</v>
      </c>
      <c r="G10" s="38">
        <f>'SER_se-appl'!G37</f>
        <v>193.57629251390608</v>
      </c>
      <c r="H10" s="38">
        <f>'SER_se-appl'!H37</f>
        <v>201.90876108843463</v>
      </c>
      <c r="I10" s="38">
        <f>'SER_se-appl'!I37</f>
        <v>210.5998997854449</v>
      </c>
      <c r="J10" s="38">
        <f>'SER_se-appl'!J37</f>
        <v>193.92050471933544</v>
      </c>
      <c r="K10" s="38">
        <f>'SER_se-appl'!K37</f>
        <v>210.10081531275</v>
      </c>
      <c r="L10" s="38">
        <f>'SER_se-appl'!L37</f>
        <v>222.70799972357872</v>
      </c>
      <c r="M10" s="38">
        <f>'SER_se-appl'!M37</f>
        <v>235.71028702241188</v>
      </c>
      <c r="N10" s="38">
        <f>'SER_se-appl'!N37</f>
        <v>239.07976527448636</v>
      </c>
      <c r="O10" s="38">
        <f>'SER_se-appl'!O37</f>
        <v>264.37469084498298</v>
      </c>
      <c r="P10" s="38">
        <f>'SER_se-appl'!P37</f>
        <v>267.96248277455879</v>
      </c>
      <c r="Q10" s="38">
        <f>'SER_se-appl'!Q37</f>
        <v>260.08640189532753</v>
      </c>
      <c r="R10" s="38">
        <f>'SER_se-appl'!R37</f>
        <v>285.12295080793729</v>
      </c>
      <c r="S10" s="38">
        <f>'SER_se-appl'!S37</f>
        <v>306.66304895693429</v>
      </c>
      <c r="T10" s="38">
        <f>'SER_se-appl'!T37</f>
        <v>314.88233267654368</v>
      </c>
      <c r="U10" s="38">
        <f>'SER_se-appl'!U37</f>
        <v>340.93589811449692</v>
      </c>
      <c r="V10" s="38">
        <f>'SER_se-appl'!V37</f>
        <v>377.27446890119563</v>
      </c>
      <c r="W10" s="38">
        <f>'SER_se-appl'!W37</f>
        <v>404.60952347281363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4086.868899459178</v>
      </c>
      <c r="C12" s="205">
        <f>'SER_se-appl'!C45</f>
        <v>4088.5123255986259</v>
      </c>
      <c r="D12" s="205">
        <f>'SER_se-appl'!D45</f>
        <v>4088.8514592639904</v>
      </c>
      <c r="E12" s="205">
        <f>'SER_se-appl'!E45</f>
        <v>4089.2985603262978</v>
      </c>
      <c r="F12" s="205">
        <f>'SER_se-appl'!F45</f>
        <v>4089.8083910295645</v>
      </c>
      <c r="G12" s="205">
        <f>'SER_se-appl'!G45</f>
        <v>4086.7005015810537</v>
      </c>
      <c r="H12" s="205">
        <f>'SER_se-appl'!H45</f>
        <v>4084.795386352976</v>
      </c>
      <c r="I12" s="205">
        <f>'SER_se-appl'!I45</f>
        <v>4081.0607658294148</v>
      </c>
      <c r="J12" s="205">
        <f>'SER_se-appl'!J45</f>
        <v>4075.0912613417158</v>
      </c>
      <c r="K12" s="205">
        <f>'SER_se-appl'!K45</f>
        <v>4068.0740407665289</v>
      </c>
      <c r="L12" s="205">
        <f>'SER_se-appl'!L45</f>
        <v>4057.3731181689791</v>
      </c>
      <c r="M12" s="205">
        <f>'SER_se-appl'!M45</f>
        <v>4032.325768276165</v>
      </c>
      <c r="N12" s="205">
        <f>'SER_se-appl'!N45</f>
        <v>4002.4953110896404</v>
      </c>
      <c r="O12" s="205">
        <f>'SER_se-appl'!O45</f>
        <v>3967.7431360810797</v>
      </c>
      <c r="P12" s="205">
        <f>'SER_se-appl'!P45</f>
        <v>3935.1993496621603</v>
      </c>
      <c r="Q12" s="205">
        <f>'SER_se-appl'!Q45</f>
        <v>3899.0095968482738</v>
      </c>
      <c r="R12" s="205">
        <f>'SER_se-appl'!R45</f>
        <v>3873.045446018165</v>
      </c>
      <c r="S12" s="205">
        <f>'SER_se-appl'!S45</f>
        <v>3917.9670796992841</v>
      </c>
      <c r="T12" s="205">
        <f>'SER_se-appl'!T45</f>
        <v>3878.3658726527501</v>
      </c>
      <c r="U12" s="205">
        <f>'SER_se-appl'!U45</f>
        <v>3840.7397506405391</v>
      </c>
      <c r="V12" s="205">
        <f>'SER_se-appl'!V45</f>
        <v>3802.9754865370219</v>
      </c>
      <c r="W12" s="205">
        <f>'SER_se-appl'!W45</f>
        <v>3812.1099903232885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181.89634065396368</v>
      </c>
      <c r="C14" s="59">
        <f>'SER_se-appl'!C53</f>
        <v>180.16406559249822</v>
      </c>
      <c r="D14" s="59">
        <f>'SER_se-appl'!D53</f>
        <v>178.03236506507855</v>
      </c>
      <c r="E14" s="59">
        <f>'SER_se-appl'!E53</f>
        <v>175.49626796965617</v>
      </c>
      <c r="F14" s="59">
        <f>'SER_se-appl'!F53</f>
        <v>172.51072903488401</v>
      </c>
      <c r="G14" s="59">
        <f>'SER_se-appl'!G53</f>
        <v>169.23736673236527</v>
      </c>
      <c r="H14" s="59">
        <f>'SER_se-appl'!H53</f>
        <v>165.54428785853079</v>
      </c>
      <c r="I14" s="59">
        <f>'SER_se-appl'!I53</f>
        <v>161.53162178787733</v>
      </c>
      <c r="J14" s="59">
        <f>'SER_se-appl'!J53</f>
        <v>158.91024431348745</v>
      </c>
      <c r="K14" s="59">
        <f>'SER_se-appl'!K53</f>
        <v>156.05512926543395</v>
      </c>
      <c r="L14" s="59">
        <f>'SER_se-appl'!L53</f>
        <v>153.000371709012</v>
      </c>
      <c r="M14" s="59">
        <f>'SER_se-appl'!M53</f>
        <v>149.75555476326281</v>
      </c>
      <c r="N14" s="59">
        <f>'SER_se-appl'!N53</f>
        <v>146.13151365055867</v>
      </c>
      <c r="O14" s="59">
        <f>'SER_se-appl'!O53</f>
        <v>141.97014887721639</v>
      </c>
      <c r="P14" s="59">
        <f>'SER_se-appl'!P53</f>
        <v>137.42386039133348</v>
      </c>
      <c r="Q14" s="59">
        <f>'SER_se-appl'!Q53</f>
        <v>132.81692978456138</v>
      </c>
      <c r="R14" s="59">
        <f>'SER_se-appl'!R53</f>
        <v>127.91675220707415</v>
      </c>
      <c r="S14" s="59">
        <f>'SER_se-appl'!S53</f>
        <v>122.64680908500699</v>
      </c>
      <c r="T14" s="59">
        <f>'SER_se-appl'!T53</f>
        <v>117.36478346670702</v>
      </c>
      <c r="U14" s="59">
        <f>'SER_se-appl'!U53</f>
        <v>111.89030912817157</v>
      </c>
      <c r="V14" s="59">
        <f>'SER_se-appl'!V53</f>
        <v>106.10564431017082</v>
      </c>
      <c r="W14" s="59">
        <f>'SER_se-appl'!W53</f>
        <v>100.79093036880737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169.97887095857666</v>
      </c>
      <c r="D15" s="63">
        <f>'SER_se-appl'!D61</f>
        <v>167.6336497911114</v>
      </c>
      <c r="E15" s="63">
        <f>'SER_se-appl'!E61</f>
        <v>164.96730819051811</v>
      </c>
      <c r="F15" s="63">
        <f>'SER_se-appl'!F61</f>
        <v>161.93486353771954</v>
      </c>
      <c r="G15" s="63">
        <f>'SER_se-appl'!G61</f>
        <v>159.38067436824531</v>
      </c>
      <c r="H15" s="63">
        <f>'SER_se-appl'!H61</f>
        <v>156.88308729392034</v>
      </c>
      <c r="I15" s="63">
        <f>'SER_se-appl'!I61</f>
        <v>153.92930350362175</v>
      </c>
      <c r="J15" s="63">
        <f>'SER_se-appl'!J61</f>
        <v>150.69558539985641</v>
      </c>
      <c r="K15" s="63">
        <f>'SER_se-appl'!K61</f>
        <v>147.5636940821787</v>
      </c>
      <c r="L15" s="63">
        <f>'SER_se-appl'!L61</f>
        <v>144.00940145210362</v>
      </c>
      <c r="M15" s="63">
        <f>'SER_se-appl'!M61</f>
        <v>139.71585167840365</v>
      </c>
      <c r="N15" s="63">
        <f>'SER_se-appl'!N61</f>
        <v>134.82027416499625</v>
      </c>
      <c r="O15" s="63">
        <f>'SER_se-appl'!O61</f>
        <v>129.91872016920573</v>
      </c>
      <c r="P15" s="63">
        <f>'SER_se-appl'!P61</f>
        <v>124.16418640999737</v>
      </c>
      <c r="Q15" s="63">
        <f>'SER_se-appl'!Q61</f>
        <v>117.21839567957889</v>
      </c>
      <c r="R15" s="63">
        <f>'SER_se-appl'!R61</f>
        <v>111.12629772404607</v>
      </c>
      <c r="S15" s="63">
        <f>'SER_se-appl'!S61</f>
        <v>106.06029342009286</v>
      </c>
      <c r="T15" s="63">
        <f>'SER_se-appl'!T61</f>
        <v>101.01138580393399</v>
      </c>
      <c r="U15" s="63">
        <f>'SER_se-appl'!U61</f>
        <v>95.971664400505034</v>
      </c>
      <c r="V15" s="63">
        <f>'SER_se-appl'!V61</f>
        <v>90.926801298609305</v>
      </c>
      <c r="W15" s="63">
        <f>'SER_se-appl'!W61</f>
        <v>89.027070321635065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477.87407323270645</v>
      </c>
      <c r="C3" s="199">
        <f>'SER_se-appl'!C6</f>
        <v>487.9035946037518</v>
      </c>
      <c r="D3" s="199">
        <f>'SER_se-appl'!D6</f>
        <v>492.02080061957986</v>
      </c>
      <c r="E3" s="199">
        <f>'SER_se-appl'!E6</f>
        <v>492.47730648343935</v>
      </c>
      <c r="F3" s="199">
        <f>'SER_se-appl'!F6</f>
        <v>489.58589642866218</v>
      </c>
      <c r="G3" s="199">
        <f>'SER_se-appl'!G6</f>
        <v>491.78553972876932</v>
      </c>
      <c r="H3" s="199">
        <f>'SER_se-appl'!H6</f>
        <v>497.79118440581055</v>
      </c>
      <c r="I3" s="199">
        <f>'SER_se-appl'!I6</f>
        <v>510.54411800886368</v>
      </c>
      <c r="J3" s="199">
        <f>'SER_se-appl'!J6</f>
        <v>519.63456801708242</v>
      </c>
      <c r="K3" s="199">
        <f>'SER_se-appl'!K6</f>
        <v>520.36310131825292</v>
      </c>
      <c r="L3" s="199">
        <f>'SER_se-appl'!L6</f>
        <v>527.28791755735131</v>
      </c>
      <c r="M3" s="199">
        <f>'SER_se-appl'!M6</f>
        <v>533.89170951328015</v>
      </c>
      <c r="N3" s="199">
        <f>'SER_se-appl'!N6</f>
        <v>533.20268861315833</v>
      </c>
      <c r="O3" s="199">
        <f>'SER_se-appl'!O6</f>
        <v>530.12969204113892</v>
      </c>
      <c r="P3" s="199">
        <f>'SER_se-appl'!P6</f>
        <v>531.3291843708173</v>
      </c>
      <c r="Q3" s="199">
        <f>'SER_se-appl'!Q6</f>
        <v>542.94025756893677</v>
      </c>
      <c r="R3" s="199">
        <f>'SER_se-appl'!R6</f>
        <v>534.55151803875651</v>
      </c>
      <c r="S3" s="199">
        <f>'SER_se-appl'!S6</f>
        <v>533.39494904719299</v>
      </c>
      <c r="T3" s="199">
        <f>'SER_se-appl'!T6</f>
        <v>511.25942316013106</v>
      </c>
      <c r="U3" s="199">
        <f>'SER_se-appl'!U6</f>
        <v>486.26424560536759</v>
      </c>
      <c r="V3" s="199">
        <f>'SER_se-appl'!V6</f>
        <v>454.95657518527889</v>
      </c>
      <c r="W3" s="199">
        <f>'SER_se-appl'!W6</f>
        <v>431.96584293571982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2456.5887323231054</v>
      </c>
      <c r="C5" s="59">
        <f>'SER_se-appl'!C14</f>
        <v>2491.0687166558714</v>
      </c>
      <c r="D5" s="59">
        <f>'SER_se-appl'!D14</f>
        <v>2500.9575406207236</v>
      </c>
      <c r="E5" s="59">
        <f>'SER_se-appl'!E14</f>
        <v>2492.4619664676025</v>
      </c>
      <c r="F5" s="59">
        <f>'SER_se-appl'!F14</f>
        <v>2463.5301515316751</v>
      </c>
      <c r="G5" s="59">
        <f>'SER_se-appl'!G14</f>
        <v>2466.0488490241105</v>
      </c>
      <c r="H5" s="59">
        <f>'SER_se-appl'!H14</f>
        <v>2484.8190270895275</v>
      </c>
      <c r="I5" s="59">
        <f>'SER_se-appl'!I14</f>
        <v>2531.2323089418178</v>
      </c>
      <c r="J5" s="59">
        <f>'SER_se-appl'!J14</f>
        <v>2563.957049907036</v>
      </c>
      <c r="K5" s="59">
        <f>'SER_se-appl'!K14</f>
        <v>2558.7197201048671</v>
      </c>
      <c r="L5" s="59">
        <f>'SER_se-appl'!L14</f>
        <v>2581.7241271995586</v>
      </c>
      <c r="M5" s="59">
        <f>'SER_se-appl'!M14</f>
        <v>2607.2700934819695</v>
      </c>
      <c r="N5" s="59">
        <f>'SER_se-appl'!N14</f>
        <v>2593.7451788778844</v>
      </c>
      <c r="O5" s="59">
        <f>'SER_se-appl'!O14</f>
        <v>2572.0682536103664</v>
      </c>
      <c r="P5" s="59">
        <f>'SER_se-appl'!P14</f>
        <v>2567.9693601945301</v>
      </c>
      <c r="Q5" s="59">
        <f>'SER_se-appl'!Q14</f>
        <v>2610.948902256579</v>
      </c>
      <c r="R5" s="59">
        <f>'SER_se-appl'!R14</f>
        <v>2564.276268594966</v>
      </c>
      <c r="S5" s="59">
        <f>'SER_se-appl'!S14</f>
        <v>2505.0762956568688</v>
      </c>
      <c r="T5" s="59">
        <f>'SER_se-appl'!T14</f>
        <v>2427.7650417864938</v>
      </c>
      <c r="U5" s="59">
        <f>'SER_se-appl'!U14</f>
        <v>2332.1072764923556</v>
      </c>
      <c r="V5" s="59">
        <f>'SER_se-appl'!V14</f>
        <v>2224.4356786951766</v>
      </c>
      <c r="W5" s="59">
        <f>'SER_se-appl'!W14</f>
        <v>2095.3443697628968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181.33793965397589</v>
      </c>
      <c r="C6" s="202">
        <f>'SER_se-appl'!C70</f>
        <v>183.13589064897801</v>
      </c>
      <c r="D6" s="202">
        <f>'SER_se-appl'!D70</f>
        <v>185.51948027277163</v>
      </c>
      <c r="E6" s="202">
        <f>'SER_se-appl'!E70</f>
        <v>188.0145611109424</v>
      </c>
      <c r="F6" s="202">
        <f>'SER_se-appl'!F70</f>
        <v>190.85713695103067</v>
      </c>
      <c r="G6" s="202">
        <f>'SER_se-appl'!G70</f>
        <v>193.47367189832497</v>
      </c>
      <c r="H6" s="202">
        <f>'SER_se-appl'!H70</f>
        <v>196.47807802738302</v>
      </c>
      <c r="I6" s="202">
        <f>'SER_se-appl'!I70</f>
        <v>199.10042015063564</v>
      </c>
      <c r="J6" s="202">
        <f>'SER_se-appl'!J70</f>
        <v>202.55289597401065</v>
      </c>
      <c r="K6" s="202">
        <f>'SER_se-appl'!K70</f>
        <v>207.08711163945921</v>
      </c>
      <c r="L6" s="202">
        <f>'SER_se-appl'!L70</f>
        <v>211.5752872418937</v>
      </c>
      <c r="M6" s="202">
        <f>'SER_se-appl'!M70</f>
        <v>216.84024968033896</v>
      </c>
      <c r="N6" s="202">
        <f>'SER_se-appl'!N70</f>
        <v>221.71158241143846</v>
      </c>
      <c r="O6" s="202">
        <f>'SER_se-appl'!O70</f>
        <v>227.89812894497013</v>
      </c>
      <c r="P6" s="202">
        <f>'SER_se-appl'!P70</f>
        <v>235.7011110627686</v>
      </c>
      <c r="Q6" s="202">
        <f>'SER_se-appl'!Q70</f>
        <v>246.21390974963964</v>
      </c>
      <c r="R6" s="202">
        <f>'SER_se-appl'!R70</f>
        <v>251.62862569743314</v>
      </c>
      <c r="S6" s="202">
        <f>'SER_se-appl'!S70</f>
        <v>257.11997120016832</v>
      </c>
      <c r="T6" s="202">
        <f>'SER_se-appl'!T70</f>
        <v>262.36548018015446</v>
      </c>
      <c r="U6" s="202">
        <f>'SER_se-appl'!U70</f>
        <v>267.16794888256965</v>
      </c>
      <c r="V6" s="202">
        <f>'SER_se-appl'!V70</f>
        <v>271.15986138841265</v>
      </c>
      <c r="W6" s="202">
        <f>'SER_se-appl'!W70</f>
        <v>273.80909923224505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70.498009523840764</v>
      </c>
      <c r="C8" s="34">
        <f>'SER_se-appl'!C22</f>
        <v>72.29830136438612</v>
      </c>
      <c r="D8" s="34">
        <f>'SER_se-appl'!D22</f>
        <v>73.861436883926501</v>
      </c>
      <c r="E8" s="34">
        <f>'SER_se-appl'!E22</f>
        <v>75.127981271439864</v>
      </c>
      <c r="F8" s="34">
        <f>'SER_se-appl'!F22</f>
        <v>75.948824960515523</v>
      </c>
      <c r="G8" s="34">
        <f>'SER_se-appl'!G22</f>
        <v>78.156728049999302</v>
      </c>
      <c r="H8" s="34">
        <f>'SER_se-appl'!H22</f>
        <v>81.393363892838821</v>
      </c>
      <c r="I8" s="34">
        <f>'SER_se-appl'!I22</f>
        <v>85.071034498868059</v>
      </c>
      <c r="J8" s="34">
        <f>'SER_se-appl'!J22</f>
        <v>88.082061158661375</v>
      </c>
      <c r="K8" s="34">
        <f>'SER_se-appl'!K22</f>
        <v>89.696454112032313</v>
      </c>
      <c r="L8" s="34">
        <f>'SER_se-appl'!L22</f>
        <v>92.580313889776392</v>
      </c>
      <c r="M8" s="34">
        <f>'SER_se-appl'!M22</f>
        <v>96.117311363997601</v>
      </c>
      <c r="N8" s="34">
        <f>'SER_se-appl'!N22</f>
        <v>98.577713953439471</v>
      </c>
      <c r="O8" s="34">
        <f>'SER_se-appl'!O22</f>
        <v>101.06832278725994</v>
      </c>
      <c r="P8" s="34">
        <f>'SER_se-appl'!P22</f>
        <v>104.55606587229141</v>
      </c>
      <c r="Q8" s="34">
        <f>'SER_se-appl'!Q22</f>
        <v>110.83333693583808</v>
      </c>
      <c r="R8" s="34">
        <f>'SER_se-appl'!R22</f>
        <v>113.7645467189087</v>
      </c>
      <c r="S8" s="34">
        <f>'SER_se-appl'!S22</f>
        <v>117.01815909774237</v>
      </c>
      <c r="T8" s="34">
        <f>'SER_se-appl'!T22</f>
        <v>120.14936316047613</v>
      </c>
      <c r="U8" s="34">
        <f>'SER_se-appl'!U22</f>
        <v>123.0684584863757</v>
      </c>
      <c r="V8" s="34">
        <f>'SER_se-appl'!V22</f>
        <v>125.61902413175915</v>
      </c>
      <c r="W8" s="34">
        <f>'SER_se-appl'!W22</f>
        <v>127.56374921661664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12.809690851148034</v>
      </c>
      <c r="D9" s="36">
        <f>'SER_se-appl'!D30</f>
        <v>12.858540573886444</v>
      </c>
      <c r="E9" s="36">
        <f>'SER_se-appl'!E30</f>
        <v>12.855385451305658</v>
      </c>
      <c r="F9" s="36">
        <f>'SER_se-appl'!F30</f>
        <v>12.710743746282041</v>
      </c>
      <c r="G9" s="36">
        <f>'SER_se-appl'!G30</f>
        <v>14.406683156633562</v>
      </c>
      <c r="H9" s="36">
        <f>'SER_se-appl'!H30</f>
        <v>15.752320113583082</v>
      </c>
      <c r="I9" s="36">
        <f>'SER_se-appl'!I30</f>
        <v>16.487361457177272</v>
      </c>
      <c r="J9" s="36">
        <f>'SER_se-appl'!J30</f>
        <v>15.86956723367976</v>
      </c>
      <c r="K9" s="36">
        <f>'SER_se-appl'!K30</f>
        <v>14.469778404676589</v>
      </c>
      <c r="L9" s="36">
        <f>'SER_se-appl'!L30</f>
        <v>15.594603524026127</v>
      </c>
      <c r="M9" s="36">
        <f>'SER_se-appl'!M30</f>
        <v>17.943680630854772</v>
      </c>
      <c r="N9" s="36">
        <f>'SER_se-appl'!N30</f>
        <v>18.212722703024951</v>
      </c>
      <c r="O9" s="36">
        <f>'SER_se-appl'!O30</f>
        <v>18.977970290997746</v>
      </c>
      <c r="P9" s="36">
        <f>'SER_se-appl'!P30</f>
        <v>19.357310318711228</v>
      </c>
      <c r="Q9" s="36">
        <f>'SER_se-appl'!Q30</f>
        <v>20.747049468223253</v>
      </c>
      <c r="R9" s="36">
        <f>'SER_se-appl'!R30</f>
        <v>18.525813307096755</v>
      </c>
      <c r="S9" s="36">
        <f>'SER_se-appl'!S30</f>
        <v>21.197293009688437</v>
      </c>
      <c r="T9" s="36">
        <f>'SER_se-appl'!T30</f>
        <v>21.34392676575871</v>
      </c>
      <c r="U9" s="36">
        <f>'SER_se-appl'!U30</f>
        <v>21.897065616897322</v>
      </c>
      <c r="V9" s="36">
        <f>'SER_se-appl'!V30</f>
        <v>21.907875964094671</v>
      </c>
      <c r="W9" s="36">
        <f>'SER_se-appl'!W30</f>
        <v>22.691774553080748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11.009399010602678</v>
      </c>
      <c r="D10" s="38">
        <f>'SER_se-appl'!D38</f>
        <v>11.295405054346062</v>
      </c>
      <c r="E10" s="38">
        <f>'SER_se-appl'!E38</f>
        <v>11.588841063792302</v>
      </c>
      <c r="F10" s="38">
        <f>'SER_se-appl'!F38</f>
        <v>11.88990005720639</v>
      </c>
      <c r="G10" s="38">
        <f>'SER_se-appl'!G38</f>
        <v>12.198780067149784</v>
      </c>
      <c r="H10" s="38">
        <f>'SER_se-appl'!H38</f>
        <v>12.515684270743563</v>
      </c>
      <c r="I10" s="38">
        <f>'SER_se-appl'!I38</f>
        <v>12.809690851148034</v>
      </c>
      <c r="J10" s="38">
        <f>'SER_se-appl'!J38</f>
        <v>12.858540573886444</v>
      </c>
      <c r="K10" s="38">
        <f>'SER_se-appl'!K38</f>
        <v>12.855385451305651</v>
      </c>
      <c r="L10" s="38">
        <f>'SER_se-appl'!L38</f>
        <v>12.710743746282049</v>
      </c>
      <c r="M10" s="38">
        <f>'SER_se-appl'!M38</f>
        <v>14.406683156633562</v>
      </c>
      <c r="N10" s="38">
        <f>'SER_se-appl'!N38</f>
        <v>15.752320113583082</v>
      </c>
      <c r="O10" s="38">
        <f>'SER_se-appl'!O38</f>
        <v>16.487361457177272</v>
      </c>
      <c r="P10" s="38">
        <f>'SER_se-appl'!P38</f>
        <v>15.86956723367976</v>
      </c>
      <c r="Q10" s="38">
        <f>'SER_se-appl'!Q38</f>
        <v>14.469778404676589</v>
      </c>
      <c r="R10" s="38">
        <f>'SER_se-appl'!R38</f>
        <v>15.594603524026141</v>
      </c>
      <c r="S10" s="38">
        <f>'SER_se-appl'!S38</f>
        <v>17.943680630854772</v>
      </c>
      <c r="T10" s="38">
        <f>'SER_se-appl'!T38</f>
        <v>18.212722703024951</v>
      </c>
      <c r="U10" s="38">
        <f>'SER_se-appl'!U38</f>
        <v>18.977970290997746</v>
      </c>
      <c r="V10" s="38">
        <f>'SER_se-appl'!V38</f>
        <v>19.357310318711228</v>
      </c>
      <c r="W10" s="38">
        <f>'SER_se-appl'!W38</f>
        <v>20.747049468223238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2262.354865741278</v>
      </c>
      <c r="C12" s="205">
        <f>'SER_se-appl'!C46</f>
        <v>2277.8652259979031</v>
      </c>
      <c r="D12" s="205">
        <f>'SER_se-appl'!D46</f>
        <v>2288.0044216126498</v>
      </c>
      <c r="E12" s="205">
        <f>'SER_se-appl'!E46</f>
        <v>2297.9331887337135</v>
      </c>
      <c r="F12" s="205">
        <f>'SER_se-appl'!F46</f>
        <v>2311.2702606563294</v>
      </c>
      <c r="G12" s="205">
        <f>'SER_se-appl'!G46</f>
        <v>2319.2832653371611</v>
      </c>
      <c r="H12" s="205">
        <f>'SER_se-appl'!H46</f>
        <v>2329.872482271116</v>
      </c>
      <c r="I12" s="205">
        <f>'SER_se-appl'!I46</f>
        <v>2345.7460113273091</v>
      </c>
      <c r="J12" s="205">
        <f>'SER_se-appl'!J46</f>
        <v>2357.040273454576</v>
      </c>
      <c r="K12" s="205">
        <f>'SER_se-appl'!K46</f>
        <v>2365.176154613469</v>
      </c>
      <c r="L12" s="205">
        <f>'SER_se-appl'!L46</f>
        <v>2375.2958019739594</v>
      </c>
      <c r="M12" s="205">
        <f>'SER_se-appl'!M46</f>
        <v>2381.479616232321</v>
      </c>
      <c r="N12" s="205">
        <f>'SER_se-appl'!N46</f>
        <v>2390.8082101009609</v>
      </c>
      <c r="O12" s="205">
        <f>'SER_se-appl'!O46</f>
        <v>2397.0624845527218</v>
      </c>
      <c r="P12" s="205">
        <f>'SER_se-appl'!P46</f>
        <v>2406.3209281299614</v>
      </c>
      <c r="Q12" s="205">
        <f>'SER_se-appl'!Q46</f>
        <v>2418.4292500206948</v>
      </c>
      <c r="R12" s="205">
        <f>'SER_se-appl'!R46</f>
        <v>2424.4010799183911</v>
      </c>
      <c r="S12" s="205">
        <f>'SER_se-appl'!S46</f>
        <v>2476.3250796687744</v>
      </c>
      <c r="T12" s="205">
        <f>'SER_se-appl'!T46</f>
        <v>2449.1443731214381</v>
      </c>
      <c r="U12" s="205">
        <f>'SER_se-appl'!U46</f>
        <v>2424.9541319970076</v>
      </c>
      <c r="V12" s="205">
        <f>'SER_se-appl'!V46</f>
        <v>2378.64597303551</v>
      </c>
      <c r="W12" s="205">
        <f>'SER_se-appl'!W46</f>
        <v>2397.5833403990277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34.846214083425224</v>
      </c>
      <c r="C14" s="59">
        <f>'SER_se-appl'!C54</f>
        <v>34.45542522639353</v>
      </c>
      <c r="D14" s="59">
        <f>'SER_se-appl'!D54</f>
        <v>33.860125745332937</v>
      </c>
      <c r="E14" s="59">
        <f>'SER_se-appl'!E54</f>
        <v>33.176213765976961</v>
      </c>
      <c r="F14" s="59">
        <f>'SER_se-appl'!F54</f>
        <v>32.436711862394468</v>
      </c>
      <c r="G14" s="59">
        <f>'SER_se-appl'!G54</f>
        <v>31.552611151358615</v>
      </c>
      <c r="H14" s="59">
        <f>'SER_se-appl'!H54</f>
        <v>30.528521101069124</v>
      </c>
      <c r="I14" s="59">
        <f>'SER_se-appl'!I54</f>
        <v>29.754337934793753</v>
      </c>
      <c r="J14" s="59">
        <f>'SER_se-appl'!J54</f>
        <v>29.108731291932468</v>
      </c>
      <c r="K14" s="59">
        <f>'SER_se-appl'!K54</f>
        <v>28.526431121892344</v>
      </c>
      <c r="L14" s="59">
        <f>'SER_se-appl'!L54</f>
        <v>27.886318578194597</v>
      </c>
      <c r="M14" s="59">
        <f>'SER_se-appl'!M54</f>
        <v>27.125915784391857</v>
      </c>
      <c r="N14" s="59">
        <f>'SER_se-appl'!N54</f>
        <v>26.311679129655715</v>
      </c>
      <c r="O14" s="59">
        <f>'SER_se-appl'!O54</f>
        <v>25.448807130443303</v>
      </c>
      <c r="P14" s="59">
        <f>'SER_se-appl'!P54</f>
        <v>24.560692282847953</v>
      </c>
      <c r="Q14" s="59">
        <f>'SER_se-appl'!Q54</f>
        <v>23.557432938864498</v>
      </c>
      <c r="R14" s="59">
        <f>'SER_se-appl'!R54</f>
        <v>22.540205560971657</v>
      </c>
      <c r="S14" s="59">
        <f>'SER_se-appl'!S54</f>
        <v>21.40758592488573</v>
      </c>
      <c r="T14" s="59">
        <f>'SER_se-appl'!T54</f>
        <v>20.206224801573665</v>
      </c>
      <c r="U14" s="59">
        <f>'SER_se-appl'!U54</f>
        <v>18.949674881566274</v>
      </c>
      <c r="V14" s="59">
        <f>'SER_se-appl'!V54</f>
        <v>17.707793019964978</v>
      </c>
      <c r="W14" s="59">
        <f>'SER_se-appl'!W54</f>
        <v>16.425860658930478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32.64058938226475</v>
      </c>
      <c r="D15" s="63">
        <f>'SER_se-appl'!D62</f>
        <v>31.379216352672316</v>
      </c>
      <c r="E15" s="63">
        <f>'SER_se-appl'!E62</f>
        <v>30.752221629762435</v>
      </c>
      <c r="F15" s="63">
        <f>'SER_se-appl'!F62</f>
        <v>30.319719725349888</v>
      </c>
      <c r="G15" s="63">
        <f>'SER_se-appl'!G62</f>
        <v>29.68066935462997</v>
      </c>
      <c r="H15" s="63">
        <f>'SER_se-appl'!H62</f>
        <v>28.8779296182569</v>
      </c>
      <c r="I15" s="63">
        <f>'SER_se-appl'!I62</f>
        <v>28.174862439019783</v>
      </c>
      <c r="J15" s="63">
        <f>'SER_se-appl'!J62</f>
        <v>27.487559124299342</v>
      </c>
      <c r="K15" s="63">
        <f>'SER_se-appl'!K62</f>
        <v>26.959247185591241</v>
      </c>
      <c r="L15" s="63">
        <f>'SER_se-appl'!L62</f>
        <v>26.187943435273105</v>
      </c>
      <c r="M15" s="63">
        <f>'SER_se-appl'!M62</f>
        <v>25.253791285839547</v>
      </c>
      <c r="N15" s="63">
        <f>'SER_se-appl'!N62</f>
        <v>24.234129303847173</v>
      </c>
      <c r="O15" s="63">
        <f>'SER_se-appl'!O62</f>
        <v>23.335067395532601</v>
      </c>
      <c r="P15" s="63">
        <f>'SER_se-appl'!P62</f>
        <v>22.323182667546831</v>
      </c>
      <c r="Q15" s="63">
        <f>'SER_se-appl'!Q62</f>
        <v>20.873998274201035</v>
      </c>
      <c r="R15" s="63">
        <f>'SER_se-appl'!R62</f>
        <v>19.525078620031696</v>
      </c>
      <c r="S15" s="63">
        <f>'SER_se-appl'!S62</f>
        <v>18.584731193422396</v>
      </c>
      <c r="T15" s="63">
        <f>'SER_se-appl'!T62</f>
        <v>17.056759381028694</v>
      </c>
      <c r="U15" s="63">
        <f>'SER_se-appl'!U62</f>
        <v>15.855752389433839</v>
      </c>
      <c r="V15" s="63">
        <f>'SER_se-appl'!V62</f>
        <v>14.809522243577703</v>
      </c>
      <c r="W15" s="63">
        <f>'SER_se-appl'!W62</f>
        <v>13.396156618386009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199.31064220780482</v>
      </c>
      <c r="C3" s="199">
        <f>'SER_se-appl'!C7</f>
        <v>199.40675138715673</v>
      </c>
      <c r="D3" s="199">
        <f>'SER_se-appl'!D7</f>
        <v>199.4175145153273</v>
      </c>
      <c r="E3" s="199">
        <f>'SER_se-appl'!E7</f>
        <v>199.05714213539903</v>
      </c>
      <c r="F3" s="199">
        <f>'SER_se-appl'!F7</f>
        <v>198.53398746217198</v>
      </c>
      <c r="G3" s="199">
        <f>'SER_se-appl'!G7</f>
        <v>197.93140899456981</v>
      </c>
      <c r="H3" s="199">
        <f>'SER_se-appl'!H7</f>
        <v>197.3345241995797</v>
      </c>
      <c r="I3" s="199">
        <f>'SER_se-appl'!I7</f>
        <v>196.90741092384596</v>
      </c>
      <c r="J3" s="199">
        <f>'SER_se-appl'!J7</f>
        <v>196.90462249257615</v>
      </c>
      <c r="K3" s="199">
        <f>'SER_se-appl'!K7</f>
        <v>197.40256356687064</v>
      </c>
      <c r="L3" s="199">
        <f>'SER_se-appl'!L7</f>
        <v>198.15304601961299</v>
      </c>
      <c r="M3" s="199">
        <f>'SER_se-appl'!M7</f>
        <v>199.28043389034289</v>
      </c>
      <c r="N3" s="199">
        <f>'SER_se-appl'!N7</f>
        <v>200.78424448597167</v>
      </c>
      <c r="O3" s="199">
        <f>'SER_se-appl'!O7</f>
        <v>202.41665386129554</v>
      </c>
      <c r="P3" s="199">
        <f>'SER_se-appl'!P7</f>
        <v>204.5091432515097</v>
      </c>
      <c r="Q3" s="199">
        <f>'SER_se-appl'!Q7</f>
        <v>207.82459779377672</v>
      </c>
      <c r="R3" s="199">
        <f>'SER_se-appl'!R7</f>
        <v>209.98297627430961</v>
      </c>
      <c r="S3" s="199">
        <f>'SER_se-appl'!S7</f>
        <v>212.22186449344747</v>
      </c>
      <c r="T3" s="199">
        <f>'SER_se-appl'!T7</f>
        <v>213.92692225945913</v>
      </c>
      <c r="U3" s="199">
        <f>'SER_se-appl'!U7</f>
        <v>215.15782682942077</v>
      </c>
      <c r="V3" s="199">
        <f>'SER_se-appl'!V7</f>
        <v>215.71534035983933</v>
      </c>
      <c r="W3" s="199">
        <f>'SER_se-appl'!W7</f>
        <v>216.28253536735463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264.60990512291897</v>
      </c>
      <c r="C5" s="59">
        <f>'SER_se-appl'!C15</f>
        <v>264.73750212701282</v>
      </c>
      <c r="D5" s="59">
        <f>'SER_se-appl'!D15</f>
        <v>264.7517915311937</v>
      </c>
      <c r="E5" s="59">
        <f>'SER_se-appl'!E15</f>
        <v>264.27335194459943</v>
      </c>
      <c r="F5" s="59">
        <f>'SER_se-appl'!F15</f>
        <v>263.57879842295193</v>
      </c>
      <c r="G5" s="59">
        <f>'SER_se-appl'!G15</f>
        <v>262.77879984096433</v>
      </c>
      <c r="H5" s="59">
        <f>'SER_se-appl'!H15</f>
        <v>261.9863603243279</v>
      </c>
      <c r="I5" s="59">
        <f>'SER_se-appl'!I15</f>
        <v>261.4193138178457</v>
      </c>
      <c r="J5" s="59">
        <f>'SER_se-appl'!J15</f>
        <v>261.41561182518956</v>
      </c>
      <c r="K5" s="59">
        <f>'SER_se-appl'!K15</f>
        <v>262.07669112816279</v>
      </c>
      <c r="L5" s="59">
        <f>'SER_se-appl'!L15</f>
        <v>263.0730508228425</v>
      </c>
      <c r="M5" s="59">
        <f>'SER_se-appl'!M15</f>
        <v>264.56979978820641</v>
      </c>
      <c r="N5" s="59">
        <f>'SER_se-appl'!N15</f>
        <v>266.56629718856743</v>
      </c>
      <c r="O5" s="59">
        <f>'SER_se-appl'!O15</f>
        <v>268.73352561722237</v>
      </c>
      <c r="P5" s="59">
        <f>'SER_se-appl'!P15</f>
        <v>271.51156803824858</v>
      </c>
      <c r="Q5" s="59">
        <f>'SER_se-appl'!Q15</f>
        <v>275.91325026730863</v>
      </c>
      <c r="R5" s="59">
        <f>'SER_se-appl'!R15</f>
        <v>278.77876872947729</v>
      </c>
      <c r="S5" s="59">
        <f>'SER_se-appl'!S15</f>
        <v>281.75117397931444</v>
      </c>
      <c r="T5" s="59">
        <f>'SER_se-appl'!T15</f>
        <v>284.01485226912223</v>
      </c>
      <c r="U5" s="59">
        <f>'SER_se-appl'!U15</f>
        <v>285.64903265138855</v>
      </c>
      <c r="V5" s="59">
        <f>'SER_se-appl'!V15</f>
        <v>286.38920187042595</v>
      </c>
      <c r="W5" s="59">
        <f>'SER_se-appl'!W15</f>
        <v>287.14222446601985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2.7016375710999893E-2</v>
      </c>
      <c r="C6" s="202">
        <f>'SER_se-appl'!C71</f>
        <v>2.7071722414645893E-2</v>
      </c>
      <c r="D6" s="202">
        <f>'SER_se-appl'!D71</f>
        <v>2.7184041386500598E-2</v>
      </c>
      <c r="E6" s="202">
        <f>'SER_se-appl'!E71</f>
        <v>2.7346039703509295E-2</v>
      </c>
      <c r="F6" s="202">
        <f>'SER_se-appl'!F71</f>
        <v>2.755423375112713E-2</v>
      </c>
      <c r="G6" s="202">
        <f>'SER_se-appl'!G71</f>
        <v>2.7817186408864228E-2</v>
      </c>
      <c r="H6" s="202">
        <f>'SER_se-appl'!H71</f>
        <v>2.8152937236266572E-2</v>
      </c>
      <c r="I6" s="202">
        <f>'SER_se-appl'!I71</f>
        <v>2.8562703410581359E-2</v>
      </c>
      <c r="J6" s="202">
        <f>'SER_se-appl'!J71</f>
        <v>2.9047728064471104E-2</v>
      </c>
      <c r="K6" s="202">
        <f>'SER_se-appl'!K71</f>
        <v>2.9633910916545485E-2</v>
      </c>
      <c r="L6" s="202">
        <f>'SER_se-appl'!L71</f>
        <v>3.0323502596098444E-2</v>
      </c>
      <c r="M6" s="202">
        <f>'SER_se-appl'!M71</f>
        <v>3.0835559943439814E-2</v>
      </c>
      <c r="N6" s="202">
        <f>'SER_se-appl'!N71</f>
        <v>3.1426576324552445E-2</v>
      </c>
      <c r="O6" s="202">
        <f>'SER_se-appl'!O71</f>
        <v>3.2091479735410725E-2</v>
      </c>
      <c r="P6" s="202">
        <f>'SER_se-appl'!P71</f>
        <v>3.2930221238072793E-2</v>
      </c>
      <c r="Q6" s="202">
        <f>'SER_se-appl'!Q71</f>
        <v>3.3970302818258323E-2</v>
      </c>
      <c r="R6" s="202">
        <f>'SER_se-appl'!R71</f>
        <v>3.4822844609892926E-2</v>
      </c>
      <c r="S6" s="202">
        <f>'SER_se-appl'!S71</f>
        <v>3.5701638151566788E-2</v>
      </c>
      <c r="T6" s="202">
        <f>'SER_se-appl'!T71</f>
        <v>3.6548004843198742E-2</v>
      </c>
      <c r="U6" s="202">
        <f>'SER_se-appl'!U71</f>
        <v>3.7336247869394906E-2</v>
      </c>
      <c r="V6" s="202">
        <f>'SER_se-appl'!V71</f>
        <v>3.7973112160803693E-2</v>
      </c>
      <c r="W6" s="202">
        <f>'SER_se-appl'!W71</f>
        <v>3.8599012704337576E-2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428.58643346051673</v>
      </c>
      <c r="C8" s="34">
        <f>'SER_se-appl'!C23</f>
        <v>432.79765662212503</v>
      </c>
      <c r="D8" s="34">
        <f>'SER_se-appl'!D23</f>
        <v>437.80673398138731</v>
      </c>
      <c r="E8" s="34">
        <f>'SER_se-appl'!E23</f>
        <v>442.80271681393293</v>
      </c>
      <c r="F8" s="34">
        <f>'SER_se-appl'!F23</f>
        <v>447.97761406130491</v>
      </c>
      <c r="G8" s="34">
        <f>'SER_se-appl'!G23</f>
        <v>453.57385623658229</v>
      </c>
      <c r="H8" s="34">
        <f>'SER_se-appl'!H23</f>
        <v>459.85598893399782</v>
      </c>
      <c r="I8" s="34">
        <f>'SER_se-appl'!I23</f>
        <v>467.22847388866256</v>
      </c>
      <c r="J8" s="34">
        <f>'SER_se-appl'!J23</f>
        <v>476.53956894114617</v>
      </c>
      <c r="K8" s="34">
        <f>'SER_se-appl'!K23</f>
        <v>488.53834334714361</v>
      </c>
      <c r="L8" s="34">
        <f>'SER_se-appl'!L23</f>
        <v>502.61172197180315</v>
      </c>
      <c r="M8" s="34">
        <f>'SER_se-appl'!M23</f>
        <v>513.59088847038493</v>
      </c>
      <c r="N8" s="34">
        <f>'SER_se-appl'!N23</f>
        <v>525.77755835832329</v>
      </c>
      <c r="O8" s="34">
        <f>'SER_se-appl'!O23</f>
        <v>538.48139108130442</v>
      </c>
      <c r="P8" s="34">
        <f>'SER_se-appl'!P23</f>
        <v>554.19221004946485</v>
      </c>
      <c r="Q8" s="34">
        <f>'SER_se-appl'!Q23</f>
        <v>574.12278006841177</v>
      </c>
      <c r="R8" s="34">
        <f>'SER_se-appl'!R23</f>
        <v>591.26125737272514</v>
      </c>
      <c r="S8" s="34">
        <f>'SER_se-appl'!S23</f>
        <v>609.83778199745518</v>
      </c>
      <c r="T8" s="34">
        <f>'SER_se-appl'!T23</f>
        <v>627.93434124340445</v>
      </c>
      <c r="U8" s="34">
        <f>'SER_se-appl'!U23</f>
        <v>645.25112148728545</v>
      </c>
      <c r="V8" s="34">
        <f>'SER_se-appl'!V23</f>
        <v>661.02017765372398</v>
      </c>
      <c r="W8" s="34">
        <f>'SER_se-appl'!W23</f>
        <v>674.53376559857134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43.162487872799943</v>
      </c>
      <c r="D9" s="36">
        <f>'SER_se-appl'!D31</f>
        <v>44.780818723861159</v>
      </c>
      <c r="E9" s="36">
        <f>'SER_se-appl'!E31</f>
        <v>45.605483522726274</v>
      </c>
      <c r="F9" s="36">
        <f>'SER_se-appl'!F31</f>
        <v>46.639803980716295</v>
      </c>
      <c r="G9" s="36">
        <f>'SER_se-appl'!G31</f>
        <v>47.934573383094346</v>
      </c>
      <c r="H9" s="36">
        <f>'SER_se-appl'!H31</f>
        <v>49.512286354588241</v>
      </c>
      <c r="I9" s="36">
        <f>'SER_se-appl'!I31</f>
        <v>51.513246574426319</v>
      </c>
      <c r="J9" s="36">
        <f>'SER_se-appl'!J31</f>
        <v>54.381645849596964</v>
      </c>
      <c r="K9" s="36">
        <f>'SER_se-appl'!K31</f>
        <v>58.018699631885454</v>
      </c>
      <c r="L9" s="36">
        <f>'SER_se-appl'!L31</f>
        <v>61.062676078108097</v>
      </c>
      <c r="M9" s="36">
        <f>'SER_se-appl'!M31</f>
        <v>54.141654371381719</v>
      </c>
      <c r="N9" s="36">
        <f>'SER_se-appl'!N31</f>
        <v>56.967488611799524</v>
      </c>
      <c r="O9" s="36">
        <f>'SER_se-appl'!O31</f>
        <v>58.309316245707407</v>
      </c>
      <c r="P9" s="36">
        <f>'SER_se-appl'!P31</f>
        <v>62.350622948876719</v>
      </c>
      <c r="Q9" s="36">
        <f>'SER_se-appl'!Q31</f>
        <v>67.865143402041269</v>
      </c>
      <c r="R9" s="36">
        <f>'SER_se-appl'!R31</f>
        <v>66.65076365890161</v>
      </c>
      <c r="S9" s="36">
        <f>'SER_se-appl'!S31</f>
        <v>70.089771199156417</v>
      </c>
      <c r="T9" s="36">
        <f>'SER_se-appl'!T31</f>
        <v>72.478205095546286</v>
      </c>
      <c r="U9" s="36">
        <f>'SER_se-appl'!U31</f>
        <v>75.335479875766396</v>
      </c>
      <c r="V9" s="36">
        <f>'SER_se-appl'!V31</f>
        <v>76.831732244546629</v>
      </c>
      <c r="W9" s="36">
        <f>'SER_se-appl'!W31</f>
        <v>67.655242316229078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38.951264711191641</v>
      </c>
      <c r="D10" s="38">
        <f>'SER_se-appl'!D39</f>
        <v>39.771741364598881</v>
      </c>
      <c r="E10" s="38">
        <f>'SER_se-appl'!E39</f>
        <v>40.609500690180653</v>
      </c>
      <c r="F10" s="38">
        <f>'SER_se-appl'!F39</f>
        <v>41.464906733344321</v>
      </c>
      <c r="G10" s="38">
        <f>'SER_se-appl'!G39</f>
        <v>42.338331207816964</v>
      </c>
      <c r="H10" s="38">
        <f>'SER_se-appl'!H39</f>
        <v>43.230153657172707</v>
      </c>
      <c r="I10" s="38">
        <f>'SER_se-appl'!I39</f>
        <v>44.140761619761577</v>
      </c>
      <c r="J10" s="38">
        <f>'SER_se-appl'!J39</f>
        <v>45.070550797113356</v>
      </c>
      <c r="K10" s="38">
        <f>'SER_se-appl'!K39</f>
        <v>46.019925225888073</v>
      </c>
      <c r="L10" s="38">
        <f>'SER_se-appl'!L39</f>
        <v>46.989297453448557</v>
      </c>
      <c r="M10" s="38">
        <f>'SER_se-appl'!M39</f>
        <v>43.162487872799943</v>
      </c>
      <c r="N10" s="38">
        <f>'SER_se-appl'!N39</f>
        <v>44.780818723861216</v>
      </c>
      <c r="O10" s="38">
        <f>'SER_se-appl'!O39</f>
        <v>45.605483522726331</v>
      </c>
      <c r="P10" s="38">
        <f>'SER_se-appl'!P39</f>
        <v>46.639803980716351</v>
      </c>
      <c r="Q10" s="38">
        <f>'SER_se-appl'!Q39</f>
        <v>47.934573383094289</v>
      </c>
      <c r="R10" s="38">
        <f>'SER_se-appl'!R39</f>
        <v>49.512286354588241</v>
      </c>
      <c r="S10" s="38">
        <f>'SER_se-appl'!S39</f>
        <v>51.513246574426375</v>
      </c>
      <c r="T10" s="38">
        <f>'SER_se-appl'!T39</f>
        <v>54.381645849597021</v>
      </c>
      <c r="U10" s="38">
        <f>'SER_se-appl'!U39</f>
        <v>58.018699631885397</v>
      </c>
      <c r="V10" s="38">
        <f>'SER_se-appl'!V39</f>
        <v>61.062676078108097</v>
      </c>
      <c r="W10" s="38">
        <f>'SER_se-appl'!W39</f>
        <v>54.141654371381719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8760</v>
      </c>
      <c r="C12" s="205">
        <f>'SER_se-appl'!C47</f>
        <v>8760.0000000000018</v>
      </c>
      <c r="D12" s="205">
        <f>'SER_se-appl'!D47</f>
        <v>8759.9999999999982</v>
      </c>
      <c r="E12" s="205">
        <f>'SER_se-appl'!E47</f>
        <v>8760</v>
      </c>
      <c r="F12" s="205">
        <f>'SER_se-appl'!F47</f>
        <v>8760.0000000000036</v>
      </c>
      <c r="G12" s="205">
        <f>'SER_se-appl'!G47</f>
        <v>8759.9999999999982</v>
      </c>
      <c r="H12" s="205">
        <f>'SER_se-appl'!H47</f>
        <v>8759.9999999999982</v>
      </c>
      <c r="I12" s="205">
        <f>'SER_se-appl'!I47</f>
        <v>8760</v>
      </c>
      <c r="J12" s="205">
        <f>'SER_se-appl'!J47</f>
        <v>8760</v>
      </c>
      <c r="K12" s="205">
        <f>'SER_se-appl'!K47</f>
        <v>8759.9999999999982</v>
      </c>
      <c r="L12" s="205">
        <f>'SER_se-appl'!L47</f>
        <v>8759.9999999999964</v>
      </c>
      <c r="M12" s="205">
        <f>'SER_se-appl'!M47</f>
        <v>8760</v>
      </c>
      <c r="N12" s="205">
        <f>'SER_se-appl'!N47</f>
        <v>8759.9999999999982</v>
      </c>
      <c r="O12" s="205">
        <f>'SER_se-appl'!O47</f>
        <v>8759.9999999999982</v>
      </c>
      <c r="P12" s="205">
        <f>'SER_se-appl'!P47</f>
        <v>8760</v>
      </c>
      <c r="Q12" s="205">
        <f>'SER_se-appl'!Q47</f>
        <v>8759.9999999999982</v>
      </c>
      <c r="R12" s="205">
        <f>'SER_se-appl'!R47</f>
        <v>8759.9999999999982</v>
      </c>
      <c r="S12" s="205">
        <f>'SER_se-appl'!S47</f>
        <v>8759.9999999999982</v>
      </c>
      <c r="T12" s="205">
        <f>'SER_se-appl'!T47</f>
        <v>8759.9999999999964</v>
      </c>
      <c r="U12" s="205">
        <f>'SER_se-appl'!U47</f>
        <v>8760</v>
      </c>
      <c r="V12" s="205">
        <f>'SER_se-appl'!V47</f>
        <v>8760</v>
      </c>
      <c r="W12" s="205">
        <f>'SER_se-appl'!W47</f>
        <v>8760.0000000000018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617.40149585788504</v>
      </c>
      <c r="C14" s="59">
        <f>'SER_se-appl'!C55</f>
        <v>611.68885292314496</v>
      </c>
      <c r="D14" s="59">
        <f>'SER_se-appl'!D55</f>
        <v>604.72297701672449</v>
      </c>
      <c r="E14" s="59">
        <f>'SER_se-appl'!E55</f>
        <v>596.8196262346961</v>
      </c>
      <c r="F14" s="59">
        <f>'SER_se-appl'!F55</f>
        <v>588.3749324734822</v>
      </c>
      <c r="G14" s="59">
        <f>'SER_se-appl'!G55</f>
        <v>579.35173341185691</v>
      </c>
      <c r="H14" s="59">
        <f>'SER_se-appl'!H55</f>
        <v>569.71392485644083</v>
      </c>
      <c r="I14" s="59">
        <f>'SER_se-appl'!I55</f>
        <v>559.51066432680682</v>
      </c>
      <c r="J14" s="59">
        <f>'SER_se-appl'!J55</f>
        <v>548.57063056913762</v>
      </c>
      <c r="K14" s="59">
        <f>'SER_se-appl'!K55</f>
        <v>536.45060760755359</v>
      </c>
      <c r="L14" s="59">
        <f>'SER_se-appl'!L55</f>
        <v>523.41208794489887</v>
      </c>
      <c r="M14" s="59">
        <f>'SER_se-appl'!M55</f>
        <v>515.1372536537167</v>
      </c>
      <c r="N14" s="59">
        <f>'SER_se-appl'!N55</f>
        <v>506.99443700276663</v>
      </c>
      <c r="O14" s="59">
        <f>'SER_se-appl'!O55</f>
        <v>499.05814772463833</v>
      </c>
      <c r="P14" s="59">
        <f>'SER_se-appl'!P55</f>
        <v>489.92310450198249</v>
      </c>
      <c r="Q14" s="59">
        <f>'SER_se-appl'!Q55</f>
        <v>480.58230721036904</v>
      </c>
      <c r="R14" s="59">
        <f>'SER_se-appl'!R55</f>
        <v>471.49845394611737</v>
      </c>
      <c r="S14" s="59">
        <f>'SER_se-appl'!S55</f>
        <v>462.01003331815576</v>
      </c>
      <c r="T14" s="59">
        <f>'SER_se-appl'!T55</f>
        <v>452.3002384401052</v>
      </c>
      <c r="U14" s="59">
        <f>'SER_se-appl'!U55</f>
        <v>442.69436059712024</v>
      </c>
      <c r="V14" s="59">
        <f>'SER_se-appl'!V55</f>
        <v>433.25334316867281</v>
      </c>
      <c r="W14" s="59">
        <f>'SER_se-appl'!W55</f>
        <v>425.68991963095283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560.11984697423679</v>
      </c>
      <c r="D15" s="63">
        <f>'SER_se-appl'!D63</f>
        <v>548.65950904255146</v>
      </c>
      <c r="E15" s="63">
        <f>'SER_se-appl'!E63</f>
        <v>539.27565252782244</v>
      </c>
      <c r="F15" s="63">
        <f>'SER_se-appl'!F63</f>
        <v>534.00614486768814</v>
      </c>
      <c r="G15" s="63">
        <f>'SER_se-appl'!G63</f>
        <v>528.63202172113358</v>
      </c>
      <c r="H15" s="63">
        <f>'SER_se-appl'!H63</f>
        <v>523.06051536374446</v>
      </c>
      <c r="I15" s="63">
        <f>'SER_se-appl'!I63</f>
        <v>518.0323027652646</v>
      </c>
      <c r="J15" s="63">
        <f>'SER_se-appl'!J63</f>
        <v>511.62341731197648</v>
      </c>
      <c r="K15" s="63">
        <f>'SER_se-appl'!K63</f>
        <v>501.11171331262148</v>
      </c>
      <c r="L15" s="63">
        <f>'SER_se-appl'!L63</f>
        <v>491.42330731404206</v>
      </c>
      <c r="M15" s="63">
        <f>'SER_se-appl'!M63</f>
        <v>474.18046910059303</v>
      </c>
      <c r="N15" s="63">
        <f>'SER_se-appl'!N63</f>
        <v>466.33474747236147</v>
      </c>
      <c r="O15" s="63">
        <f>'SER_se-appl'!O63</f>
        <v>458.95162278103572</v>
      </c>
      <c r="P15" s="63">
        <f>'SER_se-appl'!P63</f>
        <v>444.00493584245618</v>
      </c>
      <c r="Q15" s="63">
        <f>'SER_se-appl'!Q63</f>
        <v>438.24312711922482</v>
      </c>
      <c r="R15" s="63">
        <f>'SER_se-appl'!R63</f>
        <v>431.55455242552728</v>
      </c>
      <c r="S15" s="63">
        <f>'SER_se-appl'!S63</f>
        <v>423.14207177864307</v>
      </c>
      <c r="T15" s="63">
        <f>'SER_se-appl'!T63</f>
        <v>415.11240156631641</v>
      </c>
      <c r="U15" s="63">
        <f>'SER_se-appl'!U63</f>
        <v>407.61710696753426</v>
      </c>
      <c r="V15" s="63">
        <f>'SER_se-appl'!V63</f>
        <v>400.19651454584647</v>
      </c>
      <c r="W15" s="63">
        <f>'SER_se-appl'!W63</f>
        <v>390.59704405136392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109.19535598395321</v>
      </c>
      <c r="C3" s="199">
        <f>'SER_se-appl'!C8</f>
        <v>115.57255347747889</v>
      </c>
      <c r="D3" s="199">
        <f>'SER_se-appl'!D8</f>
        <v>122.78866088580851</v>
      </c>
      <c r="E3" s="199">
        <f>'SER_se-appl'!E8</f>
        <v>132.50928264000072</v>
      </c>
      <c r="F3" s="199">
        <f>'SER_se-appl'!F8</f>
        <v>145.15655036758577</v>
      </c>
      <c r="G3" s="199">
        <f>'SER_se-appl'!G8</f>
        <v>160.68982749863235</v>
      </c>
      <c r="H3" s="199">
        <f>'SER_se-appl'!H8</f>
        <v>176.8746483776888</v>
      </c>
      <c r="I3" s="199">
        <f>'SER_se-appl'!I8</f>
        <v>192.38228416891673</v>
      </c>
      <c r="J3" s="199">
        <f>'SER_se-appl'!J8</f>
        <v>204.25960488518325</v>
      </c>
      <c r="K3" s="199">
        <f>'SER_se-appl'!K8</f>
        <v>211.31720709956863</v>
      </c>
      <c r="L3" s="199">
        <f>'SER_se-appl'!L8</f>
        <v>218.26208309048778</v>
      </c>
      <c r="M3" s="199">
        <f>'SER_se-appl'!M8</f>
        <v>224.60336217557685</v>
      </c>
      <c r="N3" s="199">
        <f>'SER_se-appl'!N8</f>
        <v>229.71629774580498</v>
      </c>
      <c r="O3" s="199">
        <f>'SER_se-appl'!O8</f>
        <v>232.57731211154706</v>
      </c>
      <c r="P3" s="199">
        <f>'SER_se-appl'!P8</f>
        <v>234.67169747472929</v>
      </c>
      <c r="Q3" s="199">
        <f>'SER_se-appl'!Q8</f>
        <v>237.92237679491566</v>
      </c>
      <c r="R3" s="199">
        <f>'SER_se-appl'!R8</f>
        <v>241.3579033769557</v>
      </c>
      <c r="S3" s="199">
        <f>'SER_se-appl'!S8</f>
        <v>249.67121095931896</v>
      </c>
      <c r="T3" s="199">
        <f>'SER_se-appl'!T8</f>
        <v>253.29401236470491</v>
      </c>
      <c r="U3" s="199">
        <f>'SER_se-appl'!U8</f>
        <v>257.20877125323517</v>
      </c>
      <c r="V3" s="199">
        <f>'SER_se-appl'!V8</f>
        <v>256.07609992517115</v>
      </c>
      <c r="W3" s="199">
        <f>'SER_se-appl'!W8</f>
        <v>259.71987343036471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1532.1131459758135</v>
      </c>
      <c r="C5" s="59">
        <f>'SER_se-appl'!C16</f>
        <v>1613.8818779618907</v>
      </c>
      <c r="D5" s="59">
        <f>'SER_se-appl'!D16</f>
        <v>1707.2057752300054</v>
      </c>
      <c r="E5" s="59">
        <f>'SER_se-appl'!E16</f>
        <v>1834.9988894265334</v>
      </c>
      <c r="F5" s="59">
        <f>'SER_se-appl'!F16</f>
        <v>2002.7046555546985</v>
      </c>
      <c r="G5" s="59">
        <f>'SER_se-appl'!G16</f>
        <v>2209.3803752406143</v>
      </c>
      <c r="H5" s="59">
        <f>'SER_se-appl'!H16</f>
        <v>2424.0761623925746</v>
      </c>
      <c r="I5" s="59">
        <f>'SER_se-appl'!I16</f>
        <v>2628.6290386436422</v>
      </c>
      <c r="J5" s="59">
        <f>'SER_se-appl'!J16</f>
        <v>2782.9508272375665</v>
      </c>
      <c r="K5" s="59">
        <f>'SER_se-appl'!K16</f>
        <v>2871.3349193582676</v>
      </c>
      <c r="L5" s="59">
        <f>'SER_se-appl'!L16</f>
        <v>2958.1041893413176</v>
      </c>
      <c r="M5" s="59">
        <f>'SER_se-appl'!M16</f>
        <v>3039.100862798754</v>
      </c>
      <c r="N5" s="59">
        <f>'SER_se-appl'!N16</f>
        <v>3103.4676507609734</v>
      </c>
      <c r="O5" s="59">
        <f>'SER_se-appl'!O16</f>
        <v>3137.4676492334406</v>
      </c>
      <c r="P5" s="59">
        <f>'SER_se-appl'!P16</f>
        <v>3161.2330272501208</v>
      </c>
      <c r="Q5" s="59">
        <f>'SER_se-appl'!Q16</f>
        <v>3200.6643064550212</v>
      </c>
      <c r="R5" s="59">
        <f>'SER_se-appl'!R16</f>
        <v>3262.3737745504991</v>
      </c>
      <c r="S5" s="59">
        <f>'SER_se-appl'!S16</f>
        <v>3320.8927562980753</v>
      </c>
      <c r="T5" s="59">
        <f>'SER_se-appl'!T16</f>
        <v>3391.7879599524827</v>
      </c>
      <c r="U5" s="59">
        <f>'SER_se-appl'!U16</f>
        <v>3473.6025429252777</v>
      </c>
      <c r="V5" s="59">
        <f>'SER_se-appl'!V16</f>
        <v>3525.6331102920326</v>
      </c>
      <c r="W5" s="59">
        <f>'SER_se-appl'!W16</f>
        <v>3547.5567209365513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88.210696181004025</v>
      </c>
      <c r="C6" s="202">
        <f>'SER_se-appl'!C72</f>
        <v>91.941473307423408</v>
      </c>
      <c r="D6" s="202">
        <f>'SER_se-appl'!D72</f>
        <v>96.964468896921019</v>
      </c>
      <c r="E6" s="202">
        <f>'SER_se-appl'!E72</f>
        <v>104.56120534941789</v>
      </c>
      <c r="F6" s="202">
        <f>'SER_se-appl'!F72</f>
        <v>115.53275589312457</v>
      </c>
      <c r="G6" s="202">
        <f>'SER_se-appl'!G72</f>
        <v>126.71915122739354</v>
      </c>
      <c r="H6" s="202">
        <f>'SER_se-appl'!H72</f>
        <v>136.84285938774144</v>
      </c>
      <c r="I6" s="202">
        <f>'SER_se-appl'!I72</f>
        <v>145.16106760040302</v>
      </c>
      <c r="J6" s="202">
        <f>'SER_se-appl'!J72</f>
        <v>152.2319903623482</v>
      </c>
      <c r="K6" s="202">
        <f>'SER_se-appl'!K72</f>
        <v>158.82949490426157</v>
      </c>
      <c r="L6" s="202">
        <f>'SER_se-appl'!L72</f>
        <v>163.32637236867595</v>
      </c>
      <c r="M6" s="202">
        <f>'SER_se-appl'!M72</f>
        <v>167.27901707617937</v>
      </c>
      <c r="N6" s="202">
        <f>'SER_se-appl'!N72</f>
        <v>172.22153642625094</v>
      </c>
      <c r="O6" s="202">
        <f>'SER_se-appl'!O72</f>
        <v>176.73824697990509</v>
      </c>
      <c r="P6" s="202">
        <f>'SER_se-appl'!P72</f>
        <v>180.69762477828564</v>
      </c>
      <c r="Q6" s="202">
        <f>'SER_se-appl'!Q72</f>
        <v>183.7210664106787</v>
      </c>
      <c r="R6" s="202">
        <f>'SER_se-appl'!R72</f>
        <v>188.69713933866328</v>
      </c>
      <c r="S6" s="202">
        <f>'SER_se-appl'!S72</f>
        <v>193.35201802439644</v>
      </c>
      <c r="T6" s="202">
        <f>'SER_se-appl'!T72</f>
        <v>199.55929148882086</v>
      </c>
      <c r="U6" s="202">
        <f>'SER_se-appl'!U72</f>
        <v>207.34380579671975</v>
      </c>
      <c r="V6" s="202">
        <f>'SER_se-appl'!V72</f>
        <v>213.92282100348922</v>
      </c>
      <c r="W6" s="202">
        <f>'SER_se-appl'!W72</f>
        <v>218.63327556246134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34.293311765532131</v>
      </c>
      <c r="C8" s="34">
        <f>'SER_se-appl'!C24</f>
        <v>36.296611884814375</v>
      </c>
      <c r="D8" s="34">
        <f>'SER_se-appl'!D24</f>
        <v>38.604759936170055</v>
      </c>
      <c r="E8" s="34">
        <f>'SER_se-appl'!E24</f>
        <v>41.781190939647168</v>
      </c>
      <c r="F8" s="34">
        <f>'SER_se-appl'!F24</f>
        <v>45.974581798239129</v>
      </c>
      <c r="G8" s="34">
        <f>'SER_se-appl'!G24</f>
        <v>51.190191120220717</v>
      </c>
      <c r="H8" s="34">
        <f>'SER_se-appl'!H24</f>
        <v>56.688770381450411</v>
      </c>
      <c r="I8" s="34">
        <f>'SER_se-appl'!I24</f>
        <v>62.023988600241935</v>
      </c>
      <c r="J8" s="34">
        <f>'SER_se-appl'!J24</f>
        <v>66.199534797673721</v>
      </c>
      <c r="K8" s="34">
        <f>'SER_se-appl'!K24</f>
        <v>68.794443017393419</v>
      </c>
      <c r="L8" s="34">
        <f>'SER_se-appl'!L24</f>
        <v>71.467736225180801</v>
      </c>
      <c r="M8" s="34">
        <f>'SER_se-appl'!M24</f>
        <v>74.148638883588418</v>
      </c>
      <c r="N8" s="34">
        <f>'SER_se-appl'!N24</f>
        <v>76.573380469332392</v>
      </c>
      <c r="O8" s="34">
        <f>'SER_se-appl'!O24</f>
        <v>78.379924737919879</v>
      </c>
      <c r="P8" s="34">
        <f>'SER_se-appl'!P24</f>
        <v>80.156740348388539</v>
      </c>
      <c r="Q8" s="34">
        <f>'SER_se-appl'!Q24</f>
        <v>82.702146586322343</v>
      </c>
      <c r="R8" s="34">
        <f>'SER_se-appl'!R24</f>
        <v>85.312410162071515</v>
      </c>
      <c r="S8" s="34">
        <f>'SER_se-appl'!S24</f>
        <v>87.996654252244895</v>
      </c>
      <c r="T8" s="34">
        <f>'SER_se-appl'!T24</f>
        <v>91.387486527091099</v>
      </c>
      <c r="U8" s="34">
        <f>'SER_se-appl'!U24</f>
        <v>95.511017181618001</v>
      </c>
      <c r="V8" s="34">
        <f>'SER_se-appl'!V24</f>
        <v>99.103074755885117</v>
      </c>
      <c r="W8" s="34">
        <f>'SER_se-appl'!W24</f>
        <v>101.85812090416036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2.9800578128418138</v>
      </c>
      <c r="D9" s="36">
        <f>'SER_se-appl'!D32</f>
        <v>3.3948217299601069</v>
      </c>
      <c r="E9" s="36">
        <f>'SER_se-appl'!E32</f>
        <v>4.3853896751700958</v>
      </c>
      <c r="F9" s="36">
        <f>'SER_se-appl'!F32</f>
        <v>5.5383954341502033</v>
      </c>
      <c r="G9" s="36">
        <f>'SER_se-appl'!G32</f>
        <v>6.7119692477839266</v>
      </c>
      <c r="H9" s="36">
        <f>'SER_se-appl'!H32</f>
        <v>7.1633267782541949</v>
      </c>
      <c r="I9" s="36">
        <f>'SER_se-appl'!I32</f>
        <v>7.1873022312347601</v>
      </c>
      <c r="J9" s="36">
        <f>'SER_se-appl'!J32</f>
        <v>6.2360479576499586</v>
      </c>
      <c r="K9" s="36">
        <f>'SER_se-appl'!K32</f>
        <v>4.8872812845146285</v>
      </c>
      <c r="L9" s="36">
        <f>'SER_se-appl'!L32</f>
        <v>5.2236303973275113</v>
      </c>
      <c r="M9" s="36">
        <f>'SER_se-appl'!M32</f>
        <v>5.5182330564304749</v>
      </c>
      <c r="N9" s="36">
        <f>'SER_se-appl'!N32</f>
        <v>5.5813609616297697</v>
      </c>
      <c r="O9" s="36">
        <f>'SER_se-appl'!O32</f>
        <v>5.3183826823164821</v>
      </c>
      <c r="P9" s="36">
        <f>'SER_se-appl'!P32</f>
        <v>5.6838463847069249</v>
      </c>
      <c r="Q9" s="36">
        <f>'SER_se-appl'!Q32</f>
        <v>6.8921009523514982</v>
      </c>
      <c r="R9" s="36">
        <f>'SER_se-appl'!R32</f>
        <v>5.5903213885909935</v>
      </c>
      <c r="S9" s="36">
        <f>'SER_se-appl'!S32</f>
        <v>6.0790658201334793</v>
      </c>
      <c r="T9" s="36">
        <f>'SER_se-appl'!T32</f>
        <v>7.776221950016307</v>
      </c>
      <c r="U9" s="36">
        <f>'SER_se-appl'!U32</f>
        <v>9.6619260886771059</v>
      </c>
      <c r="V9" s="36">
        <f>'SER_se-appl'!V32</f>
        <v>10.304026822051043</v>
      </c>
      <c r="W9" s="36">
        <f>'SER_se-appl'!W32</f>
        <v>9.9183729265294289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0.97675769355956987</v>
      </c>
      <c r="D10" s="38">
        <f>'SER_se-appl'!D40</f>
        <v>1.0866736786044271</v>
      </c>
      <c r="E10" s="38">
        <f>'SER_se-appl'!E40</f>
        <v>1.208958671692983</v>
      </c>
      <c r="F10" s="38">
        <f>'SER_se-appl'!F40</f>
        <v>1.3450045755582423</v>
      </c>
      <c r="G10" s="38">
        <f>'SER_se-appl'!G40</f>
        <v>1.4963599258023379</v>
      </c>
      <c r="H10" s="38">
        <f>'SER_se-appl'!H40</f>
        <v>1.6647475170245016</v>
      </c>
      <c r="I10" s="38">
        <f>'SER_se-appl'!I40</f>
        <v>1.8520840124432354</v>
      </c>
      <c r="J10" s="38">
        <f>'SER_se-appl'!J40</f>
        <v>2.0605017602181732</v>
      </c>
      <c r="K10" s="38">
        <f>'SER_se-appl'!K40</f>
        <v>2.2923730647949299</v>
      </c>
      <c r="L10" s="38">
        <f>'SER_se-appl'!L40</f>
        <v>2.5503371895401301</v>
      </c>
      <c r="M10" s="38">
        <f>'SER_se-appl'!M40</f>
        <v>2.837330398022857</v>
      </c>
      <c r="N10" s="38">
        <f>'SER_se-appl'!N40</f>
        <v>3.1566193758857963</v>
      </c>
      <c r="O10" s="38">
        <f>'SER_se-appl'!O40</f>
        <v>3.5118384137289951</v>
      </c>
      <c r="P10" s="38">
        <f>'SER_se-appl'!P40</f>
        <v>3.9070307742382653</v>
      </c>
      <c r="Q10" s="38">
        <f>'SER_se-appl'!Q40</f>
        <v>4.3466947144176942</v>
      </c>
      <c r="R10" s="38">
        <f>'SER_se-appl'!R40</f>
        <v>2.9800578128418209</v>
      </c>
      <c r="S10" s="38">
        <f>'SER_se-appl'!S40</f>
        <v>3.3948217299600998</v>
      </c>
      <c r="T10" s="38">
        <f>'SER_se-appl'!T40</f>
        <v>4.3853896751701029</v>
      </c>
      <c r="U10" s="38">
        <f>'SER_se-appl'!U40</f>
        <v>5.5383954341502033</v>
      </c>
      <c r="V10" s="38">
        <f>'SER_se-appl'!V40</f>
        <v>6.7119692477839266</v>
      </c>
      <c r="W10" s="38">
        <f>'SER_se-appl'!W40</f>
        <v>7.1633267782541878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828.8826405732201</v>
      </c>
      <c r="C12" s="205">
        <f>'SER_se-appl'!C48</f>
        <v>832.84211521137024</v>
      </c>
      <c r="D12" s="205">
        <f>'SER_se-appl'!D48</f>
        <v>836.4733454053362</v>
      </c>
      <c r="E12" s="205">
        <f>'SER_se-appl'!E48</f>
        <v>839.82773285755036</v>
      </c>
      <c r="F12" s="205">
        <f>'SER_se-appl'!F48</f>
        <v>842.94540190572525</v>
      </c>
      <c r="G12" s="205">
        <f>'SER_se-appl'!G48</f>
        <v>845.85828440952309</v>
      </c>
      <c r="H12" s="205">
        <f>'SER_se-appl'!H48</f>
        <v>848.59221527189993</v>
      </c>
      <c r="I12" s="205">
        <f>'SER_se-appl'!I48</f>
        <v>851.16839690662107</v>
      </c>
      <c r="J12" s="205">
        <f>'SER_se-appl'!J48</f>
        <v>853.60444804290955</v>
      </c>
      <c r="K12" s="205">
        <f>'SER_se-appl'!K48</f>
        <v>855.91517102339697</v>
      </c>
      <c r="L12" s="205">
        <f>'SER_se-appl'!L48</f>
        <v>858.11312376647459</v>
      </c>
      <c r="M12" s="205">
        <f>'SER_se-appl'!M48</f>
        <v>859.50984189988424</v>
      </c>
      <c r="N12" s="205">
        <f>'SER_se-appl'!N48</f>
        <v>860.84368951892668</v>
      </c>
      <c r="O12" s="205">
        <f>'SER_se-appl'!O48</f>
        <v>862.12016895796796</v>
      </c>
      <c r="P12" s="205">
        <f>'SER_se-appl'!P48</f>
        <v>863.34408697646484</v>
      </c>
      <c r="Q12" s="205">
        <f>'SER_se-appl'!Q48</f>
        <v>864.51966754038403</v>
      </c>
      <c r="R12" s="205">
        <f>'SER_se-appl'!R48</f>
        <v>860.41410649236593</v>
      </c>
      <c r="S12" s="205">
        <f>'SER_se-appl'!S48</f>
        <v>874.36614083669394</v>
      </c>
      <c r="T12" s="205">
        <f>'SER_se-appl'!T48</f>
        <v>868.51224150308838</v>
      </c>
      <c r="U12" s="205">
        <f>'SER_se-appl'!U48</f>
        <v>861.16300662193328</v>
      </c>
      <c r="V12" s="205">
        <f>'SER_se-appl'!V48</f>
        <v>844.71779931833441</v>
      </c>
      <c r="W12" s="205">
        <f>'SER_se-appl'!W48</f>
        <v>851.44294104414541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44.67673336570909</v>
      </c>
      <c r="C14" s="59">
        <f>'SER_se-appl'!C56</f>
        <v>44.463705953698117</v>
      </c>
      <c r="D14" s="59">
        <f>'SER_se-appl'!D56</f>
        <v>44.22267559888305</v>
      </c>
      <c r="E14" s="59">
        <f>'SER_se-appl'!E56</f>
        <v>43.919257641008485</v>
      </c>
      <c r="F14" s="59">
        <f>'SER_se-appl'!F56</f>
        <v>43.561128284834211</v>
      </c>
      <c r="G14" s="59">
        <f>'SER_se-appl'!G56</f>
        <v>43.160229076931174</v>
      </c>
      <c r="H14" s="59">
        <f>'SER_se-appl'!H56</f>
        <v>42.761134984606684</v>
      </c>
      <c r="I14" s="59">
        <f>'SER_se-appl'!I56</f>
        <v>42.380844862875989</v>
      </c>
      <c r="J14" s="59">
        <f>'SER_se-appl'!J56</f>
        <v>42.038827549817775</v>
      </c>
      <c r="K14" s="59">
        <f>'SER_se-appl'!K56</f>
        <v>41.737890350130506</v>
      </c>
      <c r="L14" s="59">
        <f>'SER_se-appl'!L56</f>
        <v>41.390763798938757</v>
      </c>
      <c r="M14" s="59">
        <f>'SER_se-appl'!M56</f>
        <v>40.986603510956812</v>
      </c>
      <c r="N14" s="59">
        <f>'SER_se-appl'!N56</f>
        <v>40.529327969318409</v>
      </c>
      <c r="O14" s="59">
        <f>'SER_se-appl'!O56</f>
        <v>40.028969914480498</v>
      </c>
      <c r="P14" s="59">
        <f>'SER_se-appl'!P56</f>
        <v>39.438143486253601</v>
      </c>
      <c r="Q14" s="59">
        <f>'SER_se-appl'!Q56</f>
        <v>38.701103158359395</v>
      </c>
      <c r="R14" s="59">
        <f>'SER_se-appl'!R56</f>
        <v>38.240318944838535</v>
      </c>
      <c r="S14" s="59">
        <f>'SER_se-appl'!S56</f>
        <v>37.738852511126645</v>
      </c>
      <c r="T14" s="59">
        <f>'SER_se-appl'!T56</f>
        <v>37.114358746993375</v>
      </c>
      <c r="U14" s="59">
        <f>'SER_se-appl'!U56</f>
        <v>36.368605899360112</v>
      </c>
      <c r="V14" s="59">
        <f>'SER_se-appl'!V56</f>
        <v>35.575415989630201</v>
      </c>
      <c r="W14" s="59">
        <f>'SER_se-appl'!W56</f>
        <v>34.828413183417098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42.082094677402715</v>
      </c>
      <c r="D15" s="63">
        <f>'SER_se-appl'!D64</f>
        <v>41.79098013029563</v>
      </c>
      <c r="E15" s="63">
        <f>'SER_se-appl'!E64</f>
        <v>41.457077224241331</v>
      </c>
      <c r="F15" s="63">
        <f>'SER_se-appl'!F64</f>
        <v>41.130356189706028</v>
      </c>
      <c r="G15" s="63">
        <f>'SER_se-appl'!G64</f>
        <v>40.752301301205819</v>
      </c>
      <c r="H15" s="63">
        <f>'SER_se-appl'!H64</f>
        <v>40.354332147575327</v>
      </c>
      <c r="I15" s="63">
        <f>'SER_se-appl'!I64</f>
        <v>39.972987165802024</v>
      </c>
      <c r="J15" s="63">
        <f>'SER_se-appl'!J64</f>
        <v>39.508720588417745</v>
      </c>
      <c r="K15" s="63">
        <f>'SER_se-appl'!K64</f>
        <v>39.040075903923956</v>
      </c>
      <c r="L15" s="63">
        <f>'SER_se-appl'!L64</f>
        <v>38.423469756871128</v>
      </c>
      <c r="M15" s="63">
        <f>'SER_se-appl'!M64</f>
        <v>37.649610843858675</v>
      </c>
      <c r="N15" s="63">
        <f>'SER_se-appl'!N64</f>
        <v>36.800026296046035</v>
      </c>
      <c r="O15" s="63">
        <f>'SER_se-appl'!O64</f>
        <v>35.89389449932267</v>
      </c>
      <c r="P15" s="63">
        <f>'SER_se-appl'!P64</f>
        <v>34.891644978749511</v>
      </c>
      <c r="Q15" s="63">
        <f>'SER_se-appl'!Q64</f>
        <v>33.897849378332914</v>
      </c>
      <c r="R15" s="63">
        <f>'SER_se-appl'!R64</f>
        <v>33.471518024258295</v>
      </c>
      <c r="S15" s="63">
        <f>'SER_se-appl'!S64</f>
        <v>32.964260486627815</v>
      </c>
      <c r="T15" s="63">
        <f>'SER_se-appl'!T64</f>
        <v>32.49658300658389</v>
      </c>
      <c r="U15" s="63">
        <f>'SER_se-appl'!U64</f>
        <v>32.044414028551721</v>
      </c>
      <c r="V15" s="63">
        <f>'SER_se-appl'!V64</f>
        <v>31.595294354258037</v>
      </c>
      <c r="W15" s="63">
        <f>'SER_se-appl'!W64</f>
        <v>31.355433097697642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255.4763704700452</v>
      </c>
      <c r="C3" s="199">
        <f>'SER_se-appl'!C9</f>
        <v>284.49424664615663</v>
      </c>
      <c r="D3" s="199">
        <f>'SER_se-appl'!D9</f>
        <v>315.44738136453248</v>
      </c>
      <c r="E3" s="199">
        <f>'SER_se-appl'!E9</f>
        <v>347.09031477417409</v>
      </c>
      <c r="F3" s="199">
        <f>'SER_se-appl'!F9</f>
        <v>380.23430665405772</v>
      </c>
      <c r="G3" s="199">
        <f>'SER_se-appl'!G9</f>
        <v>412.46622183883414</v>
      </c>
      <c r="H3" s="199">
        <f>'SER_se-appl'!H9</f>
        <v>437.66369071279036</v>
      </c>
      <c r="I3" s="199">
        <f>'SER_se-appl'!I9</f>
        <v>458.9339190059095</v>
      </c>
      <c r="J3" s="199">
        <f>'SER_se-appl'!J9</f>
        <v>477.44315469529926</v>
      </c>
      <c r="K3" s="199">
        <f>'SER_se-appl'!K9</f>
        <v>495.24046748703751</v>
      </c>
      <c r="L3" s="199">
        <f>'SER_se-appl'!L9</f>
        <v>514.9470253199446</v>
      </c>
      <c r="M3" s="199">
        <f>'SER_se-appl'!M9</f>
        <v>536.13461257735958</v>
      </c>
      <c r="N3" s="199">
        <f>'SER_se-appl'!N9</f>
        <v>542.22245770768359</v>
      </c>
      <c r="O3" s="199">
        <f>'SER_se-appl'!O9</f>
        <v>548.63733681559756</v>
      </c>
      <c r="P3" s="199">
        <f>'SER_se-appl'!P9</f>
        <v>579.04041640115202</v>
      </c>
      <c r="Q3" s="199">
        <f>'SER_se-appl'!Q9</f>
        <v>639.08362545576051</v>
      </c>
      <c r="R3" s="199">
        <f>'SER_se-appl'!R9</f>
        <v>638.56945870914649</v>
      </c>
      <c r="S3" s="199">
        <f>'SER_se-appl'!S9</f>
        <v>647.5340142631029</v>
      </c>
      <c r="T3" s="199">
        <f>'SER_se-appl'!T9</f>
        <v>650.9308313811822</v>
      </c>
      <c r="U3" s="199">
        <f>'SER_se-appl'!U9</f>
        <v>663.60254980999116</v>
      </c>
      <c r="V3" s="199">
        <f>'SER_se-appl'!V9</f>
        <v>665.23179259956612</v>
      </c>
      <c r="W3" s="199">
        <f>'SER_se-appl'!W9</f>
        <v>676.14601487752236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1773.0478662963153</v>
      </c>
      <c r="C5" s="59">
        <f>'SER_se-appl'!C17</f>
        <v>1952.6747973711638</v>
      </c>
      <c r="D5" s="59">
        <f>'SER_se-appl'!D17</f>
        <v>2125.213021609969</v>
      </c>
      <c r="E5" s="59">
        <f>'SER_se-appl'!E17</f>
        <v>2299.2519958186608</v>
      </c>
      <c r="F5" s="59">
        <f>'SER_se-appl'!F17</f>
        <v>2476.3876299984581</v>
      </c>
      <c r="G5" s="59">
        <f>'SER_se-appl'!G17</f>
        <v>2645.3682702285178</v>
      </c>
      <c r="H5" s="59">
        <f>'SER_se-appl'!H17</f>
        <v>2762.8503482850338</v>
      </c>
      <c r="I5" s="59">
        <f>'SER_se-appl'!I17</f>
        <v>2862.0076094115275</v>
      </c>
      <c r="J5" s="59">
        <f>'SER_se-appl'!J17</f>
        <v>2943.3375532217879</v>
      </c>
      <c r="K5" s="59">
        <f>'SER_se-appl'!K17</f>
        <v>3028.0384440158386</v>
      </c>
      <c r="L5" s="59">
        <f>'SER_se-appl'!L17</f>
        <v>3111.1881592187901</v>
      </c>
      <c r="M5" s="59">
        <f>'SER_se-appl'!M17</f>
        <v>3203.3845410573003</v>
      </c>
      <c r="N5" s="59">
        <f>'SER_se-appl'!N17</f>
        <v>3212.6010758041134</v>
      </c>
      <c r="O5" s="59">
        <f>'SER_se-appl'!O17</f>
        <v>3222.8327550219365</v>
      </c>
      <c r="P5" s="59">
        <f>'SER_se-appl'!P17</f>
        <v>3368.1640095291909</v>
      </c>
      <c r="Q5" s="59">
        <f>'SER_se-appl'!Q17</f>
        <v>3679.1594260333791</v>
      </c>
      <c r="R5" s="59">
        <f>'SER_se-appl'!R17</f>
        <v>3654.8347437750144</v>
      </c>
      <c r="S5" s="59">
        <f>'SER_se-appl'!S17</f>
        <v>3620.5396694447631</v>
      </c>
      <c r="T5" s="59">
        <f>'SER_se-appl'!T17</f>
        <v>3633.2293736143833</v>
      </c>
      <c r="U5" s="59">
        <f>'SER_se-appl'!U17</f>
        <v>3698.4124165210555</v>
      </c>
      <c r="V5" s="59">
        <f>'SER_se-appl'!V17</f>
        <v>3750.4650423092376</v>
      </c>
      <c r="W5" s="59">
        <f>'SER_se-appl'!W17</f>
        <v>3794.0142217904563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0.3034619402570618</v>
      </c>
      <c r="C6" s="202">
        <f>'SER_se-appl'!C73</f>
        <v>0.34037401372646509</v>
      </c>
      <c r="D6" s="202">
        <f>'SER_se-appl'!D73</f>
        <v>0.38002513791481723</v>
      </c>
      <c r="E6" s="202">
        <f>'SER_se-appl'!E73</f>
        <v>0.42401730217581396</v>
      </c>
      <c r="F6" s="202">
        <f>'SER_se-appl'!F73</f>
        <v>0.47355129158909437</v>
      </c>
      <c r="G6" s="202">
        <f>'SER_se-appl'!G73</f>
        <v>0.52633336885043813</v>
      </c>
      <c r="H6" s="202">
        <f>'SER_se-appl'!H73</f>
        <v>0.57796102516666348</v>
      </c>
      <c r="I6" s="202">
        <f>'SER_se-appl'!I73</f>
        <v>0.63174863000438419</v>
      </c>
      <c r="J6" s="202">
        <f>'SER_se-appl'!J73</f>
        <v>0.68921396880205332</v>
      </c>
      <c r="K6" s="202">
        <f>'SER_se-appl'!K73</f>
        <v>0.75672177782717376</v>
      </c>
      <c r="L6" s="202">
        <f>'SER_se-appl'!L73</f>
        <v>0.83502115408439737</v>
      </c>
      <c r="M6" s="202">
        <f>'SER_se-appl'!M73</f>
        <v>0.93619477885717128</v>
      </c>
      <c r="N6" s="202">
        <f>'SER_se-appl'!N73</f>
        <v>1.0091583435833653</v>
      </c>
      <c r="O6" s="202">
        <f>'SER_se-appl'!O73</f>
        <v>1.0782005381119524</v>
      </c>
      <c r="P6" s="202">
        <f>'SER_se-appl'!P73</f>
        <v>1.1892762031002813</v>
      </c>
      <c r="Q6" s="202">
        <f>'SER_se-appl'!Q73</f>
        <v>1.350247800300306</v>
      </c>
      <c r="R6" s="202">
        <f>'SER_se-appl'!R73</f>
        <v>1.3808613779424725</v>
      </c>
      <c r="S6" s="202">
        <f>'SER_se-appl'!S73</f>
        <v>1.3913354062571277</v>
      </c>
      <c r="T6" s="202">
        <f>'SER_se-appl'!T73</f>
        <v>1.4180750235682018</v>
      </c>
      <c r="U6" s="202">
        <f>'SER_se-appl'!U73</f>
        <v>1.4754833868802364</v>
      </c>
      <c r="V6" s="202">
        <f>'SER_se-appl'!V73</f>
        <v>1.5361747081810178</v>
      </c>
      <c r="W6" s="202">
        <f>'SER_se-appl'!W73</f>
        <v>1.5875063026688578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4814.1050471410153</v>
      </c>
      <c r="C8" s="34">
        <f>'SER_se-appl'!C25</f>
        <v>5441.5848854960268</v>
      </c>
      <c r="D8" s="34">
        <f>'SER_se-appl'!D25</f>
        <v>6120.4131532824376</v>
      </c>
      <c r="E8" s="34">
        <f>'SER_se-appl'!E25</f>
        <v>6865.9306947276236</v>
      </c>
      <c r="F8" s="34">
        <f>'SER_se-appl'!F25</f>
        <v>7699.0120522968273</v>
      </c>
      <c r="G8" s="34">
        <f>'SER_se-appl'!G25</f>
        <v>8582.1424304584089</v>
      </c>
      <c r="H8" s="34">
        <f>'SER_se-appl'!H25</f>
        <v>9440.5367568875663</v>
      </c>
      <c r="I8" s="34">
        <f>'SER_se-appl'!I25</f>
        <v>10334.139035622677</v>
      </c>
      <c r="J8" s="34">
        <f>'SER_se-appl'!J25</f>
        <v>11306.830154571237</v>
      </c>
      <c r="K8" s="34">
        <f>'SER_se-appl'!K25</f>
        <v>12475.154047520109</v>
      </c>
      <c r="L8" s="34">
        <f>'SER_se-appl'!L25</f>
        <v>13840.46644371619</v>
      </c>
      <c r="M8" s="34">
        <f>'SER_se-appl'!M25</f>
        <v>15593.072061494493</v>
      </c>
      <c r="N8" s="34">
        <f>'SER_se-appl'!N25</f>
        <v>16883.570275253271</v>
      </c>
      <c r="O8" s="34">
        <f>'SER_se-appl'!O25</f>
        <v>18091.746794289866</v>
      </c>
      <c r="P8" s="34">
        <f>'SER_se-appl'!P25</f>
        <v>20014.67292279733</v>
      </c>
      <c r="Q8" s="34">
        <f>'SER_se-appl'!Q25</f>
        <v>22820.168104978187</v>
      </c>
      <c r="R8" s="34">
        <f>'SER_se-appl'!R25</f>
        <v>23445.811039450593</v>
      </c>
      <c r="S8" s="34">
        <f>'SER_se-appl'!S25</f>
        <v>23766.10548132897</v>
      </c>
      <c r="T8" s="34">
        <f>'SER_se-appl'!T25</f>
        <v>24364.066098227257</v>
      </c>
      <c r="U8" s="34">
        <f>'SER_se-appl'!U25</f>
        <v>25499.544395856305</v>
      </c>
      <c r="V8" s="34">
        <f>'SER_se-appl'!V25</f>
        <v>26741.091807511264</v>
      </c>
      <c r="W8" s="34">
        <f>'SER_se-appl'!W25</f>
        <v>27742.331454253897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1590.3008477832145</v>
      </c>
      <c r="D9" s="36">
        <f>'SER_se-appl'!D33</f>
        <v>1641.6492772146139</v>
      </c>
      <c r="E9" s="36">
        <f>'SER_se-appl'!E33</f>
        <v>1708.3385508733891</v>
      </c>
      <c r="F9" s="36">
        <f>'SER_se-appl'!F33</f>
        <v>1795.9023669974067</v>
      </c>
      <c r="G9" s="36">
        <f>'SER_se-appl'!G33</f>
        <v>1845.9513875897846</v>
      </c>
      <c r="H9" s="36">
        <f>'SER_se-appl'!H33</f>
        <v>2448.695174212372</v>
      </c>
      <c r="I9" s="36">
        <f>'SER_se-appl'!I33</f>
        <v>2535.2515559497242</v>
      </c>
      <c r="J9" s="36">
        <f>'SER_se-appl'!J33</f>
        <v>2681.0296698219481</v>
      </c>
      <c r="K9" s="36">
        <f>'SER_se-appl'!K33</f>
        <v>2964.2262599462792</v>
      </c>
      <c r="L9" s="36">
        <f>'SER_se-appl'!L33</f>
        <v>3211.2637837858656</v>
      </c>
      <c r="M9" s="36">
        <f>'SER_se-appl'!M33</f>
        <v>4201.3007919906759</v>
      </c>
      <c r="N9" s="36">
        <f>'SER_se-appl'!N33</f>
        <v>3825.7497697085018</v>
      </c>
      <c r="O9" s="36">
        <f>'SER_se-appl'!O33</f>
        <v>3889.2061888585431</v>
      </c>
      <c r="P9" s="36">
        <f>'SER_se-appl'!P33</f>
        <v>4887.1523884537437</v>
      </c>
      <c r="Q9" s="36">
        <f>'SER_se-appl'!Q33</f>
        <v>6016.7589659667246</v>
      </c>
      <c r="R9" s="36">
        <f>'SER_se-appl'!R33</f>
        <v>4826.9437264630833</v>
      </c>
      <c r="S9" s="36">
        <f>'SER_se-appl'!S33</f>
        <v>4146.0442115868791</v>
      </c>
      <c r="T9" s="36">
        <f>'SER_se-appl'!T33</f>
        <v>4487.1668057568277</v>
      </c>
      <c r="U9" s="36">
        <f>'SER_se-appl'!U33</f>
        <v>6022.6306860827899</v>
      </c>
      <c r="V9" s="36">
        <f>'SER_se-appl'!V33</f>
        <v>7258.3063776216841</v>
      </c>
      <c r="W9" s="36">
        <f>'SER_se-appl'!W33</f>
        <v>5828.1833732057166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962.82100942820307</v>
      </c>
      <c r="D10" s="38">
        <f>'SER_se-appl'!D41</f>
        <v>962.82100942820307</v>
      </c>
      <c r="E10" s="38">
        <f>'SER_se-appl'!E41</f>
        <v>962.82100942820307</v>
      </c>
      <c r="F10" s="38">
        <f>'SER_se-appl'!F41</f>
        <v>962.82100942820307</v>
      </c>
      <c r="G10" s="38">
        <f>'SER_se-appl'!G41</f>
        <v>962.82100942820216</v>
      </c>
      <c r="H10" s="38">
        <f>'SER_se-appl'!H41</f>
        <v>1590.3008477832154</v>
      </c>
      <c r="I10" s="38">
        <f>'SER_se-appl'!I41</f>
        <v>1641.6492772146139</v>
      </c>
      <c r="J10" s="38">
        <f>'SER_se-appl'!J41</f>
        <v>1708.3385508733882</v>
      </c>
      <c r="K10" s="38">
        <f>'SER_se-appl'!K41</f>
        <v>1795.9023669974067</v>
      </c>
      <c r="L10" s="38">
        <f>'SER_se-appl'!L41</f>
        <v>1845.9513875897846</v>
      </c>
      <c r="M10" s="38">
        <f>'SER_se-appl'!M41</f>
        <v>2448.6951742123729</v>
      </c>
      <c r="N10" s="38">
        <f>'SER_se-appl'!N41</f>
        <v>2535.2515559497224</v>
      </c>
      <c r="O10" s="38">
        <f>'SER_se-appl'!O41</f>
        <v>2681.0296698219463</v>
      </c>
      <c r="P10" s="38">
        <f>'SER_se-appl'!P41</f>
        <v>2964.2262599462811</v>
      </c>
      <c r="Q10" s="38">
        <f>'SER_se-appl'!Q41</f>
        <v>3211.2637837858674</v>
      </c>
      <c r="R10" s="38">
        <f>'SER_se-appl'!R41</f>
        <v>4201.3007919906777</v>
      </c>
      <c r="S10" s="38">
        <f>'SER_se-appl'!S41</f>
        <v>3825.7497697085018</v>
      </c>
      <c r="T10" s="38">
        <f>'SER_se-appl'!T41</f>
        <v>3889.2061888585413</v>
      </c>
      <c r="U10" s="38">
        <f>'SER_se-appl'!U41</f>
        <v>4887.1523884537419</v>
      </c>
      <c r="V10" s="38">
        <f>'SER_se-appl'!V41</f>
        <v>6016.7589659667246</v>
      </c>
      <c r="W10" s="38">
        <f>'SER_se-appl'!W41</f>
        <v>4826.9437264630833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1675.7529478169622</v>
      </c>
      <c r="C12" s="205">
        <f>'SER_se-appl'!C49</f>
        <v>1694.4286334566191</v>
      </c>
      <c r="D12" s="205">
        <f>'SER_se-appl'!D49</f>
        <v>1726.2519135565528</v>
      </c>
      <c r="E12" s="205">
        <f>'SER_se-appl'!E49</f>
        <v>1755.6406901742714</v>
      </c>
      <c r="F12" s="205">
        <f>'SER_se-appl'!F49</f>
        <v>1785.7159892166983</v>
      </c>
      <c r="G12" s="205">
        <f>'SER_se-appl'!G49</f>
        <v>1813.3513635782961</v>
      </c>
      <c r="H12" s="205">
        <f>'SER_se-appl'!H49</f>
        <v>1842.3106869140606</v>
      </c>
      <c r="I12" s="205">
        <f>'SER_se-appl'!I49</f>
        <v>1864.9151946651109</v>
      </c>
      <c r="J12" s="205">
        <f>'SER_se-appl'!J49</f>
        <v>1886.5195679062922</v>
      </c>
      <c r="K12" s="205">
        <f>'SER_se-appl'!K49</f>
        <v>1902.1048587598843</v>
      </c>
      <c r="L12" s="205">
        <f>'SER_se-appl'!L49</f>
        <v>1924.9346545387771</v>
      </c>
      <c r="M12" s="205">
        <f>'SER_se-appl'!M49</f>
        <v>1946.4555267588023</v>
      </c>
      <c r="N12" s="205">
        <f>'SER_se-appl'!N49</f>
        <v>1962.9101262010745</v>
      </c>
      <c r="O12" s="205">
        <f>'SER_se-appl'!O49</f>
        <v>1979.8272861732685</v>
      </c>
      <c r="P12" s="205">
        <f>'SER_se-appl'!P49</f>
        <v>1999.3800847265522</v>
      </c>
      <c r="Q12" s="205">
        <f>'SER_se-appl'!Q49</f>
        <v>2020.1740950551196</v>
      </c>
      <c r="R12" s="205">
        <f>'SER_se-appl'!R49</f>
        <v>2031.9832018223096</v>
      </c>
      <c r="S12" s="205">
        <f>'SER_se-appl'!S49</f>
        <v>2080.0270880707667</v>
      </c>
      <c r="T12" s="205">
        <f>'SER_se-appl'!T49</f>
        <v>2083.6354632441198</v>
      </c>
      <c r="U12" s="205">
        <f>'SER_se-appl'!U49</f>
        <v>2086.7596106412379</v>
      </c>
      <c r="V12" s="205">
        <f>'SER_se-appl'!V49</f>
        <v>2062.8497161432929</v>
      </c>
      <c r="W12" s="205">
        <f>'SER_se-appl'!W49</f>
        <v>2072.6274845945718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368.30269571065696</v>
      </c>
      <c r="C14" s="59">
        <f>'SER_se-appl'!C57</f>
        <v>358.84302798910909</v>
      </c>
      <c r="D14" s="59">
        <f>'SER_se-appl'!D57</f>
        <v>347.23358838450253</v>
      </c>
      <c r="E14" s="59">
        <f>'SER_se-appl'!E57</f>
        <v>334.87841605862201</v>
      </c>
      <c r="F14" s="59">
        <f>'SER_se-appl'!F57</f>
        <v>321.65005239336955</v>
      </c>
      <c r="G14" s="59">
        <f>'SER_se-appl'!G57</f>
        <v>308.24101227217892</v>
      </c>
      <c r="H14" s="59">
        <f>'SER_se-appl'!H57</f>
        <v>292.6581845327101</v>
      </c>
      <c r="I14" s="59">
        <f>'SER_se-appl'!I57</f>
        <v>276.94688445219657</v>
      </c>
      <c r="J14" s="59">
        <f>'SER_se-appl'!J57</f>
        <v>260.31500544224821</v>
      </c>
      <c r="K14" s="59">
        <f>'SER_se-appl'!K57</f>
        <v>242.7255352905058</v>
      </c>
      <c r="L14" s="59">
        <f>'SER_se-appl'!L57</f>
        <v>224.78925633545558</v>
      </c>
      <c r="M14" s="59">
        <f>'SER_se-appl'!M57</f>
        <v>205.43639690909484</v>
      </c>
      <c r="N14" s="59">
        <f>'SER_se-appl'!N57</f>
        <v>190.2797230342278</v>
      </c>
      <c r="O14" s="59">
        <f>'SER_se-appl'!O57</f>
        <v>178.13828546611816</v>
      </c>
      <c r="P14" s="59">
        <f>'SER_se-appl'!P57</f>
        <v>168.28473902727376</v>
      </c>
      <c r="Q14" s="59">
        <f>'SER_se-appl'!Q57</f>
        <v>161.22402819770534</v>
      </c>
      <c r="R14" s="59">
        <f>'SER_se-appl'!R57</f>
        <v>155.88433846989915</v>
      </c>
      <c r="S14" s="59">
        <f>'SER_se-appl'!S57</f>
        <v>152.34046959393984</v>
      </c>
      <c r="T14" s="59">
        <f>'SER_se-appl'!T57</f>
        <v>149.12245595486786</v>
      </c>
      <c r="U14" s="59">
        <f>'SER_se-appl'!U57</f>
        <v>145.03837241586365</v>
      </c>
      <c r="V14" s="59">
        <f>'SER_se-appl'!V57</f>
        <v>140.25100655223716</v>
      </c>
      <c r="W14" s="59">
        <f>'SER_se-appl'!W57</f>
        <v>136.75902575263541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335.934238530279</v>
      </c>
      <c r="D15" s="63">
        <f>'SER_se-appl'!D65</f>
        <v>321.10865872184337</v>
      </c>
      <c r="E15" s="63">
        <f>'SER_se-appl'!E65</f>
        <v>309.4518631553932</v>
      </c>
      <c r="F15" s="63">
        <f>'SER_se-appl'!F65</f>
        <v>296.08803752961921</v>
      </c>
      <c r="G15" s="63">
        <f>'SER_se-appl'!G65</f>
        <v>283.64247130741728</v>
      </c>
      <c r="H15" s="63">
        <f>'SER_se-appl'!H65</f>
        <v>266.14933098002058</v>
      </c>
      <c r="I15" s="63">
        <f>'SER_se-appl'!I65</f>
        <v>247.03862508426434</v>
      </c>
      <c r="J15" s="63">
        <f>'SER_se-appl'!J65</f>
        <v>227.51650164271555</v>
      </c>
      <c r="K15" s="63">
        <f>'SER_se-appl'!K65</f>
        <v>207.96189095372338</v>
      </c>
      <c r="L15" s="63">
        <f>'SER_se-appl'!L65</f>
        <v>188.94116757265212</v>
      </c>
      <c r="M15" s="63">
        <f>'SER_se-appl'!M65</f>
        <v>177.06777045036421</v>
      </c>
      <c r="N15" s="63">
        <f>'SER_se-appl'!N65</f>
        <v>166.11687424078372</v>
      </c>
      <c r="O15" s="63">
        <f>'SER_se-appl'!O65</f>
        <v>159.46960391885654</v>
      </c>
      <c r="P15" s="63">
        <f>'SER_se-appl'!P65</f>
        <v>155.87346008283291</v>
      </c>
      <c r="Q15" s="63">
        <f>'SER_se-appl'!Q65</f>
        <v>152.52985043734552</v>
      </c>
      <c r="R15" s="63">
        <f>'SER_se-appl'!R65</f>
        <v>149.07782703695401</v>
      </c>
      <c r="S15" s="63">
        <f>'SER_se-appl'!S65</f>
        <v>145.01208582409362</v>
      </c>
      <c r="T15" s="63">
        <f>'SER_se-appl'!T65</f>
        <v>141.04665640102266</v>
      </c>
      <c r="U15" s="63">
        <f>'SER_se-appl'!U65</f>
        <v>137.30883375565341</v>
      </c>
      <c r="V15" s="63">
        <f>'SER_se-appl'!V65</f>
        <v>133.61077922731786</v>
      </c>
      <c r="W15" s="63">
        <f>'SER_se-appl'!W65</f>
        <v>130.93950766209974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13162.22858445869</v>
      </c>
      <c r="C3" s="220">
        <v>13106.41627543036</v>
      </c>
      <c r="D3" s="220">
        <v>12243.938004186361</v>
      </c>
      <c r="E3" s="220">
        <v>12159.688726703431</v>
      </c>
      <c r="F3" s="220">
        <v>11263.01266775367</v>
      </c>
      <c r="G3" s="220">
        <v>11455.978151373371</v>
      </c>
      <c r="H3" s="220">
        <v>12420.56299272783</v>
      </c>
      <c r="I3" s="220">
        <v>12021.455054439</v>
      </c>
      <c r="J3" s="220">
        <v>11069.500815933719</v>
      </c>
      <c r="K3" s="220">
        <v>10117.70102480166</v>
      </c>
      <c r="L3" s="220">
        <v>11756.067798012389</v>
      </c>
      <c r="M3" s="220">
        <v>10602.775368603639</v>
      </c>
      <c r="N3" s="220">
        <v>11017.23349092573</v>
      </c>
      <c r="O3" s="220">
        <v>11948.440278002259</v>
      </c>
      <c r="P3" s="220">
        <v>11782.39806217198</v>
      </c>
      <c r="Q3" s="220">
        <v>11898</v>
      </c>
      <c r="R3" s="220">
        <v>12477.93699703832</v>
      </c>
      <c r="S3" s="220">
        <v>13490.59391312912</v>
      </c>
      <c r="T3" s="220">
        <v>12297.859233020181</v>
      </c>
      <c r="U3" s="220">
        <v>12478.18662863791</v>
      </c>
      <c r="V3" s="220">
        <v>11713.36870855903</v>
      </c>
      <c r="W3" s="220">
        <v>11860.220751344899</v>
      </c>
      <c r="DA3" s="211" t="s">
        <v>972</v>
      </c>
    </row>
    <row r="5" spans="1:105" x14ac:dyDescent="0.25">
      <c r="A5" s="219" t="s">
        <v>120</v>
      </c>
      <c r="B5" s="220">
        <v>35606.544417655292</v>
      </c>
      <c r="C5" s="220">
        <v>36001.345630943331</v>
      </c>
      <c r="D5" s="220">
        <v>31881.32230568882</v>
      </c>
      <c r="E5" s="220">
        <v>29838.696931389739</v>
      </c>
      <c r="F5" s="220">
        <v>30163.34219639346</v>
      </c>
      <c r="G5" s="220">
        <v>26995.812385507441</v>
      </c>
      <c r="H5" s="220">
        <v>25240.907229295539</v>
      </c>
      <c r="I5" s="220">
        <v>27021.053402650439</v>
      </c>
      <c r="J5" s="220">
        <v>26851.47648685801</v>
      </c>
      <c r="K5" s="220">
        <v>23915.934585648811</v>
      </c>
      <c r="L5" s="220">
        <v>29330.080954880119</v>
      </c>
      <c r="M5" s="220">
        <v>28542.916973664549</v>
      </c>
      <c r="N5" s="220">
        <v>28484.018847949628</v>
      </c>
      <c r="O5" s="220">
        <v>29184.20880665466</v>
      </c>
      <c r="P5" s="220">
        <v>27852.283162061431</v>
      </c>
      <c r="Q5" s="220">
        <v>28769.865397273079</v>
      </c>
      <c r="R5" s="220">
        <v>28522.279873652271</v>
      </c>
      <c r="S5" s="220">
        <v>30830.550877138201</v>
      </c>
      <c r="T5" s="220">
        <v>29246.256882947891</v>
      </c>
      <c r="U5" s="220">
        <v>29208.630470171029</v>
      </c>
      <c r="V5" s="220">
        <v>27190.321410347649</v>
      </c>
      <c r="W5" s="220">
        <v>28024.519080850059</v>
      </c>
      <c r="DA5" s="211" t="s">
        <v>973</v>
      </c>
    </row>
    <row r="6" spans="1:105" x14ac:dyDescent="0.25">
      <c r="A6" s="221" t="s">
        <v>119</v>
      </c>
      <c r="B6" s="222">
        <v>44508.180522069109</v>
      </c>
      <c r="C6" s="222">
        <v>42282.771495965651</v>
      </c>
      <c r="D6" s="222">
        <v>42282.771495965651</v>
      </c>
      <c r="E6" s="222">
        <v>40057.362469862193</v>
      </c>
      <c r="F6" s="222">
        <v>37831.953443758743</v>
      </c>
      <c r="G6" s="222">
        <v>37831.953443758743</v>
      </c>
      <c r="H6" s="222">
        <v>35606.544417655277</v>
      </c>
      <c r="I6" s="222">
        <v>33381.135391551819</v>
      </c>
      <c r="J6" s="222">
        <v>31155.726365448361</v>
      </c>
      <c r="K6" s="222">
        <v>31155.726365448361</v>
      </c>
      <c r="L6" s="222">
        <v>31155.726365448361</v>
      </c>
      <c r="M6" s="222">
        <v>31155.726365448361</v>
      </c>
      <c r="N6" s="222">
        <v>31155.726365448361</v>
      </c>
      <c r="O6" s="222">
        <v>31155.726365448361</v>
      </c>
      <c r="P6" s="222">
        <v>31155.726365448361</v>
      </c>
      <c r="Q6" s="222">
        <v>31155.726365448361</v>
      </c>
      <c r="R6" s="222">
        <v>31155.726365448361</v>
      </c>
      <c r="S6" s="222">
        <v>33381.135391551819</v>
      </c>
      <c r="T6" s="222">
        <v>31155.726365448361</v>
      </c>
      <c r="U6" s="222">
        <v>31155.726365448361</v>
      </c>
      <c r="V6" s="222">
        <v>31155.726365448361</v>
      </c>
      <c r="W6" s="222">
        <v>31155.726365448361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2225.4090261034562</v>
      </c>
      <c r="M7" s="226">
        <v>0</v>
      </c>
      <c r="N7" s="226">
        <v>2225.4090261034562</v>
      </c>
      <c r="O7" s="226">
        <v>2225.4090261034562</v>
      </c>
      <c r="P7" s="226">
        <v>0</v>
      </c>
      <c r="Q7" s="226">
        <v>2225.4090261034562</v>
      </c>
      <c r="R7" s="226">
        <v>2225.4090261034562</v>
      </c>
      <c r="S7" s="226">
        <v>2225.409026103458</v>
      </c>
      <c r="T7" s="226">
        <v>0</v>
      </c>
      <c r="U7" s="226">
        <v>2225.4090261034562</v>
      </c>
      <c r="V7" s="226">
        <v>0</v>
      </c>
      <c r="W7" s="226">
        <v>2225.4090261034562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2225.409026103458</v>
      </c>
      <c r="D8" s="228">
        <f t="shared" ref="D8" si="1">IF(C6=0,0,C6+D7-D6)</f>
        <v>0</v>
      </c>
      <c r="E8" s="228">
        <f t="shared" ref="E8" si="2">IF(D6=0,0,D6+E7-E6)</f>
        <v>2225.409026103458</v>
      </c>
      <c r="F8" s="228">
        <f t="shared" ref="F8" si="3">IF(E6=0,0,E6+F7-F6)</f>
        <v>2225.4090261034507</v>
      </c>
      <c r="G8" s="228">
        <f t="shared" ref="G8" si="4">IF(F6=0,0,F6+G7-G6)</f>
        <v>0</v>
      </c>
      <c r="H8" s="228">
        <f t="shared" ref="H8" si="5">IF(G6=0,0,G6+H7-H6)</f>
        <v>2225.4090261034653</v>
      </c>
      <c r="I8" s="228">
        <f t="shared" ref="I8" si="6">IF(H6=0,0,H6+I7-I6)</f>
        <v>2225.409026103458</v>
      </c>
      <c r="J8" s="228">
        <f t="shared" ref="J8" si="7">IF(I6=0,0,I6+J7-J6)</f>
        <v>2225.409026103458</v>
      </c>
      <c r="K8" s="228">
        <f t="shared" ref="K8" si="8">IF(J6=0,0,J6+K7-K6)</f>
        <v>0</v>
      </c>
      <c r="L8" s="228">
        <f t="shared" ref="L8" si="9">IF(K6=0,0,K6+L7-L6)</f>
        <v>2225.409026103458</v>
      </c>
      <c r="M8" s="228">
        <f t="shared" ref="M8" si="10">IF(L6=0,0,L6+M7-M6)</f>
        <v>0</v>
      </c>
      <c r="N8" s="228">
        <f t="shared" ref="N8" si="11">IF(M6=0,0,M6+N7-N6)</f>
        <v>2225.409026103458</v>
      </c>
      <c r="O8" s="228">
        <f t="shared" ref="O8" si="12">IF(N6=0,0,N6+O7-O6)</f>
        <v>2225.409026103458</v>
      </c>
      <c r="P8" s="228">
        <f t="shared" ref="P8" si="13">IF(O6=0,0,O6+P7-P6)</f>
        <v>0</v>
      </c>
      <c r="Q8" s="228">
        <f t="shared" ref="Q8" si="14">IF(P6=0,0,P6+Q7-Q6)</f>
        <v>2225.409026103458</v>
      </c>
      <c r="R8" s="228">
        <f t="shared" ref="R8" si="15">IF(Q6=0,0,Q6+R7-R6)</f>
        <v>2225.409026103458</v>
      </c>
      <c r="S8" s="228">
        <f t="shared" ref="S8" si="16">IF(R6=0,0,R6+S7-S6)</f>
        <v>0</v>
      </c>
      <c r="T8" s="228">
        <f t="shared" ref="T8" si="17">IF(S6=0,0,S6+T7-T6)</f>
        <v>2225.409026103458</v>
      </c>
      <c r="U8" s="228">
        <f t="shared" ref="U8" si="18">IF(T6=0,0,T6+U7-U6)</f>
        <v>2225.409026103458</v>
      </c>
      <c r="V8" s="228">
        <f t="shared" ref="V8" si="19">IF(U6=0,0,U6+V7-V6)</f>
        <v>0</v>
      </c>
      <c r="W8" s="228">
        <f t="shared" ref="W8" si="20">IF(V6=0,0,V6+W7-W6)</f>
        <v>2225.409026103458</v>
      </c>
      <c r="DA8" s="214" t="s">
        <v>976</v>
      </c>
    </row>
    <row r="9" spans="1:105" x14ac:dyDescent="0.25">
      <c r="A9" s="223" t="s">
        <v>116</v>
      </c>
      <c r="B9" s="224">
        <f>B6-B5</f>
        <v>8901.6361044138175</v>
      </c>
      <c r="C9" s="224">
        <f t="shared" ref="C9:W9" si="21">C6-C5</f>
        <v>6281.4258650223201</v>
      </c>
      <c r="D9" s="224">
        <f t="shared" si="21"/>
        <v>10401.449190276831</v>
      </c>
      <c r="E9" s="224">
        <f t="shared" si="21"/>
        <v>10218.665538472455</v>
      </c>
      <c r="F9" s="224">
        <f t="shared" si="21"/>
        <v>7668.6112473652829</v>
      </c>
      <c r="G9" s="224">
        <f t="shared" si="21"/>
        <v>10836.141058251302</v>
      </c>
      <c r="H9" s="224">
        <f t="shared" si="21"/>
        <v>10365.637188359739</v>
      </c>
      <c r="I9" s="224">
        <f t="shared" si="21"/>
        <v>6360.0819889013801</v>
      </c>
      <c r="J9" s="224">
        <f t="shared" si="21"/>
        <v>4304.2498785903517</v>
      </c>
      <c r="K9" s="224">
        <f t="shared" si="21"/>
        <v>7239.7917797995506</v>
      </c>
      <c r="L9" s="224">
        <f t="shared" si="21"/>
        <v>1825.6454105682424</v>
      </c>
      <c r="M9" s="224">
        <f t="shared" si="21"/>
        <v>2612.8093917838123</v>
      </c>
      <c r="N9" s="224">
        <f t="shared" si="21"/>
        <v>2671.7075174987331</v>
      </c>
      <c r="O9" s="224">
        <f t="shared" si="21"/>
        <v>1971.517558793701</v>
      </c>
      <c r="P9" s="224">
        <f t="shared" si="21"/>
        <v>3303.4432033869307</v>
      </c>
      <c r="Q9" s="224">
        <f t="shared" si="21"/>
        <v>2385.8609681752823</v>
      </c>
      <c r="R9" s="224">
        <f t="shared" si="21"/>
        <v>2633.4464917960904</v>
      </c>
      <c r="S9" s="224">
        <f t="shared" si="21"/>
        <v>2550.5845144136183</v>
      </c>
      <c r="T9" s="224">
        <f t="shared" si="21"/>
        <v>1909.4694825004699</v>
      </c>
      <c r="U9" s="224">
        <f t="shared" si="21"/>
        <v>1947.0958952773326</v>
      </c>
      <c r="V9" s="224">
        <f t="shared" si="21"/>
        <v>3965.404955100712</v>
      </c>
      <c r="W9" s="224">
        <f t="shared" si="21"/>
        <v>3131.2072845983021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4502.7638865004283</v>
      </c>
      <c r="C12" s="230">
        <f t="shared" ref="C12:W12" si="22">SUM(C13,C14,C18,C19,C26,C27)</f>
        <v>4404.6938950988824</v>
      </c>
      <c r="D12" s="230">
        <f t="shared" si="22"/>
        <v>4074.7697334479781</v>
      </c>
      <c r="E12" s="230">
        <f t="shared" si="22"/>
        <v>4041.1406706792777</v>
      </c>
      <c r="F12" s="230">
        <f t="shared" si="22"/>
        <v>4067.3345657781592</v>
      </c>
      <c r="G12" s="230">
        <f t="shared" si="22"/>
        <v>4168.8703353396395</v>
      </c>
      <c r="H12" s="230">
        <f t="shared" si="22"/>
        <v>3708.6515907136713</v>
      </c>
      <c r="I12" s="230">
        <f t="shared" si="22"/>
        <v>3708.3291487532238</v>
      </c>
      <c r="J12" s="230">
        <f t="shared" si="22"/>
        <v>3741.1418744625962</v>
      </c>
      <c r="K12" s="230">
        <f t="shared" si="22"/>
        <v>3739.5011177987972</v>
      </c>
      <c r="L12" s="230">
        <f t="shared" si="22"/>
        <v>4240.7149613069651</v>
      </c>
      <c r="M12" s="230">
        <f t="shared" si="22"/>
        <v>3790.5069647463451</v>
      </c>
      <c r="N12" s="230">
        <f t="shared" si="22"/>
        <v>3846.5677558039552</v>
      </c>
      <c r="O12" s="230">
        <f t="shared" si="22"/>
        <v>3880.0465176268262</v>
      </c>
      <c r="P12" s="230">
        <f t="shared" si="22"/>
        <v>3625.2363714531384</v>
      </c>
      <c r="Q12" s="230">
        <f t="shared" si="22"/>
        <v>3824.0378331900265</v>
      </c>
      <c r="R12" s="230">
        <f t="shared" si="22"/>
        <v>3861.500515907137</v>
      </c>
      <c r="S12" s="230">
        <f t="shared" si="22"/>
        <v>3850.8008598452288</v>
      </c>
      <c r="T12" s="230">
        <f t="shared" si="22"/>
        <v>4131.9069647463448</v>
      </c>
      <c r="U12" s="230">
        <f t="shared" si="22"/>
        <v>4147.9755803955286</v>
      </c>
      <c r="V12" s="230">
        <f t="shared" si="22"/>
        <v>4041.1889939810826</v>
      </c>
      <c r="W12" s="230">
        <f t="shared" si="22"/>
        <v>3994.6189165950127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828.20851246775567</v>
      </c>
      <c r="C14" s="55">
        <f t="shared" ref="C14:W14" si="23">SUM(C15:C17)</f>
        <v>821.50378331900265</v>
      </c>
      <c r="D14" s="55">
        <f t="shared" si="23"/>
        <v>734.55460017196901</v>
      </c>
      <c r="E14" s="55">
        <f t="shared" si="23"/>
        <v>701.51315563198625</v>
      </c>
      <c r="F14" s="55">
        <f t="shared" si="23"/>
        <v>672.8896818572656</v>
      </c>
      <c r="G14" s="55">
        <f t="shared" si="23"/>
        <v>679.99544282029228</v>
      </c>
      <c r="H14" s="55">
        <f t="shared" si="23"/>
        <v>660.48650042992267</v>
      </c>
      <c r="I14" s="55">
        <f t="shared" si="23"/>
        <v>629.70404127257098</v>
      </c>
      <c r="J14" s="55">
        <f t="shared" si="23"/>
        <v>610.02811693895092</v>
      </c>
      <c r="K14" s="55">
        <f t="shared" si="23"/>
        <v>589.03370593293198</v>
      </c>
      <c r="L14" s="55">
        <f t="shared" si="23"/>
        <v>614.61848667239894</v>
      </c>
      <c r="M14" s="55">
        <f t="shared" si="23"/>
        <v>583.35434221840069</v>
      </c>
      <c r="N14" s="55">
        <f t="shared" si="23"/>
        <v>530.05365434221835</v>
      </c>
      <c r="O14" s="55">
        <f t="shared" si="23"/>
        <v>574.01547721410134</v>
      </c>
      <c r="P14" s="55">
        <f t="shared" si="23"/>
        <v>597.71934651762672</v>
      </c>
      <c r="Q14" s="55">
        <f t="shared" si="23"/>
        <v>629.80077386070514</v>
      </c>
      <c r="R14" s="55">
        <f t="shared" si="23"/>
        <v>603.08116938950991</v>
      </c>
      <c r="S14" s="55">
        <f t="shared" si="23"/>
        <v>567.59939810834044</v>
      </c>
      <c r="T14" s="55">
        <f t="shared" si="23"/>
        <v>605.95812553740325</v>
      </c>
      <c r="U14" s="55">
        <f t="shared" si="23"/>
        <v>586.13697334479775</v>
      </c>
      <c r="V14" s="55">
        <f t="shared" si="23"/>
        <v>622.15692175408412</v>
      </c>
      <c r="W14" s="55">
        <f t="shared" si="23"/>
        <v>562.41685296646597</v>
      </c>
      <c r="DA14" s="10"/>
    </row>
    <row r="15" spans="1:105" x14ac:dyDescent="0.25">
      <c r="A15" s="61" t="s">
        <v>52</v>
      </c>
      <c r="B15" s="55">
        <v>45.338521066208081</v>
      </c>
      <c r="C15" s="55">
        <v>48.576956147893377</v>
      </c>
      <c r="D15" s="55">
        <v>44.258985382631117</v>
      </c>
      <c r="E15" s="55">
        <v>39.941014617368872</v>
      </c>
      <c r="F15" s="55">
        <v>42.099999999999987</v>
      </c>
      <c r="G15" s="55">
        <v>39.941014617368872</v>
      </c>
      <c r="H15" s="55">
        <v>39.941014617368872</v>
      </c>
      <c r="I15" s="55">
        <v>39.941014617368872</v>
      </c>
      <c r="J15" s="55">
        <v>38.861564918314699</v>
      </c>
      <c r="K15" s="55">
        <v>36.702579535683583</v>
      </c>
      <c r="L15" s="55">
        <v>41.020550300945828</v>
      </c>
      <c r="M15" s="55">
        <v>32.384608770421323</v>
      </c>
      <c r="N15" s="55">
        <v>30.225623387790201</v>
      </c>
      <c r="O15" s="55">
        <v>32.384608770421323</v>
      </c>
      <c r="P15" s="55">
        <v>22.669217540842649</v>
      </c>
      <c r="Q15" s="55">
        <v>33.42570937231298</v>
      </c>
      <c r="R15" s="55">
        <v>31.049441100601889</v>
      </c>
      <c r="S15" s="55">
        <v>29.41719690455718</v>
      </c>
      <c r="T15" s="55">
        <v>31.049441100601889</v>
      </c>
      <c r="U15" s="55">
        <v>32.67411865864144</v>
      </c>
      <c r="V15" s="55">
        <v>33.676956147893378</v>
      </c>
      <c r="W15" s="55">
        <v>42.514703353396378</v>
      </c>
      <c r="DA15" s="10" t="s">
        <v>980</v>
      </c>
    </row>
    <row r="16" spans="1:105" x14ac:dyDescent="0.25">
      <c r="A16" s="61" t="s">
        <v>172</v>
      </c>
      <c r="B16" s="55">
        <v>712.36268271711083</v>
      </c>
      <c r="C16" s="55">
        <v>709.27437661220984</v>
      </c>
      <c r="D16" s="55">
        <v>641.33224419604471</v>
      </c>
      <c r="E16" s="55">
        <v>614.56723989681859</v>
      </c>
      <c r="F16" s="55">
        <v>585.74333619948402</v>
      </c>
      <c r="G16" s="55">
        <v>595.00808254514186</v>
      </c>
      <c r="H16" s="55">
        <v>576.47841788478081</v>
      </c>
      <c r="I16" s="55">
        <v>547.65451418744635</v>
      </c>
      <c r="J16" s="55">
        <v>524.16165090283744</v>
      </c>
      <c r="K16" s="55">
        <v>500.42992261392942</v>
      </c>
      <c r="L16" s="55">
        <v>533.44797936371447</v>
      </c>
      <c r="M16" s="55">
        <v>531.38435081685293</v>
      </c>
      <c r="N16" s="55">
        <v>485.98452278589849</v>
      </c>
      <c r="O16" s="55">
        <v>521.06620808254502</v>
      </c>
      <c r="P16" s="55">
        <v>542.7343078245915</v>
      </c>
      <c r="Q16" s="55">
        <v>572.87265692175413</v>
      </c>
      <c r="R16" s="55">
        <v>553.22975064488389</v>
      </c>
      <c r="S16" s="55">
        <v>519.3802235597592</v>
      </c>
      <c r="T16" s="55">
        <v>557.28185726569211</v>
      </c>
      <c r="U16" s="55">
        <v>546.41212381771265</v>
      </c>
      <c r="V16" s="55">
        <v>588.47996560619072</v>
      </c>
      <c r="W16" s="55">
        <v>519.90214961306958</v>
      </c>
      <c r="DA16" s="10" t="s">
        <v>981</v>
      </c>
    </row>
    <row r="17" spans="1:105" x14ac:dyDescent="0.25">
      <c r="A17" s="61" t="s">
        <v>113</v>
      </c>
      <c r="B17" s="55">
        <v>70.507308684436794</v>
      </c>
      <c r="C17" s="55">
        <v>63.652450558899403</v>
      </c>
      <c r="D17" s="55">
        <v>48.963370593293199</v>
      </c>
      <c r="E17" s="55">
        <v>47.004901117798788</v>
      </c>
      <c r="F17" s="55">
        <v>45.0463456577816</v>
      </c>
      <c r="G17" s="55">
        <v>45.0463456577816</v>
      </c>
      <c r="H17" s="55">
        <v>44.067067927773003</v>
      </c>
      <c r="I17" s="55">
        <v>42.108512467755801</v>
      </c>
      <c r="J17" s="55">
        <v>47.004901117798788</v>
      </c>
      <c r="K17" s="55">
        <v>51.901203783318998</v>
      </c>
      <c r="L17" s="55">
        <v>40.149957007738607</v>
      </c>
      <c r="M17" s="55">
        <v>19.5853826311264</v>
      </c>
      <c r="N17" s="55">
        <v>13.843508168529659</v>
      </c>
      <c r="O17" s="55">
        <v>20.56466036113499</v>
      </c>
      <c r="P17" s="55">
        <v>32.315821152192598</v>
      </c>
      <c r="Q17" s="55">
        <v>23.502407566638009</v>
      </c>
      <c r="R17" s="55">
        <v>18.80197764402407</v>
      </c>
      <c r="S17" s="55">
        <v>18.80197764402407</v>
      </c>
      <c r="T17" s="55">
        <v>17.626827171109198</v>
      </c>
      <c r="U17" s="55">
        <v>7.0507308684436794</v>
      </c>
      <c r="V17" s="55">
        <v>0</v>
      </c>
      <c r="W17" s="55">
        <v>0</v>
      </c>
      <c r="DA17" s="10" t="s">
        <v>982</v>
      </c>
    </row>
    <row r="18" spans="1:105" x14ac:dyDescent="0.25">
      <c r="A18" s="60" t="s">
        <v>153</v>
      </c>
      <c r="B18" s="55">
        <v>2956.331470335339</v>
      </c>
      <c r="C18" s="55">
        <v>2873.206276870163</v>
      </c>
      <c r="D18" s="55">
        <v>2673.1853826311258</v>
      </c>
      <c r="E18" s="55">
        <v>2681.0529664660362</v>
      </c>
      <c r="F18" s="55">
        <v>2730.9453138435078</v>
      </c>
      <c r="G18" s="55">
        <v>2766.327858985383</v>
      </c>
      <c r="H18" s="55">
        <v>2330.624247635425</v>
      </c>
      <c r="I18" s="55">
        <v>2327.937231298366</v>
      </c>
      <c r="J18" s="55">
        <v>2370.3704213241608</v>
      </c>
      <c r="K18" s="55">
        <v>2343.4358555460021</v>
      </c>
      <c r="L18" s="55">
        <v>2818.434307824592</v>
      </c>
      <c r="M18" s="55">
        <v>2409.2353396388648</v>
      </c>
      <c r="N18" s="55">
        <v>2458.6332760103178</v>
      </c>
      <c r="O18" s="55">
        <v>2396.7030954428201</v>
      </c>
      <c r="P18" s="55">
        <v>2071.4032674118662</v>
      </c>
      <c r="Q18" s="55">
        <v>2147.458039552881</v>
      </c>
      <c r="R18" s="55">
        <v>2197.1895098882201</v>
      </c>
      <c r="S18" s="55">
        <v>2146.405417024936</v>
      </c>
      <c r="T18" s="55">
        <v>2234.9915735167669</v>
      </c>
      <c r="U18" s="55">
        <v>2140.331298366294</v>
      </c>
      <c r="V18" s="55">
        <v>2044.3974204643159</v>
      </c>
      <c r="W18" s="55">
        <v>2060.2421324161651</v>
      </c>
      <c r="DA18" s="10" t="s">
        <v>983</v>
      </c>
    </row>
    <row r="19" spans="1:105" x14ac:dyDescent="0.25">
      <c r="A19" s="60" t="s">
        <v>51</v>
      </c>
      <c r="B19" s="55">
        <f>SUM(B20:B25)</f>
        <v>2.2212381771281171</v>
      </c>
      <c r="C19" s="55">
        <f t="shared" ref="C19:W19" si="24">SUM(C20:C25)</f>
        <v>2.1974204643164228</v>
      </c>
      <c r="D19" s="55">
        <f t="shared" si="24"/>
        <v>2.1735167669819431</v>
      </c>
      <c r="E19" s="55">
        <f t="shared" si="24"/>
        <v>2.1735167669819431</v>
      </c>
      <c r="F19" s="55">
        <f t="shared" si="24"/>
        <v>2.1496130696474629</v>
      </c>
      <c r="G19" s="55">
        <f t="shared" si="24"/>
        <v>6.6398968185726561</v>
      </c>
      <c r="H19" s="55">
        <f t="shared" si="24"/>
        <v>20.827343078245914</v>
      </c>
      <c r="I19" s="55">
        <f t="shared" si="24"/>
        <v>34.369905417024924</v>
      </c>
      <c r="J19" s="55">
        <f t="shared" si="24"/>
        <v>50.42037833190026</v>
      </c>
      <c r="K19" s="55">
        <f t="shared" si="24"/>
        <v>65.658641444539981</v>
      </c>
      <c r="L19" s="55">
        <f t="shared" si="24"/>
        <v>80.920980223559766</v>
      </c>
      <c r="M19" s="55">
        <f t="shared" si="24"/>
        <v>83.47669819432501</v>
      </c>
      <c r="N19" s="55">
        <f t="shared" si="24"/>
        <v>110.13181427343078</v>
      </c>
      <c r="O19" s="55">
        <f t="shared" si="24"/>
        <v>131.2219260533104</v>
      </c>
      <c r="P19" s="55">
        <f t="shared" si="24"/>
        <v>153.36294067067928</v>
      </c>
      <c r="Q19" s="55">
        <f t="shared" si="24"/>
        <v>191.04196044711949</v>
      </c>
      <c r="R19" s="55">
        <f t="shared" si="24"/>
        <v>203.99415305245054</v>
      </c>
      <c r="S19" s="55">
        <f t="shared" si="24"/>
        <v>226.90017196904557</v>
      </c>
      <c r="T19" s="55">
        <f t="shared" si="24"/>
        <v>278.71883061049004</v>
      </c>
      <c r="U19" s="55">
        <f t="shared" si="24"/>
        <v>344.6925193465176</v>
      </c>
      <c r="V19" s="55">
        <f t="shared" si="24"/>
        <v>380.05726569217541</v>
      </c>
      <c r="W19" s="55">
        <f t="shared" si="24"/>
        <v>405.79578675838343</v>
      </c>
      <c r="DA19" s="10"/>
    </row>
    <row r="20" spans="1:105" x14ac:dyDescent="0.25">
      <c r="A20" s="61" t="s">
        <v>171</v>
      </c>
      <c r="B20" s="55">
        <v>2.2212381771281171</v>
      </c>
      <c r="C20" s="55">
        <v>2.1974204643164228</v>
      </c>
      <c r="D20" s="55">
        <v>2.1735167669819431</v>
      </c>
      <c r="E20" s="55">
        <v>2.1735167669819431</v>
      </c>
      <c r="F20" s="55">
        <v>2.1496130696474629</v>
      </c>
      <c r="G20" s="55">
        <v>6.2099742046431636</v>
      </c>
      <c r="H20" s="55">
        <v>19.346517626827168</v>
      </c>
      <c r="I20" s="55">
        <v>29.330266552020628</v>
      </c>
      <c r="J20" s="55">
        <v>35.062596732588133</v>
      </c>
      <c r="K20" s="55">
        <v>39.099054170249353</v>
      </c>
      <c r="L20" s="55">
        <v>41.487532244196039</v>
      </c>
      <c r="M20" s="55">
        <v>44.640326741186577</v>
      </c>
      <c r="N20" s="55">
        <v>47.530352536543418</v>
      </c>
      <c r="O20" s="55">
        <v>54.839036973344797</v>
      </c>
      <c r="P20" s="55">
        <v>57.012553740326737</v>
      </c>
      <c r="Q20" s="55">
        <v>64.916251074806524</v>
      </c>
      <c r="R20" s="55">
        <v>71.744883920894239</v>
      </c>
      <c r="S20" s="55">
        <v>87.686242476354252</v>
      </c>
      <c r="T20" s="55">
        <v>111.6368873602751</v>
      </c>
      <c r="U20" s="55">
        <v>129.86586414445401</v>
      </c>
      <c r="V20" s="55">
        <v>149.5981083404987</v>
      </c>
      <c r="W20" s="55">
        <v>165.78899398108339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0.42992261392949271</v>
      </c>
      <c r="H21" s="55">
        <v>1.4808254514187451</v>
      </c>
      <c r="I21" s="55">
        <v>5.0396388650042976</v>
      </c>
      <c r="J21" s="55">
        <v>13.06483233018057</v>
      </c>
      <c r="K21" s="55">
        <v>23.168013757523649</v>
      </c>
      <c r="L21" s="55">
        <v>31.838177128116939</v>
      </c>
      <c r="M21" s="55">
        <v>31.28882201203783</v>
      </c>
      <c r="N21" s="55">
        <v>40.173860705073082</v>
      </c>
      <c r="O21" s="55">
        <v>42.944453998280309</v>
      </c>
      <c r="P21" s="55">
        <v>48.103525365434223</v>
      </c>
      <c r="Q21" s="55">
        <v>55.549011177987957</v>
      </c>
      <c r="R21" s="55">
        <v>55.617540842648317</v>
      </c>
      <c r="S21" s="55">
        <v>54.058555460017203</v>
      </c>
      <c r="T21" s="55">
        <v>52.35270851246775</v>
      </c>
      <c r="U21" s="55">
        <v>49.963284608770422</v>
      </c>
      <c r="V21" s="55">
        <v>54.767239896818573</v>
      </c>
      <c r="W21" s="55">
        <v>57.728804815133273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10.60472914875322</v>
      </c>
      <c r="O22" s="55">
        <v>9.7210662080825436</v>
      </c>
      <c r="P22" s="55">
        <v>12.37222699914016</v>
      </c>
      <c r="Q22" s="55">
        <v>12.09914015477214</v>
      </c>
      <c r="R22" s="55">
        <v>8.7153052450558892</v>
      </c>
      <c r="S22" s="55">
        <v>12.38985382631126</v>
      </c>
      <c r="T22" s="55">
        <v>25.62639724849527</v>
      </c>
      <c r="U22" s="55">
        <v>31.971539122957871</v>
      </c>
      <c r="V22" s="55">
        <v>27.959071367153911</v>
      </c>
      <c r="W22" s="55">
        <v>31.155546001719689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2.2929492691315558</v>
      </c>
      <c r="K24" s="55">
        <v>3.3915735167669818</v>
      </c>
      <c r="L24" s="55">
        <v>7.5952708512467746</v>
      </c>
      <c r="M24" s="55">
        <v>7.5475494411006014</v>
      </c>
      <c r="N24" s="55">
        <v>11.822871883061049</v>
      </c>
      <c r="O24" s="55">
        <v>23.717368873602751</v>
      </c>
      <c r="P24" s="55">
        <v>35.874634565778159</v>
      </c>
      <c r="Q24" s="55">
        <v>58.477558039552882</v>
      </c>
      <c r="R24" s="55">
        <v>67.916423043852106</v>
      </c>
      <c r="S24" s="55">
        <v>72.765520206362851</v>
      </c>
      <c r="T24" s="55">
        <v>89.102837489251939</v>
      </c>
      <c r="U24" s="55">
        <v>132.89183147033529</v>
      </c>
      <c r="V24" s="55">
        <v>147.73284608770419</v>
      </c>
      <c r="W24" s="55">
        <v>151.12244196044711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354.78168529664657</v>
      </c>
      <c r="C26" s="55">
        <v>335.81736887360267</v>
      </c>
      <c r="D26" s="55">
        <v>297.1004299226139</v>
      </c>
      <c r="E26" s="55">
        <v>259.84041272570943</v>
      </c>
      <c r="F26" s="55">
        <v>222.05503009458289</v>
      </c>
      <c r="G26" s="55">
        <v>221.4101461736887</v>
      </c>
      <c r="H26" s="55">
        <v>202.73241616509031</v>
      </c>
      <c r="I26" s="55">
        <v>174.78744625967329</v>
      </c>
      <c r="J26" s="55">
        <v>149.01599312123821</v>
      </c>
      <c r="K26" s="55">
        <v>132.3445399828031</v>
      </c>
      <c r="L26" s="55">
        <v>131.12639724849529</v>
      </c>
      <c r="M26" s="55">
        <v>115.8163370593293</v>
      </c>
      <c r="N26" s="55">
        <v>107.2417884780739</v>
      </c>
      <c r="O26" s="55">
        <v>99.980911435941522</v>
      </c>
      <c r="P26" s="55">
        <v>99.980911435941522</v>
      </c>
      <c r="Q26" s="55">
        <v>83.596044711951848</v>
      </c>
      <c r="R26" s="55">
        <v>88.37300085984522</v>
      </c>
      <c r="S26" s="55">
        <v>88.354944110060188</v>
      </c>
      <c r="T26" s="55">
        <v>83.58813413585554</v>
      </c>
      <c r="U26" s="55">
        <v>83.583233018056745</v>
      </c>
      <c r="V26" s="55">
        <v>78.388134135855537</v>
      </c>
      <c r="W26" s="55">
        <v>85.841186586414437</v>
      </c>
      <c r="DA26" s="10" t="s">
        <v>990</v>
      </c>
    </row>
    <row r="27" spans="1:105" x14ac:dyDescent="0.25">
      <c r="A27" s="62" t="s">
        <v>24</v>
      </c>
      <c r="B27" s="63">
        <v>361.22098022355971</v>
      </c>
      <c r="C27" s="63">
        <v>371.96904557179698</v>
      </c>
      <c r="D27" s="63">
        <v>367.755803955288</v>
      </c>
      <c r="E27" s="63">
        <v>396.56061908856401</v>
      </c>
      <c r="F27" s="63">
        <v>439.29492691315562</v>
      </c>
      <c r="G27" s="63">
        <v>494.49699054170247</v>
      </c>
      <c r="H27" s="63">
        <v>493.98108340498709</v>
      </c>
      <c r="I27" s="63">
        <v>541.53052450558891</v>
      </c>
      <c r="J27" s="63">
        <v>561.30696474634567</v>
      </c>
      <c r="K27" s="63">
        <v>609.02837489251931</v>
      </c>
      <c r="L27" s="63">
        <v>595.61478933791909</v>
      </c>
      <c r="M27" s="63">
        <v>598.6242476354256</v>
      </c>
      <c r="N27" s="63">
        <v>640.507222699914</v>
      </c>
      <c r="O27" s="63">
        <v>678.12510748065347</v>
      </c>
      <c r="P27" s="63">
        <v>702.76990541702492</v>
      </c>
      <c r="Q27" s="63">
        <v>772.1410146173688</v>
      </c>
      <c r="R27" s="63">
        <v>768.86268271711083</v>
      </c>
      <c r="S27" s="63">
        <v>821.54092863284609</v>
      </c>
      <c r="T27" s="63">
        <v>928.6503009458296</v>
      </c>
      <c r="U27" s="63">
        <v>993.23155631986231</v>
      </c>
      <c r="V27" s="63">
        <v>916.18925193465179</v>
      </c>
      <c r="W27" s="63">
        <v>880.3229578675838</v>
      </c>
      <c r="DA27" s="11" t="s">
        <v>991</v>
      </c>
    </row>
    <row r="29" spans="1:105" x14ac:dyDescent="0.25">
      <c r="A29" s="219" t="s">
        <v>84</v>
      </c>
      <c r="B29" s="220">
        <v>9502.1266787999994</v>
      </c>
      <c r="C29" s="220">
        <v>9283.6432267199998</v>
      </c>
      <c r="D29" s="220">
        <v>8544.0415348799997</v>
      </c>
      <c r="E29" s="220">
        <v>8461.7305182</v>
      </c>
      <c r="F29" s="220">
        <v>8488.850482079999</v>
      </c>
      <c r="G29" s="220">
        <v>8594.996182920002</v>
      </c>
      <c r="H29" s="220">
        <v>7510.9575952800005</v>
      </c>
      <c r="I29" s="220">
        <v>7408.87566264</v>
      </c>
      <c r="J29" s="220">
        <v>7448.6732061599978</v>
      </c>
      <c r="K29" s="220">
        <v>7321.9467938400012</v>
      </c>
      <c r="L29" s="220">
        <v>8513.383156560003</v>
      </c>
      <c r="M29" s="220">
        <v>7456.4002519200003</v>
      </c>
      <c r="N29" s="220">
        <v>7407.2658056399996</v>
      </c>
      <c r="O29" s="220">
        <v>7398.1268128800002</v>
      </c>
      <c r="P29" s="220">
        <v>6713.7015942000007</v>
      </c>
      <c r="Q29" s="220">
        <v>6985.697090040002</v>
      </c>
      <c r="R29" s="220">
        <v>7020.0556592400008</v>
      </c>
      <c r="S29" s="220">
        <v>6791.4466585200016</v>
      </c>
      <c r="T29" s="220">
        <v>7117.6081086000013</v>
      </c>
      <c r="U29" s="220">
        <v>6831.5675493600002</v>
      </c>
      <c r="V29" s="220">
        <v>6716.5515061199994</v>
      </c>
      <c r="W29" s="220">
        <v>6564.3585638400009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342.09737793317692</v>
      </c>
      <c r="C31" s="59">
        <f t="shared" si="25"/>
        <v>336.07157002605203</v>
      </c>
      <c r="D31" s="59">
        <f t="shared" si="25"/>
        <v>332.79895177962851</v>
      </c>
      <c r="E31" s="59">
        <f t="shared" si="25"/>
        <v>332.33915452166815</v>
      </c>
      <c r="F31" s="59">
        <f t="shared" si="25"/>
        <v>361.12314580121671</v>
      </c>
      <c r="G31" s="59">
        <f t="shared" si="25"/>
        <v>363.90348168042425</v>
      </c>
      <c r="H31" s="59">
        <f t="shared" si="25"/>
        <v>298.58965273032032</v>
      </c>
      <c r="I31" s="59">
        <f t="shared" si="25"/>
        <v>308.47589846321466</v>
      </c>
      <c r="J31" s="59">
        <f t="shared" si="25"/>
        <v>337.96843567485013</v>
      </c>
      <c r="K31" s="59">
        <f t="shared" si="25"/>
        <v>369.59988327705145</v>
      </c>
      <c r="L31" s="59">
        <f t="shared" si="25"/>
        <v>360.72562987633904</v>
      </c>
      <c r="M31" s="59">
        <f t="shared" si="25"/>
        <v>357.50139307587222</v>
      </c>
      <c r="N31" s="59">
        <f t="shared" si="25"/>
        <v>349.14098525479693</v>
      </c>
      <c r="O31" s="59">
        <f t="shared" si="25"/>
        <v>324.73246945630274</v>
      </c>
      <c r="P31" s="59">
        <f t="shared" si="25"/>
        <v>307.68238794207389</v>
      </c>
      <c r="Q31" s="59">
        <f t="shared" si="25"/>
        <v>321.40173417297245</v>
      </c>
      <c r="R31" s="59">
        <f t="shared" si="25"/>
        <v>309.46626167640352</v>
      </c>
      <c r="S31" s="59">
        <f t="shared" si="25"/>
        <v>285.44339001247442</v>
      </c>
      <c r="T31" s="59">
        <f t="shared" si="25"/>
        <v>335.98587253723241</v>
      </c>
      <c r="U31" s="59">
        <f t="shared" si="25"/>
        <v>332.41813925717122</v>
      </c>
      <c r="V31" s="59">
        <f t="shared" si="25"/>
        <v>345.00655571681619</v>
      </c>
      <c r="W31" s="59">
        <f t="shared" si="25"/>
        <v>336.80814213698676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122.34803499436495</v>
      </c>
      <c r="D32" s="55">
        <f t="shared" si="26"/>
        <v>127.81056238438663</v>
      </c>
      <c r="E32" s="55">
        <f t="shared" si="26"/>
        <v>135.43288032890186</v>
      </c>
      <c r="F32" s="55">
        <f t="shared" si="26"/>
        <v>134.84363036747561</v>
      </c>
      <c r="G32" s="55">
        <f t="shared" si="26"/>
        <v>154.42655608236763</v>
      </c>
      <c r="H32" s="55">
        <f t="shared" si="26"/>
        <v>146.93020171673038</v>
      </c>
      <c r="I32" s="55">
        <f t="shared" si="26"/>
        <v>137.23851152262927</v>
      </c>
      <c r="J32" s="55">
        <f t="shared" si="26"/>
        <v>139.32723127138402</v>
      </c>
      <c r="K32" s="55">
        <f t="shared" si="26"/>
        <v>156.36023356757099</v>
      </c>
      <c r="L32" s="55">
        <f t="shared" si="26"/>
        <v>144.58585940593417</v>
      </c>
      <c r="M32" s="55">
        <f t="shared" si="26"/>
        <v>132.80026593791027</v>
      </c>
      <c r="N32" s="55">
        <f t="shared" si="26"/>
        <v>135.04301399101354</v>
      </c>
      <c r="O32" s="55">
        <f t="shared" si="26"/>
        <v>132.95020410976801</v>
      </c>
      <c r="P32" s="55">
        <f t="shared" si="26"/>
        <v>130.15939664117732</v>
      </c>
      <c r="Q32" s="55">
        <f t="shared" si="26"/>
        <v>132.91816907674806</v>
      </c>
      <c r="R32" s="55">
        <f t="shared" si="26"/>
        <v>135.38540863538174</v>
      </c>
      <c r="S32" s="55">
        <f t="shared" si="26"/>
        <v>124.90211009173747</v>
      </c>
      <c r="T32" s="55">
        <f t="shared" si="26"/>
        <v>141.27985612939972</v>
      </c>
      <c r="U32" s="55">
        <f t="shared" si="26"/>
        <v>142.0119845958406</v>
      </c>
      <c r="V32" s="55">
        <f t="shared" si="26"/>
        <v>148.62601044661255</v>
      </c>
      <c r="W32" s="55">
        <f t="shared" si="26"/>
        <v>142.54014154785793</v>
      </c>
      <c r="DA32" s="217"/>
    </row>
    <row r="33" spans="1:105" x14ac:dyDescent="0.25">
      <c r="A33" s="35" t="s">
        <v>111</v>
      </c>
      <c r="B33" s="55">
        <f>IF(AGR_ued!B$5=0,"",AGR_ued!B$5/B$5*1000)</f>
        <v>48.118627469054495</v>
      </c>
      <c r="C33" s="55">
        <f>IF(AGR_ued!C$5=0,"",AGR_ued!C$5/C$5*1000)</f>
        <v>46.535105890690268</v>
      </c>
      <c r="D33" s="55">
        <f>IF(AGR_ued!D$5=0,"",AGR_ued!D$5/D$5*1000)</f>
        <v>48.676047357743201</v>
      </c>
      <c r="E33" s="55">
        <f>IF(AGR_ued!E$5=0,"",AGR_ued!E$5/E$5*1000)</f>
        <v>51.595238575816445</v>
      </c>
      <c r="F33" s="55">
        <f>IF(AGR_ued!F$5=0,"",AGR_ued!F$5/F$5*1000)</f>
        <v>51.423391455162793</v>
      </c>
      <c r="G33" s="55">
        <f>IF(AGR_ued!G$5=0,"",AGR_ued!G$5/G$5*1000)</f>
        <v>59.020056953679727</v>
      </c>
      <c r="H33" s="55">
        <f>IF(AGR_ued!H$5=0,"",AGR_ued!H$5/H$5*1000)</f>
        <v>56.184253373156061</v>
      </c>
      <c r="I33" s="55">
        <f>IF(AGR_ued!I$5=0,"",AGR_ued!I$5/I$5*1000)</f>
        <v>52.604281869703975</v>
      </c>
      <c r="J33" s="55">
        <f>IF(AGR_ued!J$5=0,"",AGR_ued!J$5/J$5*1000)</f>
        <v>53.40685969024571</v>
      </c>
      <c r="K33" s="55">
        <f>IF(AGR_ued!K$5=0,"",AGR_ued!K$5/K$5*1000)</f>
        <v>60.139129611446293</v>
      </c>
      <c r="L33" s="55">
        <f>IF(AGR_ued!L$5=0,"",AGR_ued!L$5/L$5*1000)</f>
        <v>55.322797086308476</v>
      </c>
      <c r="M33" s="55">
        <f>IF(AGR_ued!M$5=0,"",AGR_ued!M$5/M$5*1000)</f>
        <v>50.931897872395382</v>
      </c>
      <c r="N33" s="55">
        <f>IF(AGR_ued!N$5=0,"",AGR_ued!N$5/N$5*1000)</f>
        <v>52.006639621313887</v>
      </c>
      <c r="O33" s="55">
        <f>IF(AGR_ued!O$5=0,"",AGR_ued!O$5/O$5*1000)</f>
        <v>51.176706802202993</v>
      </c>
      <c r="P33" s="55">
        <f>IF(AGR_ued!P$5=0,"",AGR_ued!P$5/P$5*1000)</f>
        <v>50.24247531551363</v>
      </c>
      <c r="Q33" s="55">
        <f>IF(AGR_ued!Q$5=0,"",AGR_ued!Q$5/Q$5*1000)</f>
        <v>51.346037223758103</v>
      </c>
      <c r="R33" s="55">
        <f>IF(AGR_ued!R$5=0,"",AGR_ued!R$5/R$5*1000)</f>
        <v>52.316015146180682</v>
      </c>
      <c r="S33" s="55">
        <f>IF(AGR_ued!S$5=0,"",AGR_ued!S$5/S$5*1000)</f>
        <v>48.537632409461551</v>
      </c>
      <c r="T33" s="55">
        <f>IF(AGR_ued!T$5=0,"",AGR_ued!T$5/T$5*1000)</f>
        <v>55.015683566012747</v>
      </c>
      <c r="U33" s="55">
        <f>IF(AGR_ued!U$5=0,"",AGR_ued!U$5/U$5*1000)</f>
        <v>55.549792698476836</v>
      </c>
      <c r="V33" s="55">
        <f>IF(AGR_ued!V$5=0,"",AGR_ued!V$5/V$5*1000)</f>
        <v>57.62238111680206</v>
      </c>
      <c r="W33" s="55">
        <f>IF(AGR_ued!W$5=0,"",AGR_ued!W$5/W$5*1000)</f>
        <v>55.235411752095423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2.1102875741026481</v>
      </c>
      <c r="C34" s="218">
        <f t="shared" si="27"/>
        <v>2.1076704642404187</v>
      </c>
      <c r="D34" s="218">
        <f t="shared" si="27"/>
        <v>2.096815794214272</v>
      </c>
      <c r="E34" s="218">
        <f t="shared" si="27"/>
        <v>2.0938965524250515</v>
      </c>
      <c r="F34" s="218">
        <f t="shared" si="27"/>
        <v>2.0870794730051716</v>
      </c>
      <c r="G34" s="218">
        <f t="shared" si="27"/>
        <v>2.0617086864179872</v>
      </c>
      <c r="H34" s="218">
        <f t="shared" si="27"/>
        <v>2.0252529555720913</v>
      </c>
      <c r="I34" s="218">
        <f t="shared" si="27"/>
        <v>1.9979013095779095</v>
      </c>
      <c r="J34" s="218">
        <f t="shared" si="27"/>
        <v>1.9910159668109291</v>
      </c>
      <c r="K34" s="218">
        <f t="shared" si="27"/>
        <v>1.9580009640831337</v>
      </c>
      <c r="L34" s="218">
        <f t="shared" si="27"/>
        <v>2.0075348695296951</v>
      </c>
      <c r="M34" s="218">
        <f t="shared" si="27"/>
        <v>1.9671247992071612</v>
      </c>
      <c r="N34" s="218">
        <f t="shared" si="27"/>
        <v>1.9256818743055879</v>
      </c>
      <c r="O34" s="218">
        <f t="shared" si="27"/>
        <v>1.9067108549525731</v>
      </c>
      <c r="P34" s="218">
        <f t="shared" si="27"/>
        <v>1.8519348550806034</v>
      </c>
      <c r="Q34" s="218">
        <f t="shared" si="27"/>
        <v>1.8267855588166364</v>
      </c>
      <c r="R34" s="218">
        <f t="shared" si="27"/>
        <v>1.8179605648947741</v>
      </c>
      <c r="S34" s="218">
        <f t="shared" si="27"/>
        <v>1.7636452534689013</v>
      </c>
      <c r="T34" s="218">
        <f t="shared" si="27"/>
        <v>1.7225964111311851</v>
      </c>
      <c r="U34" s="218">
        <f t="shared" si="27"/>
        <v>1.6469642641214823</v>
      </c>
      <c r="V34" s="218">
        <f t="shared" si="27"/>
        <v>1.6620236064493847</v>
      </c>
      <c r="W34" s="218">
        <f t="shared" si="27"/>
        <v>1.6433003249870497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4502.7638865004283</v>
      </c>
      <c r="C5" s="80">
        <f t="shared" ref="C5:W5" si="1">SUM(C6:C9,C16:C17,C25:C27)</f>
        <v>4404.6938950988815</v>
      </c>
      <c r="D5" s="80">
        <f t="shared" si="1"/>
        <v>4074.7697334479776</v>
      </c>
      <c r="E5" s="80">
        <f t="shared" si="1"/>
        <v>4041.1406706792768</v>
      </c>
      <c r="F5" s="80">
        <f t="shared" si="1"/>
        <v>4067.3345657781579</v>
      </c>
      <c r="G5" s="80">
        <f t="shared" si="1"/>
        <v>4168.8703353396386</v>
      </c>
      <c r="H5" s="80">
        <f t="shared" si="1"/>
        <v>3708.65159071367</v>
      </c>
      <c r="I5" s="80">
        <f t="shared" si="1"/>
        <v>3708.3291487532238</v>
      </c>
      <c r="J5" s="80">
        <f t="shared" si="1"/>
        <v>3741.1418744625967</v>
      </c>
      <c r="K5" s="80">
        <f t="shared" si="1"/>
        <v>3739.5011177987967</v>
      </c>
      <c r="L5" s="80">
        <f t="shared" si="1"/>
        <v>4240.7149613069641</v>
      </c>
      <c r="M5" s="80">
        <f t="shared" si="1"/>
        <v>3790.5069647463433</v>
      </c>
      <c r="N5" s="80">
        <f t="shared" si="1"/>
        <v>3846.5677558039538</v>
      </c>
      <c r="O5" s="80">
        <f t="shared" si="1"/>
        <v>3880.0465176268267</v>
      </c>
      <c r="P5" s="80">
        <f t="shared" si="1"/>
        <v>3625.2363714531366</v>
      </c>
      <c r="Q5" s="80">
        <f t="shared" si="1"/>
        <v>3824.037833190027</v>
      </c>
      <c r="R5" s="80">
        <f t="shared" si="1"/>
        <v>3861.500515907137</v>
      </c>
      <c r="S5" s="80">
        <f t="shared" si="1"/>
        <v>3850.8008598452266</v>
      </c>
      <c r="T5" s="80">
        <f t="shared" si="1"/>
        <v>4131.9069647463439</v>
      </c>
      <c r="U5" s="80">
        <f t="shared" si="1"/>
        <v>4147.9755803955286</v>
      </c>
      <c r="V5" s="80">
        <f t="shared" si="1"/>
        <v>4041.1889939810803</v>
      </c>
      <c r="W5" s="80">
        <f t="shared" si="1"/>
        <v>3994.6189165950109</v>
      </c>
      <c r="DA5" s="103"/>
    </row>
    <row r="6" spans="1:105" x14ac:dyDescent="0.25">
      <c r="A6" s="239" t="s">
        <v>125</v>
      </c>
      <c r="B6" s="240">
        <v>69.532975100831251</v>
      </c>
      <c r="C6" s="240">
        <v>71.296632240852162</v>
      </c>
      <c r="D6" s="240">
        <v>70.081946882282892</v>
      </c>
      <c r="E6" s="240">
        <v>74.917980171365926</v>
      </c>
      <c r="F6" s="240">
        <v>82.025228003812529</v>
      </c>
      <c r="G6" s="240">
        <v>91.103178489569331</v>
      </c>
      <c r="H6" s="240">
        <v>89.085679905190133</v>
      </c>
      <c r="I6" s="240">
        <v>95.815057510458047</v>
      </c>
      <c r="J6" s="240">
        <v>98.680456258609183</v>
      </c>
      <c r="K6" s="240">
        <v>104.955040199948</v>
      </c>
      <c r="L6" s="240">
        <v>106.3272973465391</v>
      </c>
      <c r="M6" s="240">
        <v>103.9684031617645</v>
      </c>
      <c r="N6" s="240">
        <v>109.892873728651</v>
      </c>
      <c r="O6" s="240">
        <v>114.6052666193187</v>
      </c>
      <c r="P6" s="240">
        <v>114.8265158683913</v>
      </c>
      <c r="Q6" s="240">
        <v>124.3340586851251</v>
      </c>
      <c r="R6" s="240">
        <v>124.554826106649</v>
      </c>
      <c r="S6" s="240">
        <v>130.01141536183971</v>
      </c>
      <c r="T6" s="240">
        <v>143.9280955802017</v>
      </c>
      <c r="U6" s="240">
        <v>150.1833113188863</v>
      </c>
      <c r="V6" s="240">
        <v>141.0125804663258</v>
      </c>
      <c r="W6" s="240">
        <v>137.1042980820653</v>
      </c>
      <c r="DA6" s="268" t="s">
        <v>993</v>
      </c>
    </row>
    <row r="7" spans="1:105" x14ac:dyDescent="0.25">
      <c r="A7" s="241" t="s">
        <v>124</v>
      </c>
      <c r="B7" s="242">
        <v>45.19643381554031</v>
      </c>
      <c r="C7" s="242">
        <v>46.342810956553912</v>
      </c>
      <c r="D7" s="242">
        <v>45.553265473483883</v>
      </c>
      <c r="E7" s="242">
        <v>48.696687111387817</v>
      </c>
      <c r="F7" s="242">
        <v>53.316398202478119</v>
      </c>
      <c r="G7" s="242">
        <v>59.217066018220038</v>
      </c>
      <c r="H7" s="242">
        <v>57.905691938373558</v>
      </c>
      <c r="I7" s="242">
        <v>62.279787381797718</v>
      </c>
      <c r="J7" s="242">
        <v>64.142296568095958</v>
      </c>
      <c r="K7" s="242">
        <v>68.220776129966154</v>
      </c>
      <c r="L7" s="242">
        <v>69.112743275250409</v>
      </c>
      <c r="M7" s="242">
        <v>67.579462055146905</v>
      </c>
      <c r="N7" s="242">
        <v>71.430367923623081</v>
      </c>
      <c r="O7" s="242">
        <v>74.493423302557161</v>
      </c>
      <c r="P7" s="242">
        <v>74.637235314454315</v>
      </c>
      <c r="Q7" s="242">
        <v>80.81713814533127</v>
      </c>
      <c r="R7" s="242">
        <v>80.960636969321826</v>
      </c>
      <c r="S7" s="242">
        <v>84.507419985195796</v>
      </c>
      <c r="T7" s="242">
        <v>93.553262127131092</v>
      </c>
      <c r="U7" s="242">
        <v>97.619152357276036</v>
      </c>
      <c r="V7" s="242">
        <v>91.658177303111756</v>
      </c>
      <c r="W7" s="242">
        <v>89.117793753342383</v>
      </c>
      <c r="DA7" s="269" t="s">
        <v>994</v>
      </c>
    </row>
    <row r="8" spans="1:105" x14ac:dyDescent="0.25">
      <c r="A8" s="241" t="s">
        <v>123</v>
      </c>
      <c r="B8" s="242">
        <v>62.579677590748112</v>
      </c>
      <c r="C8" s="242">
        <v>64.166969016766942</v>
      </c>
      <c r="D8" s="242">
        <v>63.073752194054613</v>
      </c>
      <c r="E8" s="242">
        <v>67.426182154229309</v>
      </c>
      <c r="F8" s="242">
        <v>73.822705203431255</v>
      </c>
      <c r="G8" s="242">
        <v>81.992860640612363</v>
      </c>
      <c r="H8" s="242">
        <v>80.177111914671102</v>
      </c>
      <c r="I8" s="242">
        <v>86.233551759412236</v>
      </c>
      <c r="J8" s="242">
        <v>88.812410632748239</v>
      </c>
      <c r="K8" s="242">
        <v>94.459536179953176</v>
      </c>
      <c r="L8" s="242">
        <v>95.694567611885176</v>
      </c>
      <c r="M8" s="242">
        <v>93.571562845588033</v>
      </c>
      <c r="N8" s="242">
        <v>98.903586355785819</v>
      </c>
      <c r="O8" s="242">
        <v>103.1447399573869</v>
      </c>
      <c r="P8" s="242">
        <v>103.3438642815521</v>
      </c>
      <c r="Q8" s="242">
        <v>111.90065281661261</v>
      </c>
      <c r="R8" s="242">
        <v>112.0993434959841</v>
      </c>
      <c r="S8" s="242">
        <v>117.0102738256557</v>
      </c>
      <c r="T8" s="242">
        <v>129.53528602218151</v>
      </c>
      <c r="U8" s="242">
        <v>135.16498018699761</v>
      </c>
      <c r="V8" s="242">
        <v>126.91132241969321</v>
      </c>
      <c r="W8" s="242">
        <v>123.3938682738587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1316.643300426133</v>
      </c>
      <c r="C9" s="244">
        <f t="shared" ref="C9:W9" si="3">SUM(C10:C15)</f>
        <v>1275.3004708672809</v>
      </c>
      <c r="D9" s="244">
        <f t="shared" si="3"/>
        <v>1172.5842403413258</v>
      </c>
      <c r="E9" s="244">
        <f t="shared" si="3"/>
        <v>1148.6989051550527</v>
      </c>
      <c r="F9" s="244">
        <f t="shared" si="3"/>
        <v>1141.4364754801809</v>
      </c>
      <c r="G9" s="244">
        <f t="shared" si="3"/>
        <v>1157.0503930702819</v>
      </c>
      <c r="H9" s="244">
        <f t="shared" si="3"/>
        <v>1003.5981584612537</v>
      </c>
      <c r="I9" s="244">
        <f t="shared" si="3"/>
        <v>991.68858619379557</v>
      </c>
      <c r="J9" s="244">
        <f t="shared" si="3"/>
        <v>996.36147303038797</v>
      </c>
      <c r="K9" s="244">
        <f t="shared" si="3"/>
        <v>987.92140686429639</v>
      </c>
      <c r="L9" s="244">
        <f t="shared" si="3"/>
        <v>1145.2966522112245</v>
      </c>
      <c r="M9" s="244">
        <f t="shared" si="3"/>
        <v>996.39619262962401</v>
      </c>
      <c r="N9" s="244">
        <f t="shared" si="3"/>
        <v>1013.9090144321619</v>
      </c>
      <c r="O9" s="244">
        <f t="shared" si="3"/>
        <v>1006.7182446095667</v>
      </c>
      <c r="P9" s="244">
        <f t="shared" si="3"/>
        <v>918.77863115537957</v>
      </c>
      <c r="Q9" s="244">
        <f t="shared" si="3"/>
        <v>960.18243806370754</v>
      </c>
      <c r="R9" s="244">
        <f t="shared" si="3"/>
        <v>978.3207509142361</v>
      </c>
      <c r="S9" s="244">
        <f t="shared" si="3"/>
        <v>976.81063561222334</v>
      </c>
      <c r="T9" s="244">
        <f t="shared" si="3"/>
        <v>1038.4841357690061</v>
      </c>
      <c r="U9" s="244">
        <f t="shared" si="3"/>
        <v>1041.3453812549337</v>
      </c>
      <c r="V9" s="244">
        <f t="shared" si="3"/>
        <v>1002.2913149178637</v>
      </c>
      <c r="W9" s="244">
        <f t="shared" si="3"/>
        <v>1005.3637070902228</v>
      </c>
      <c r="DA9" s="270"/>
    </row>
    <row r="10" spans="1:105" x14ac:dyDescent="0.25">
      <c r="A10" s="254" t="s">
        <v>173</v>
      </c>
      <c r="B10" s="255">
        <v>20.597322999744978</v>
      </c>
      <c r="C10" s="255">
        <v>21.291118267719579</v>
      </c>
      <c r="D10" s="255">
        <v>18.58922042430401</v>
      </c>
      <c r="E10" s="255">
        <v>17.00014118447352</v>
      </c>
      <c r="F10" s="255">
        <v>14.960465617350421</v>
      </c>
      <c r="G10" s="255">
        <v>15.09447133439564</v>
      </c>
      <c r="H10" s="255">
        <v>17.298969394903349</v>
      </c>
      <c r="I10" s="255">
        <v>15.282826737001679</v>
      </c>
      <c r="J10" s="255">
        <v>13.482973954938149</v>
      </c>
      <c r="K10" s="255">
        <v>11.997870227446141</v>
      </c>
      <c r="L10" s="255">
        <v>11.24925143019475</v>
      </c>
      <c r="M10" s="255">
        <v>13.75802270331048</v>
      </c>
      <c r="N10" s="255">
        <v>11.10748318602813</v>
      </c>
      <c r="O10" s="255">
        <v>13.34340794613432</v>
      </c>
      <c r="P10" s="255">
        <v>17.16701251959141</v>
      </c>
      <c r="Q10" s="255">
        <v>18.22292758993385</v>
      </c>
      <c r="R10" s="255">
        <v>16.001018370852059</v>
      </c>
      <c r="S10" s="255">
        <v>13.867175131516699</v>
      </c>
      <c r="T10" s="255">
        <v>15.910523473642829</v>
      </c>
      <c r="U10" s="255">
        <v>15.47559823681476</v>
      </c>
      <c r="V10" s="255">
        <v>19.47869774821514</v>
      </c>
      <c r="W10" s="255">
        <v>14.683380583808839</v>
      </c>
      <c r="DA10" s="271" t="s">
        <v>996</v>
      </c>
    </row>
    <row r="11" spans="1:105" x14ac:dyDescent="0.25">
      <c r="A11" s="254" t="s">
        <v>176</v>
      </c>
      <c r="B11" s="256">
        <v>927.70818740976813</v>
      </c>
      <c r="C11" s="256">
        <v>902.70609935797256</v>
      </c>
      <c r="D11" s="256">
        <v>839.5485204499073</v>
      </c>
      <c r="E11" s="256">
        <v>849.88763301278198</v>
      </c>
      <c r="F11" s="256">
        <v>875.25219287393008</v>
      </c>
      <c r="G11" s="256">
        <v>881.56467746843782</v>
      </c>
      <c r="H11" s="256">
        <v>735.01408902254605</v>
      </c>
      <c r="I11" s="256">
        <v>739.16307624408648</v>
      </c>
      <c r="J11" s="256">
        <v>765.22165212479854</v>
      </c>
      <c r="K11" s="256">
        <v>758.23919225385487</v>
      </c>
      <c r="L11" s="256">
        <v>936.44730060234838</v>
      </c>
      <c r="M11" s="256">
        <v>785.61002848228361</v>
      </c>
      <c r="N11" s="256">
        <v>800.72831768746983</v>
      </c>
      <c r="O11" s="256">
        <v>780.70541586978663</v>
      </c>
      <c r="P11" s="256">
        <v>661.7919337587316</v>
      </c>
      <c r="Q11" s="256">
        <v>689.58802611438716</v>
      </c>
      <c r="R11" s="256">
        <v>706.55726855838475</v>
      </c>
      <c r="S11" s="256">
        <v>680.59845615975564</v>
      </c>
      <c r="T11" s="256">
        <v>702.60584678448515</v>
      </c>
      <c r="U11" s="256">
        <v>659.93149980170278</v>
      </c>
      <c r="V11" s="256">
        <v>647.71398633720105</v>
      </c>
      <c r="W11" s="256">
        <v>662.74890597575791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0.73617037646522188</v>
      </c>
      <c r="K12" s="256">
        <v>1.0866305076141749</v>
      </c>
      <c r="L12" s="256">
        <v>2.495400325247064</v>
      </c>
      <c r="M12" s="256">
        <v>2.4295725584554329</v>
      </c>
      <c r="N12" s="256">
        <v>3.7885710241735331</v>
      </c>
      <c r="O12" s="256">
        <v>7.589734973826471</v>
      </c>
      <c r="P12" s="256">
        <v>11.201447366471699</v>
      </c>
      <c r="Q12" s="256">
        <v>18.304718456124061</v>
      </c>
      <c r="R12" s="256">
        <v>21.300910941552551</v>
      </c>
      <c r="S12" s="256">
        <v>22.50620838758163</v>
      </c>
      <c r="T12" s="256">
        <v>27.369808330513528</v>
      </c>
      <c r="U12" s="256">
        <v>40.040050473252663</v>
      </c>
      <c r="V12" s="256">
        <v>45.584147093989792</v>
      </c>
      <c r="W12" s="256">
        <v>47.288766487324772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354.78168529659212</v>
      </c>
      <c r="C14" s="255">
        <v>335.81736887356169</v>
      </c>
      <c r="D14" s="255">
        <v>297.10042992255188</v>
      </c>
      <c r="E14" s="255">
        <v>259.84041272566708</v>
      </c>
      <c r="F14" s="255">
        <v>222.0550300945103</v>
      </c>
      <c r="G14" s="255">
        <v>221.41014617362941</v>
      </c>
      <c r="H14" s="255">
        <v>202.73241616503901</v>
      </c>
      <c r="I14" s="255">
        <v>174.78744625964541</v>
      </c>
      <c r="J14" s="255">
        <v>149.01599312120291</v>
      </c>
      <c r="K14" s="255">
        <v>132.344539982784</v>
      </c>
      <c r="L14" s="255">
        <v>131.12639724846559</v>
      </c>
      <c r="M14" s="255">
        <v>115.8163370593016</v>
      </c>
      <c r="N14" s="255">
        <v>107.2417884780542</v>
      </c>
      <c r="O14" s="255">
        <v>99.980911435928959</v>
      </c>
      <c r="P14" s="255">
        <v>99.980911435915431</v>
      </c>
      <c r="Q14" s="255">
        <v>83.59604471193002</v>
      </c>
      <c r="R14" s="255">
        <v>88.373000859830171</v>
      </c>
      <c r="S14" s="255">
        <v>88.354944110039426</v>
      </c>
      <c r="T14" s="255">
        <v>83.588134135839027</v>
      </c>
      <c r="U14" s="255">
        <v>83.583233018039721</v>
      </c>
      <c r="V14" s="255">
        <v>78.38813413583604</v>
      </c>
      <c r="W14" s="255">
        <v>85.841186586394684</v>
      </c>
      <c r="DA14" s="271" t="s">
        <v>1000</v>
      </c>
    </row>
    <row r="15" spans="1:105" x14ac:dyDescent="0.25">
      <c r="A15" s="254" t="s">
        <v>24</v>
      </c>
      <c r="B15" s="256">
        <v>13.556104720027911</v>
      </c>
      <c r="C15" s="256">
        <v>15.485884368026969</v>
      </c>
      <c r="D15" s="256">
        <v>17.346069544562688</v>
      </c>
      <c r="E15" s="256">
        <v>21.970718232130139</v>
      </c>
      <c r="F15" s="256">
        <v>29.16878689439007</v>
      </c>
      <c r="G15" s="256">
        <v>38.981098093818893</v>
      </c>
      <c r="H15" s="256">
        <v>48.552683878765308</v>
      </c>
      <c r="I15" s="256">
        <v>62.455236953062027</v>
      </c>
      <c r="J15" s="256">
        <v>67.90468345298315</v>
      </c>
      <c r="K15" s="256">
        <v>84.253173892597275</v>
      </c>
      <c r="L15" s="256">
        <v>63.978302604968867</v>
      </c>
      <c r="M15" s="256">
        <v>78.782231826272792</v>
      </c>
      <c r="N15" s="256">
        <v>91.042854056436255</v>
      </c>
      <c r="O15" s="256">
        <v>105.0987743838902</v>
      </c>
      <c r="P15" s="256">
        <v>128.63732607466949</v>
      </c>
      <c r="Q15" s="256">
        <v>150.47072119133239</v>
      </c>
      <c r="R15" s="256">
        <v>146.0885521836166</v>
      </c>
      <c r="S15" s="256">
        <v>171.4838518233299</v>
      </c>
      <c r="T15" s="256">
        <v>209.00982304452569</v>
      </c>
      <c r="U15" s="256">
        <v>242.31499972512361</v>
      </c>
      <c r="V15" s="256">
        <v>211.1263496026217</v>
      </c>
      <c r="W15" s="256">
        <v>194.80146745693659</v>
      </c>
      <c r="DA15" s="272" t="s">
        <v>1001</v>
      </c>
    </row>
    <row r="16" spans="1:105" x14ac:dyDescent="0.25">
      <c r="A16" s="257" t="s">
        <v>175</v>
      </c>
      <c r="B16" s="258">
        <v>542.4825638358534</v>
      </c>
      <c r="C16" s="258">
        <v>538.10576859338789</v>
      </c>
      <c r="D16" s="258">
        <v>488.3099478594159</v>
      </c>
      <c r="E16" s="258">
        <v>470.52361239933441</v>
      </c>
      <c r="F16" s="258">
        <v>452.1748156273141</v>
      </c>
      <c r="G16" s="258">
        <v>459.36402330179311</v>
      </c>
      <c r="H16" s="258">
        <v>437.51823935040971</v>
      </c>
      <c r="I16" s="258">
        <v>418.9193787513301</v>
      </c>
      <c r="J16" s="258">
        <v>404.44815870507529</v>
      </c>
      <c r="K16" s="258">
        <v>388.35643852960749</v>
      </c>
      <c r="L16" s="258">
        <v>418.74348778312282</v>
      </c>
      <c r="M16" s="258">
        <v>409.88228953323897</v>
      </c>
      <c r="N16" s="258">
        <v>387.47075193745241</v>
      </c>
      <c r="O16" s="258">
        <v>410.25598924552338</v>
      </c>
      <c r="P16" s="258">
        <v>419.51316272262449</v>
      </c>
      <c r="Q16" s="258">
        <v>441.85031389394192</v>
      </c>
      <c r="R16" s="258">
        <v>428.5730718839082</v>
      </c>
      <c r="S16" s="258">
        <v>408.44883578237449</v>
      </c>
      <c r="T16" s="258">
        <v>445.50399255544511</v>
      </c>
      <c r="U16" s="258">
        <v>442.07263507805249</v>
      </c>
      <c r="V16" s="258">
        <v>464.12532511385052</v>
      </c>
      <c r="W16" s="258">
        <v>422.87460026988322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2191.7306011926089</v>
      </c>
      <c r="C17" s="258">
        <f t="shared" ref="C17:W17" si="5">SUM(C18:C24)</f>
        <v>2131.4029865731241</v>
      </c>
      <c r="D17" s="258">
        <f t="shared" si="5"/>
        <v>1969.6329849137128</v>
      </c>
      <c r="E17" s="258">
        <f t="shared" si="5"/>
        <v>1956.9132189310385</v>
      </c>
      <c r="F17" s="258">
        <f t="shared" si="5"/>
        <v>1976.7079755281527</v>
      </c>
      <c r="G17" s="258">
        <f t="shared" si="5"/>
        <v>2008.6694012287369</v>
      </c>
      <c r="H17" s="258">
        <f t="shared" si="5"/>
        <v>1738.0340175280944</v>
      </c>
      <c r="I17" s="258">
        <f t="shared" si="5"/>
        <v>1738.1470464697525</v>
      </c>
      <c r="J17" s="258">
        <f t="shared" si="5"/>
        <v>1769.2118771790917</v>
      </c>
      <c r="K17" s="258">
        <f t="shared" si="5"/>
        <v>1763.8221452858475</v>
      </c>
      <c r="L17" s="258">
        <f t="shared" si="5"/>
        <v>2064.5732837092341</v>
      </c>
      <c r="M17" s="258">
        <f t="shared" si="5"/>
        <v>1785.6241689944773</v>
      </c>
      <c r="N17" s="258">
        <f t="shared" si="5"/>
        <v>1821.2678867315306</v>
      </c>
      <c r="O17" s="258">
        <f t="shared" si="5"/>
        <v>1811.2118433809362</v>
      </c>
      <c r="P17" s="258">
        <f t="shared" si="5"/>
        <v>1632.1990479086053</v>
      </c>
      <c r="Q17" s="258">
        <f t="shared" si="5"/>
        <v>1715.4295677329319</v>
      </c>
      <c r="R17" s="258">
        <f t="shared" si="5"/>
        <v>1749.478675203042</v>
      </c>
      <c r="S17" s="258">
        <f t="shared" si="5"/>
        <v>1736.9974639454883</v>
      </c>
      <c r="T17" s="258">
        <f t="shared" si="5"/>
        <v>1842.6710536435014</v>
      </c>
      <c r="U17" s="258">
        <f t="shared" si="5"/>
        <v>1828.6930665260006</v>
      </c>
      <c r="V17" s="258">
        <f t="shared" si="5"/>
        <v>1780.5239025041894</v>
      </c>
      <c r="W17" s="258">
        <f t="shared" si="5"/>
        <v>1799.6002402620043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45.338521066199981</v>
      </c>
      <c r="C19" s="55">
        <v>48.576956147886371</v>
      </c>
      <c r="D19" s="55">
        <v>44.258985382620139</v>
      </c>
      <c r="E19" s="55">
        <v>39.941014617361283</v>
      </c>
      <c r="F19" s="55">
        <v>42.099999999985037</v>
      </c>
      <c r="G19" s="55">
        <v>39.941014617358057</v>
      </c>
      <c r="H19" s="55">
        <v>39.941014617359897</v>
      </c>
      <c r="I19" s="55">
        <v>39.941014617363663</v>
      </c>
      <c r="J19" s="55">
        <v>38.861564918306868</v>
      </c>
      <c r="K19" s="55">
        <v>36.702579535679057</v>
      </c>
      <c r="L19" s="55">
        <v>41.020550300937202</v>
      </c>
      <c r="M19" s="55">
        <v>32.384608770414793</v>
      </c>
      <c r="N19" s="55">
        <v>30.22562338778533</v>
      </c>
      <c r="O19" s="55">
        <v>32.384608770417927</v>
      </c>
      <c r="P19" s="55">
        <v>22.669217540838378</v>
      </c>
      <c r="Q19" s="55">
        <v>33.425709372306642</v>
      </c>
      <c r="R19" s="55">
        <v>31.0494411005978</v>
      </c>
      <c r="S19" s="55">
        <v>29.417196904551641</v>
      </c>
      <c r="T19" s="55">
        <v>31.049441100597122</v>
      </c>
      <c r="U19" s="55">
        <v>32.674118658636367</v>
      </c>
      <c r="V19" s="55">
        <v>33.676956147887459</v>
      </c>
      <c r="W19" s="55">
        <v>42.514703353388583</v>
      </c>
      <c r="DA19" s="101" t="s">
        <v>1004</v>
      </c>
    </row>
    <row r="20" spans="1:105" x14ac:dyDescent="0.25">
      <c r="A20" s="61" t="s">
        <v>173</v>
      </c>
      <c r="B20" s="55">
        <v>45.040250339791989</v>
      </c>
      <c r="C20" s="55">
        <v>46.475981890235289</v>
      </c>
      <c r="D20" s="55">
        <v>40.600249990242077</v>
      </c>
      <c r="E20" s="55">
        <v>36.628452976138782</v>
      </c>
      <c r="F20" s="55">
        <v>31.718895832122449</v>
      </c>
      <c r="G20" s="55">
        <v>32.278962618839017</v>
      </c>
      <c r="H20" s="55">
        <v>37.588433292395678</v>
      </c>
      <c r="I20" s="55">
        <v>32.953458913663653</v>
      </c>
      <c r="J20" s="55">
        <v>28.51243398871355</v>
      </c>
      <c r="K20" s="55">
        <v>25.4496877380958</v>
      </c>
      <c r="L20" s="55">
        <v>22.990189280636521</v>
      </c>
      <c r="M20" s="55">
        <v>28.981740801020749</v>
      </c>
      <c r="N20" s="55">
        <v>23.555282752295771</v>
      </c>
      <c r="O20" s="55">
        <v>28.353769805230751</v>
      </c>
      <c r="P20" s="55">
        <v>37.813409257843396</v>
      </c>
      <c r="Q20" s="55">
        <v>39.99333551976617</v>
      </c>
      <c r="R20" s="55">
        <v>35.017078263088102</v>
      </c>
      <c r="S20" s="55">
        <v>30.96721877705993</v>
      </c>
      <c r="T20" s="55">
        <v>35.886433608449011</v>
      </c>
      <c r="U20" s="55">
        <v>35.887488684438772</v>
      </c>
      <c r="V20" s="55">
        <v>43.649464998627643</v>
      </c>
      <c r="W20" s="55">
        <v>32.240836199349232</v>
      </c>
      <c r="DA20" s="101" t="s">
        <v>1005</v>
      </c>
    </row>
    <row r="21" spans="1:105" x14ac:dyDescent="0.25">
      <c r="A21" s="61" t="s">
        <v>129</v>
      </c>
      <c r="B21" s="55">
        <v>70.507308684424189</v>
      </c>
      <c r="C21" s="55">
        <v>63.652450558890209</v>
      </c>
      <c r="D21" s="55">
        <v>48.963370593281041</v>
      </c>
      <c r="E21" s="55">
        <v>47.004901117789842</v>
      </c>
      <c r="F21" s="55">
        <v>45.046345657765599</v>
      </c>
      <c r="G21" s="55">
        <v>45.046345657769407</v>
      </c>
      <c r="H21" s="55">
        <v>44.067067927763112</v>
      </c>
      <c r="I21" s="55">
        <v>42.108512467750323</v>
      </c>
      <c r="J21" s="55">
        <v>47.004901117789309</v>
      </c>
      <c r="K21" s="55">
        <v>51.901203783312603</v>
      </c>
      <c r="L21" s="55">
        <v>40.149957007730158</v>
      </c>
      <c r="M21" s="55">
        <v>19.585382631122449</v>
      </c>
      <c r="N21" s="55">
        <v>13.84350816852743</v>
      </c>
      <c r="O21" s="55">
        <v>20.56466036113283</v>
      </c>
      <c r="P21" s="55">
        <v>32.315821152186523</v>
      </c>
      <c r="Q21" s="55">
        <v>23.502407566633551</v>
      </c>
      <c r="R21" s="55">
        <v>18.801977644021591</v>
      </c>
      <c r="S21" s="55">
        <v>18.801977644020528</v>
      </c>
      <c r="T21" s="55">
        <v>17.626827171106491</v>
      </c>
      <c r="U21" s="55">
        <v>7.0507308684425816</v>
      </c>
      <c r="V21" s="55">
        <v>0</v>
      </c>
      <c r="W21" s="55">
        <v>0</v>
      </c>
      <c r="DA21" s="101" t="s">
        <v>1006</v>
      </c>
    </row>
    <row r="22" spans="1:105" x14ac:dyDescent="0.25">
      <c r="A22" s="61" t="s">
        <v>176</v>
      </c>
      <c r="B22" s="55">
        <v>2028.623282925065</v>
      </c>
      <c r="C22" s="55">
        <v>1970.500177511796</v>
      </c>
      <c r="D22" s="55">
        <v>1833.636862180588</v>
      </c>
      <c r="E22" s="55">
        <v>1831.1653334527671</v>
      </c>
      <c r="F22" s="55">
        <v>1855.6931209686329</v>
      </c>
      <c r="G22" s="55">
        <v>1885.1931041301291</v>
      </c>
      <c r="H22" s="55">
        <v>1597.090984063753</v>
      </c>
      <c r="I22" s="55">
        <v>1593.813793918958</v>
      </c>
      <c r="J22" s="55">
        <v>1618.213601529035</v>
      </c>
      <c r="K22" s="55">
        <v>1608.3646770493631</v>
      </c>
      <c r="L22" s="55">
        <v>1913.8251843497451</v>
      </c>
      <c r="M22" s="55">
        <v>1654.914133168098</v>
      </c>
      <c r="N22" s="55">
        <v>1698.0788190275009</v>
      </c>
      <c r="O22" s="55">
        <v>1658.9421335710419</v>
      </c>
      <c r="P22" s="55">
        <v>1457.7148590181221</v>
      </c>
      <c r="Q22" s="55">
        <v>1513.4190246160149</v>
      </c>
      <c r="R22" s="55">
        <v>1546.2497821721599</v>
      </c>
      <c r="S22" s="55">
        <v>1519.865516324752</v>
      </c>
      <c r="T22" s="55">
        <v>1584.7384352443671</v>
      </c>
      <c r="U22" s="55">
        <v>1530.363083172989</v>
      </c>
      <c r="V22" s="55">
        <v>1451.450674023517</v>
      </c>
      <c r="W22" s="55">
        <v>1455.222031255121</v>
      </c>
      <c r="DA22" s="101" t="s">
        <v>1007</v>
      </c>
    </row>
    <row r="23" spans="1:105" x14ac:dyDescent="0.25">
      <c r="A23" s="61" t="s">
        <v>171</v>
      </c>
      <c r="B23" s="55">
        <v>2.2212381771277201</v>
      </c>
      <c r="C23" s="55">
        <v>2.1974204643161062</v>
      </c>
      <c r="D23" s="55">
        <v>2.1735167669814039</v>
      </c>
      <c r="E23" s="55">
        <v>2.1735167669815301</v>
      </c>
      <c r="F23" s="55">
        <v>2.1496130696467</v>
      </c>
      <c r="G23" s="55">
        <v>6.2099742046414832</v>
      </c>
      <c r="H23" s="55">
        <v>19.34651762682283</v>
      </c>
      <c r="I23" s="55">
        <v>29.330266552016798</v>
      </c>
      <c r="J23" s="55">
        <v>35.062596732581063</v>
      </c>
      <c r="K23" s="55">
        <v>39.099054170244528</v>
      </c>
      <c r="L23" s="55">
        <v>41.487532244187307</v>
      </c>
      <c r="M23" s="55">
        <v>44.640326741177581</v>
      </c>
      <c r="N23" s="55">
        <v>47.530352536535773</v>
      </c>
      <c r="O23" s="55">
        <v>54.839036973339063</v>
      </c>
      <c r="P23" s="55">
        <v>57.012553740316001</v>
      </c>
      <c r="Q23" s="55">
        <v>64.916251074794218</v>
      </c>
      <c r="R23" s="55">
        <v>71.744883920884789</v>
      </c>
      <c r="S23" s="55">
        <v>87.686242476337767</v>
      </c>
      <c r="T23" s="55">
        <v>111.636887360258</v>
      </c>
      <c r="U23" s="55">
        <v>129.86586414443391</v>
      </c>
      <c r="V23" s="55">
        <v>149.59810834047241</v>
      </c>
      <c r="W23" s="55">
        <v>165.78899398105301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1.556778892665845</v>
      </c>
      <c r="K24" s="55">
        <v>2.3049430091523648</v>
      </c>
      <c r="L24" s="55">
        <v>5.0998705259980754</v>
      </c>
      <c r="M24" s="55">
        <v>5.1179768826435552</v>
      </c>
      <c r="N24" s="55">
        <v>8.034300858885528</v>
      </c>
      <c r="O24" s="55">
        <v>16.127633899773642</v>
      </c>
      <c r="P24" s="55">
        <v>24.673187199298901</v>
      </c>
      <c r="Q24" s="55">
        <v>40.172839583416419</v>
      </c>
      <c r="R24" s="55">
        <v>46.615512102289777</v>
      </c>
      <c r="S24" s="55">
        <v>50.259311818766463</v>
      </c>
      <c r="T24" s="55">
        <v>61.733029158723539</v>
      </c>
      <c r="U24" s="55">
        <v>92.851780997060018</v>
      </c>
      <c r="V24" s="55">
        <v>102.1486989936851</v>
      </c>
      <c r="W24" s="55">
        <v>103.8336754730924</v>
      </c>
      <c r="DA24" s="101" t="s">
        <v>1009</v>
      </c>
    </row>
    <row r="25" spans="1:105" x14ac:dyDescent="0.25">
      <c r="A25" s="257" t="s">
        <v>174</v>
      </c>
      <c r="B25" s="258">
        <v>104.24254554167651</v>
      </c>
      <c r="C25" s="258">
        <v>103.40150786082781</v>
      </c>
      <c r="D25" s="258">
        <v>93.832825922108668</v>
      </c>
      <c r="E25" s="258">
        <v>90.415033337021782</v>
      </c>
      <c r="F25" s="258">
        <v>86.889159123447897</v>
      </c>
      <c r="G25" s="258">
        <v>88.270625290980263</v>
      </c>
      <c r="H25" s="258">
        <v>84.072775847961552</v>
      </c>
      <c r="I25" s="258">
        <v>80.498849786054961</v>
      </c>
      <c r="J25" s="258">
        <v>77.71808425499583</v>
      </c>
      <c r="K25" s="258">
        <v>74.625926119305603</v>
      </c>
      <c r="L25" s="258">
        <v>80.465050870686937</v>
      </c>
      <c r="M25" s="258">
        <v>78.762297780180546</v>
      </c>
      <c r="N25" s="258">
        <v>74.455734059554317</v>
      </c>
      <c r="O25" s="258">
        <v>78.834107294206703</v>
      </c>
      <c r="P25" s="258">
        <v>80.612950324571628</v>
      </c>
      <c r="Q25" s="258">
        <v>84.905220073820075</v>
      </c>
      <c r="R25" s="258">
        <v>82.353887372705671</v>
      </c>
      <c r="S25" s="258">
        <v>78.486847695942259</v>
      </c>
      <c r="T25" s="258">
        <v>85.607304877381864</v>
      </c>
      <c r="U25" s="258">
        <v>84.947940942110606</v>
      </c>
      <c r="V25" s="258">
        <v>89.185549113547978</v>
      </c>
      <c r="W25" s="258">
        <v>81.258878562574225</v>
      </c>
      <c r="DA25" s="273" t="s">
        <v>1010</v>
      </c>
    </row>
    <row r="26" spans="1:105" x14ac:dyDescent="0.25">
      <c r="A26" s="257" t="s">
        <v>177</v>
      </c>
      <c r="B26" s="258">
        <v>69.532975100831251</v>
      </c>
      <c r="C26" s="258">
        <v>71.296632240852162</v>
      </c>
      <c r="D26" s="258">
        <v>70.081946882282892</v>
      </c>
      <c r="E26" s="258">
        <v>74.917980171365926</v>
      </c>
      <c r="F26" s="258">
        <v>82.025228003812529</v>
      </c>
      <c r="G26" s="258">
        <v>91.103178489569331</v>
      </c>
      <c r="H26" s="258">
        <v>89.085679905190133</v>
      </c>
      <c r="I26" s="258">
        <v>95.815057510458047</v>
      </c>
      <c r="J26" s="258">
        <v>98.680456258609183</v>
      </c>
      <c r="K26" s="258">
        <v>104.955040199948</v>
      </c>
      <c r="L26" s="258">
        <v>106.3272973465391</v>
      </c>
      <c r="M26" s="258">
        <v>103.9684031617645</v>
      </c>
      <c r="N26" s="258">
        <v>109.892873728651</v>
      </c>
      <c r="O26" s="258">
        <v>114.6052666193187</v>
      </c>
      <c r="P26" s="258">
        <v>114.8265158683913</v>
      </c>
      <c r="Q26" s="258">
        <v>124.3340586851251</v>
      </c>
      <c r="R26" s="258">
        <v>124.554826106649</v>
      </c>
      <c r="S26" s="258">
        <v>130.01141536183971</v>
      </c>
      <c r="T26" s="258">
        <v>143.9280955802017</v>
      </c>
      <c r="U26" s="258">
        <v>150.1833113188863</v>
      </c>
      <c r="V26" s="258">
        <v>141.0125804663258</v>
      </c>
      <c r="W26" s="258">
        <v>137.1042980820653</v>
      </c>
      <c r="DA26" s="273" t="s">
        <v>1011</v>
      </c>
    </row>
    <row r="27" spans="1:105" x14ac:dyDescent="0.25">
      <c r="A27" s="129" t="s">
        <v>33</v>
      </c>
      <c r="B27" s="259">
        <v>100.8228138962053</v>
      </c>
      <c r="C27" s="259">
        <v>103.3801167492356</v>
      </c>
      <c r="D27" s="259">
        <v>101.6188229793102</v>
      </c>
      <c r="E27" s="259">
        <v>108.63107124848059</v>
      </c>
      <c r="F27" s="259">
        <v>118.93658060552811</v>
      </c>
      <c r="G27" s="259">
        <v>132.09960880987549</v>
      </c>
      <c r="H27" s="259">
        <v>129.17423586252571</v>
      </c>
      <c r="I27" s="259">
        <v>138.93183339016409</v>
      </c>
      <c r="J27" s="259">
        <v>143.08666157498331</v>
      </c>
      <c r="K27" s="259">
        <v>152.1848082899246</v>
      </c>
      <c r="L27" s="259">
        <v>154.17458115248169</v>
      </c>
      <c r="M27" s="259">
        <v>150.75418458455849</v>
      </c>
      <c r="N27" s="259">
        <v>159.34466690654381</v>
      </c>
      <c r="O27" s="259">
        <v>166.17763659801221</v>
      </c>
      <c r="P27" s="259">
        <v>166.4984480091673</v>
      </c>
      <c r="Q27" s="259">
        <v>180.28438509343141</v>
      </c>
      <c r="R27" s="259">
        <v>180.6044978546411</v>
      </c>
      <c r="S27" s="259">
        <v>188.5165522746675</v>
      </c>
      <c r="T27" s="259">
        <v>208.69573859129241</v>
      </c>
      <c r="U27" s="259">
        <v>217.76580141238509</v>
      </c>
      <c r="V27" s="259">
        <v>204.46824167617251</v>
      </c>
      <c r="W27" s="259">
        <v>198.8012322189947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0.99999999999999989</v>
      </c>
      <c r="D31" s="236">
        <f t="shared" si="6"/>
        <v>1</v>
      </c>
      <c r="E31" s="236">
        <f t="shared" si="6"/>
        <v>1</v>
      </c>
      <c r="F31" s="236">
        <f t="shared" si="6"/>
        <v>1</v>
      </c>
      <c r="G31" s="236">
        <f t="shared" si="6"/>
        <v>1</v>
      </c>
      <c r="H31" s="236">
        <f t="shared" si="6"/>
        <v>1</v>
      </c>
      <c r="I31" s="236">
        <f t="shared" si="6"/>
        <v>0.99999999999999978</v>
      </c>
      <c r="J31" s="236">
        <f t="shared" si="6"/>
        <v>1</v>
      </c>
      <c r="K31" s="236">
        <f t="shared" si="6"/>
        <v>1</v>
      </c>
      <c r="L31" s="236">
        <f t="shared" si="6"/>
        <v>0.99999999999999989</v>
      </c>
      <c r="M31" s="236">
        <f t="shared" si="6"/>
        <v>0.99999999999999989</v>
      </c>
      <c r="N31" s="236">
        <f t="shared" si="6"/>
        <v>1.0000000000000002</v>
      </c>
      <c r="O31" s="236">
        <f t="shared" si="6"/>
        <v>1</v>
      </c>
      <c r="P31" s="236">
        <f t="shared" si="6"/>
        <v>1.0000000000000002</v>
      </c>
      <c r="Q31" s="236">
        <f t="shared" si="6"/>
        <v>0.99999999999999989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0.99999999999999978</v>
      </c>
      <c r="U31" s="236">
        <f t="shared" si="7"/>
        <v>1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1.544228763788737E-2</v>
      </c>
      <c r="C32" s="245">
        <f t="shared" si="8"/>
        <v>1.6186512374942598E-2</v>
      </c>
      <c r="D32" s="245">
        <f t="shared" si="8"/>
        <v>1.719899564066437E-2</v>
      </c>
      <c r="E32" s="245">
        <f t="shared" si="8"/>
        <v>1.8538820169002664E-2</v>
      </c>
      <c r="F32" s="245">
        <f t="shared" si="8"/>
        <v>2.0166825884931735E-2</v>
      </c>
      <c r="G32" s="245">
        <f t="shared" si="8"/>
        <v>2.1853205103858703E-2</v>
      </c>
      <c r="H32" s="245">
        <f t="shared" si="8"/>
        <v>2.4021043154406164E-2</v>
      </c>
      <c r="I32" s="245">
        <f t="shared" si="8"/>
        <v>2.5837797473471848E-2</v>
      </c>
      <c r="J32" s="245">
        <f t="shared" si="8"/>
        <v>2.6377095435009216E-2</v>
      </c>
      <c r="K32" s="245">
        <f t="shared" si="8"/>
        <v>2.8066588802553499E-2</v>
      </c>
      <c r="L32" s="245">
        <f t="shared" si="8"/>
        <v>2.5072964893110766E-2</v>
      </c>
      <c r="M32" s="245">
        <f t="shared" si="8"/>
        <v>2.7428627391724619E-2</v>
      </c>
      <c r="N32" s="245">
        <f t="shared" si="8"/>
        <v>2.8569072665582822E-2</v>
      </c>
      <c r="O32" s="245">
        <f t="shared" si="8"/>
        <v>2.9537085727883314E-2</v>
      </c>
      <c r="P32" s="245">
        <f t="shared" si="8"/>
        <v>3.1674214893293792E-2</v>
      </c>
      <c r="Q32" s="245">
        <f t="shared" si="8"/>
        <v>3.2513815006219526E-2</v>
      </c>
      <c r="R32" s="245">
        <f t="shared" si="8"/>
        <v>3.2255550813357535E-2</v>
      </c>
      <c r="S32" s="245">
        <f t="shared" si="8"/>
        <v>3.3762175737923047E-2</v>
      </c>
      <c r="T32" s="245">
        <f t="shared" si="8"/>
        <v>3.4833334053308573E-2</v>
      </c>
      <c r="U32" s="245">
        <f t="shared" si="8"/>
        <v>3.6206411635761278E-2</v>
      </c>
      <c r="V32" s="245">
        <f t="shared" si="8"/>
        <v>3.4893834630438957E-2</v>
      </c>
      <c r="W32" s="245">
        <f t="shared" si="8"/>
        <v>3.4322247239276626E-2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1.003748696462679E-2</v>
      </c>
      <c r="C33" s="246">
        <f t="shared" si="9"/>
        <v>1.0521233043712691E-2</v>
      </c>
      <c r="D33" s="246">
        <f t="shared" si="9"/>
        <v>1.1179347166431843E-2</v>
      </c>
      <c r="E33" s="246">
        <f t="shared" si="9"/>
        <v>1.2050233109851722E-2</v>
      </c>
      <c r="F33" s="246">
        <f t="shared" si="9"/>
        <v>1.3108436825205622E-2</v>
      </c>
      <c r="G33" s="246">
        <f t="shared" si="9"/>
        <v>1.420458331750815E-2</v>
      </c>
      <c r="H33" s="246">
        <f t="shared" si="9"/>
        <v>1.5613678050363998E-2</v>
      </c>
      <c r="I33" s="246">
        <f t="shared" si="9"/>
        <v>1.6794568357756695E-2</v>
      </c>
      <c r="J33" s="246">
        <f t="shared" si="9"/>
        <v>1.7145112032755989E-2</v>
      </c>
      <c r="K33" s="246">
        <f t="shared" si="9"/>
        <v>1.8243282721659763E-2</v>
      </c>
      <c r="L33" s="246">
        <f t="shared" si="9"/>
        <v>1.6297427180521996E-2</v>
      </c>
      <c r="M33" s="246">
        <f t="shared" si="9"/>
        <v>1.7828607804620998E-2</v>
      </c>
      <c r="N33" s="246">
        <f t="shared" si="9"/>
        <v>1.8569897232628817E-2</v>
      </c>
      <c r="O33" s="246">
        <f t="shared" si="9"/>
        <v>1.9199105723124155E-2</v>
      </c>
      <c r="P33" s="246">
        <f t="shared" si="9"/>
        <v>2.0588239680640958E-2</v>
      </c>
      <c r="Q33" s="246">
        <f t="shared" si="9"/>
        <v>2.113397975404268E-2</v>
      </c>
      <c r="R33" s="246">
        <f t="shared" si="9"/>
        <v>2.0966108028682394E-2</v>
      </c>
      <c r="S33" s="246">
        <f t="shared" si="9"/>
        <v>2.1945414229649976E-2</v>
      </c>
      <c r="T33" s="246">
        <f t="shared" si="9"/>
        <v>2.2641667134650573E-2</v>
      </c>
      <c r="U33" s="246">
        <f t="shared" si="9"/>
        <v>2.3534167563244817E-2</v>
      </c>
      <c r="V33" s="246">
        <f t="shared" si="9"/>
        <v>2.2680992509785319E-2</v>
      </c>
      <c r="W33" s="246">
        <f t="shared" si="9"/>
        <v>2.2309460705529791E-2</v>
      </c>
      <c r="DA33" s="277"/>
    </row>
    <row r="34" spans="1:105" x14ac:dyDescent="0.25">
      <c r="A34" s="241" t="s">
        <v>123</v>
      </c>
      <c r="B34" s="246">
        <f t="shared" ref="B34:W34" si="10">IF(B$8=0,0,B$8/B$5)</f>
        <v>1.389805887409863E-2</v>
      </c>
      <c r="C34" s="246">
        <f t="shared" si="10"/>
        <v>1.4567861137448337E-2</v>
      </c>
      <c r="D34" s="246">
        <f t="shared" si="10"/>
        <v>1.5479096076597938E-2</v>
      </c>
      <c r="E34" s="246">
        <f t="shared" si="10"/>
        <v>1.668493815210239E-2</v>
      </c>
      <c r="F34" s="246">
        <f t="shared" si="10"/>
        <v>1.8150143296438555E-2</v>
      </c>
      <c r="G34" s="246">
        <f t="shared" si="10"/>
        <v>1.9667884593472823E-2</v>
      </c>
      <c r="H34" s="246">
        <f t="shared" si="10"/>
        <v>2.1618938838965544E-2</v>
      </c>
      <c r="I34" s="246">
        <f t="shared" si="10"/>
        <v>2.3254017726124659E-2</v>
      </c>
      <c r="J34" s="246">
        <f t="shared" si="10"/>
        <v>2.3739385891508289E-2</v>
      </c>
      <c r="K34" s="246">
        <f t="shared" si="10"/>
        <v>2.5259929922298141E-2</v>
      </c>
      <c r="L34" s="246">
        <f t="shared" si="10"/>
        <v>2.2565668403799689E-2</v>
      </c>
      <c r="M34" s="246">
        <f t="shared" si="10"/>
        <v>2.4685764652552154E-2</v>
      </c>
      <c r="N34" s="246">
        <f t="shared" si="10"/>
        <v>2.571216539902452E-2</v>
      </c>
      <c r="O34" s="246">
        <f t="shared" si="10"/>
        <v>2.6583377155095001E-2</v>
      </c>
      <c r="P34" s="246">
        <f t="shared" si="10"/>
        <v>2.8506793403964399E-2</v>
      </c>
      <c r="Q34" s="246">
        <f t="shared" si="10"/>
        <v>2.9262433505597579E-2</v>
      </c>
      <c r="R34" s="246">
        <f t="shared" si="10"/>
        <v>2.9029995732021783E-2</v>
      </c>
      <c r="S34" s="246">
        <f t="shared" si="10"/>
        <v>3.0385958164130731E-2</v>
      </c>
      <c r="T34" s="246">
        <f t="shared" si="10"/>
        <v>3.1350000647977716E-2</v>
      </c>
      <c r="U34" s="246">
        <f t="shared" si="10"/>
        <v>3.2585770472185131E-2</v>
      </c>
      <c r="V34" s="246">
        <f t="shared" si="10"/>
        <v>3.1404451167395063E-2</v>
      </c>
      <c r="W34" s="246">
        <f t="shared" si="10"/>
        <v>3.0890022515348947E-2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0.29240780409861444</v>
      </c>
      <c r="C35" s="247">
        <f t="shared" si="11"/>
        <v>0.28953214485263373</v>
      </c>
      <c r="D35" s="247">
        <f t="shared" si="11"/>
        <v>0.28776699471287953</v>
      </c>
      <c r="E35" s="247">
        <f t="shared" si="11"/>
        <v>0.2842511554941658</v>
      </c>
      <c r="F35" s="247">
        <f t="shared" si="11"/>
        <v>0.28063500973930888</v>
      </c>
      <c r="G35" s="247">
        <f t="shared" si="11"/>
        <v>0.27754530604176653</v>
      </c>
      <c r="H35" s="247">
        <f t="shared" si="11"/>
        <v>0.27060998692199273</v>
      </c>
      <c r="I35" s="247">
        <f t="shared" si="11"/>
        <v>0.26742194298669819</v>
      </c>
      <c r="J35" s="247">
        <f t="shared" si="11"/>
        <v>0.26632549806027128</v>
      </c>
      <c r="K35" s="247">
        <f t="shared" si="11"/>
        <v>0.26418534872529253</v>
      </c>
      <c r="L35" s="247">
        <f t="shared" si="11"/>
        <v>0.27007159468653619</v>
      </c>
      <c r="M35" s="247">
        <f t="shared" si="11"/>
        <v>0.26286620810794414</v>
      </c>
      <c r="N35" s="247">
        <f t="shared" si="11"/>
        <v>0.26358797733441963</v>
      </c>
      <c r="O35" s="247">
        <f t="shared" si="11"/>
        <v>0.25946035441485149</v>
      </c>
      <c r="P35" s="247">
        <f t="shared" si="11"/>
        <v>0.25343964834687377</v>
      </c>
      <c r="Q35" s="247">
        <f t="shared" si="11"/>
        <v>0.25109124960270585</v>
      </c>
      <c r="R35" s="247">
        <f t="shared" si="11"/>
        <v>0.25335248483953932</v>
      </c>
      <c r="S35" s="247">
        <f t="shared" si="11"/>
        <v>0.25366428209727881</v>
      </c>
      <c r="T35" s="247">
        <f t="shared" si="11"/>
        <v>0.25133289414050453</v>
      </c>
      <c r="U35" s="247">
        <f t="shared" si="11"/>
        <v>0.2510490626262647</v>
      </c>
      <c r="V35" s="247">
        <f t="shared" si="11"/>
        <v>0.24801891631662604</v>
      </c>
      <c r="W35" s="247">
        <f t="shared" si="11"/>
        <v>0.25167950387297239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0.12047768382043095</v>
      </c>
      <c r="C36" s="260">
        <f t="shared" si="12"/>
        <v>0.1221664391235314</v>
      </c>
      <c r="D36" s="260">
        <f t="shared" si="12"/>
        <v>0.11983743372075632</v>
      </c>
      <c r="E36" s="260">
        <f t="shared" si="12"/>
        <v>0.11643336640400689</v>
      </c>
      <c r="F36" s="260">
        <f t="shared" si="12"/>
        <v>0.11117226977879666</v>
      </c>
      <c r="G36" s="260">
        <f t="shared" si="12"/>
        <v>0.11018908873412314</v>
      </c>
      <c r="H36" s="260">
        <f t="shared" si="12"/>
        <v>0.11797232192043589</v>
      </c>
      <c r="I36" s="260">
        <f t="shared" si="12"/>
        <v>0.11296715095858599</v>
      </c>
      <c r="J36" s="260">
        <f t="shared" si="12"/>
        <v>0.10810821195151092</v>
      </c>
      <c r="K36" s="260">
        <f t="shared" si="12"/>
        <v>0.10385247290906224</v>
      </c>
      <c r="L36" s="260">
        <f t="shared" si="12"/>
        <v>9.8743606114490762E-2</v>
      </c>
      <c r="M36" s="260">
        <f t="shared" si="12"/>
        <v>0.10813389695503907</v>
      </c>
      <c r="N36" s="260">
        <f t="shared" si="12"/>
        <v>0.10073155512542607</v>
      </c>
      <c r="O36" s="260">
        <f t="shared" si="12"/>
        <v>0.10573481203943152</v>
      </c>
      <c r="P36" s="260">
        <f t="shared" si="12"/>
        <v>0.11572022338352167</v>
      </c>
      <c r="Q36" s="260">
        <f t="shared" si="12"/>
        <v>0.11554548703963755</v>
      </c>
      <c r="R36" s="260">
        <f t="shared" si="12"/>
        <v>0.11098614906781348</v>
      </c>
      <c r="S36" s="260">
        <f t="shared" si="12"/>
        <v>0.10606854279106791</v>
      </c>
      <c r="T36" s="260">
        <f t="shared" si="12"/>
        <v>0.10782043166908392</v>
      </c>
      <c r="U36" s="260">
        <f t="shared" si="12"/>
        <v>0.10657551533509722</v>
      </c>
      <c r="V36" s="260">
        <f t="shared" si="12"/>
        <v>0.11484870561736055</v>
      </c>
      <c r="W36" s="260">
        <f t="shared" si="12"/>
        <v>0.1058610618682843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0.48675228291751121</v>
      </c>
      <c r="C37" s="260">
        <f t="shared" si="13"/>
        <v>0.48389355477000201</v>
      </c>
      <c r="D37" s="260">
        <f t="shared" si="13"/>
        <v>0.48337283178135665</v>
      </c>
      <c r="E37" s="260">
        <f t="shared" si="13"/>
        <v>0.4842477355786034</v>
      </c>
      <c r="F37" s="260">
        <f t="shared" si="13"/>
        <v>0.48599591294009303</v>
      </c>
      <c r="G37" s="260">
        <f t="shared" si="13"/>
        <v>0.48182582801896867</v>
      </c>
      <c r="H37" s="260">
        <f t="shared" si="13"/>
        <v>0.46864311057961577</v>
      </c>
      <c r="I37" s="260">
        <f t="shared" si="13"/>
        <v>0.46871433919347055</v>
      </c>
      <c r="J37" s="260">
        <f t="shared" si="13"/>
        <v>0.47290691894255776</v>
      </c>
      <c r="K37" s="260">
        <f t="shared" si="13"/>
        <v>0.47167311620543007</v>
      </c>
      <c r="L37" s="260">
        <f t="shared" si="13"/>
        <v>0.48684556791644029</v>
      </c>
      <c r="M37" s="260">
        <f t="shared" si="13"/>
        <v>0.4710779285203</v>
      </c>
      <c r="N37" s="260">
        <f t="shared" si="13"/>
        <v>0.47347869642578949</v>
      </c>
      <c r="O37" s="260">
        <f t="shared" si="13"/>
        <v>0.46680157960805513</v>
      </c>
      <c r="P37" s="260">
        <f t="shared" si="13"/>
        <v>0.45023244849944943</v>
      </c>
      <c r="Q37" s="260">
        <f t="shared" si="13"/>
        <v>0.44859116006755456</v>
      </c>
      <c r="R37" s="260">
        <f t="shared" si="13"/>
        <v>0.45305669855441094</v>
      </c>
      <c r="S37" s="260">
        <f t="shared" si="13"/>
        <v>0.4510743419786456</v>
      </c>
      <c r="T37" s="260">
        <f t="shared" si="13"/>
        <v>0.44596140943280466</v>
      </c>
      <c r="U37" s="260">
        <f t="shared" si="13"/>
        <v>0.44086399041713409</v>
      </c>
      <c r="V37" s="260">
        <f t="shared" si="13"/>
        <v>0.44059406901188974</v>
      </c>
      <c r="W37" s="260">
        <f t="shared" si="13"/>
        <v>0.45050611280736952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2.3150790974006491E-2</v>
      </c>
      <c r="C38" s="260">
        <f t="shared" si="14"/>
        <v>2.3475299379119859E-2</v>
      </c>
      <c r="D38" s="260">
        <f t="shared" si="14"/>
        <v>2.3027761581685614E-2</v>
      </c>
      <c r="E38" s="260">
        <f t="shared" si="14"/>
        <v>2.2373641678210595E-2</v>
      </c>
      <c r="F38" s="260">
        <f t="shared" si="14"/>
        <v>2.1362678117142882E-2</v>
      </c>
      <c r="G38" s="260">
        <f t="shared" si="14"/>
        <v>2.1173751685848209E-2</v>
      </c>
      <c r="H38" s="260">
        <f t="shared" si="14"/>
        <v>2.2669364805924814E-2</v>
      </c>
      <c r="I38" s="260">
        <f t="shared" si="14"/>
        <v>2.1707579493885933E-2</v>
      </c>
      <c r="J38" s="260">
        <f t="shared" si="14"/>
        <v>2.0773893870613978E-2</v>
      </c>
      <c r="K38" s="260">
        <f t="shared" si="14"/>
        <v>1.9956118147447719E-2</v>
      </c>
      <c r="L38" s="260">
        <f t="shared" si="14"/>
        <v>1.8974406816978821E-2</v>
      </c>
      <c r="M38" s="260">
        <f t="shared" si="14"/>
        <v>2.0778829458093669E-2</v>
      </c>
      <c r="N38" s="260">
        <f t="shared" si="14"/>
        <v>1.9356407786450824E-2</v>
      </c>
      <c r="O38" s="260">
        <f t="shared" si="14"/>
        <v>2.0317825298245246E-2</v>
      </c>
      <c r="P38" s="260">
        <f t="shared" si="14"/>
        <v>2.2236605303686392E-2</v>
      </c>
      <c r="Q38" s="260">
        <f t="shared" si="14"/>
        <v>2.2203028259004387E-2</v>
      </c>
      <c r="R38" s="260">
        <f t="shared" si="14"/>
        <v>2.1326913471448609E-2</v>
      </c>
      <c r="S38" s="260">
        <f t="shared" si="14"/>
        <v>2.0381954443392549E-2</v>
      </c>
      <c r="T38" s="260">
        <f t="shared" si="14"/>
        <v>2.0718594491063828E-2</v>
      </c>
      <c r="U38" s="260">
        <f t="shared" si="14"/>
        <v>2.0479373442697662E-2</v>
      </c>
      <c r="V38" s="260">
        <f t="shared" si="14"/>
        <v>2.2069135901928945E-2</v>
      </c>
      <c r="W38" s="260">
        <f t="shared" si="14"/>
        <v>2.0342085254990681E-2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1.544228763788737E-2</v>
      </c>
      <c r="C39" s="260">
        <f t="shared" si="15"/>
        <v>1.6186512374942598E-2</v>
      </c>
      <c r="D39" s="260">
        <f t="shared" si="15"/>
        <v>1.719899564066437E-2</v>
      </c>
      <c r="E39" s="260">
        <f t="shared" si="15"/>
        <v>1.8538820169002664E-2</v>
      </c>
      <c r="F39" s="260">
        <f t="shared" si="15"/>
        <v>2.0166825884931735E-2</v>
      </c>
      <c r="G39" s="260">
        <f t="shared" si="15"/>
        <v>2.1853205103858703E-2</v>
      </c>
      <c r="H39" s="260">
        <f t="shared" si="15"/>
        <v>2.4021043154406164E-2</v>
      </c>
      <c r="I39" s="260">
        <f t="shared" si="15"/>
        <v>2.5837797473471848E-2</v>
      </c>
      <c r="J39" s="260">
        <f t="shared" si="15"/>
        <v>2.6377095435009216E-2</v>
      </c>
      <c r="K39" s="260">
        <f t="shared" si="15"/>
        <v>2.8066588802553499E-2</v>
      </c>
      <c r="L39" s="260">
        <f t="shared" si="15"/>
        <v>2.5072964893110766E-2</v>
      </c>
      <c r="M39" s="260">
        <f t="shared" si="15"/>
        <v>2.7428627391724619E-2</v>
      </c>
      <c r="N39" s="260">
        <f t="shared" si="15"/>
        <v>2.8569072665582822E-2</v>
      </c>
      <c r="O39" s="260">
        <f t="shared" si="15"/>
        <v>2.9537085727883314E-2</v>
      </c>
      <c r="P39" s="260">
        <f t="shared" si="15"/>
        <v>3.1674214893293792E-2</v>
      </c>
      <c r="Q39" s="260">
        <f t="shared" si="15"/>
        <v>3.2513815006219526E-2</v>
      </c>
      <c r="R39" s="260">
        <f t="shared" si="15"/>
        <v>3.2255550813357535E-2</v>
      </c>
      <c r="S39" s="260">
        <f t="shared" si="15"/>
        <v>3.3762175737923047E-2</v>
      </c>
      <c r="T39" s="260">
        <f t="shared" si="15"/>
        <v>3.4833334053308573E-2</v>
      </c>
      <c r="U39" s="260">
        <f t="shared" si="15"/>
        <v>3.6206411635761278E-2</v>
      </c>
      <c r="V39" s="260">
        <f t="shared" si="15"/>
        <v>3.4893834630438957E-2</v>
      </c>
      <c r="W39" s="260">
        <f t="shared" si="15"/>
        <v>3.4322247239276626E-2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2.2391317074936683E-2</v>
      </c>
      <c r="C40" s="262">
        <f t="shared" si="16"/>
        <v>2.347044294366676E-2</v>
      </c>
      <c r="D40" s="262">
        <f t="shared" si="16"/>
        <v>2.4938543678963341E-2</v>
      </c>
      <c r="E40" s="262">
        <f t="shared" si="16"/>
        <v>2.6881289245053862E-2</v>
      </c>
      <c r="F40" s="262">
        <f t="shared" si="16"/>
        <v>2.9241897533150998E-2</v>
      </c>
      <c r="G40" s="262">
        <f t="shared" si="16"/>
        <v>3.1687147400595111E-2</v>
      </c>
      <c r="H40" s="262">
        <f t="shared" si="16"/>
        <v>3.4830512573888944E-2</v>
      </c>
      <c r="I40" s="262">
        <f t="shared" si="16"/>
        <v>3.7464806336534158E-2</v>
      </c>
      <c r="J40" s="262">
        <f t="shared" si="16"/>
        <v>3.8246788380763362E-2</v>
      </c>
      <c r="K40" s="262">
        <f t="shared" si="16"/>
        <v>4.0696553763702577E-2</v>
      </c>
      <c r="L40" s="262">
        <f t="shared" si="16"/>
        <v>3.6355799095010612E-2</v>
      </c>
      <c r="M40" s="262">
        <f t="shared" si="16"/>
        <v>3.977150971800069E-2</v>
      </c>
      <c r="N40" s="262">
        <f t="shared" si="16"/>
        <v>4.1425155365095057E-2</v>
      </c>
      <c r="O40" s="262">
        <f t="shared" si="16"/>
        <v>4.2828774305430833E-2</v>
      </c>
      <c r="P40" s="262">
        <f t="shared" si="16"/>
        <v>4.5927611595275981E-2</v>
      </c>
      <c r="Q40" s="262">
        <f t="shared" si="16"/>
        <v>4.7145031759018317E-2</v>
      </c>
      <c r="R40" s="262">
        <f t="shared" si="16"/>
        <v>4.6770548679368439E-2</v>
      </c>
      <c r="S40" s="262">
        <f t="shared" si="16"/>
        <v>4.8955154819988397E-2</v>
      </c>
      <c r="T40" s="262">
        <f t="shared" si="16"/>
        <v>5.0508334377297424E-2</v>
      </c>
      <c r="U40" s="262">
        <f t="shared" si="16"/>
        <v>5.249929687185384E-2</v>
      </c>
      <c r="V40" s="262">
        <f t="shared" si="16"/>
        <v>5.0596060214136519E-2</v>
      </c>
      <c r="W40" s="262">
        <f t="shared" si="16"/>
        <v>4.9767258496951114E-2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</v>
      </c>
      <c r="C44" s="237">
        <f t="shared" si="17"/>
        <v>122.34803499436489</v>
      </c>
      <c r="D44" s="237">
        <f t="shared" si="17"/>
        <v>127.81056238438661</v>
      </c>
      <c r="E44" s="237">
        <f t="shared" si="17"/>
        <v>135.43288032890183</v>
      </c>
      <c r="F44" s="237">
        <f t="shared" si="17"/>
        <v>134.84363036747555</v>
      </c>
      <c r="G44" s="237">
        <f t="shared" si="17"/>
        <v>154.42655608236763</v>
      </c>
      <c r="H44" s="237">
        <f t="shared" si="17"/>
        <v>146.93020171673029</v>
      </c>
      <c r="I44" s="237">
        <f t="shared" si="17"/>
        <v>137.23851152262927</v>
      </c>
      <c r="J44" s="237">
        <f t="shared" si="17"/>
        <v>139.32723127138405</v>
      </c>
      <c r="K44" s="237">
        <f t="shared" si="17"/>
        <v>156.36023356757099</v>
      </c>
      <c r="L44" s="237">
        <f t="shared" si="17"/>
        <v>144.58585940593414</v>
      </c>
      <c r="M44" s="237">
        <f t="shared" si="17"/>
        <v>132.80026593791021</v>
      </c>
      <c r="N44" s="237">
        <f t="shared" si="17"/>
        <v>135.04301399101351</v>
      </c>
      <c r="O44" s="237">
        <f t="shared" si="17"/>
        <v>132.95020410976801</v>
      </c>
      <c r="P44" s="237">
        <f t="shared" si="17"/>
        <v>130.15939664117727</v>
      </c>
      <c r="Q44" s="237">
        <f t="shared" si="17"/>
        <v>132.91816907674806</v>
      </c>
      <c r="R44" s="237">
        <f t="shared" si="17"/>
        <v>135.38540863538174</v>
      </c>
      <c r="S44" s="237">
        <f t="shared" si="17"/>
        <v>124.9021100917374</v>
      </c>
      <c r="T44" s="237">
        <f t="shared" si="17"/>
        <v>141.27985612939966</v>
      </c>
      <c r="U44" s="237">
        <f t="shared" si="17"/>
        <v>142.0119845958406</v>
      </c>
      <c r="V44" s="237">
        <f t="shared" si="17"/>
        <v>148.62601044661247</v>
      </c>
      <c r="W44" s="237">
        <f t="shared" si="17"/>
        <v>142.54014154785787</v>
      </c>
      <c r="DA44" s="281"/>
    </row>
    <row r="45" spans="1:105" x14ac:dyDescent="0.25">
      <c r="A45" s="239" t="s">
        <v>125</v>
      </c>
      <c r="B45" s="248">
        <f>IF(B$6=0,0,B$6/AGR!B$5*1000)</f>
        <v>1.9528144681839372</v>
      </c>
      <c r="C45" s="248">
        <f>IF(C$6=0,0,C$6/AGR!C$5*1000)</f>
        <v>1.9803879824861981</v>
      </c>
      <c r="D45" s="248">
        <f>IF(D$6=0,0,D$6/AGR!D$5*1000)</f>
        <v>2.1982133052799271</v>
      </c>
      <c r="E45" s="248">
        <f>IF(E$6=0,0,E$6/AGR!E$5*1000)</f>
        <v>2.5107658133875694</v>
      </c>
      <c r="F45" s="248">
        <f>IF(F$6=0,0,F$6/AGR!F$5*1000)</f>
        <v>2.7193680153129729</v>
      </c>
      <c r="G45" s="248">
        <f>IF(G$6=0,0,G$6/AGR!G$5*1000)</f>
        <v>3.3747152035505175</v>
      </c>
      <c r="H45" s="248">
        <f>IF(H$6=0,0,H$6/AGR!H$5*1000)</f>
        <v>3.5294167161231815</v>
      </c>
      <c r="I45" s="248">
        <f>IF(I$6=0,0,I$6/AGR!I$5*1000)</f>
        <v>3.5459408662824283</v>
      </c>
      <c r="J45" s="248">
        <f>IF(J$6=0,0,J$6/AGR!J$5*1000)</f>
        <v>3.6750476759408972</v>
      </c>
      <c r="K45" s="248">
        <f>IF(K$6=0,0,K$6/AGR!K$5*1000)</f>
        <v>4.3884983806122371</v>
      </c>
      <c r="L45" s="248">
        <f>IF(L$6=0,0,L$6/AGR!L$5*1000)</f>
        <v>3.6251961769252365</v>
      </c>
      <c r="M45" s="248">
        <f>IF(M$6=0,0,M$6/AGR!M$5*1000)</f>
        <v>3.6425290119328775</v>
      </c>
      <c r="N45" s="248">
        <f>IF(N$6=0,0,N$6/AGR!N$5*1000)</f>
        <v>3.8580536796885827</v>
      </c>
      <c r="O45" s="248">
        <f>IF(O$6=0,0,O$6/AGR!O$5*1000)</f>
        <v>3.9269615763298029</v>
      </c>
      <c r="P45" s="248">
        <f>IF(P$6=0,0,P$6/AGR!P$5*1000)</f>
        <v>4.122696699594111</v>
      </c>
      <c r="Q45" s="248">
        <f>IF(Q$6=0,0,Q$6/AGR!Q$5*1000)</f>
        <v>4.3216767603267954</v>
      </c>
      <c r="R45" s="248">
        <f>IF(R$6=0,0,R$6/AGR!R$5*1000)</f>
        <v>4.36693092762573</v>
      </c>
      <c r="S45" s="248">
        <f>IF(S$6=0,0,S$6/AGR!S$5*1000)</f>
        <v>4.2169669909546501</v>
      </c>
      <c r="T45" s="248">
        <f>IF(T$6=0,0,T$6/AGR!T$5*1000)</f>
        <v>4.9212484235587555</v>
      </c>
      <c r="U45" s="248">
        <f>IF(U$6=0,0,U$6/AGR!U$5*1000)</f>
        <v>5.1417443714883939</v>
      </c>
      <c r="V45" s="248">
        <f>IF(V$6=0,0,V$6/AGR!V$5*1000)</f>
        <v>5.1861314303059887</v>
      </c>
      <c r="W45" s="248">
        <f>IF(W$6=0,0,W$6/AGR!W$5*1000)</f>
        <v>4.892297979727064</v>
      </c>
      <c r="DA45" s="282"/>
    </row>
    <row r="46" spans="1:105" x14ac:dyDescent="0.25">
      <c r="A46" s="241" t="s">
        <v>124</v>
      </c>
      <c r="B46" s="249">
        <f>IF(B$7=0,0,B$7/AGR!B$5*1000)</f>
        <v>1.2693294043195589</v>
      </c>
      <c r="C46" s="249">
        <f>IF(C$7=0,0,C$7/AGR!C$5*1000)</f>
        <v>1.2872521886160289</v>
      </c>
      <c r="D46" s="249">
        <f>IF(D$7=0,0,D$7/AGR!D$5*1000)</f>
        <v>1.4288386484319529</v>
      </c>
      <c r="E46" s="249">
        <f>IF(E$7=0,0,E$7/AGR!E$5*1000)</f>
        <v>1.6319977787019189</v>
      </c>
      <c r="F46" s="249">
        <f>IF(F$7=0,0,F$7/AGR!F$5*1000)</f>
        <v>1.7675892099534316</v>
      </c>
      <c r="G46" s="249">
        <f>IF(G$7=0,0,G$7/AGR!G$5*1000)</f>
        <v>2.1935648823078355</v>
      </c>
      <c r="H46" s="249">
        <f>IF(H$7=0,0,H$7/AGR!H$5*1000)</f>
        <v>2.2941208654800667</v>
      </c>
      <c r="I46" s="249">
        <f>IF(I$7=0,0,I$7/AGR!I$5*1000)</f>
        <v>2.3048615630835778</v>
      </c>
      <c r="J46" s="249">
        <f>IF(J$7=0,0,J$7/AGR!J$5*1000)</f>
        <v>2.3887809893615826</v>
      </c>
      <c r="K46" s="249">
        <f>IF(K$7=0,0,K$7/AGR!K$5*1000)</f>
        <v>2.8525239473979522</v>
      </c>
      <c r="L46" s="249">
        <f>IF(L$7=0,0,L$7/AGR!L$5*1000)</f>
        <v>2.3563775150014039</v>
      </c>
      <c r="M46" s="249">
        <f>IF(M$7=0,0,M$7/AGR!M$5*1000)</f>
        <v>2.3676438577563697</v>
      </c>
      <c r="N46" s="249">
        <f>IF(N$7=0,0,N$7/AGR!N$5*1000)</f>
        <v>2.5077348917975759</v>
      </c>
      <c r="O46" s="249">
        <f>IF(O$7=0,0,O$7/AGR!O$5*1000)</f>
        <v>2.552525024614372</v>
      </c>
      <c r="P46" s="249">
        <f>IF(P$7=0,0,P$7/AGR!P$5*1000)</f>
        <v>2.6797528547361713</v>
      </c>
      <c r="Q46" s="249">
        <f>IF(Q$7=0,0,Q$7/AGR!Q$5*1000)</f>
        <v>2.8090898942124158</v>
      </c>
      <c r="R46" s="249">
        <f>IF(R$7=0,0,R$7/AGR!R$5*1000)</f>
        <v>2.8385051029567236</v>
      </c>
      <c r="S46" s="249">
        <f>IF(S$7=0,0,S$7/AGR!S$5*1000)</f>
        <v>2.7410285441205215</v>
      </c>
      <c r="T46" s="249">
        <f>IF(T$7=0,0,T$7/AGR!T$5*1000)</f>
        <v>3.1988114753131907</v>
      </c>
      <c r="U46" s="249">
        <f>IF(U$7=0,0,U$7/AGR!U$5*1000)</f>
        <v>3.3421338414674544</v>
      </c>
      <c r="V46" s="249">
        <f>IF(V$7=0,0,V$7/AGR!V$5*1000)</f>
        <v>3.3709854296988917</v>
      </c>
      <c r="W46" s="249">
        <f>IF(W$7=0,0,W$7/AGR!W$5*1000)</f>
        <v>3.1799936868225895</v>
      </c>
      <c r="DA46" s="283"/>
    </row>
    <row r="47" spans="1:105" x14ac:dyDescent="0.25">
      <c r="A47" s="241" t="s">
        <v>123</v>
      </c>
      <c r="B47" s="249">
        <f>IF(B$8=0,0,B$8/AGR!B$5*1000)</f>
        <v>1.7575330213655429</v>
      </c>
      <c r="C47" s="249">
        <f>IF(C$8=0,0,C$8/AGR!C$5*1000)</f>
        <v>1.782349184237578</v>
      </c>
      <c r="D47" s="249">
        <f>IF(D$8=0,0,D$8/AGR!D$5*1000)</f>
        <v>1.978391974751935</v>
      </c>
      <c r="E47" s="249">
        <f>IF(E$8=0,0,E$8/AGR!E$5*1000)</f>
        <v>2.2596892320488116</v>
      </c>
      <c r="F47" s="249">
        <f>IF(F$8=0,0,F$8/AGR!F$5*1000)</f>
        <v>2.4474312137816749</v>
      </c>
      <c r="G47" s="249">
        <f>IF(G$8=0,0,G$8/AGR!G$5*1000)</f>
        <v>3.0372436831954648</v>
      </c>
      <c r="H47" s="249">
        <f>IF(H$8=0,0,H$8/AGR!H$5*1000)</f>
        <v>3.1764750445108625</v>
      </c>
      <c r="I47" s="249">
        <f>IF(I$8=0,0,I$8/AGR!I$5*1000)</f>
        <v>3.191346779654185</v>
      </c>
      <c r="J47" s="249">
        <f>IF(J$8=0,0,J$8/AGR!J$5*1000)</f>
        <v>3.3075429083468069</v>
      </c>
      <c r="K47" s="249">
        <f>IF(K$8=0,0,K$8/AGR!K$5*1000)</f>
        <v>3.9496485425510119</v>
      </c>
      <c r="L47" s="249">
        <f>IF(L$8=0,0,L$8/AGR!L$5*1000)</f>
        <v>3.2626765592327125</v>
      </c>
      <c r="M47" s="249">
        <f>IF(M$8=0,0,M$8/AGR!M$5*1000)</f>
        <v>3.2782761107395895</v>
      </c>
      <c r="N47" s="249">
        <f>IF(N$8=0,0,N$8/AGR!N$5*1000)</f>
        <v>3.4722483117197216</v>
      </c>
      <c r="O47" s="249">
        <f>IF(O$8=0,0,O$8/AGR!O$5*1000)</f>
        <v>3.5342654186968252</v>
      </c>
      <c r="P47" s="249">
        <f>IF(P$8=0,0,P$8/AGR!P$5*1000)</f>
        <v>3.7104270296346975</v>
      </c>
      <c r="Q47" s="249">
        <f>IF(Q$8=0,0,Q$8/AGR!Q$5*1000)</f>
        <v>3.8895090842941165</v>
      </c>
      <c r="R47" s="249">
        <f>IF(R$8=0,0,R$8/AGR!R$5*1000)</f>
        <v>3.9302378348631573</v>
      </c>
      <c r="S47" s="249">
        <f>IF(S$8=0,0,S$8/AGR!S$5*1000)</f>
        <v>3.7952702918591834</v>
      </c>
      <c r="T47" s="249">
        <f>IF(T$8=0,0,T$8/AGR!T$5*1000)</f>
        <v>4.4291235812028784</v>
      </c>
      <c r="U47" s="249">
        <f>IF(U$8=0,0,U$8/AGR!U$5*1000)</f>
        <v>4.6275699343395527</v>
      </c>
      <c r="V47" s="249">
        <f>IF(V$8=0,0,V$8/AGR!V$5*1000)</f>
        <v>4.6675182872753886</v>
      </c>
      <c r="W47" s="249">
        <f>IF(W$8=0,0,W$8/AGR!W$5*1000)</f>
        <v>4.4030681817543549</v>
      </c>
      <c r="DA47" s="283"/>
    </row>
    <row r="48" spans="1:105" x14ac:dyDescent="0.25">
      <c r="A48" s="243" t="s">
        <v>122</v>
      </c>
      <c r="B48" s="250">
        <f>IF(B$9=0,0,B$9/AGR!B$5*1000)</f>
        <v>36.977564713448665</v>
      </c>
      <c r="C48" s="250">
        <f>IF(C$9=0,0,C$9/AGR!C$5*1000)</f>
        <v>35.423688990423564</v>
      </c>
      <c r="D48" s="250">
        <f>IF(D$9=0,0,D$9/AGR!D$5*1000)</f>
        <v>36.779661429917944</v>
      </c>
      <c r="E48" s="250">
        <f>IF(E$9=0,0,E$9/AGR!E$5*1000)</f>
        <v>38.496952725393427</v>
      </c>
      <c r="F48" s="250">
        <f>IF(F$9=0,0,F$9/AGR!F$5*1000)</f>
        <v>37.841843521460262</v>
      </c>
      <c r="G48" s="250">
        <f>IF(G$9=0,0,G$9/AGR!G$5*1000)</f>
        <v>42.860365768856738</v>
      </c>
      <c r="H48" s="250">
        <f>IF(H$9=0,0,H$9/AGR!H$5*1000)</f>
        <v>39.760779965010137</v>
      </c>
      <c r="I48" s="250">
        <f>IF(I$9=0,0,I$9/AGR!I$5*1000)</f>
        <v>36.700589403983891</v>
      </c>
      <c r="J48" s="250">
        <f>IF(J$9=0,0,J$9/AGR!J$5*1000)</f>
        <v>37.106394261709958</v>
      </c>
      <c r="K48" s="250">
        <f>IF(K$9=0,0,K$9/AGR!K$5*1000)</f>
        <v>41.308082831816932</v>
      </c>
      <c r="L48" s="250">
        <f>IF(L$9=0,0,L$9/AGR!L$5*1000)</f>
        <v>39.048533618883958</v>
      </c>
      <c r="M48" s="250">
        <f>IF(M$9=0,0,M$9/AGR!M$5*1000)</f>
        <v>34.90870234282503</v>
      </c>
      <c r="N48" s="250">
        <f>IF(N$9=0,0,N$9/AGR!N$5*1000)</f>
        <v>35.595714911034975</v>
      </c>
      <c r="O48" s="250">
        <f>IF(O$9=0,0,O$9/AGR!O$5*1000)</f>
        <v>34.495307077847251</v>
      </c>
      <c r="P48" s="250">
        <f>IF(P$9=0,0,P$9/AGR!P$5*1000)</f>
        <v>32.987551713781222</v>
      </c>
      <c r="Q48" s="250">
        <f>IF(Q$9=0,0,Q$9/AGR!Q$5*1000)</f>
        <v>33.374589168384404</v>
      </c>
      <c r="R48" s="250">
        <f>IF(R$9=0,0,R$9/AGR!R$5*1000)</f>
        <v>34.300229688790388</v>
      </c>
      <c r="S48" s="250">
        <f>IF(S$9=0,0,S$9/AGR!S$5*1000)</f>
        <v>31.683204088855845</v>
      </c>
      <c r="T48" s="250">
        <f>IF(T$9=0,0,T$9/AGR!T$5*1000)</f>
        <v>35.508275124756118</v>
      </c>
      <c r="U48" s="250">
        <f>IF(U$9=0,0,U$9/AGR!U$5*1000)</f>
        <v>35.651975614481323</v>
      </c>
      <c r="V48" s="250">
        <f>IF(V$9=0,0,V$9/AGR!V$5*1000)</f>
        <v>36.862062047432367</v>
      </c>
      <c r="W48" s="250">
        <f>IF(W$9=0,0,W$9/AGR!W$5*1000)</f>
        <v>35.874432106748124</v>
      </c>
      <c r="DA48" s="284"/>
    </row>
    <row r="49" spans="1:105" x14ac:dyDescent="0.25">
      <c r="A49" s="128" t="s">
        <v>175</v>
      </c>
      <c r="B49" s="263">
        <f>IF(B$16=0,0,B$16/AGR!B$5*1000)</f>
        <v>15.235473498149029</v>
      </c>
      <c r="C49" s="263">
        <f>IF(C$16=0,0,C$16/AGR!C$5*1000)</f>
        <v>14.946823769022773</v>
      </c>
      <c r="D49" s="263">
        <f>IF(D$16=0,0,D$16/AGR!D$5*1000)</f>
        <v>15.316489798551522</v>
      </c>
      <c r="E49" s="263">
        <f>IF(E$16=0,0,E$16/AGR!E$5*1000)</f>
        <v>15.768906178485045</v>
      </c>
      <c r="F49" s="263">
        <f>IF(F$16=0,0,F$16/AGR!F$5*1000)</f>
        <v>14.990872453165329</v>
      </c>
      <c r="G49" s="263">
        <f>IF(G$16=0,0,G$16/AGR!G$5*1000)</f>
        <v>17.016121491065046</v>
      </c>
      <c r="H49" s="263">
        <f>IF(H$16=0,0,H$16/AGR!H$5*1000)</f>
        <v>17.333697056760691</v>
      </c>
      <c r="I49" s="263">
        <f>IF(I$16=0,0,I$16/AGR!I$5*1000)</f>
        <v>15.503443648508506</v>
      </c>
      <c r="J49" s="263">
        <f>IF(J$16=0,0,J$16/AGR!J$5*1000)</f>
        <v>15.062417848903968</v>
      </c>
      <c r="K49" s="263">
        <f>IF(K$16=0,0,K$16/AGR!K$5*1000)</f>
        <v>16.238396920630805</v>
      </c>
      <c r="L49" s="263">
        <f>IF(L$16=0,0,L$16/AGR!L$5*1000)</f>
        <v>14.276929150904703</v>
      </c>
      <c r="M49" s="263">
        <f>IF(M$16=0,0,M$16/AGR!M$5*1000)</f>
        <v>14.360210272531766</v>
      </c>
      <c r="N49" s="263">
        <f>IF(N$16=0,0,N$16/AGR!N$5*1000)</f>
        <v>13.603092808139461</v>
      </c>
      <c r="O49" s="263">
        <f>IF(O$16=0,0,O$16/AGR!O$5*1000)</f>
        <v>14.057464842150379</v>
      </c>
      <c r="P49" s="263">
        <f>IF(P$16=0,0,P$16/AGR!P$5*1000)</f>
        <v>15.062074454781433</v>
      </c>
      <c r="Q49" s="263">
        <f>IF(Q$16=0,0,Q$16/AGR!Q$5*1000)</f>
        <v>15.358094582389747</v>
      </c>
      <c r="R49" s="263">
        <f>IF(R$16=0,0,R$16/AGR!R$5*1000)</f>
        <v>15.02590514441332</v>
      </c>
      <c r="S49" s="263">
        <f>IF(S$16=0,0,S$16/AGR!S$5*1000)</f>
        <v>13.248184808960122</v>
      </c>
      <c r="T49" s="263">
        <f>IF(T$16=0,0,T$16/AGR!T$5*1000)</f>
        <v>15.232855074017948</v>
      </c>
      <c r="U49" s="263">
        <f>IF(U$16=0,0,U$16/AGR!U$5*1000)</f>
        <v>15.135000442061601</v>
      </c>
      <c r="V49" s="263">
        <f>IF(V$16=0,0,V$16/AGR!V$5*1000)</f>
        <v>17.069504920865747</v>
      </c>
      <c r="W49" s="263">
        <f>IF(W$16=0,0,W$16/AGR!W$5*1000)</f>
        <v>15.089450743111781</v>
      </c>
      <c r="DA49" s="285"/>
    </row>
    <row r="50" spans="1:105" x14ac:dyDescent="0.25">
      <c r="A50" s="128" t="s">
        <v>121</v>
      </c>
      <c r="B50" s="263">
        <f>IF(B$17=0,0,B$17/AGR!B$5*1000)</f>
        <v>61.554150705673429</v>
      </c>
      <c r="C50" s="263">
        <f>IF(C$17=0,0,C$17/AGR!C$5*1000)</f>
        <v>59.203425572547843</v>
      </c>
      <c r="D50" s="263">
        <f>IF(D$17=0,0,D$17/AGR!D$5*1000)</f>
        <v>61.780153471308708</v>
      </c>
      <c r="E50" s="263">
        <f>IF(E$17=0,0,E$17/AGR!E$5*1000)</f>
        <v>65.583065622158699</v>
      </c>
      <c r="F50" s="263">
        <f>IF(F$17=0,0,F$17/AGR!F$5*1000)</f>
        <v>65.533453244597737</v>
      </c>
      <c r="G50" s="263">
        <f>IF(G$17=0,0,G$17/AGR!G$5*1000)</f>
        <v>74.406703252504471</v>
      </c>
      <c r="H50" s="263">
        <f>IF(H$17=0,0,H$17/AGR!H$5*1000)</f>
        <v>68.8578267706189</v>
      </c>
      <c r="I50" s="263">
        <f>IF(I$17=0,0,I$17/AGR!I$5*1000)</f>
        <v>64.325658240224683</v>
      </c>
      <c r="J50" s="263">
        <f>IF(J$17=0,0,J$17/AGR!J$5*1000)</f>
        <v>65.888811665347404</v>
      </c>
      <c r="K50" s="263">
        <f>IF(K$17=0,0,K$17/AGR!K$5*1000)</f>
        <v>73.750918617425086</v>
      </c>
      <c r="L50" s="263">
        <f>IF(L$17=0,0,L$17/AGR!L$5*1000)</f>
        <v>70.390984835168609</v>
      </c>
      <c r="M50" s="263">
        <f>IF(M$17=0,0,M$17/AGR!M$5*1000)</f>
        <v>62.559274184975699</v>
      </c>
      <c r="N50" s="263">
        <f>IF(N$17=0,0,N$17/AGR!N$5*1000)</f>
        <v>63.939990225874723</v>
      </c>
      <c r="O50" s="263">
        <f>IF(O$17=0,0,O$17/AGR!O$5*1000)</f>
        <v>62.061365287653061</v>
      </c>
      <c r="P50" s="263">
        <f>IF(P$17=0,0,P$17/AGR!P$5*1000)</f>
        <v>58.601983844968252</v>
      </c>
      <c r="Q50" s="263">
        <f>IF(Q$17=0,0,Q$17/AGR!Q$5*1000)</f>
        <v>59.625915660193776</v>
      </c>
      <c r="R50" s="263">
        <f>IF(R$17=0,0,R$17/AGR!R$5*1000)</f>
        <v>61.337266268785882</v>
      </c>
      <c r="S50" s="263">
        <f>IF(S$17=0,0,S$17/AGR!S$5*1000)</f>
        <v>56.340137121374795</v>
      </c>
      <c r="T50" s="263">
        <f>IF(T$17=0,0,T$17/AGR!T$5*1000)</f>
        <v>63.005363763930958</v>
      </c>
      <c r="U50" s="263">
        <f>IF(U$17=0,0,U$17/AGR!U$5*1000)</f>
        <v>62.607970215978874</v>
      </c>
      <c r="V50" s="263">
        <f>IF(V$17=0,0,V$17/AGR!V$5*1000)</f>
        <v>65.483738703676622</v>
      </c>
      <c r="W50" s="263">
        <f>IF(W$17=0,0,W$17/AGR!W$5*1000)</f>
        <v>64.215205087737672</v>
      </c>
      <c r="DA50" s="285"/>
    </row>
    <row r="51" spans="1:105" x14ac:dyDescent="0.25">
      <c r="A51" s="128" t="s">
        <v>174</v>
      </c>
      <c r="B51" s="263">
        <f>IF(B$25=0,0,B$25/AGR!B$5*1000)</f>
        <v>2.9276232009188869</v>
      </c>
      <c r="C51" s="263">
        <f>IF(C$25=0,0,C$25/AGR!C$5*1000)</f>
        <v>2.8721567499397498</v>
      </c>
      <c r="D51" s="263">
        <f>IF(D$25=0,0,D$25/AGR!D$5*1000)</f>
        <v>2.9431911582088106</v>
      </c>
      <c r="E51" s="263">
        <f>IF(E$25=0,0,E$25/AGR!E$5*1000)</f>
        <v>3.0301267359268258</v>
      </c>
      <c r="F51" s="263">
        <f>IF(F$25=0,0,F$25/AGR!F$5*1000)</f>
        <v>2.8806210716873735</v>
      </c>
      <c r="G51" s="263">
        <f>IF(G$25=0,0,G$25/AGR!G$5*1000)</f>
        <v>3.2697895521887639</v>
      </c>
      <c r="H51" s="263">
        <f>IF(H$25=0,0,H$25/AGR!H$5*1000)</f>
        <v>3.33081434372468</v>
      </c>
      <c r="I51" s="263">
        <f>IF(I$25=0,0,I$25/AGR!I$5*1000)</f>
        <v>2.9791158985000563</v>
      </c>
      <c r="J51" s="263">
        <f>IF(J$25=0,0,J$25/AGR!J$5*1000)</f>
        <v>2.8943691157182214</v>
      </c>
      <c r="K51" s="263">
        <f>IF(K$25=0,0,K$25/AGR!K$5*1000)</f>
        <v>3.1203432946369674</v>
      </c>
      <c r="L51" s="263">
        <f>IF(L$25=0,0,L$25/AGR!L$5*1000)</f>
        <v>2.7434309163506989</v>
      </c>
      <c r="M51" s="263">
        <f>IF(M$25=0,0,M$25/AGR!M$5*1000)</f>
        <v>2.7594340779133222</v>
      </c>
      <c r="N51" s="263">
        <f>IF(N$25=0,0,N$25/AGR!N$5*1000)</f>
        <v>2.6139476475214409</v>
      </c>
      <c r="O51" s="263">
        <f>IF(O$25=0,0,O$25/AGR!O$5*1000)</f>
        <v>2.701259020468314</v>
      </c>
      <c r="P51" s="263">
        <f>IF(P$25=0,0,P$25/AGR!P$5*1000)</f>
        <v>2.8943031296758228</v>
      </c>
      <c r="Q51" s="263">
        <f>IF(Q$25=0,0,Q$25/AGR!Q$5*1000)</f>
        <v>2.9511858641461606</v>
      </c>
      <c r="R51" s="263">
        <f>IF(R$25=0,0,R$25/AGR!R$5*1000)</f>
        <v>2.8873528952634975</v>
      </c>
      <c r="S51" s="263">
        <f>IF(S$25=0,0,S$25/AGR!S$5*1000)</f>
        <v>2.5457491177733922</v>
      </c>
      <c r="T51" s="263">
        <f>IF(T$25=0,0,T$25/AGR!T$5*1000)</f>
        <v>2.9271200489008709</v>
      </c>
      <c r="U51" s="263">
        <f>IF(U$25=0,0,U$25/AGR!U$5*1000)</f>
        <v>2.9083164658768474</v>
      </c>
      <c r="V51" s="263">
        <f>IF(V$25=0,0,V$25/AGR!V$5*1000)</f>
        <v>3.280047623107802</v>
      </c>
      <c r="W51" s="263">
        <f>IF(W$25=0,0,W$25/AGR!W$5*1000)</f>
        <v>2.8995637116249644</v>
      </c>
      <c r="DA51" s="285"/>
    </row>
    <row r="52" spans="1:105" x14ac:dyDescent="0.25">
      <c r="A52" s="128" t="s">
        <v>177</v>
      </c>
      <c r="B52" s="263">
        <f>IF(B$26=0,0,B$26/AGR!B$5*1000)</f>
        <v>1.9528144681839372</v>
      </c>
      <c r="C52" s="263">
        <f>IF(C$26=0,0,C$26/AGR!C$5*1000)</f>
        <v>1.9803879824861981</v>
      </c>
      <c r="D52" s="263">
        <f>IF(D$26=0,0,D$26/AGR!D$5*1000)</f>
        <v>2.1982133052799271</v>
      </c>
      <c r="E52" s="263">
        <f>IF(E$26=0,0,E$26/AGR!E$5*1000)</f>
        <v>2.5107658133875694</v>
      </c>
      <c r="F52" s="263">
        <f>IF(F$26=0,0,F$26/AGR!F$5*1000)</f>
        <v>2.7193680153129729</v>
      </c>
      <c r="G52" s="263">
        <f>IF(G$26=0,0,G$26/AGR!G$5*1000)</f>
        <v>3.3747152035505175</v>
      </c>
      <c r="H52" s="263">
        <f>IF(H$26=0,0,H$26/AGR!H$5*1000)</f>
        <v>3.5294167161231815</v>
      </c>
      <c r="I52" s="263">
        <f>IF(I$26=0,0,I$26/AGR!I$5*1000)</f>
        <v>3.5459408662824283</v>
      </c>
      <c r="J52" s="263">
        <f>IF(J$26=0,0,J$26/AGR!J$5*1000)</f>
        <v>3.6750476759408972</v>
      </c>
      <c r="K52" s="263">
        <f>IF(K$26=0,0,K$26/AGR!K$5*1000)</f>
        <v>4.3884983806122371</v>
      </c>
      <c r="L52" s="263">
        <f>IF(L$26=0,0,L$26/AGR!L$5*1000)</f>
        <v>3.6251961769252365</v>
      </c>
      <c r="M52" s="263">
        <f>IF(M$26=0,0,M$26/AGR!M$5*1000)</f>
        <v>3.6425290119328775</v>
      </c>
      <c r="N52" s="263">
        <f>IF(N$26=0,0,N$26/AGR!N$5*1000)</f>
        <v>3.8580536796885827</v>
      </c>
      <c r="O52" s="263">
        <f>IF(O$26=0,0,O$26/AGR!O$5*1000)</f>
        <v>3.9269615763298029</v>
      </c>
      <c r="P52" s="263">
        <f>IF(P$26=0,0,P$26/AGR!P$5*1000)</f>
        <v>4.122696699594111</v>
      </c>
      <c r="Q52" s="263">
        <f>IF(Q$26=0,0,Q$26/AGR!Q$5*1000)</f>
        <v>4.3216767603267954</v>
      </c>
      <c r="R52" s="263">
        <f>IF(R$26=0,0,R$26/AGR!R$5*1000)</f>
        <v>4.36693092762573</v>
      </c>
      <c r="S52" s="263">
        <f>IF(S$26=0,0,S$26/AGR!S$5*1000)</f>
        <v>4.2169669909546501</v>
      </c>
      <c r="T52" s="263">
        <f>IF(T$26=0,0,T$26/AGR!T$5*1000)</f>
        <v>4.9212484235587555</v>
      </c>
      <c r="U52" s="263">
        <f>IF(U$26=0,0,U$26/AGR!U$5*1000)</f>
        <v>5.1417443714883939</v>
      </c>
      <c r="V52" s="263">
        <f>IF(V$26=0,0,V$26/AGR!V$5*1000)</f>
        <v>5.1861314303059887</v>
      </c>
      <c r="W52" s="263">
        <f>IF(W$26=0,0,W$26/AGR!W$5*1000)</f>
        <v>4.892297979727064</v>
      </c>
      <c r="DA52" s="285"/>
    </row>
    <row r="53" spans="1:105" x14ac:dyDescent="0.25">
      <c r="A53" s="261" t="s">
        <v>33</v>
      </c>
      <c r="B53" s="264">
        <f>IF(B$27=0,0,B$27/AGR!B$5*1000)</f>
        <v>2.8315809788667083</v>
      </c>
      <c r="C53" s="264">
        <f>IF(C$27=0,0,C$27/AGR!C$5*1000)</f>
        <v>2.8715625746049858</v>
      </c>
      <c r="D53" s="264">
        <f>IF(D$27=0,0,D$27/AGR!D$5*1000)</f>
        <v>3.1874092926558948</v>
      </c>
      <c r="E53" s="264">
        <f>IF(E$27=0,0,E$27/AGR!E$5*1000)</f>
        <v>3.6406104294119754</v>
      </c>
      <c r="F53" s="264">
        <f>IF(F$27=0,0,F$27/AGR!F$5*1000)</f>
        <v>3.9430836222038086</v>
      </c>
      <c r="G53" s="264">
        <f>IF(G$27=0,0,G$27/AGR!G$5*1000)</f>
        <v>4.8933370451482494</v>
      </c>
      <c r="H53" s="264">
        <f>IF(H$27=0,0,H$27/AGR!H$5*1000)</f>
        <v>5.1176542383786137</v>
      </c>
      <c r="I53" s="264">
        <f>IF(I$27=0,0,I$27/AGR!I$5*1000)</f>
        <v>5.1416142561095173</v>
      </c>
      <c r="J53" s="264">
        <f>IF(J$27=0,0,J$27/AGR!J$5*1000)</f>
        <v>5.3288191301143017</v>
      </c>
      <c r="K53" s="264">
        <f>IF(K$27=0,0,K$27/AGR!K$5*1000)</f>
        <v>6.3633226518877439</v>
      </c>
      <c r="L53" s="264">
        <f>IF(L$27=0,0,L$27/AGR!L$5*1000)</f>
        <v>5.2565344565415932</v>
      </c>
      <c r="M53" s="264">
        <f>IF(M$27=0,0,M$27/AGR!M$5*1000)</f>
        <v>5.2816670673026715</v>
      </c>
      <c r="N53" s="264">
        <f>IF(N$27=0,0,N$27/AGR!N$5*1000)</f>
        <v>5.5941778355484395</v>
      </c>
      <c r="O53" s="264">
        <f>IF(O$27=0,0,O$27/AGR!O$5*1000)</f>
        <v>5.6940942856782177</v>
      </c>
      <c r="P53" s="264">
        <f>IF(P$27=0,0,P$27/AGR!P$5*1000)</f>
        <v>5.9779102144114589</v>
      </c>
      <c r="Q53" s="264">
        <f>IF(Q$27=0,0,Q$27/AGR!Q$5*1000)</f>
        <v>6.2664313024738547</v>
      </c>
      <c r="R53" s="264">
        <f>IF(R$27=0,0,R$27/AGR!R$5*1000)</f>
        <v>6.3320498450573099</v>
      </c>
      <c r="S53" s="264">
        <f>IF(S$27=0,0,S$27/AGR!S$5*1000)</f>
        <v>6.1146021368842396</v>
      </c>
      <c r="T53" s="264">
        <f>IF(T$27=0,0,T$27/AGR!T$5*1000)</f>
        <v>7.1358102141601929</v>
      </c>
      <c r="U53" s="264">
        <f>IF(U$27=0,0,U$27/AGR!U$5*1000)</f>
        <v>7.4555293386581702</v>
      </c>
      <c r="V53" s="264">
        <f>IF(V$27=0,0,V$27/AGR!V$5*1000)</f>
        <v>7.5198905739436874</v>
      </c>
      <c r="W53" s="264">
        <f>IF(W$27=0,0,W$27/AGR!W$5*1000)</f>
        <v>7.0938320706042433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1713.338046293497</v>
      </c>
      <c r="C5" s="80">
        <f t="shared" ref="C5:W5" si="1">SUM(C6:C9,C16:C17,C25:C27)</f>
        <v>1675.3264311432872</v>
      </c>
      <c r="D5" s="80">
        <f t="shared" si="1"/>
        <v>1551.8567543791837</v>
      </c>
      <c r="E5" s="80">
        <f t="shared" si="1"/>
        <v>1539.5346869665357</v>
      </c>
      <c r="F5" s="80">
        <f t="shared" si="1"/>
        <v>1551.1013533611708</v>
      </c>
      <c r="G5" s="80">
        <f t="shared" si="1"/>
        <v>1593.2943845035018</v>
      </c>
      <c r="H5" s="80">
        <f t="shared" si="1"/>
        <v>1418.141527139067</v>
      </c>
      <c r="I5" s="80">
        <f t="shared" si="1"/>
        <v>1421.4231096093474</v>
      </c>
      <c r="J5" s="80">
        <f t="shared" si="1"/>
        <v>1434.0530372095575</v>
      </c>
      <c r="K5" s="80">
        <f t="shared" si="1"/>
        <v>1438.2834898252049</v>
      </c>
      <c r="L5" s="80">
        <f t="shared" si="1"/>
        <v>1622.6221171918335</v>
      </c>
      <c r="M5" s="80">
        <f t="shared" si="1"/>
        <v>1453.7449322829434</v>
      </c>
      <c r="N5" s="80">
        <f t="shared" si="1"/>
        <v>1481.3581031920287</v>
      </c>
      <c r="O5" s="80">
        <f t="shared" si="1"/>
        <v>1493.5516973524361</v>
      </c>
      <c r="P5" s="80">
        <f t="shared" si="1"/>
        <v>1399.3676492505674</v>
      </c>
      <c r="Q5" s="80">
        <f t="shared" si="1"/>
        <v>1477.2185796108936</v>
      </c>
      <c r="R5" s="80">
        <f t="shared" si="1"/>
        <v>1492.1720258735966</v>
      </c>
      <c r="S5" s="80">
        <f t="shared" si="1"/>
        <v>1496.4419454557365</v>
      </c>
      <c r="T5" s="80">
        <f t="shared" si="1"/>
        <v>1609.0028141625835</v>
      </c>
      <c r="U5" s="80">
        <f t="shared" si="1"/>
        <v>1622.5333676244145</v>
      </c>
      <c r="V5" s="80">
        <f t="shared" si="1"/>
        <v>1566.7710629953951</v>
      </c>
      <c r="W5" s="80">
        <f t="shared" si="1"/>
        <v>1547.9458505852078</v>
      </c>
      <c r="DA5" s="103"/>
    </row>
    <row r="6" spans="1:105" x14ac:dyDescent="0.25">
      <c r="A6" s="239" t="s">
        <v>125</v>
      </c>
      <c r="B6" s="240">
        <v>29.24608709402532</v>
      </c>
      <c r="C6" s="240">
        <v>29.987894419920028</v>
      </c>
      <c r="D6" s="240">
        <v>29.47698871313791</v>
      </c>
      <c r="E6" s="240">
        <v>31.511060325305081</v>
      </c>
      <c r="F6" s="240">
        <v>34.50042168666112</v>
      </c>
      <c r="G6" s="240">
        <v>38.318675258533943</v>
      </c>
      <c r="H6" s="240">
        <v>37.470100330950807</v>
      </c>
      <c r="I6" s="240">
        <v>40.300526661002912</v>
      </c>
      <c r="J6" s="240">
        <v>41.5057347112268</v>
      </c>
      <c r="K6" s="240">
        <v>44.144871439679157</v>
      </c>
      <c r="L6" s="240">
        <v>44.722053013837382</v>
      </c>
      <c r="M6" s="240">
        <v>43.729884554578078</v>
      </c>
      <c r="N6" s="240">
        <v>46.221760990670333</v>
      </c>
      <c r="O6" s="240">
        <v>48.203828530594834</v>
      </c>
      <c r="P6" s="240">
        <v>48.296887612253272</v>
      </c>
      <c r="Q6" s="240">
        <v>52.295830917428297</v>
      </c>
      <c r="R6" s="240">
        <v>52.38868733883195</v>
      </c>
      <c r="S6" s="240">
        <v>54.683769411218663</v>
      </c>
      <c r="T6" s="240">
        <v>60.537228739482742</v>
      </c>
      <c r="U6" s="240">
        <v>63.168219057676382</v>
      </c>
      <c r="V6" s="240">
        <v>59.310941372651207</v>
      </c>
      <c r="W6" s="240">
        <v>57.667088699406939</v>
      </c>
      <c r="DA6" s="268" t="s">
        <v>1014</v>
      </c>
    </row>
    <row r="7" spans="1:105" x14ac:dyDescent="0.25">
      <c r="A7" s="241" t="s">
        <v>124</v>
      </c>
      <c r="B7" s="242">
        <v>18.85080361510169</v>
      </c>
      <c r="C7" s="242">
        <v>19.328941568248311</v>
      </c>
      <c r="D7" s="242">
        <v>18.999633134151761</v>
      </c>
      <c r="E7" s="242">
        <v>20.310710557149989</v>
      </c>
      <c r="F7" s="242">
        <v>22.237527767819099</v>
      </c>
      <c r="G7" s="242">
        <v>24.698614203232861</v>
      </c>
      <c r="H7" s="242">
        <v>24.151658322908059</v>
      </c>
      <c r="I7" s="242">
        <v>25.97603266479139</v>
      </c>
      <c r="J7" s="242">
        <v>26.75285932871634</v>
      </c>
      <c r="K7" s="242">
        <v>28.453936400035751</v>
      </c>
      <c r="L7" s="242">
        <v>28.825963484196869</v>
      </c>
      <c r="M7" s="242">
        <v>28.186453223611739</v>
      </c>
      <c r="N7" s="242">
        <v>29.792612474210109</v>
      </c>
      <c r="O7" s="242">
        <v>31.07017024892582</v>
      </c>
      <c r="P7" s="242">
        <v>31.130152237877201</v>
      </c>
      <c r="Q7" s="242">
        <v>33.707703712418912</v>
      </c>
      <c r="R7" s="242">
        <v>33.767555075052613</v>
      </c>
      <c r="S7" s="242">
        <v>35.246868915841283</v>
      </c>
      <c r="T7" s="242">
        <v>39.01976379614932</v>
      </c>
      <c r="U7" s="242">
        <v>40.715590032392541</v>
      </c>
      <c r="V7" s="242">
        <v>38.229350287036027</v>
      </c>
      <c r="W7" s="242">
        <v>37.16979165904376</v>
      </c>
      <c r="DA7" s="269" t="s">
        <v>1015</v>
      </c>
    </row>
    <row r="8" spans="1:105" x14ac:dyDescent="0.25">
      <c r="A8" s="241" t="s">
        <v>123</v>
      </c>
      <c r="B8" s="242">
        <v>37.460924551229461</v>
      </c>
      <c r="C8" s="242">
        <v>38.411095703272842</v>
      </c>
      <c r="D8" s="242">
        <v>37.756683368623548</v>
      </c>
      <c r="E8" s="242">
        <v>40.362098682823252</v>
      </c>
      <c r="F8" s="242">
        <v>44.191131949875107</v>
      </c>
      <c r="G8" s="242">
        <v>49.081882241137507</v>
      </c>
      <c r="H8" s="242">
        <v>47.994953886036292</v>
      </c>
      <c r="I8" s="242">
        <v>51.62040938225396</v>
      </c>
      <c r="J8" s="242">
        <v>53.164144367820441</v>
      </c>
      <c r="K8" s="242">
        <v>56.544579553802294</v>
      </c>
      <c r="L8" s="242">
        <v>57.283883766785983</v>
      </c>
      <c r="M8" s="242">
        <v>56.013028363978421</v>
      </c>
      <c r="N8" s="242">
        <v>59.2048397971909</v>
      </c>
      <c r="O8" s="242">
        <v>61.743643785903679</v>
      </c>
      <c r="P8" s="242">
        <v>61.862841927713433</v>
      </c>
      <c r="Q8" s="242">
        <v>66.985035298682703</v>
      </c>
      <c r="R8" s="242">
        <v>67.103973855663526</v>
      </c>
      <c r="S8" s="242">
        <v>70.043714001965782</v>
      </c>
      <c r="T8" s="242">
        <v>77.541332317702327</v>
      </c>
      <c r="U8" s="242">
        <v>80.911332874973525</v>
      </c>
      <c r="V8" s="242">
        <v>75.970597115440469</v>
      </c>
      <c r="W8" s="242">
        <v>73.865008057739786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794.01822201800837</v>
      </c>
      <c r="C9" s="244">
        <f t="shared" ref="C9:W9" si="3">SUM(C10:C15)</f>
        <v>769.22567584349167</v>
      </c>
      <c r="D9" s="244">
        <f t="shared" si="3"/>
        <v>707.59504624325643</v>
      </c>
      <c r="E9" s="244">
        <f t="shared" si="3"/>
        <v>693.47582345624153</v>
      </c>
      <c r="F9" s="244">
        <f t="shared" si="3"/>
        <v>689.69492538635848</v>
      </c>
      <c r="G9" s="244">
        <f t="shared" si="3"/>
        <v>700.458447375226</v>
      </c>
      <c r="H9" s="244">
        <f t="shared" si="3"/>
        <v>609.6563783405561</v>
      </c>
      <c r="I9" s="244">
        <f t="shared" si="3"/>
        <v>604.24185801544434</v>
      </c>
      <c r="J9" s="244">
        <f t="shared" si="3"/>
        <v>607.58766382108047</v>
      </c>
      <c r="K9" s="244">
        <f t="shared" si="3"/>
        <v>604.79113420139095</v>
      </c>
      <c r="L9" s="244">
        <f t="shared" si="3"/>
        <v>696.07612873726043</v>
      </c>
      <c r="M9" s="244">
        <f t="shared" si="3"/>
        <v>608.79751648468346</v>
      </c>
      <c r="N9" s="244">
        <f t="shared" si="3"/>
        <v>621.20958605932367</v>
      </c>
      <c r="O9" s="244">
        <f t="shared" si="3"/>
        <v>619.05626229019958</v>
      </c>
      <c r="P9" s="244">
        <f t="shared" si="3"/>
        <v>570.01300683804504</v>
      </c>
      <c r="Q9" s="244">
        <f t="shared" si="3"/>
        <v>598.27402869700541</v>
      </c>
      <c r="R9" s="244">
        <f t="shared" si="3"/>
        <v>608.94612239406456</v>
      </c>
      <c r="S9" s="244">
        <f t="shared" si="3"/>
        <v>612.00953113311743</v>
      </c>
      <c r="T9" s="244">
        <f t="shared" si="3"/>
        <v>654.63938525625349</v>
      </c>
      <c r="U9" s="244">
        <f t="shared" si="3"/>
        <v>662.37512132769416</v>
      </c>
      <c r="V9" s="244">
        <f t="shared" si="3"/>
        <v>634.58891932694405</v>
      </c>
      <c r="W9" s="244">
        <f t="shared" si="3"/>
        <v>634.57683526951416</v>
      </c>
      <c r="DA9" s="270"/>
    </row>
    <row r="10" spans="1:105" x14ac:dyDescent="0.25">
      <c r="A10" s="254" t="s">
        <v>173</v>
      </c>
      <c r="B10" s="255">
        <v>11.103727909308351</v>
      </c>
      <c r="C10" s="255">
        <v>11.477743206366659</v>
      </c>
      <c r="D10" s="255">
        <v>10.02118797866037</v>
      </c>
      <c r="E10" s="255">
        <v>9.1645376505751752</v>
      </c>
      <c r="F10" s="255">
        <v>8.064977162987562</v>
      </c>
      <c r="G10" s="255">
        <v>8.1372177653406119</v>
      </c>
      <c r="H10" s="255">
        <v>9.3256317471371162</v>
      </c>
      <c r="I10" s="255">
        <v>8.2387575208132802</v>
      </c>
      <c r="J10" s="255">
        <v>7.2684821326430571</v>
      </c>
      <c r="K10" s="255">
        <v>6.4678835447889407</v>
      </c>
      <c r="L10" s="255">
        <v>6.0643136521103633</v>
      </c>
      <c r="M10" s="255">
        <v>7.4167570547657009</v>
      </c>
      <c r="N10" s="255">
        <v>5.9878883802715883</v>
      </c>
      <c r="O10" s="255">
        <v>7.1932440549974794</v>
      </c>
      <c r="P10" s="255">
        <v>9.2544956466232549</v>
      </c>
      <c r="Q10" s="255">
        <v>9.823724649662422</v>
      </c>
      <c r="R10" s="255">
        <v>8.625924556505975</v>
      </c>
      <c r="S10" s="255">
        <v>7.4755995977241811</v>
      </c>
      <c r="T10" s="255">
        <v>8.5771400267976965</v>
      </c>
      <c r="U10" s="255">
        <v>8.3426779323454152</v>
      </c>
      <c r="V10" s="255">
        <v>10.50069272723043</v>
      </c>
      <c r="W10" s="255">
        <v>7.9156045080932644</v>
      </c>
      <c r="DA10" s="271" t="s">
        <v>1017</v>
      </c>
    </row>
    <row r="11" spans="1:105" x14ac:dyDescent="0.25">
      <c r="A11" s="254" t="s">
        <v>176</v>
      </c>
      <c r="B11" s="256">
        <v>554.83592617154193</v>
      </c>
      <c r="C11" s="256">
        <v>539.88288720012542</v>
      </c>
      <c r="D11" s="256">
        <v>502.11013250875112</v>
      </c>
      <c r="E11" s="256">
        <v>508.29366217084367</v>
      </c>
      <c r="F11" s="256">
        <v>523.4634852396548</v>
      </c>
      <c r="G11" s="256">
        <v>527.23880304321563</v>
      </c>
      <c r="H11" s="256">
        <v>439.59105715192538</v>
      </c>
      <c r="I11" s="256">
        <v>442.07244860559427</v>
      </c>
      <c r="J11" s="256">
        <v>457.65734295028562</v>
      </c>
      <c r="K11" s="256">
        <v>453.48133195671278</v>
      </c>
      <c r="L11" s="256">
        <v>560.06254163956021</v>
      </c>
      <c r="M11" s="256">
        <v>469.85105195594161</v>
      </c>
      <c r="N11" s="256">
        <v>478.89287147109428</v>
      </c>
      <c r="O11" s="256">
        <v>466.91774241065718</v>
      </c>
      <c r="P11" s="256">
        <v>395.79896510894508</v>
      </c>
      <c r="Q11" s="256">
        <v>412.42301872343359</v>
      </c>
      <c r="R11" s="256">
        <v>422.57184081600627</v>
      </c>
      <c r="S11" s="256">
        <v>407.04661217733212</v>
      </c>
      <c r="T11" s="256">
        <v>420.20860764703178</v>
      </c>
      <c r="U11" s="256">
        <v>394.6862923831485</v>
      </c>
      <c r="V11" s="256">
        <v>387.37934447583638</v>
      </c>
      <c r="W11" s="256">
        <v>396.37130302032728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0.50411655352178886</v>
      </c>
      <c r="K12" s="256">
        <v>0.74410550052331326</v>
      </c>
      <c r="L12" s="256">
        <v>1.7088063467874819</v>
      </c>
      <c r="M12" s="256">
        <v>1.663728647409829</v>
      </c>
      <c r="N12" s="256">
        <v>2.594346945403204</v>
      </c>
      <c r="O12" s="256">
        <v>5.1973173051604569</v>
      </c>
      <c r="P12" s="256">
        <v>7.6705545636801382</v>
      </c>
      <c r="Q12" s="256">
        <v>12.53474993872411</v>
      </c>
      <c r="R12" s="256">
        <v>14.586489967567079</v>
      </c>
      <c r="S12" s="256">
        <v>15.411856504832921</v>
      </c>
      <c r="T12" s="256">
        <v>18.74236438632661</v>
      </c>
      <c r="U12" s="256">
        <v>27.418723834465759</v>
      </c>
      <c r="V12" s="256">
        <v>31.21522389774946</v>
      </c>
      <c r="W12" s="256">
        <v>32.382517341096843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217.97649864413719</v>
      </c>
      <c r="C14" s="255">
        <v>206.3248958010652</v>
      </c>
      <c r="D14" s="255">
        <v>182.537357885446</v>
      </c>
      <c r="E14" s="255">
        <v>159.64494707453409</v>
      </c>
      <c r="F14" s="255">
        <v>136.42975376774561</v>
      </c>
      <c r="G14" s="255">
        <v>136.03353957481741</v>
      </c>
      <c r="H14" s="255">
        <v>124.5580143190829</v>
      </c>
      <c r="I14" s="255">
        <v>107.38873262518371</v>
      </c>
      <c r="J14" s="255">
        <v>91.554851247138615</v>
      </c>
      <c r="K14" s="255">
        <v>81.311974759914065</v>
      </c>
      <c r="L14" s="255">
        <v>80.563552563730113</v>
      </c>
      <c r="M14" s="255">
        <v>71.157110652065285</v>
      </c>
      <c r="N14" s="255">
        <v>65.888941085668776</v>
      </c>
      <c r="O14" s="255">
        <v>61.427886244562892</v>
      </c>
      <c r="P14" s="255">
        <v>61.427886244554593</v>
      </c>
      <c r="Q14" s="255">
        <v>51.361087344663673</v>
      </c>
      <c r="R14" s="255">
        <v>54.296030771704949</v>
      </c>
      <c r="S14" s="255">
        <v>54.284936774299233</v>
      </c>
      <c r="T14" s="255">
        <v>51.35622711723358</v>
      </c>
      <c r="U14" s="255">
        <v>51.353215889366957</v>
      </c>
      <c r="V14" s="255">
        <v>48.161367179628307</v>
      </c>
      <c r="W14" s="255">
        <v>52.740493850233491</v>
      </c>
      <c r="DA14" s="271" t="s">
        <v>1021</v>
      </c>
    </row>
    <row r="15" spans="1:105" x14ac:dyDescent="0.25">
      <c r="A15" s="254" t="s">
        <v>24</v>
      </c>
      <c r="B15" s="256">
        <v>10.102069293020969</v>
      </c>
      <c r="C15" s="256">
        <v>11.54014963593441</v>
      </c>
      <c r="D15" s="256">
        <v>12.926367870399</v>
      </c>
      <c r="E15" s="256">
        <v>16.37267656028855</v>
      </c>
      <c r="F15" s="256">
        <v>21.7367092159704</v>
      </c>
      <c r="G15" s="256">
        <v>29.048886991852289</v>
      </c>
      <c r="H15" s="256">
        <v>36.181675122410809</v>
      </c>
      <c r="I15" s="256">
        <v>46.541919263853082</v>
      </c>
      <c r="J15" s="256">
        <v>50.60287093749141</v>
      </c>
      <c r="K15" s="256">
        <v>62.785838439451858</v>
      </c>
      <c r="L15" s="256">
        <v>47.676914535072207</v>
      </c>
      <c r="M15" s="256">
        <v>58.708868174501049</v>
      </c>
      <c r="N15" s="256">
        <v>67.845538176885739</v>
      </c>
      <c r="O15" s="256">
        <v>78.320072274821584</v>
      </c>
      <c r="P15" s="256">
        <v>95.861105274242007</v>
      </c>
      <c r="Q15" s="256">
        <v>112.1314480405216</v>
      </c>
      <c r="R15" s="256">
        <v>108.8658362822803</v>
      </c>
      <c r="S15" s="256">
        <v>127.79052607892901</v>
      </c>
      <c r="T15" s="256">
        <v>155.75504607886381</v>
      </c>
      <c r="U15" s="256">
        <v>180.57421128836759</v>
      </c>
      <c r="V15" s="256">
        <v>157.33229104649939</v>
      </c>
      <c r="W15" s="256">
        <v>145.1669165497633</v>
      </c>
      <c r="DA15" s="272" t="s">
        <v>1022</v>
      </c>
    </row>
    <row r="16" spans="1:105" x14ac:dyDescent="0.25">
      <c r="A16" s="257" t="s">
        <v>175</v>
      </c>
      <c r="B16" s="258">
        <v>163.27540093416059</v>
      </c>
      <c r="C16" s="258">
        <v>161.95808117927811</v>
      </c>
      <c r="D16" s="258">
        <v>146.97062695089659</v>
      </c>
      <c r="E16" s="258">
        <v>141.61732852806841</v>
      </c>
      <c r="F16" s="258">
        <v>136.09474153757191</v>
      </c>
      <c r="G16" s="258">
        <v>138.25853599605091</v>
      </c>
      <c r="H16" s="258">
        <v>131.68343225785509</v>
      </c>
      <c r="I16" s="258">
        <v>126.0855815181728</v>
      </c>
      <c r="J16" s="258">
        <v>121.7300604146896</v>
      </c>
      <c r="K16" s="258">
        <v>116.88680417288199</v>
      </c>
      <c r="L16" s="258">
        <v>126.0326421791613</v>
      </c>
      <c r="M16" s="258">
        <v>123.36561508288651</v>
      </c>
      <c r="N16" s="258">
        <v>116.6202318568731</v>
      </c>
      <c r="O16" s="258">
        <v>123.4780905326424</v>
      </c>
      <c r="P16" s="258">
        <v>126.2642975220492</v>
      </c>
      <c r="Q16" s="258">
        <v>132.98729205930289</v>
      </c>
      <c r="R16" s="258">
        <v>128.9911322617244</v>
      </c>
      <c r="S16" s="258">
        <v>122.9341768183309</v>
      </c>
      <c r="T16" s="258">
        <v>134.08696952012909</v>
      </c>
      <c r="U16" s="258">
        <v>133.0542058790119</v>
      </c>
      <c r="V16" s="258">
        <v>139.6915838286582</v>
      </c>
      <c r="W16" s="258">
        <v>127.276016791629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575.3232995062383</v>
      </c>
      <c r="C17" s="258">
        <f t="shared" ref="C17:W17" si="5">SUM(C18:C24)</f>
        <v>559.57193355195477</v>
      </c>
      <c r="D17" s="258">
        <f t="shared" si="5"/>
        <v>517.50970483838194</v>
      </c>
      <c r="E17" s="258">
        <f t="shared" si="5"/>
        <v>514.33852583343435</v>
      </c>
      <c r="F17" s="258">
        <f t="shared" si="5"/>
        <v>519.72414184703837</v>
      </c>
      <c r="G17" s="258">
        <f t="shared" si="5"/>
        <v>527.97187934744727</v>
      </c>
      <c r="H17" s="258">
        <f t="shared" si="5"/>
        <v>455.68700284460539</v>
      </c>
      <c r="I17" s="258">
        <f t="shared" si="5"/>
        <v>455.36930414321057</v>
      </c>
      <c r="J17" s="258">
        <f t="shared" si="5"/>
        <v>463.05248704189773</v>
      </c>
      <c r="K17" s="258">
        <f t="shared" si="5"/>
        <v>461.24796439806414</v>
      </c>
      <c r="L17" s="258">
        <f t="shared" si="5"/>
        <v>540.79238521291506</v>
      </c>
      <c r="M17" s="258">
        <f t="shared" si="5"/>
        <v>467.60544905209235</v>
      </c>
      <c r="N17" s="258">
        <f t="shared" si="5"/>
        <v>476.93241369799114</v>
      </c>
      <c r="O17" s="258">
        <f t="shared" si="5"/>
        <v>472.73960498669044</v>
      </c>
      <c r="P17" s="258">
        <f t="shared" si="5"/>
        <v>423.932670458308</v>
      </c>
      <c r="Q17" s="258">
        <f t="shared" si="5"/>
        <v>444.18749326529428</v>
      </c>
      <c r="R17" s="258">
        <f t="shared" si="5"/>
        <v>452.49847266605832</v>
      </c>
      <c r="S17" s="258">
        <f t="shared" si="5"/>
        <v>448.11809222258927</v>
      </c>
      <c r="T17" s="258">
        <f t="shared" si="5"/>
        <v>473.62135326390353</v>
      </c>
      <c r="U17" s="258">
        <f t="shared" si="5"/>
        <v>466.30584243186718</v>
      </c>
      <c r="V17" s="258">
        <f t="shared" si="5"/>
        <v>451.7383236455297</v>
      </c>
      <c r="W17" s="258">
        <f t="shared" si="5"/>
        <v>455.93424416359255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11.5778927686427</v>
      </c>
      <c r="C19" s="55">
        <v>12.404877267303981</v>
      </c>
      <c r="D19" s="55">
        <v>11.302216630769539</v>
      </c>
      <c r="E19" s="55">
        <v>10.199555994236979</v>
      </c>
      <c r="F19" s="55">
        <v>10.750886312501811</v>
      </c>
      <c r="G19" s="55">
        <v>10.19955599423616</v>
      </c>
      <c r="H19" s="55">
        <v>10.19955599423662</v>
      </c>
      <c r="I19" s="55">
        <v>10.19955599423759</v>
      </c>
      <c r="J19" s="55">
        <v>9.9239018138426207</v>
      </c>
      <c r="K19" s="55">
        <v>9.3725714955767518</v>
      </c>
      <c r="L19" s="55">
        <v>10.475232132109131</v>
      </c>
      <c r="M19" s="55">
        <v>8.2699108590428079</v>
      </c>
      <c r="N19" s="55">
        <v>7.7185805407765162</v>
      </c>
      <c r="O19" s="55">
        <v>8.2699108590436072</v>
      </c>
      <c r="P19" s="55">
        <v>5.7889354055822304</v>
      </c>
      <c r="Q19" s="55">
        <v>8.5357720041929372</v>
      </c>
      <c r="R19" s="55">
        <v>7.928955138702297</v>
      </c>
      <c r="S19" s="55">
        <v>7.5121363314353262</v>
      </c>
      <c r="T19" s="55">
        <v>7.9289551387021211</v>
      </c>
      <c r="U19" s="55">
        <v>8.3438416878935531</v>
      </c>
      <c r="V19" s="55">
        <v>8.5999317552773302</v>
      </c>
      <c r="W19" s="55">
        <v>10.856787229505519</v>
      </c>
      <c r="DA19" s="101" t="s">
        <v>1025</v>
      </c>
    </row>
    <row r="20" spans="1:105" x14ac:dyDescent="0.25">
      <c r="A20" s="61" t="s">
        <v>173</v>
      </c>
      <c r="B20" s="55">
        <v>10.9947127806048</v>
      </c>
      <c r="C20" s="55">
        <v>11.345187209767341</v>
      </c>
      <c r="D20" s="55">
        <v>9.9108704790899225</v>
      </c>
      <c r="E20" s="55">
        <v>8.9413206417003845</v>
      </c>
      <c r="F20" s="55">
        <v>7.7428554850638864</v>
      </c>
      <c r="G20" s="55">
        <v>7.8795726083358382</v>
      </c>
      <c r="H20" s="55">
        <v>9.1756600996885638</v>
      </c>
      <c r="I20" s="55">
        <v>8.0442229594602672</v>
      </c>
      <c r="J20" s="55">
        <v>6.9601305502714323</v>
      </c>
      <c r="K20" s="55">
        <v>6.2124878286752292</v>
      </c>
      <c r="L20" s="55">
        <v>5.6121030856931329</v>
      </c>
      <c r="M20" s="55">
        <v>7.0746923825963348</v>
      </c>
      <c r="N20" s="55">
        <v>5.7500472660255211</v>
      </c>
      <c r="O20" s="55">
        <v>6.9213992574211067</v>
      </c>
      <c r="P20" s="55">
        <v>9.2305786692785663</v>
      </c>
      <c r="Q20" s="55">
        <v>9.7627174329826278</v>
      </c>
      <c r="R20" s="55">
        <v>8.5479702047409027</v>
      </c>
      <c r="S20" s="55">
        <v>7.5593646460513453</v>
      </c>
      <c r="T20" s="55">
        <v>8.7601873273016562</v>
      </c>
      <c r="U20" s="55">
        <v>8.7604448804320594</v>
      </c>
      <c r="V20" s="55">
        <v>10.65521010799047</v>
      </c>
      <c r="W20" s="55">
        <v>7.8702656211747852</v>
      </c>
      <c r="DA20" s="101" t="s">
        <v>1026</v>
      </c>
    </row>
    <row r="21" spans="1:105" x14ac:dyDescent="0.25">
      <c r="A21" s="61" t="s">
        <v>129</v>
      </c>
      <c r="B21" s="55">
        <v>16.04431746170988</v>
      </c>
      <c r="C21" s="55">
        <v>14.48445761209766</v>
      </c>
      <c r="D21" s="55">
        <v>11.14187843007962</v>
      </c>
      <c r="E21" s="55">
        <v>10.69621816322007</v>
      </c>
      <c r="F21" s="55">
        <v>10.25053833011737</v>
      </c>
      <c r="G21" s="55">
        <v>10.250538330118239</v>
      </c>
      <c r="H21" s="55">
        <v>10.027698413568221</v>
      </c>
      <c r="I21" s="55">
        <v>9.5820185804681319</v>
      </c>
      <c r="J21" s="55">
        <v>10.696218163219941</v>
      </c>
      <c r="K21" s="55">
        <v>11.810398179732561</v>
      </c>
      <c r="L21" s="55">
        <v>9.13633874736637</v>
      </c>
      <c r="M21" s="55">
        <v>4.4567591985283794</v>
      </c>
      <c r="N21" s="55">
        <v>3.1501647699211421</v>
      </c>
      <c r="O21" s="55">
        <v>4.6795991150793297</v>
      </c>
      <c r="P21" s="55">
        <v>7.3536389812033569</v>
      </c>
      <c r="Q21" s="55">
        <v>5.3480992984896352</v>
      </c>
      <c r="R21" s="55">
        <v>4.2784911785364379</v>
      </c>
      <c r="S21" s="55">
        <v>4.2784911785361963</v>
      </c>
      <c r="T21" s="55">
        <v>4.0110793654275714</v>
      </c>
      <c r="U21" s="55">
        <v>1.6044317461710249</v>
      </c>
      <c r="V21" s="55">
        <v>0</v>
      </c>
      <c r="W21" s="55">
        <v>0</v>
      </c>
      <c r="DA21" s="101" t="s">
        <v>1027</v>
      </c>
    </row>
    <row r="22" spans="1:105" x14ac:dyDescent="0.25">
      <c r="A22" s="61" t="s">
        <v>176</v>
      </c>
      <c r="B22" s="55">
        <v>536.23344155223208</v>
      </c>
      <c r="C22" s="55">
        <v>520.86954766823794</v>
      </c>
      <c r="D22" s="55">
        <v>484.69196495979128</v>
      </c>
      <c r="E22" s="55">
        <v>484.03865669562532</v>
      </c>
      <c r="F22" s="55">
        <v>490.52217683660001</v>
      </c>
      <c r="G22" s="55">
        <v>498.3200157106628</v>
      </c>
      <c r="H22" s="55">
        <v>422.16492439231382</v>
      </c>
      <c r="I22" s="55">
        <v>421.2986526873816</v>
      </c>
      <c r="J22" s="55">
        <v>427.74834342991221</v>
      </c>
      <c r="K22" s="55">
        <v>425.14494105660049</v>
      </c>
      <c r="L22" s="55">
        <v>505.88843861312802</v>
      </c>
      <c r="M22" s="55">
        <v>437.44952972371982</v>
      </c>
      <c r="N22" s="55">
        <v>448.85940963919307</v>
      </c>
      <c r="O22" s="55">
        <v>438.51426586119021</v>
      </c>
      <c r="P22" s="55">
        <v>385.32312146492723</v>
      </c>
      <c r="Q22" s="55">
        <v>400.04760810509009</v>
      </c>
      <c r="R22" s="55">
        <v>408.72588280561212</v>
      </c>
      <c r="S22" s="55">
        <v>401.75163293020682</v>
      </c>
      <c r="T22" s="55">
        <v>418.89972980388802</v>
      </c>
      <c r="U22" s="55">
        <v>404.52649332263923</v>
      </c>
      <c r="V22" s="55">
        <v>383.66728644299383</v>
      </c>
      <c r="W22" s="55">
        <v>384.66418314858117</v>
      </c>
      <c r="DA22" s="101" t="s">
        <v>1028</v>
      </c>
    </row>
    <row r="23" spans="1:105" x14ac:dyDescent="0.25">
      <c r="A23" s="61" t="s">
        <v>171</v>
      </c>
      <c r="B23" s="55">
        <v>0.47293494304878092</v>
      </c>
      <c r="C23" s="55">
        <v>0.46786379454786742</v>
      </c>
      <c r="D23" s="55">
        <v>0.46277433865157941</v>
      </c>
      <c r="E23" s="55">
        <v>0.46277433865160622</v>
      </c>
      <c r="F23" s="55">
        <v>0.45768488275529112</v>
      </c>
      <c r="G23" s="55">
        <v>1.3221967040942171</v>
      </c>
      <c r="H23" s="55">
        <v>4.1191639447981583</v>
      </c>
      <c r="I23" s="55">
        <v>6.2448539216630046</v>
      </c>
      <c r="J23" s="55">
        <v>7.4653530448086292</v>
      </c>
      <c r="K23" s="55">
        <v>8.324775410251986</v>
      </c>
      <c r="L23" s="55">
        <v>8.8333182371783945</v>
      </c>
      <c r="M23" s="55">
        <v>9.5045955010181071</v>
      </c>
      <c r="N23" s="55">
        <v>10.11992536479014</v>
      </c>
      <c r="O23" s="55">
        <v>11.67605396615909</v>
      </c>
      <c r="P23" s="55">
        <v>12.138828304809721</v>
      </c>
      <c r="Q23" s="55">
        <v>13.82164408172463</v>
      </c>
      <c r="R23" s="55">
        <v>15.275562495076841</v>
      </c>
      <c r="S23" s="55">
        <v>18.669716970799161</v>
      </c>
      <c r="T23" s="55">
        <v>23.769168704879039</v>
      </c>
      <c r="U23" s="55">
        <v>27.650391432830581</v>
      </c>
      <c r="V23" s="55">
        <v>31.85168235298999</v>
      </c>
      <c r="W23" s="55">
        <v>35.298964889903203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0.25854003984287832</v>
      </c>
      <c r="K24" s="55">
        <v>0.38279042722718071</v>
      </c>
      <c r="L24" s="55">
        <v>0.84695439743996892</v>
      </c>
      <c r="M24" s="55">
        <v>0.84996138718693026</v>
      </c>
      <c r="N24" s="55">
        <v>1.334286117284732</v>
      </c>
      <c r="O24" s="55">
        <v>2.678375927797104</v>
      </c>
      <c r="P24" s="55">
        <v>4.0975676325069204</v>
      </c>
      <c r="Q24" s="55">
        <v>6.6716523428143653</v>
      </c>
      <c r="R24" s="55">
        <v>7.7416108433897382</v>
      </c>
      <c r="S24" s="55">
        <v>8.3467501655603655</v>
      </c>
      <c r="T24" s="55">
        <v>10.252232923705099</v>
      </c>
      <c r="U24" s="55">
        <v>15.420239361900739</v>
      </c>
      <c r="V24" s="55">
        <v>16.964212986278071</v>
      </c>
      <c r="W24" s="55">
        <v>17.24404327442792</v>
      </c>
      <c r="DA24" s="101" t="s">
        <v>1030</v>
      </c>
    </row>
    <row r="25" spans="1:105" x14ac:dyDescent="0.25">
      <c r="A25" s="257" t="s">
        <v>174</v>
      </c>
      <c r="B25" s="258">
        <v>21.962310287276509</v>
      </c>
      <c r="C25" s="258">
        <v>21.78511650891944</v>
      </c>
      <c r="D25" s="258">
        <v>19.769141547003429</v>
      </c>
      <c r="E25" s="258">
        <v>19.049064913598301</v>
      </c>
      <c r="F25" s="258">
        <v>18.30621713383589</v>
      </c>
      <c r="G25" s="258">
        <v>18.5972709302015</v>
      </c>
      <c r="H25" s="258">
        <v>17.712848245320039</v>
      </c>
      <c r="I25" s="258">
        <v>16.959876675914199</v>
      </c>
      <c r="J25" s="258">
        <v>16.374011901488981</v>
      </c>
      <c r="K25" s="258">
        <v>15.722541467028</v>
      </c>
      <c r="L25" s="258">
        <v>16.952755761293119</v>
      </c>
      <c r="M25" s="258">
        <v>16.59401172331901</v>
      </c>
      <c r="N25" s="258">
        <v>15.686684602584929</v>
      </c>
      <c r="O25" s="258">
        <v>16.60914088982609</v>
      </c>
      <c r="P25" s="258">
        <v>16.983915914574631</v>
      </c>
      <c r="Q25" s="258">
        <v>17.888231514120271</v>
      </c>
      <c r="R25" s="258">
        <v>17.350704728518629</v>
      </c>
      <c r="S25" s="258">
        <v>16.535978602703409</v>
      </c>
      <c r="T25" s="258">
        <v>18.036150046075552</v>
      </c>
      <c r="U25" s="258">
        <v>17.897232147789211</v>
      </c>
      <c r="V25" s="258">
        <v>18.790031388765129</v>
      </c>
      <c r="W25" s="258">
        <v>17.12000311690274</v>
      </c>
      <c r="DA25" s="273" t="s">
        <v>1031</v>
      </c>
    </row>
    <row r="26" spans="1:105" x14ac:dyDescent="0.25">
      <c r="A26" s="257" t="s">
        <v>177</v>
      </c>
      <c r="B26" s="258">
        <v>29.001236330925689</v>
      </c>
      <c r="C26" s="258">
        <v>29.736833181920471</v>
      </c>
      <c r="D26" s="258">
        <v>29.230204821771949</v>
      </c>
      <c r="E26" s="258">
        <v>31.24724701100001</v>
      </c>
      <c r="F26" s="258">
        <v>34.211581181260172</v>
      </c>
      <c r="G26" s="258">
        <v>37.997868004973647</v>
      </c>
      <c r="H26" s="258">
        <v>37.156397419858557</v>
      </c>
      <c r="I26" s="258">
        <v>39.963127176602143</v>
      </c>
      <c r="J26" s="258">
        <v>41.15824512110207</v>
      </c>
      <c r="K26" s="258">
        <v>43.775286769285778</v>
      </c>
      <c r="L26" s="258">
        <v>44.34763612953364</v>
      </c>
      <c r="M26" s="258">
        <v>43.363774190171917</v>
      </c>
      <c r="N26" s="258">
        <v>45.834788421861731</v>
      </c>
      <c r="O26" s="258">
        <v>47.800261921424337</v>
      </c>
      <c r="P26" s="258">
        <v>47.892541904426473</v>
      </c>
      <c r="Q26" s="258">
        <v>51.858005711413718</v>
      </c>
      <c r="R26" s="258">
        <v>51.950084730850179</v>
      </c>
      <c r="S26" s="258">
        <v>54.225952178217362</v>
      </c>
      <c r="T26" s="258">
        <v>60.030405840229733</v>
      </c>
      <c r="U26" s="258">
        <v>62.639369280603923</v>
      </c>
      <c r="V26" s="258">
        <v>58.814385056978537</v>
      </c>
      <c r="W26" s="258">
        <v>57.184294860067347</v>
      </c>
      <c r="DA26" s="273" t="s">
        <v>1032</v>
      </c>
    </row>
    <row r="27" spans="1:105" x14ac:dyDescent="0.25">
      <c r="A27" s="129" t="s">
        <v>33</v>
      </c>
      <c r="B27" s="259">
        <v>44.199761956531113</v>
      </c>
      <c r="C27" s="259">
        <v>45.320859186281709</v>
      </c>
      <c r="D27" s="259">
        <v>44.548724761960173</v>
      </c>
      <c r="E27" s="259">
        <v>47.622827658914659</v>
      </c>
      <c r="F27" s="259">
        <v>52.140664870750797</v>
      </c>
      <c r="G27" s="259">
        <v>57.911211146697937</v>
      </c>
      <c r="H27" s="259">
        <v>56.628755490976488</v>
      </c>
      <c r="I27" s="259">
        <v>60.906393371955033</v>
      </c>
      <c r="J27" s="259">
        <v>62.727830501535109</v>
      </c>
      <c r="K27" s="259">
        <v>66.716371423037188</v>
      </c>
      <c r="L27" s="259">
        <v>67.588668906850046</v>
      </c>
      <c r="M27" s="259">
        <v>66.089199607621993</v>
      </c>
      <c r="N27" s="259">
        <v>69.855185291322783</v>
      </c>
      <c r="O27" s="259">
        <v>72.850694166228934</v>
      </c>
      <c r="P27" s="259">
        <v>72.991334835319904</v>
      </c>
      <c r="Q27" s="259">
        <v>79.034958435227352</v>
      </c>
      <c r="R27" s="259">
        <v>79.175292822832176</v>
      </c>
      <c r="S27" s="259">
        <v>82.64386217175263</v>
      </c>
      <c r="T27" s="259">
        <v>91.490225382657613</v>
      </c>
      <c r="U27" s="259">
        <v>95.466454592405626</v>
      </c>
      <c r="V27" s="259">
        <v>89.636930973391912</v>
      </c>
      <c r="W27" s="259">
        <v>87.152567967311441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1.0000000000000002</v>
      </c>
      <c r="D31" s="236">
        <f t="shared" si="6"/>
        <v>1</v>
      </c>
      <c r="E31" s="236">
        <f t="shared" si="6"/>
        <v>1</v>
      </c>
      <c r="F31" s="236">
        <f t="shared" si="6"/>
        <v>1</v>
      </c>
      <c r="G31" s="236">
        <f t="shared" si="6"/>
        <v>0.99999999999999989</v>
      </c>
      <c r="H31" s="236">
        <f t="shared" si="6"/>
        <v>0.99999999999999978</v>
      </c>
      <c r="I31" s="236">
        <f t="shared" si="6"/>
        <v>0.99999999999999989</v>
      </c>
      <c r="J31" s="236">
        <f t="shared" si="6"/>
        <v>1.0000000000000002</v>
      </c>
      <c r="K31" s="236">
        <f t="shared" si="6"/>
        <v>1</v>
      </c>
      <c r="L31" s="236">
        <f t="shared" si="6"/>
        <v>1.0000000000000002</v>
      </c>
      <c r="M31" s="236">
        <f t="shared" si="6"/>
        <v>0.99999999999999989</v>
      </c>
      <c r="N31" s="236">
        <f t="shared" si="6"/>
        <v>1</v>
      </c>
      <c r="O31" s="236">
        <f t="shared" si="6"/>
        <v>1</v>
      </c>
      <c r="P31" s="236">
        <f t="shared" si="6"/>
        <v>0.99999999999999989</v>
      </c>
      <c r="Q31" s="236">
        <f t="shared" si="6"/>
        <v>1.0000000000000002</v>
      </c>
      <c r="R31" s="236">
        <f t="shared" ref="R31:W31" si="7">SUM(R32:R40)</f>
        <v>1</v>
      </c>
      <c r="S31" s="236">
        <f t="shared" si="7"/>
        <v>1.0000000000000002</v>
      </c>
      <c r="T31" s="236">
        <f t="shared" si="7"/>
        <v>1</v>
      </c>
      <c r="U31" s="236">
        <f t="shared" si="7"/>
        <v>0.99999999999999989</v>
      </c>
      <c r="V31" s="236">
        <f t="shared" si="7"/>
        <v>1</v>
      </c>
      <c r="W31" s="236">
        <f t="shared" si="7"/>
        <v>0.99999999999999978</v>
      </c>
      <c r="DA31" s="275"/>
    </row>
    <row r="32" spans="1:105" x14ac:dyDescent="0.25">
      <c r="A32" s="239" t="s">
        <v>125</v>
      </c>
      <c r="B32" s="245">
        <f t="shared" ref="B32:W32" si="8">IF(B$6=0,0,B$6/B$5)</f>
        <v>1.7069653684101654E-2</v>
      </c>
      <c r="C32" s="245">
        <f t="shared" si="8"/>
        <v>1.7899732173064023E-2</v>
      </c>
      <c r="D32" s="245">
        <f t="shared" si="8"/>
        <v>1.8994658256927911E-2</v>
      </c>
      <c r="E32" s="245">
        <f t="shared" si="8"/>
        <v>2.0467911890568548E-2</v>
      </c>
      <c r="F32" s="245">
        <f t="shared" si="8"/>
        <v>2.2242532128477724E-2</v>
      </c>
      <c r="G32" s="245">
        <f t="shared" si="8"/>
        <v>2.4049965675661821E-2</v>
      </c>
      <c r="H32" s="245">
        <f t="shared" si="8"/>
        <v>2.6421975249919034E-2</v>
      </c>
      <c r="I32" s="245">
        <f t="shared" si="8"/>
        <v>2.8352238252323608E-2</v>
      </c>
      <c r="J32" s="245">
        <f t="shared" si="8"/>
        <v>2.8942956525506516E-2</v>
      </c>
      <c r="K32" s="245">
        <f t="shared" si="8"/>
        <v>3.0692747119724011E-2</v>
      </c>
      <c r="L32" s="245">
        <f t="shared" si="8"/>
        <v>2.7561594618983089E-2</v>
      </c>
      <c r="M32" s="245">
        <f t="shared" si="8"/>
        <v>3.0080850899961657E-2</v>
      </c>
      <c r="N32" s="245">
        <f t="shared" si="8"/>
        <v>3.1202287205957652E-2</v>
      </c>
      <c r="O32" s="245">
        <f t="shared" si="8"/>
        <v>3.2274630075439625E-2</v>
      </c>
      <c r="P32" s="245">
        <f t="shared" si="8"/>
        <v>3.4513365832144767E-2</v>
      </c>
      <c r="Q32" s="245">
        <f t="shared" si="8"/>
        <v>3.5401552376360758E-2</v>
      </c>
      <c r="R32" s="245">
        <f t="shared" si="8"/>
        <v>3.5109013190460288E-2</v>
      </c>
      <c r="S32" s="245">
        <f t="shared" si="8"/>
        <v>3.6542526475736352E-2</v>
      </c>
      <c r="T32" s="245">
        <f t="shared" si="8"/>
        <v>3.762406641345109E-2</v>
      </c>
      <c r="U32" s="245">
        <f t="shared" si="8"/>
        <v>3.893184591338316E-2</v>
      </c>
      <c r="V32" s="245">
        <f t="shared" si="8"/>
        <v>3.7855525145619524E-2</v>
      </c>
      <c r="W32" s="245">
        <f t="shared" si="8"/>
        <v>3.7253944430682535E-2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1.1002384296480231E-2</v>
      </c>
      <c r="C33" s="246">
        <f t="shared" si="9"/>
        <v>1.153741814665798E-2</v>
      </c>
      <c r="D33" s="246">
        <f t="shared" si="9"/>
        <v>1.2243161671034846E-2</v>
      </c>
      <c r="E33" s="246">
        <f t="shared" si="9"/>
        <v>1.319275929870067E-2</v>
      </c>
      <c r="F33" s="246">
        <f t="shared" si="9"/>
        <v>1.4336605225462101E-2</v>
      </c>
      <c r="G33" s="246">
        <f t="shared" si="9"/>
        <v>1.5501601237946607E-2</v>
      </c>
      <c r="H33" s="246">
        <f t="shared" si="9"/>
        <v>1.7030499326559582E-2</v>
      </c>
      <c r="I33" s="246">
        <f t="shared" si="9"/>
        <v>1.8274666064723288E-2</v>
      </c>
      <c r="J33" s="246">
        <f t="shared" si="9"/>
        <v>1.8655418338482943E-2</v>
      </c>
      <c r="K33" s="246">
        <f t="shared" si="9"/>
        <v>1.9783260116191536E-2</v>
      </c>
      <c r="L33" s="246">
        <f t="shared" si="9"/>
        <v>1.7765050271892072E-2</v>
      </c>
      <c r="M33" s="246">
        <f t="shared" si="9"/>
        <v>1.9388857424491982E-2</v>
      </c>
      <c r="N33" s="246">
        <f t="shared" si="9"/>
        <v>2.0111688328442005E-2</v>
      </c>
      <c r="O33" s="246">
        <f t="shared" si="9"/>
        <v>2.0802875658072473E-2</v>
      </c>
      <c r="P33" s="246">
        <f t="shared" si="9"/>
        <v>2.2245871022207053E-2</v>
      </c>
      <c r="Q33" s="246">
        <f t="shared" si="9"/>
        <v>2.2818358892627576E-2</v>
      </c>
      <c r="R33" s="246">
        <f t="shared" si="9"/>
        <v>2.2629800377931154E-2</v>
      </c>
      <c r="S33" s="246">
        <f t="shared" si="9"/>
        <v>2.3553783040415222E-2</v>
      </c>
      <c r="T33" s="246">
        <f t="shared" si="9"/>
        <v>2.4250898415275564E-2</v>
      </c>
      <c r="U33" s="246">
        <f t="shared" si="9"/>
        <v>2.5093838342446603E-2</v>
      </c>
      <c r="V33" s="246">
        <f t="shared" si="9"/>
        <v>2.4400087026082883E-2</v>
      </c>
      <c r="W33" s="246">
        <f t="shared" si="9"/>
        <v>2.4012333277027457E-2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2.1864292707600538E-2</v>
      </c>
      <c r="C34" s="246">
        <f t="shared" si="10"/>
        <v>2.2927529220117475E-2</v>
      </c>
      <c r="D34" s="246">
        <f t="shared" si="10"/>
        <v>2.4330005499591367E-2</v>
      </c>
      <c r="E34" s="246">
        <f t="shared" si="10"/>
        <v>2.621707651313256E-2</v>
      </c>
      <c r="F34" s="246">
        <f t="shared" si="10"/>
        <v>2.8490164007732181E-2</v>
      </c>
      <c r="G34" s="246">
        <f t="shared" si="10"/>
        <v>3.0805281634399453E-2</v>
      </c>
      <c r="H34" s="246">
        <f t="shared" si="10"/>
        <v>3.3843557196199199E-2</v>
      </c>
      <c r="I34" s="246">
        <f t="shared" si="10"/>
        <v>3.6316005440801435E-2</v>
      </c>
      <c r="J34" s="246">
        <f t="shared" si="10"/>
        <v>3.7072648631789475E-2</v>
      </c>
      <c r="K34" s="246">
        <f t="shared" si="10"/>
        <v>3.9313932165538641E-2</v>
      </c>
      <c r="L34" s="246">
        <f t="shared" si="10"/>
        <v>3.5303280511129402E-2</v>
      </c>
      <c r="M34" s="246">
        <f t="shared" si="10"/>
        <v>3.853016242403421E-2</v>
      </c>
      <c r="N34" s="246">
        <f t="shared" si="10"/>
        <v>3.9966595294963707E-2</v>
      </c>
      <c r="O34" s="246">
        <f t="shared" si="10"/>
        <v>4.1340145035055939E-2</v>
      </c>
      <c r="P34" s="246">
        <f t="shared" si="10"/>
        <v>4.4207711933918245E-2</v>
      </c>
      <c r="Q34" s="246">
        <f t="shared" si="10"/>
        <v>4.53453782826959E-2</v>
      </c>
      <c r="R34" s="246">
        <f t="shared" si="10"/>
        <v>4.4970668724591122E-2</v>
      </c>
      <c r="S34" s="246">
        <f t="shared" si="10"/>
        <v>4.6806836853690435E-2</v>
      </c>
      <c r="T34" s="246">
        <f t="shared" si="10"/>
        <v>4.8192166996338812E-2</v>
      </c>
      <c r="U34" s="246">
        <f t="shared" si="10"/>
        <v>4.9867284389619376E-2</v>
      </c>
      <c r="V34" s="246">
        <f t="shared" si="10"/>
        <v>4.8488639412447299E-2</v>
      </c>
      <c r="W34" s="246">
        <f t="shared" si="10"/>
        <v>4.7718082664076907E-2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0.46343348514073213</v>
      </c>
      <c r="C35" s="247">
        <f t="shared" si="11"/>
        <v>0.45914972840161761</v>
      </c>
      <c r="D35" s="247">
        <f t="shared" si="11"/>
        <v>0.45596672775789027</v>
      </c>
      <c r="E35" s="247">
        <f t="shared" si="11"/>
        <v>0.45044507884564172</v>
      </c>
      <c r="F35" s="247">
        <f t="shared" si="11"/>
        <v>0.44464852273632466</v>
      </c>
      <c r="G35" s="247">
        <f t="shared" si="11"/>
        <v>0.43962901908645152</v>
      </c>
      <c r="H35" s="247">
        <f t="shared" si="11"/>
        <v>0.42989812136061328</v>
      </c>
      <c r="I35" s="247">
        <f t="shared" si="11"/>
        <v>0.42509640791017483</v>
      </c>
      <c r="J35" s="247">
        <f t="shared" si="11"/>
        <v>0.42368562951015454</v>
      </c>
      <c r="K35" s="247">
        <f t="shared" si="11"/>
        <v>0.42049508214468306</v>
      </c>
      <c r="L35" s="247">
        <f t="shared" si="11"/>
        <v>0.42898227588683069</v>
      </c>
      <c r="M35" s="247">
        <f t="shared" si="11"/>
        <v>0.41877877127223084</v>
      </c>
      <c r="N35" s="247">
        <f t="shared" si="11"/>
        <v>0.41935139431899821</v>
      </c>
      <c r="O35" s="247">
        <f t="shared" si="11"/>
        <v>0.41448599562209848</v>
      </c>
      <c r="P35" s="247">
        <f t="shared" si="11"/>
        <v>0.407336132962139</v>
      </c>
      <c r="Q35" s="247">
        <f t="shared" si="11"/>
        <v>0.40500034115099853</v>
      </c>
      <c r="R35" s="247">
        <f t="shared" si="11"/>
        <v>0.40809377996317497</v>
      </c>
      <c r="S35" s="247">
        <f t="shared" si="11"/>
        <v>0.4089764611260826</v>
      </c>
      <c r="T35" s="247">
        <f t="shared" si="11"/>
        <v>0.4068603109292665</v>
      </c>
      <c r="U35" s="247">
        <f t="shared" si="11"/>
        <v>0.40823513065712269</v>
      </c>
      <c r="V35" s="247">
        <f t="shared" si="11"/>
        <v>0.40502976747203889</v>
      </c>
      <c r="W35" s="247">
        <f t="shared" si="11"/>
        <v>0.40994769618692384</v>
      </c>
      <c r="DA35" s="278"/>
    </row>
    <row r="36" spans="1:105" x14ac:dyDescent="0.25">
      <c r="A36" s="128" t="s">
        <v>175</v>
      </c>
      <c r="B36" s="260">
        <f t="shared" ref="B36:W36" si="12">IF(B$16=0,0,B$16/B$5)</f>
        <v>9.5296664477496407E-2</v>
      </c>
      <c r="C36" s="260">
        <f t="shared" si="12"/>
        <v>9.6672551789655475E-2</v>
      </c>
      <c r="D36" s="260">
        <f t="shared" si="12"/>
        <v>9.4706310061260651E-2</v>
      </c>
      <c r="E36" s="260">
        <f t="shared" si="12"/>
        <v>9.1987098262208036E-2</v>
      </c>
      <c r="F36" s="260">
        <f t="shared" si="12"/>
        <v>8.7740714842818215E-2</v>
      </c>
      <c r="G36" s="260">
        <f t="shared" si="12"/>
        <v>8.6775260956646547E-2</v>
      </c>
      <c r="H36" s="260">
        <f t="shared" si="12"/>
        <v>9.2856340314292088E-2</v>
      </c>
      <c r="I36" s="260">
        <f t="shared" si="12"/>
        <v>8.8703765026604334E-2</v>
      </c>
      <c r="J36" s="260">
        <f t="shared" si="12"/>
        <v>8.4885326592632329E-2</v>
      </c>
      <c r="K36" s="260">
        <f t="shared" si="12"/>
        <v>8.1268265261869407E-2</v>
      </c>
      <c r="L36" s="260">
        <f t="shared" si="12"/>
        <v>7.7672207745619656E-2</v>
      </c>
      <c r="M36" s="260">
        <f t="shared" si="12"/>
        <v>8.4860564149416937E-2</v>
      </c>
      <c r="N36" s="260">
        <f t="shared" si="12"/>
        <v>7.872521276629868E-2</v>
      </c>
      <c r="O36" s="260">
        <f t="shared" si="12"/>
        <v>8.2674132238962625E-2</v>
      </c>
      <c r="P36" s="260">
        <f t="shared" si="12"/>
        <v>9.0229538741781093E-2</v>
      </c>
      <c r="Q36" s="260">
        <f t="shared" si="12"/>
        <v>9.0025466708069962E-2</v>
      </c>
      <c r="R36" s="260">
        <f t="shared" si="12"/>
        <v>8.6445215447733759E-2</v>
      </c>
      <c r="S36" s="260">
        <f t="shared" si="12"/>
        <v>8.2150982997801297E-2</v>
      </c>
      <c r="T36" s="260">
        <f t="shared" si="12"/>
        <v>8.3335447483300754E-2</v>
      </c>
      <c r="U36" s="260">
        <f t="shared" si="12"/>
        <v>8.2003987427278241E-2</v>
      </c>
      <c r="V36" s="260">
        <f t="shared" si="12"/>
        <v>8.9158899553322138E-2</v>
      </c>
      <c r="W36" s="260">
        <f t="shared" si="12"/>
        <v>8.222252525404021E-2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0.33579088537189039</v>
      </c>
      <c r="C37" s="260">
        <f t="shared" si="13"/>
        <v>0.33400770330477508</v>
      </c>
      <c r="D37" s="260">
        <f t="shared" si="13"/>
        <v>0.33347775390867851</v>
      </c>
      <c r="E37" s="260">
        <f t="shared" si="13"/>
        <v>0.33408700056435581</v>
      </c>
      <c r="F37" s="260">
        <f t="shared" si="13"/>
        <v>0.33506781534347718</v>
      </c>
      <c r="G37" s="260">
        <f t="shared" si="13"/>
        <v>0.33137120451973001</v>
      </c>
      <c r="H37" s="260">
        <f t="shared" si="13"/>
        <v>0.32132688742561549</v>
      </c>
      <c r="I37" s="260">
        <f t="shared" si="13"/>
        <v>0.32036154545732737</v>
      </c>
      <c r="J37" s="260">
        <f t="shared" si="13"/>
        <v>0.32289774159463819</v>
      </c>
      <c r="K37" s="260">
        <f t="shared" si="13"/>
        <v>0.32069335959221762</v>
      </c>
      <c r="L37" s="260">
        <f t="shared" si="13"/>
        <v>0.33328301117257619</v>
      </c>
      <c r="M37" s="260">
        <f t="shared" si="13"/>
        <v>0.32165577239039478</v>
      </c>
      <c r="N37" s="260">
        <f t="shared" si="13"/>
        <v>0.32195619186900032</v>
      </c>
      <c r="O37" s="260">
        <f t="shared" si="13"/>
        <v>0.3165204162833456</v>
      </c>
      <c r="P37" s="260">
        <f t="shared" si="13"/>
        <v>0.30294588465393318</v>
      </c>
      <c r="Q37" s="260">
        <f t="shared" si="13"/>
        <v>0.30069178616904169</v>
      </c>
      <c r="R37" s="260">
        <f t="shared" si="13"/>
        <v>0.30324819445743312</v>
      </c>
      <c r="S37" s="260">
        <f t="shared" si="13"/>
        <v>0.29945571465929233</v>
      </c>
      <c r="T37" s="260">
        <f t="shared" si="13"/>
        <v>0.29435706954335128</v>
      </c>
      <c r="U37" s="260">
        <f t="shared" si="13"/>
        <v>0.28739368430653323</v>
      </c>
      <c r="V37" s="260">
        <f t="shared" si="13"/>
        <v>0.28832439806609922</v>
      </c>
      <c r="W37" s="260">
        <f t="shared" si="13"/>
        <v>0.29454146861224156</v>
      </c>
      <c r="DA37" s="279"/>
    </row>
    <row r="38" spans="1:105" x14ac:dyDescent="0.25">
      <c r="A38" s="128" t="s">
        <v>174</v>
      </c>
      <c r="B38" s="260">
        <f t="shared" ref="B38:W38" si="14">IF(B$25=0,0,B$25/B$5)</f>
        <v>1.2818433778896157E-2</v>
      </c>
      <c r="C38" s="260">
        <f t="shared" si="14"/>
        <v>1.3003505528204852E-2</v>
      </c>
      <c r="D38" s="260">
        <f t="shared" si="14"/>
        <v>1.2739024714244339E-2</v>
      </c>
      <c r="E38" s="260">
        <f t="shared" si="14"/>
        <v>1.2373261268398017E-2</v>
      </c>
      <c r="F38" s="260">
        <f t="shared" si="14"/>
        <v>1.1802076694838216E-2</v>
      </c>
      <c r="G38" s="260">
        <f t="shared" si="14"/>
        <v>1.167221268779952E-2</v>
      </c>
      <c r="H38" s="260">
        <f t="shared" si="14"/>
        <v>1.2490183741430672E-2</v>
      </c>
      <c r="I38" s="260">
        <f t="shared" si="14"/>
        <v>1.1931617377865283E-2</v>
      </c>
      <c r="J38" s="260">
        <f t="shared" si="14"/>
        <v>1.1417996041032236E-2</v>
      </c>
      <c r="K38" s="260">
        <f t="shared" si="14"/>
        <v>1.093146210622133E-2</v>
      </c>
      <c r="L38" s="260">
        <f t="shared" si="14"/>
        <v>1.0447753412009538E-2</v>
      </c>
      <c r="M38" s="260">
        <f t="shared" si="14"/>
        <v>1.1414665224153164E-2</v>
      </c>
      <c r="N38" s="260">
        <f t="shared" si="14"/>
        <v>1.0589393995134113E-2</v>
      </c>
      <c r="O38" s="260">
        <f t="shared" si="14"/>
        <v>1.112056644525161E-2</v>
      </c>
      <c r="P38" s="260">
        <f t="shared" si="14"/>
        <v>1.2136850472190337E-2</v>
      </c>
      <c r="Q38" s="260">
        <f t="shared" si="14"/>
        <v>1.2109400572819845E-2</v>
      </c>
      <c r="R38" s="260">
        <f t="shared" si="14"/>
        <v>1.1627817991267197E-2</v>
      </c>
      <c r="S38" s="260">
        <f t="shared" si="14"/>
        <v>1.1050197204721786E-2</v>
      </c>
      <c r="T38" s="260">
        <f t="shared" si="14"/>
        <v>1.1209520510044969E-2</v>
      </c>
      <c r="U38" s="260">
        <f t="shared" si="14"/>
        <v>1.1030424707994096E-2</v>
      </c>
      <c r="V38" s="260">
        <f t="shared" si="14"/>
        <v>1.1992837902457709E-2</v>
      </c>
      <c r="W38" s="260">
        <f t="shared" si="14"/>
        <v>1.1059820413246657E-2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1.6926745071508053E-2</v>
      </c>
      <c r="C39" s="260">
        <f t="shared" si="15"/>
        <v>1.7749874071781503E-2</v>
      </c>
      <c r="D39" s="260">
        <f t="shared" si="15"/>
        <v>1.8835633340053618E-2</v>
      </c>
      <c r="E39" s="260">
        <f t="shared" si="15"/>
        <v>2.0296552767231819E-2</v>
      </c>
      <c r="F39" s="260">
        <f t="shared" si="15"/>
        <v>2.2056315731480168E-2</v>
      </c>
      <c r="G39" s="260">
        <f t="shared" si="15"/>
        <v>2.3848617289148635E-2</v>
      </c>
      <c r="H39" s="260">
        <f t="shared" si="15"/>
        <v>2.6200768194707055E-2</v>
      </c>
      <c r="I39" s="260">
        <f t="shared" si="15"/>
        <v>2.8114870868805059E-2</v>
      </c>
      <c r="J39" s="260">
        <f t="shared" si="15"/>
        <v>2.8700643597666071E-2</v>
      </c>
      <c r="K39" s="260">
        <f t="shared" si="15"/>
        <v>3.043578479414083E-2</v>
      </c>
      <c r="L39" s="260">
        <f t="shared" si="15"/>
        <v>2.7330846572141645E-2</v>
      </c>
      <c r="M39" s="260">
        <f t="shared" si="15"/>
        <v>2.9829011422295361E-2</v>
      </c>
      <c r="N39" s="260">
        <f t="shared" si="15"/>
        <v>3.094105896683387E-2</v>
      </c>
      <c r="O39" s="260">
        <f t="shared" si="15"/>
        <v>3.2004424089342266E-2</v>
      </c>
      <c r="P39" s="260">
        <f t="shared" si="15"/>
        <v>3.4224416957241627E-2</v>
      </c>
      <c r="Q39" s="260">
        <f t="shared" si="15"/>
        <v>3.5105167527119355E-2</v>
      </c>
      <c r="R39" s="260">
        <f t="shared" si="15"/>
        <v>3.4815077504509476E-2</v>
      </c>
      <c r="S39" s="260">
        <f t="shared" si="15"/>
        <v>3.6236589292946493E-2</v>
      </c>
      <c r="T39" s="260">
        <f t="shared" si="15"/>
        <v>3.730907448503934E-2</v>
      </c>
      <c r="U39" s="260">
        <f t="shared" si="15"/>
        <v>3.8605905142225554E-2</v>
      </c>
      <c r="V39" s="260">
        <f t="shared" si="15"/>
        <v>3.7538595424742915E-2</v>
      </c>
      <c r="W39" s="260">
        <f t="shared" si="15"/>
        <v>3.6942051195426873E-2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2.5797455471294448E-2</v>
      </c>
      <c r="C40" s="262">
        <f t="shared" si="16"/>
        <v>2.7051957364126078E-2</v>
      </c>
      <c r="D40" s="262">
        <f t="shared" si="16"/>
        <v>2.8706724790318532E-2</v>
      </c>
      <c r="E40" s="262">
        <f t="shared" si="16"/>
        <v>3.0933260589762743E-2</v>
      </c>
      <c r="F40" s="262">
        <f t="shared" si="16"/>
        <v>3.3615253289389628E-2</v>
      </c>
      <c r="G40" s="262">
        <f t="shared" si="16"/>
        <v>3.6346836912215741E-2</v>
      </c>
      <c r="H40" s="262">
        <f t="shared" si="16"/>
        <v>3.9931667190663482E-2</v>
      </c>
      <c r="I40" s="262">
        <f t="shared" si="16"/>
        <v>4.2848883601374725E-2</v>
      </c>
      <c r="J40" s="262">
        <f t="shared" si="16"/>
        <v>4.3741639168097743E-2</v>
      </c>
      <c r="K40" s="262">
        <f t="shared" si="16"/>
        <v>4.6386106699413794E-2</v>
      </c>
      <c r="L40" s="262">
        <f t="shared" si="16"/>
        <v>4.1653979808817937E-2</v>
      </c>
      <c r="M40" s="262">
        <f t="shared" si="16"/>
        <v>4.5461344793021094E-2</v>
      </c>
      <c r="N40" s="262">
        <f t="shared" si="16"/>
        <v>4.7156177254371455E-2</v>
      </c>
      <c r="O40" s="262">
        <f t="shared" si="16"/>
        <v>4.8776814552431408E-2</v>
      </c>
      <c r="P40" s="262">
        <f t="shared" si="16"/>
        <v>5.2160227424444518E-2</v>
      </c>
      <c r="Q40" s="262">
        <f t="shared" si="16"/>
        <v>5.3502548320266546E-2</v>
      </c>
      <c r="R40" s="262">
        <f t="shared" si="16"/>
        <v>5.3060432342898776E-2</v>
      </c>
      <c r="S40" s="262">
        <f t="shared" si="16"/>
        <v>5.5226908349313687E-2</v>
      </c>
      <c r="T40" s="262">
        <f t="shared" si="16"/>
        <v>5.6861445223931648E-2</v>
      </c>
      <c r="U40" s="262">
        <f t="shared" si="16"/>
        <v>5.8837899113397027E-2</v>
      </c>
      <c r="V40" s="262">
        <f t="shared" si="16"/>
        <v>5.7211249997189517E-2</v>
      </c>
      <c r="W40" s="262">
        <f t="shared" si="16"/>
        <v>5.6302077966333915E-2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0.38050808114327139</v>
      </c>
      <c r="C44" s="238">
        <f>IF(C$5=0,0,C$5/AGR_fec!C$5)</f>
        <v>0.38035025158216529</v>
      </c>
      <c r="D44" s="238">
        <f>IF(D$5=0,0,D$5/AGR_fec!D$5)</f>
        <v>0.38084526387851558</v>
      </c>
      <c r="E44" s="238">
        <f>IF(E$5=0,0,E$5/AGR_fec!E$5)</f>
        <v>0.38096537894281091</v>
      </c>
      <c r="F44" s="238">
        <f>IF(F$5=0,0,F$5/AGR_fec!F$5)</f>
        <v>0.38135573267364492</v>
      </c>
      <c r="G44" s="238">
        <f>IF(G$5=0,0,G$5/AGR_fec!G$5)</f>
        <v>0.38218852023223115</v>
      </c>
      <c r="H44" s="238">
        <f>IF(H$5=0,0,H$5/AGR_fec!H$5)</f>
        <v>0.38238736976264964</v>
      </c>
      <c r="I44" s="238">
        <f>IF(I$5=0,0,I$5/AGR_fec!I$5)</f>
        <v>0.38330554074123752</v>
      </c>
      <c r="J44" s="238">
        <f>IF(J$5=0,0,J$5/AGR_fec!J$5)</f>
        <v>0.38331960811177596</v>
      </c>
      <c r="K44" s="238">
        <f>IF(K$5=0,0,K$5/AGR_fec!K$5)</f>
        <v>0.38461908273792139</v>
      </c>
      <c r="L44" s="238">
        <f>IF(L$5=0,0,L$5/AGR_fec!L$5)</f>
        <v>0.38262937547015669</v>
      </c>
      <c r="M44" s="238">
        <f>IF(M$5=0,0,M$5/AGR_fec!M$5)</f>
        <v>0.3835225593313813</v>
      </c>
      <c r="N44" s="238">
        <f>IF(N$5=0,0,N$5/AGR_fec!N$5)</f>
        <v>0.38511166245722783</v>
      </c>
      <c r="O44" s="238">
        <f>IF(O$5=0,0,O$5/AGR_fec!O$5)</f>
        <v>0.38493138949940864</v>
      </c>
      <c r="P44" s="238">
        <f>IF(P$5=0,0,P$5/AGR_fec!P$5)</f>
        <v>0.38600728500625908</v>
      </c>
      <c r="Q44" s="238">
        <f>IF(Q$5=0,0,Q$5/AGR_fec!Q$5)</f>
        <v>0.38629810792917607</v>
      </c>
      <c r="R44" s="238">
        <f>IF(R$5=0,0,R$5/AGR_fec!R$5)</f>
        <v>0.38642284773152702</v>
      </c>
      <c r="S44" s="238">
        <f>IF(S$5=0,0,S$5/AGR_fec!S$5)</f>
        <v>0.38860538363853026</v>
      </c>
      <c r="T44" s="238">
        <f>IF(T$5=0,0,T$5/AGR_fec!T$5)</f>
        <v>0.38940925531254295</v>
      </c>
      <c r="U44" s="238">
        <f>IF(U$5=0,0,U$5/AGR_fec!U$5)</f>
        <v>0.39116270965840605</v>
      </c>
      <c r="V44" s="238">
        <f>IF(V$5=0,0,V$5/AGR_fec!V$5)</f>
        <v>0.38770051718168425</v>
      </c>
      <c r="W44" s="238">
        <f>IF(W$5=0,0,W$5/AGR_fec!W$5)</f>
        <v>0.38750776554792554</v>
      </c>
      <c r="DA44" s="287"/>
    </row>
    <row r="45" spans="1:105" x14ac:dyDescent="0.25">
      <c r="A45" s="239" t="s">
        <v>125</v>
      </c>
      <c r="B45" s="251">
        <f>IF(B$6=0,0,B$6/AGR_fec!B$6)</f>
        <v>0.420607446346355</v>
      </c>
      <c r="C45" s="251">
        <f>IF(C$6=0,0,C$6/AGR_fec!C$6)</f>
        <v>0.420607446346355</v>
      </c>
      <c r="D45" s="251">
        <f>IF(D$6=0,0,D$6/AGR_fec!D$6)</f>
        <v>0.42060744634635511</v>
      </c>
      <c r="E45" s="251">
        <f>IF(E$6=0,0,E$6/AGR_fec!E$6)</f>
        <v>0.420607446346355</v>
      </c>
      <c r="F45" s="251">
        <f>IF(F$6=0,0,F$6/AGR_fec!F$6)</f>
        <v>0.42060744634635505</v>
      </c>
      <c r="G45" s="251">
        <f>IF(G$6=0,0,G$6/AGR_fec!G$6)</f>
        <v>0.42060744634635511</v>
      </c>
      <c r="H45" s="251">
        <f>IF(H$6=0,0,H$6/AGR_fec!H$6)</f>
        <v>0.42060744634635489</v>
      </c>
      <c r="I45" s="251">
        <f>IF(I$6=0,0,I$6/AGR_fec!I$6)</f>
        <v>0.42060744634635511</v>
      </c>
      <c r="J45" s="251">
        <f>IF(J$6=0,0,J$6/AGR_fec!J$6)</f>
        <v>0.42060744634635505</v>
      </c>
      <c r="K45" s="251">
        <f>IF(K$6=0,0,K$6/AGR_fec!K$6)</f>
        <v>0.42060744634635494</v>
      </c>
      <c r="L45" s="251">
        <f>IF(L$6=0,0,L$6/AGR_fec!L$6)</f>
        <v>0.42060744634635505</v>
      </c>
      <c r="M45" s="251">
        <f>IF(M$6=0,0,M$6/AGR_fec!M$6)</f>
        <v>0.42060744634635511</v>
      </c>
      <c r="N45" s="251">
        <f>IF(N$6=0,0,N$6/AGR_fec!N$6)</f>
        <v>0.42060744634635494</v>
      </c>
      <c r="O45" s="251">
        <f>IF(O$6=0,0,O$6/AGR_fec!O$6)</f>
        <v>0.42060744634635533</v>
      </c>
      <c r="P45" s="251">
        <f>IF(P$6=0,0,P$6/AGR_fec!P$6)</f>
        <v>0.420607446346355</v>
      </c>
      <c r="Q45" s="251">
        <f>IF(Q$6=0,0,Q$6/AGR_fec!Q$6)</f>
        <v>0.42060744634635489</v>
      </c>
      <c r="R45" s="251">
        <f>IF(R$6=0,0,R$6/AGR_fec!R$6)</f>
        <v>0.420607446346355</v>
      </c>
      <c r="S45" s="251">
        <f>IF(S$6=0,0,S$6/AGR_fec!S$6)</f>
        <v>0.42060744634635494</v>
      </c>
      <c r="T45" s="251">
        <f>IF(T$6=0,0,T$6/AGR_fec!T$6)</f>
        <v>0.420607446346355</v>
      </c>
      <c r="U45" s="251">
        <f>IF(U$6=0,0,U$6/AGR_fec!U$6)</f>
        <v>0.42060744634635489</v>
      </c>
      <c r="V45" s="251">
        <f>IF(V$6=0,0,V$6/AGR_fec!V$6)</f>
        <v>0.42060744634635505</v>
      </c>
      <c r="W45" s="251">
        <f>IF(W$6=0,0,W$6/AGR_fec!W$6)</f>
        <v>0.420607446346355</v>
      </c>
      <c r="DA45" s="288"/>
    </row>
    <row r="46" spans="1:105" x14ac:dyDescent="0.25">
      <c r="A46" s="241" t="s">
        <v>124</v>
      </c>
      <c r="B46" s="252">
        <f>IF(B$7=0,0,B$7/AGR_fec!B$7)</f>
        <v>0.41708608453572377</v>
      </c>
      <c r="C46" s="252">
        <f>IF(C$7=0,0,C$7/AGR_fec!C$7)</f>
        <v>0.41708608453572377</v>
      </c>
      <c r="D46" s="252">
        <f>IF(D$7=0,0,D$7/AGR_fec!D$7)</f>
        <v>0.41708608453572366</v>
      </c>
      <c r="E46" s="252">
        <f>IF(E$7=0,0,E$7/AGR_fec!E$7)</f>
        <v>0.41708608453572377</v>
      </c>
      <c r="F46" s="252">
        <f>IF(F$7=0,0,F$7/AGR_fec!F$7)</f>
        <v>0.41708608453572377</v>
      </c>
      <c r="G46" s="252">
        <f>IF(G$7=0,0,G$7/AGR_fec!G$7)</f>
        <v>0.41708608453572382</v>
      </c>
      <c r="H46" s="252">
        <f>IF(H$7=0,0,H$7/AGR_fec!H$7)</f>
        <v>0.41708608453572388</v>
      </c>
      <c r="I46" s="252">
        <f>IF(I$7=0,0,I$7/AGR_fec!I$7)</f>
        <v>0.41708608453572382</v>
      </c>
      <c r="J46" s="252">
        <f>IF(J$7=0,0,J$7/AGR_fec!J$7)</f>
        <v>0.41708608453572382</v>
      </c>
      <c r="K46" s="252">
        <f>IF(K$7=0,0,K$7/AGR_fec!K$7)</f>
        <v>0.41708608453572377</v>
      </c>
      <c r="L46" s="252">
        <f>IF(L$7=0,0,L$7/AGR_fec!L$7)</f>
        <v>0.41708608453572382</v>
      </c>
      <c r="M46" s="252">
        <f>IF(M$7=0,0,M$7/AGR_fec!M$7)</f>
        <v>0.41708608453572377</v>
      </c>
      <c r="N46" s="252">
        <f>IF(N$7=0,0,N$7/AGR_fec!N$7)</f>
        <v>0.41708608453572377</v>
      </c>
      <c r="O46" s="252">
        <f>IF(O$7=0,0,O$7/AGR_fec!O$7)</f>
        <v>0.41708608453572388</v>
      </c>
      <c r="P46" s="252">
        <f>IF(P$7=0,0,P$7/AGR_fec!P$7)</f>
        <v>0.41708608453572377</v>
      </c>
      <c r="Q46" s="252">
        <f>IF(Q$7=0,0,Q$7/AGR_fec!Q$7)</f>
        <v>0.41708608453572388</v>
      </c>
      <c r="R46" s="252">
        <f>IF(R$7=0,0,R$7/AGR_fec!R$7)</f>
        <v>0.41708608453572388</v>
      </c>
      <c r="S46" s="252">
        <f>IF(S$7=0,0,S$7/AGR_fec!S$7)</f>
        <v>0.41708608453572371</v>
      </c>
      <c r="T46" s="252">
        <f>IF(T$7=0,0,T$7/AGR_fec!T$7)</f>
        <v>0.41708608453572371</v>
      </c>
      <c r="U46" s="252">
        <f>IF(U$7=0,0,U$7/AGR_fec!U$7)</f>
        <v>0.41708608453572388</v>
      </c>
      <c r="V46" s="252">
        <f>IF(V$7=0,0,V$7/AGR_fec!V$7)</f>
        <v>0.41708608453572377</v>
      </c>
      <c r="W46" s="252">
        <f>IF(W$7=0,0,W$7/AGR_fec!W$7)</f>
        <v>0.41708608453572382</v>
      </c>
      <c r="DA46" s="289"/>
    </row>
    <row r="47" spans="1:105" x14ac:dyDescent="0.25">
      <c r="A47" s="241" t="s">
        <v>123</v>
      </c>
      <c r="B47" s="252">
        <f>IF(B$8=0,0,B$8/AGR_fec!B$8)</f>
        <v>0.59861165786459325</v>
      </c>
      <c r="C47" s="252">
        <f>IF(C$8=0,0,C$8/AGR_fec!C$8)</f>
        <v>0.59861165786459314</v>
      </c>
      <c r="D47" s="252">
        <f>IF(D$8=0,0,D$8/AGR_fec!D$8)</f>
        <v>0.59861165786459314</v>
      </c>
      <c r="E47" s="252">
        <f>IF(E$8=0,0,E$8/AGR_fec!E$8)</f>
        <v>0.59861165786459314</v>
      </c>
      <c r="F47" s="252">
        <f>IF(F$8=0,0,F$8/AGR_fec!F$8)</f>
        <v>0.59861165786459314</v>
      </c>
      <c r="G47" s="252">
        <f>IF(G$8=0,0,G$8/AGR_fec!G$8)</f>
        <v>0.59861165786459303</v>
      </c>
      <c r="H47" s="252">
        <f>IF(H$8=0,0,H$8/AGR_fec!H$8)</f>
        <v>0.59861165786459314</v>
      </c>
      <c r="I47" s="252">
        <f>IF(I$8=0,0,I$8/AGR_fec!I$8)</f>
        <v>0.59861165786459314</v>
      </c>
      <c r="J47" s="252">
        <f>IF(J$8=0,0,J$8/AGR_fec!J$8)</f>
        <v>0.59861165786459314</v>
      </c>
      <c r="K47" s="252">
        <f>IF(K$8=0,0,K$8/AGR_fec!K$8)</f>
        <v>0.59861165786459325</v>
      </c>
      <c r="L47" s="252">
        <f>IF(L$8=0,0,L$8/AGR_fec!L$8)</f>
        <v>0.59861165786459314</v>
      </c>
      <c r="M47" s="252">
        <f>IF(M$8=0,0,M$8/AGR_fec!M$8)</f>
        <v>0.59861165786459314</v>
      </c>
      <c r="N47" s="252">
        <f>IF(N$8=0,0,N$8/AGR_fec!N$8)</f>
        <v>0.59861165786459314</v>
      </c>
      <c r="O47" s="252">
        <f>IF(O$8=0,0,O$8/AGR_fec!O$8)</f>
        <v>0.59861165786459281</v>
      </c>
      <c r="P47" s="252">
        <f>IF(P$8=0,0,P$8/AGR_fec!P$8)</f>
        <v>0.59861165786459336</v>
      </c>
      <c r="Q47" s="252">
        <f>IF(Q$8=0,0,Q$8/AGR_fec!Q$8)</f>
        <v>0.59861165786459292</v>
      </c>
      <c r="R47" s="252">
        <f>IF(R$8=0,0,R$8/AGR_fec!R$8)</f>
        <v>0.59861165786459303</v>
      </c>
      <c r="S47" s="252">
        <f>IF(S$8=0,0,S$8/AGR_fec!S$8)</f>
        <v>0.59861165786459325</v>
      </c>
      <c r="T47" s="252">
        <f>IF(T$8=0,0,T$8/AGR_fec!T$8)</f>
        <v>0.59861165786459314</v>
      </c>
      <c r="U47" s="252">
        <f>IF(U$8=0,0,U$8/AGR_fec!U$8)</f>
        <v>0.59861165786459314</v>
      </c>
      <c r="V47" s="252">
        <f>IF(V$8=0,0,V$8/AGR_fec!V$8)</f>
        <v>0.59861165786459325</v>
      </c>
      <c r="W47" s="252">
        <f>IF(W$8=0,0,W$8/AGR_fec!W$8)</f>
        <v>0.59861165786459325</v>
      </c>
      <c r="DA47" s="289"/>
    </row>
    <row r="48" spans="1:105" x14ac:dyDescent="0.25">
      <c r="A48" s="243" t="s">
        <v>122</v>
      </c>
      <c r="B48" s="253">
        <f>IF(B$9=0,0,B$9/AGR_fec!B$9)</f>
        <v>0.6030625164469553</v>
      </c>
      <c r="C48" s="253">
        <f>IF(C$9=0,0,C$9/AGR_fec!C$9)</f>
        <v>0.60317210995803372</v>
      </c>
      <c r="D48" s="253">
        <f>IF(D$9=0,0,D$9/AGR_fec!D$9)</f>
        <v>0.60344922087412989</v>
      </c>
      <c r="E48" s="253">
        <f>IF(E$9=0,0,E$9/AGR_fec!E$9)</f>
        <v>0.60370547960314747</v>
      </c>
      <c r="F48" s="253">
        <f>IF(F$9=0,0,F$9/AGR_fec!F$9)</f>
        <v>0.60423417351913233</v>
      </c>
      <c r="G48" s="253">
        <f>IF(G$9=0,0,G$9/AGR_fec!G$9)</f>
        <v>0.60538283515597802</v>
      </c>
      <c r="H48" s="253">
        <f>IF(H$9=0,0,H$9/AGR_fec!H$9)</f>
        <v>0.60747060285094512</v>
      </c>
      <c r="I48" s="253">
        <f>IF(I$9=0,0,I$9/AGR_fec!I$9)</f>
        <v>0.60930605275451211</v>
      </c>
      <c r="J48" s="253">
        <f>IF(J$9=0,0,J$9/AGR_fec!J$9)</f>
        <v>0.60980646107594894</v>
      </c>
      <c r="K48" s="253">
        <f>IF(K$9=0,0,K$9/AGR_fec!K$9)</f>
        <v>0.61218547345888896</v>
      </c>
      <c r="L48" s="253">
        <f>IF(L$9=0,0,L$9/AGR_fec!L$9)</f>
        <v>0.60776928614376557</v>
      </c>
      <c r="M48" s="253">
        <f>IF(M$9=0,0,M$9/AGR_fec!M$9)</f>
        <v>0.61099944077263546</v>
      </c>
      <c r="N48" s="253">
        <f>IF(N$9=0,0,N$9/AGR_fec!N$9)</f>
        <v>0.6126877039427755</v>
      </c>
      <c r="O48" s="253">
        <f>IF(O$9=0,0,O$9/AGR_fec!O$9)</f>
        <v>0.61492504541852899</v>
      </c>
      <c r="P48" s="253">
        <f>IF(P$9=0,0,P$9/AGR_fec!P$9)</f>
        <v>0.62040298664896476</v>
      </c>
      <c r="Q48" s="253">
        <f>IF(Q$9=0,0,Q$9/AGR_fec!Q$9)</f>
        <v>0.62308370261747104</v>
      </c>
      <c r="R48" s="253">
        <f>IF(R$9=0,0,R$9/AGR_fec!R$9)</f>
        <v>0.6224401576119154</v>
      </c>
      <c r="S48" s="253">
        <f>IF(S$9=0,0,S$9/AGR_fec!S$9)</f>
        <v>0.6265385621538978</v>
      </c>
      <c r="T48" s="253">
        <f>IF(T$9=0,0,T$9/AGR_fec!T$9)</f>
        <v>0.63037976480159474</v>
      </c>
      <c r="U48" s="253">
        <f>IF(U$9=0,0,U$9/AGR_fec!U$9)</f>
        <v>0.636076304030331</v>
      </c>
      <c r="V48" s="253">
        <f>IF(V$9=0,0,V$9/AGR_fec!V$9)</f>
        <v>0.63313820032347345</v>
      </c>
      <c r="W48" s="253">
        <f>IF(W$9=0,0,W$9/AGR_fec!W$9)</f>
        <v>0.63119130996496808</v>
      </c>
      <c r="DA48" s="290"/>
    </row>
    <row r="49" spans="1:105" x14ac:dyDescent="0.25">
      <c r="A49" s="128" t="s">
        <v>175</v>
      </c>
      <c r="B49" s="265">
        <f>IF(B$16=0,0,B$16/AGR_fec!B$16)</f>
        <v>0.30097815454132298</v>
      </c>
      <c r="C49" s="265">
        <f>IF(C$16=0,0,C$16/AGR_fec!C$16)</f>
        <v>0.30097815454132304</v>
      </c>
      <c r="D49" s="265">
        <f>IF(D$16=0,0,D$16/AGR_fec!D$16)</f>
        <v>0.30097815454132287</v>
      </c>
      <c r="E49" s="265">
        <f>IF(E$16=0,0,E$16/AGR_fec!E$16)</f>
        <v>0.30097815454132293</v>
      </c>
      <c r="F49" s="265">
        <f>IF(F$16=0,0,F$16/AGR_fec!F$16)</f>
        <v>0.30097815454132282</v>
      </c>
      <c r="G49" s="265">
        <f>IF(G$16=0,0,G$16/AGR_fec!G$16)</f>
        <v>0.30097815454132282</v>
      </c>
      <c r="H49" s="265">
        <f>IF(H$16=0,0,H$16/AGR_fec!H$16)</f>
        <v>0.30097815454132282</v>
      </c>
      <c r="I49" s="265">
        <f>IF(I$16=0,0,I$16/AGR_fec!I$16)</f>
        <v>0.30097815454132287</v>
      </c>
      <c r="J49" s="265">
        <f>IF(J$16=0,0,J$16/AGR_fec!J$16)</f>
        <v>0.30097815454132282</v>
      </c>
      <c r="K49" s="265">
        <f>IF(K$16=0,0,K$16/AGR_fec!K$16)</f>
        <v>0.30097815454132298</v>
      </c>
      <c r="L49" s="265">
        <f>IF(L$16=0,0,L$16/AGR_fec!L$16)</f>
        <v>0.30097815454132293</v>
      </c>
      <c r="M49" s="265">
        <f>IF(M$16=0,0,M$16/AGR_fec!M$16)</f>
        <v>0.30097815454132304</v>
      </c>
      <c r="N49" s="265">
        <f>IF(N$16=0,0,N$16/AGR_fec!N$16)</f>
        <v>0.30097815454132282</v>
      </c>
      <c r="O49" s="265">
        <f>IF(O$16=0,0,O$16/AGR_fec!O$16)</f>
        <v>0.30097815454132282</v>
      </c>
      <c r="P49" s="265">
        <f>IF(P$16=0,0,P$16/AGR_fec!P$16)</f>
        <v>0.30097815454132287</v>
      </c>
      <c r="Q49" s="265">
        <f>IF(Q$16=0,0,Q$16/AGR_fec!Q$16)</f>
        <v>0.30097815454132293</v>
      </c>
      <c r="R49" s="265">
        <f>IF(R$16=0,0,R$16/AGR_fec!R$16)</f>
        <v>0.30097815454132287</v>
      </c>
      <c r="S49" s="265">
        <f>IF(S$16=0,0,S$16/AGR_fec!S$16)</f>
        <v>0.30097815454132282</v>
      </c>
      <c r="T49" s="265">
        <f>IF(T$16=0,0,T$16/AGR_fec!T$16)</f>
        <v>0.30097815454132282</v>
      </c>
      <c r="U49" s="265">
        <f>IF(U$16=0,0,U$16/AGR_fec!U$16)</f>
        <v>0.30097815454132287</v>
      </c>
      <c r="V49" s="265">
        <f>IF(V$16=0,0,V$16/AGR_fec!V$16)</f>
        <v>0.30097815454132282</v>
      </c>
      <c r="W49" s="265">
        <f>IF(W$16=0,0,W$16/AGR_fec!W$16)</f>
        <v>0.30097815454132276</v>
      </c>
      <c r="DA49" s="291"/>
    </row>
    <row r="50" spans="1:105" x14ac:dyDescent="0.25">
      <c r="A50" s="128" t="s">
        <v>121</v>
      </c>
      <c r="B50" s="265">
        <f>IF(B$17=0,0,B$17/AGR_fec!B$17)</f>
        <v>0.26249727005371087</v>
      </c>
      <c r="C50" s="265">
        <f>IF(C$17=0,0,C$17/AGR_fec!C$17)</f>
        <v>0.26253690037829785</v>
      </c>
      <c r="D50" s="265">
        <f>IF(D$17=0,0,D$17/AGR_fec!D$17)</f>
        <v>0.26274423143916498</v>
      </c>
      <c r="E50" s="265">
        <f>IF(E$17=0,0,E$17/AGR_fec!E$17)</f>
        <v>0.26283154554722216</v>
      </c>
      <c r="F50" s="265">
        <f>IF(F$17=0,0,F$17/AGR_fec!F$17)</f>
        <v>0.26292408807030504</v>
      </c>
      <c r="G50" s="265">
        <f>IF(G$17=0,0,G$17/AGR_fec!G$17)</f>
        <v>0.26284657844863768</v>
      </c>
      <c r="H50" s="265">
        <f>IF(H$17=0,0,H$17/AGR_fec!H$17)</f>
        <v>0.26218531872736456</v>
      </c>
      <c r="I50" s="265">
        <f>IF(I$17=0,0,I$17/AGR_fec!I$17)</f>
        <v>0.26198548912652941</v>
      </c>
      <c r="J50" s="265">
        <f>IF(J$17=0,0,J$17/AGR_fec!J$17)</f>
        <v>0.26172811352601177</v>
      </c>
      <c r="K50" s="265">
        <f>IF(K$17=0,0,K$17/AGR_fec!K$17)</f>
        <v>0.26150480400239767</v>
      </c>
      <c r="L50" s="265">
        <f>IF(L$17=0,0,L$17/AGR_fec!L$17)</f>
        <v>0.26193905998886208</v>
      </c>
      <c r="M50" s="265">
        <f>IF(M$17=0,0,M$17/AGR_fec!M$17)</f>
        <v>0.2618722669482072</v>
      </c>
      <c r="N50" s="265">
        <f>IF(N$17=0,0,N$17/AGR_fec!N$17)</f>
        <v>0.26186834851291418</v>
      </c>
      <c r="O50" s="265">
        <f>IF(O$17=0,0,O$17/AGR_fec!O$17)</f>
        <v>0.26100735080455373</v>
      </c>
      <c r="P50" s="265">
        <f>IF(P$17=0,0,P$17/AGR_fec!P$17)</f>
        <v>0.2597309874684145</v>
      </c>
      <c r="Q50" s="265">
        <f>IF(Q$17=0,0,Q$17/AGR_fec!Q$17)</f>
        <v>0.25893659618582954</v>
      </c>
      <c r="R50" s="265">
        <f>IF(R$17=0,0,R$17/AGR_fec!R$17)</f>
        <v>0.25864760690126276</v>
      </c>
      <c r="S50" s="265">
        <f>IF(S$17=0,0,S$17/AGR_fec!S$17)</f>
        <v>0.25798431000855648</v>
      </c>
      <c r="T50" s="265">
        <f>IF(T$17=0,0,T$17/AGR_fec!T$17)</f>
        <v>0.25702978962382633</v>
      </c>
      <c r="U50" s="265">
        <f>IF(U$17=0,0,U$17/AGR_fec!U$17)</f>
        <v>0.2549940451831626</v>
      </c>
      <c r="V50" s="265">
        <f>IF(V$17=0,0,V$17/AGR_fec!V$17)</f>
        <v>0.25371090105007271</v>
      </c>
      <c r="W50" s="265">
        <f>IF(W$17=0,0,W$17/AGR_fec!W$17)</f>
        <v>0.25335306917785971</v>
      </c>
      <c r="DA50" s="291"/>
    </row>
    <row r="51" spans="1:105" x14ac:dyDescent="0.25">
      <c r="A51" s="128" t="s">
        <v>174</v>
      </c>
      <c r="B51" s="265">
        <f>IF(B$25=0,0,B$25/AGR_fec!B$25)</f>
        <v>0.2106847081789259</v>
      </c>
      <c r="C51" s="265">
        <f>IF(C$25=0,0,C$25/AGR_fec!C$25)</f>
        <v>0.21068470817892609</v>
      </c>
      <c r="D51" s="265">
        <f>IF(D$25=0,0,D$25/AGR_fec!D$25)</f>
        <v>0.21068470817892601</v>
      </c>
      <c r="E51" s="265">
        <f>IF(E$25=0,0,E$25/AGR_fec!E$25)</f>
        <v>0.21068470817892601</v>
      </c>
      <c r="F51" s="265">
        <f>IF(F$25=0,0,F$25/AGR_fec!F$25)</f>
        <v>0.21068470817892604</v>
      </c>
      <c r="G51" s="265">
        <f>IF(G$25=0,0,G$25/AGR_fec!G$25)</f>
        <v>0.21068470817892598</v>
      </c>
      <c r="H51" s="265">
        <f>IF(H$25=0,0,H$25/AGR_fec!H$25)</f>
        <v>0.21068470817892601</v>
      </c>
      <c r="I51" s="265">
        <f>IF(I$25=0,0,I$25/AGR_fec!I$25)</f>
        <v>0.21068470817892612</v>
      </c>
      <c r="J51" s="265">
        <f>IF(J$25=0,0,J$25/AGR_fec!J$25)</f>
        <v>0.21068470817892601</v>
      </c>
      <c r="K51" s="265">
        <f>IF(K$25=0,0,K$25/AGR_fec!K$25)</f>
        <v>0.21068470817892609</v>
      </c>
      <c r="L51" s="265">
        <f>IF(L$25=0,0,L$25/AGR_fec!L$25)</f>
        <v>0.21068470817892607</v>
      </c>
      <c r="M51" s="265">
        <f>IF(M$25=0,0,M$25/AGR_fec!M$25)</f>
        <v>0.21068470817892601</v>
      </c>
      <c r="N51" s="265">
        <f>IF(N$25=0,0,N$25/AGR_fec!N$25)</f>
        <v>0.21068470817892609</v>
      </c>
      <c r="O51" s="265">
        <f>IF(O$25=0,0,O$25/AGR_fec!O$25)</f>
        <v>0.21068470817892612</v>
      </c>
      <c r="P51" s="265">
        <f>IF(P$25=0,0,P$25/AGR_fec!P$25)</f>
        <v>0.21068470817892598</v>
      </c>
      <c r="Q51" s="265">
        <f>IF(Q$25=0,0,Q$25/AGR_fec!Q$25)</f>
        <v>0.21068470817892598</v>
      </c>
      <c r="R51" s="265">
        <f>IF(R$25=0,0,R$25/AGR_fec!R$25)</f>
        <v>0.21068470817892596</v>
      </c>
      <c r="S51" s="265">
        <f>IF(S$25=0,0,S$25/AGR_fec!S$25)</f>
        <v>0.21068470817892604</v>
      </c>
      <c r="T51" s="265">
        <f>IF(T$25=0,0,T$25/AGR_fec!T$25)</f>
        <v>0.21068470817892607</v>
      </c>
      <c r="U51" s="265">
        <f>IF(U$25=0,0,U$25/AGR_fec!U$25)</f>
        <v>0.21068470817892598</v>
      </c>
      <c r="V51" s="265">
        <f>IF(V$25=0,0,V$25/AGR_fec!V$25)</f>
        <v>0.21068470817892601</v>
      </c>
      <c r="W51" s="265">
        <f>IF(W$25=0,0,W$25/AGR_fec!W$25)</f>
        <v>0.21068470817892604</v>
      </c>
      <c r="DA51" s="291"/>
    </row>
    <row r="52" spans="1:105" x14ac:dyDescent="0.25">
      <c r="A52" s="128" t="s">
        <v>177</v>
      </c>
      <c r="B52" s="265">
        <f>IF(B$26=0,0,B$26/AGR_fec!B$26)</f>
        <v>0.41708608453572393</v>
      </c>
      <c r="C52" s="265">
        <f>IF(C$26=0,0,C$26/AGR_fec!C$26)</f>
        <v>0.41708608453572371</v>
      </c>
      <c r="D52" s="265">
        <f>IF(D$26=0,0,D$26/AGR_fec!D$26)</f>
        <v>0.41708608453572382</v>
      </c>
      <c r="E52" s="265">
        <f>IF(E$26=0,0,E$26/AGR_fec!E$26)</f>
        <v>0.41708608453572382</v>
      </c>
      <c r="F52" s="265">
        <f>IF(F$26=0,0,F$26/AGR_fec!F$26)</f>
        <v>0.41708608453572382</v>
      </c>
      <c r="G52" s="265">
        <f>IF(G$26=0,0,G$26/AGR_fec!G$26)</f>
        <v>0.41708608453572377</v>
      </c>
      <c r="H52" s="265">
        <f>IF(H$26=0,0,H$26/AGR_fec!H$26)</f>
        <v>0.41708608453572371</v>
      </c>
      <c r="I52" s="265">
        <f>IF(I$26=0,0,I$26/AGR_fec!I$26)</f>
        <v>0.41708608453572382</v>
      </c>
      <c r="J52" s="265">
        <f>IF(J$26=0,0,J$26/AGR_fec!J$26)</f>
        <v>0.41708608453572388</v>
      </c>
      <c r="K52" s="265">
        <f>IF(K$26=0,0,K$26/AGR_fec!K$26)</f>
        <v>0.41708608453572354</v>
      </c>
      <c r="L52" s="265">
        <f>IF(L$26=0,0,L$26/AGR_fec!L$26)</f>
        <v>0.41708608453572371</v>
      </c>
      <c r="M52" s="265">
        <f>IF(M$26=0,0,M$26/AGR_fec!M$26)</f>
        <v>0.41708608453572377</v>
      </c>
      <c r="N52" s="265">
        <f>IF(N$26=0,0,N$26/AGR_fec!N$26)</f>
        <v>0.4170860845357236</v>
      </c>
      <c r="O52" s="265">
        <f>IF(O$26=0,0,O$26/AGR_fec!O$26)</f>
        <v>0.41708608453572393</v>
      </c>
      <c r="P52" s="265">
        <f>IF(P$26=0,0,P$26/AGR_fec!P$26)</f>
        <v>0.41708608453572371</v>
      </c>
      <c r="Q52" s="265">
        <f>IF(Q$26=0,0,Q$26/AGR_fec!Q$26)</f>
        <v>0.41708608453572371</v>
      </c>
      <c r="R52" s="265">
        <f>IF(R$26=0,0,R$26/AGR_fec!R$26)</f>
        <v>0.41708608453572377</v>
      </c>
      <c r="S52" s="265">
        <f>IF(S$26=0,0,S$26/AGR_fec!S$26)</f>
        <v>0.41708608453572371</v>
      </c>
      <c r="T52" s="265">
        <f>IF(T$26=0,0,T$26/AGR_fec!T$26)</f>
        <v>0.41708608453572377</v>
      </c>
      <c r="U52" s="265">
        <f>IF(U$26=0,0,U$26/AGR_fec!U$26)</f>
        <v>0.41708608453572371</v>
      </c>
      <c r="V52" s="265">
        <f>IF(V$26=0,0,V$26/AGR_fec!V$26)</f>
        <v>0.41708608453572393</v>
      </c>
      <c r="W52" s="265">
        <f>IF(W$26=0,0,W$26/AGR_fec!W$26)</f>
        <v>0.41708608453572371</v>
      </c>
      <c r="DA52" s="291"/>
    </row>
    <row r="53" spans="1:105" x14ac:dyDescent="0.25">
      <c r="A53" s="261" t="s">
        <v>33</v>
      </c>
      <c r="B53" s="266">
        <f>IF(B$27=0,0,B$27/AGR_fec!B$27)</f>
        <v>0.43839048176173417</v>
      </c>
      <c r="C53" s="266">
        <f>IF(C$27=0,0,C$27/AGR_fec!C$27)</f>
        <v>0.43839048176173406</v>
      </c>
      <c r="D53" s="266">
        <f>IF(D$27=0,0,D$27/AGR_fec!D$27)</f>
        <v>0.43839048176173412</v>
      </c>
      <c r="E53" s="266">
        <f>IF(E$27=0,0,E$27/AGR_fec!E$27)</f>
        <v>0.43839048176173401</v>
      </c>
      <c r="F53" s="266">
        <f>IF(F$27=0,0,F$27/AGR_fec!F$27)</f>
        <v>0.43839048176173417</v>
      </c>
      <c r="G53" s="266">
        <f>IF(G$27=0,0,G$27/AGR_fec!G$27)</f>
        <v>0.43839048176173417</v>
      </c>
      <c r="H53" s="266">
        <f>IF(H$27=0,0,H$27/AGR_fec!H$27)</f>
        <v>0.4383904817617339</v>
      </c>
      <c r="I53" s="266">
        <f>IF(I$27=0,0,I$27/AGR_fec!I$27)</f>
        <v>0.43839048176173429</v>
      </c>
      <c r="J53" s="266">
        <f>IF(J$27=0,0,J$27/AGR_fec!J$27)</f>
        <v>0.4383904817617339</v>
      </c>
      <c r="K53" s="266">
        <f>IF(K$27=0,0,K$27/AGR_fec!K$27)</f>
        <v>0.43839048176173406</v>
      </c>
      <c r="L53" s="266">
        <f>IF(L$27=0,0,L$27/AGR_fec!L$27)</f>
        <v>0.43839048176173429</v>
      </c>
      <c r="M53" s="266">
        <f>IF(M$27=0,0,M$27/AGR_fec!M$27)</f>
        <v>0.43839048176173417</v>
      </c>
      <c r="N53" s="266">
        <f>IF(N$27=0,0,N$27/AGR_fec!N$27)</f>
        <v>0.43839048176173406</v>
      </c>
      <c r="O53" s="266">
        <f>IF(O$27=0,0,O$27/AGR_fec!O$27)</f>
        <v>0.43839048176173401</v>
      </c>
      <c r="P53" s="266">
        <f>IF(P$27=0,0,P$27/AGR_fec!P$27)</f>
        <v>0.43839048176173417</v>
      </c>
      <c r="Q53" s="266">
        <f>IF(Q$27=0,0,Q$27/AGR_fec!Q$27)</f>
        <v>0.4383904817617339</v>
      </c>
      <c r="R53" s="266">
        <f>IF(R$27=0,0,R$27/AGR_fec!R$27)</f>
        <v>0.43839048176173406</v>
      </c>
      <c r="S53" s="266">
        <f>IF(S$27=0,0,S$27/AGR_fec!S$27)</f>
        <v>0.43839048176173417</v>
      </c>
      <c r="T53" s="266">
        <f>IF(T$27=0,0,T$27/AGR_fec!T$27)</f>
        <v>0.43839048176173417</v>
      </c>
      <c r="U53" s="266">
        <f>IF(U$27=0,0,U$27/AGR_fec!U$27)</f>
        <v>0.43839048176173417</v>
      </c>
      <c r="V53" s="266">
        <f>IF(V$27=0,0,V$27/AGR_fec!V$27)</f>
        <v>0.43839048176173395</v>
      </c>
      <c r="W53" s="266">
        <f>IF(W$27=0,0,W$27/AGR_fec!W$27)</f>
        <v>0.43839048176173401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9502.1266787986133</v>
      </c>
      <c r="C5" s="80">
        <f t="shared" ref="C5:W5" si="0">SUM(C6:C9,C16:C17,C25:C27)</f>
        <v>9283.6432267189011</v>
      </c>
      <c r="D5" s="80">
        <f t="shared" si="0"/>
        <v>8544.0415348785318</v>
      </c>
      <c r="E5" s="80">
        <f t="shared" si="0"/>
        <v>8461.7305181992724</v>
      </c>
      <c r="F5" s="80">
        <f t="shared" si="0"/>
        <v>8488.8504820800208</v>
      </c>
      <c r="G5" s="80">
        <f t="shared" si="0"/>
        <v>8594.9961829208696</v>
      </c>
      <c r="H5" s="80">
        <f t="shared" si="0"/>
        <v>7510.9575952814257</v>
      </c>
      <c r="I5" s="80">
        <f t="shared" si="0"/>
        <v>7408.8756626410795</v>
      </c>
      <c r="J5" s="80">
        <f t="shared" si="0"/>
        <v>7448.6732061615057</v>
      </c>
      <c r="K5" s="80">
        <f t="shared" si="0"/>
        <v>7321.9467938408816</v>
      </c>
      <c r="L5" s="80">
        <f t="shared" si="0"/>
        <v>8513.3831565613982</v>
      </c>
      <c r="M5" s="80">
        <f t="shared" si="0"/>
        <v>7456.4002519215474</v>
      </c>
      <c r="N5" s="80">
        <f t="shared" si="0"/>
        <v>7407.265805641071</v>
      </c>
      <c r="O5" s="80">
        <f t="shared" si="0"/>
        <v>7398.1268128807815</v>
      </c>
      <c r="P5" s="80">
        <f t="shared" si="0"/>
        <v>6713.7015942016724</v>
      </c>
      <c r="Q5" s="80">
        <f t="shared" si="0"/>
        <v>6985.6970900417436</v>
      </c>
      <c r="R5" s="80">
        <f t="shared" si="0"/>
        <v>7020.0556592411158</v>
      </c>
      <c r="S5" s="80">
        <f t="shared" si="0"/>
        <v>6791.4466585214486</v>
      </c>
      <c r="T5" s="80">
        <f t="shared" si="0"/>
        <v>7117.6081086012719</v>
      </c>
      <c r="U5" s="80">
        <f t="shared" si="0"/>
        <v>6831.5675493613162</v>
      </c>
      <c r="V5" s="80">
        <f t="shared" si="0"/>
        <v>6716.5515061216847</v>
      </c>
      <c r="W5" s="80">
        <f t="shared" si="0"/>
        <v>6564.3585638414406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2242.8976886095702</v>
      </c>
      <c r="C9" s="244">
        <f t="shared" ref="C9:W9" si="1">SUM(C10:C15)</f>
        <v>2186.3253576870866</v>
      </c>
      <c r="D9" s="244">
        <f t="shared" si="1"/>
        <v>2029.5987461021407</v>
      </c>
      <c r="E9" s="244">
        <f t="shared" si="1"/>
        <v>2048.9532106180959</v>
      </c>
      <c r="F9" s="244">
        <f t="shared" si="1"/>
        <v>2102.2014290989055</v>
      </c>
      <c r="G9" s="244">
        <f t="shared" si="1"/>
        <v>2117.1221520556433</v>
      </c>
      <c r="H9" s="244">
        <f t="shared" si="1"/>
        <v>1778.9697011842698</v>
      </c>
      <c r="I9" s="244">
        <f t="shared" si="1"/>
        <v>1779.8057470205267</v>
      </c>
      <c r="J9" s="244">
        <f t="shared" si="1"/>
        <v>1829.3262785585623</v>
      </c>
      <c r="K9" s="244">
        <f t="shared" si="1"/>
        <v>1800.7359877156453</v>
      </c>
      <c r="L9" s="244">
        <f t="shared" si="1"/>
        <v>2209.85328352441</v>
      </c>
      <c r="M9" s="244">
        <f t="shared" si="1"/>
        <v>1864.2629782658253</v>
      </c>
      <c r="N9" s="244">
        <f t="shared" si="1"/>
        <v>1884.233507387175</v>
      </c>
      <c r="O9" s="244">
        <f t="shared" si="1"/>
        <v>1842.077081524616</v>
      </c>
      <c r="P9" s="244">
        <f t="shared" si="1"/>
        <v>1571.2072910054208</v>
      </c>
      <c r="Q9" s="244">
        <f t="shared" si="1"/>
        <v>1634.2256967468388</v>
      </c>
      <c r="R9" s="244">
        <f t="shared" si="1"/>
        <v>1667.4586481924323</v>
      </c>
      <c r="S9" s="244">
        <f t="shared" si="1"/>
        <v>1601.3332348485803</v>
      </c>
      <c r="T9" s="244">
        <f t="shared" si="1"/>
        <v>1659.6964847589143</v>
      </c>
      <c r="U9" s="244">
        <f t="shared" si="1"/>
        <v>1560.0431134105143</v>
      </c>
      <c r="V9" s="244">
        <f t="shared" si="1"/>
        <v>1539.345448456098</v>
      </c>
      <c r="W9" s="244">
        <f t="shared" si="1"/>
        <v>1557.2102828582924</v>
      </c>
      <c r="DA9" s="270"/>
    </row>
    <row r="10" spans="1:105" x14ac:dyDescent="0.25">
      <c r="A10" s="254" t="s">
        <v>173</v>
      </c>
      <c r="B10" s="255">
        <v>63.901522104081216</v>
      </c>
      <c r="C10" s="255">
        <v>66.05396558679665</v>
      </c>
      <c r="D10" s="255">
        <v>57.671546921704753</v>
      </c>
      <c r="E10" s="255">
        <v>52.741557613364911</v>
      </c>
      <c r="F10" s="255">
        <v>46.413629788021531</v>
      </c>
      <c r="G10" s="255">
        <v>46.829371643890127</v>
      </c>
      <c r="H10" s="255">
        <v>53.668647871372777</v>
      </c>
      <c r="I10" s="255">
        <v>47.413728986016658</v>
      </c>
      <c r="J10" s="255">
        <v>41.829831877710461</v>
      </c>
      <c r="K10" s="255">
        <v>37.222418153589167</v>
      </c>
      <c r="L10" s="255">
        <v>34.899889122963103</v>
      </c>
      <c r="M10" s="255">
        <v>42.683148285577239</v>
      </c>
      <c r="N10" s="255">
        <v>33.724165418940039</v>
      </c>
      <c r="O10" s="255">
        <v>40.638680159232059</v>
      </c>
      <c r="P10" s="255">
        <v>52.072218736481808</v>
      </c>
      <c r="Q10" s="255">
        <v>55.365820291022807</v>
      </c>
      <c r="R10" s="255">
        <v>48.87195582426633</v>
      </c>
      <c r="S10" s="255">
        <v>42.01940871373133</v>
      </c>
      <c r="T10" s="255">
        <v>47.191044648995359</v>
      </c>
      <c r="U10" s="255">
        <v>45.357820656651327</v>
      </c>
      <c r="V10" s="255">
        <v>57.690179604237059</v>
      </c>
      <c r="W10" s="255">
        <v>42.978476876622423</v>
      </c>
      <c r="DA10" s="271" t="s">
        <v>1038</v>
      </c>
    </row>
    <row r="11" spans="1:105" x14ac:dyDescent="0.25">
      <c r="A11" s="254" t="s">
        <v>176</v>
      </c>
      <c r="B11" s="256">
        <v>2178.9961665054889</v>
      </c>
      <c r="C11" s="256">
        <v>2120.2713921002901</v>
      </c>
      <c r="D11" s="256">
        <v>1971.927199180436</v>
      </c>
      <c r="E11" s="256">
        <v>1996.211653004731</v>
      </c>
      <c r="F11" s="256">
        <v>2055.7877993108841</v>
      </c>
      <c r="G11" s="256">
        <v>2070.292780411753</v>
      </c>
      <c r="H11" s="256">
        <v>1725.301053312897</v>
      </c>
      <c r="I11" s="256">
        <v>1732.3920180345101</v>
      </c>
      <c r="J11" s="256">
        <v>1787.4964466808519</v>
      </c>
      <c r="K11" s="256">
        <v>1763.5135695620561</v>
      </c>
      <c r="L11" s="256">
        <v>2174.953394401447</v>
      </c>
      <c r="M11" s="256">
        <v>1821.579829980248</v>
      </c>
      <c r="N11" s="256">
        <v>1850.509341968235</v>
      </c>
      <c r="O11" s="256">
        <v>1801.4384013653839</v>
      </c>
      <c r="P11" s="256">
        <v>1519.135072268939</v>
      </c>
      <c r="Q11" s="256">
        <v>1578.859876455816</v>
      </c>
      <c r="R11" s="256">
        <v>1618.586692368166</v>
      </c>
      <c r="S11" s="256">
        <v>1559.313826134849</v>
      </c>
      <c r="T11" s="256">
        <v>1612.5054401099189</v>
      </c>
      <c r="U11" s="256">
        <v>1514.685292753863</v>
      </c>
      <c r="V11" s="256">
        <v>1481.6552688518609</v>
      </c>
      <c r="W11" s="256">
        <v>1514.23180598167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1683.008104716552</v>
      </c>
      <c r="C16" s="258">
        <v>1669.4294528725759</v>
      </c>
      <c r="D16" s="258">
        <v>1514.941962466072</v>
      </c>
      <c r="E16" s="258">
        <v>1459.7613009516081</v>
      </c>
      <c r="F16" s="258">
        <v>1402.835648888713</v>
      </c>
      <c r="G16" s="258">
        <v>1425.139581935121</v>
      </c>
      <c r="H16" s="258">
        <v>1357.3648111036109</v>
      </c>
      <c r="I16" s="258">
        <v>1299.663356322447</v>
      </c>
      <c r="J16" s="258">
        <v>1254.767571192009</v>
      </c>
      <c r="K16" s="258">
        <v>1204.844315995299</v>
      </c>
      <c r="L16" s="258">
        <v>1299.117668875931</v>
      </c>
      <c r="M16" s="258">
        <v>1271.6265208349639</v>
      </c>
      <c r="N16" s="258">
        <v>1176.4256145601551</v>
      </c>
      <c r="O16" s="258">
        <v>1249.475546102017</v>
      </c>
      <c r="P16" s="258">
        <v>1272.497538357112</v>
      </c>
      <c r="Q16" s="258">
        <v>1342.4519717730391</v>
      </c>
      <c r="R16" s="258">
        <v>1308.991949833324</v>
      </c>
      <c r="S16" s="258">
        <v>1237.6549950956139</v>
      </c>
      <c r="T16" s="258">
        <v>1321.3769389057161</v>
      </c>
      <c r="U16" s="258">
        <v>1295.681820647382</v>
      </c>
      <c r="V16" s="258">
        <v>1374.6028461859789</v>
      </c>
      <c r="W16" s="258">
        <v>1237.760345832819</v>
      </c>
      <c r="DA16" s="273" t="s">
        <v>1044</v>
      </c>
    </row>
    <row r="17" spans="1:105" x14ac:dyDescent="0.25">
      <c r="A17" s="257" t="s">
        <v>121</v>
      </c>
      <c r="B17" s="258">
        <f>SUM(B18:B24)</f>
        <v>5252.8168524241382</v>
      </c>
      <c r="C17" s="258">
        <f t="shared" ref="C17:W17" si="2">SUM(C18:C24)</f>
        <v>5107.09363422346</v>
      </c>
      <c r="D17" s="258">
        <f t="shared" si="2"/>
        <v>4708.392103112441</v>
      </c>
      <c r="E17" s="258">
        <f t="shared" si="2"/>
        <v>4672.5107074021653</v>
      </c>
      <c r="F17" s="258">
        <f t="shared" si="2"/>
        <v>4714.2468433116246</v>
      </c>
      <c r="G17" s="258">
        <f t="shared" si="2"/>
        <v>4778.8820015396132</v>
      </c>
      <c r="H17" s="258">
        <f t="shared" si="2"/>
        <v>4113.7941226346429</v>
      </c>
      <c r="I17" s="258">
        <f t="shared" si="2"/>
        <v>4079.665414343473</v>
      </c>
      <c r="J17" s="258">
        <f t="shared" si="2"/>
        <v>4123.4653107182512</v>
      </c>
      <c r="K17" s="258">
        <f t="shared" si="2"/>
        <v>4084.8456139699933</v>
      </c>
      <c r="L17" s="258">
        <f t="shared" si="2"/>
        <v>4754.7759175968831</v>
      </c>
      <c r="M17" s="258">
        <f t="shared" si="2"/>
        <v>4076.1571194563276</v>
      </c>
      <c r="N17" s="258">
        <f t="shared" si="2"/>
        <v>4120.5466978482073</v>
      </c>
      <c r="O17" s="258">
        <f t="shared" si="2"/>
        <v>4066.4770462847905</v>
      </c>
      <c r="P17" s="258">
        <f t="shared" si="2"/>
        <v>3625.4757581990079</v>
      </c>
      <c r="Q17" s="258">
        <f t="shared" si="2"/>
        <v>3751.0560875198385</v>
      </c>
      <c r="R17" s="258">
        <f t="shared" si="2"/>
        <v>3792.0713492756768</v>
      </c>
      <c r="S17" s="258">
        <f t="shared" si="2"/>
        <v>3714.6327069930003</v>
      </c>
      <c r="T17" s="258">
        <f t="shared" si="2"/>
        <v>3882.621094133603</v>
      </c>
      <c r="U17" s="258">
        <f t="shared" si="2"/>
        <v>3726.8665556097749</v>
      </c>
      <c r="V17" s="258">
        <f t="shared" si="2"/>
        <v>3538.4618190225815</v>
      </c>
      <c r="W17" s="258">
        <f t="shared" si="2"/>
        <v>3531.5419695439573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119.7785149199786</v>
      </c>
      <c r="C19" s="55">
        <v>128.33404199998151</v>
      </c>
      <c r="D19" s="55">
        <v>116.926521119971</v>
      </c>
      <c r="E19" s="55">
        <v>105.5190002399799</v>
      </c>
      <c r="F19" s="55">
        <v>111.2227606799605</v>
      </c>
      <c r="G19" s="55">
        <v>105.5190002399715</v>
      </c>
      <c r="H19" s="55">
        <v>105.51900023997629</v>
      </c>
      <c r="I19" s="55">
        <v>105.5190002399863</v>
      </c>
      <c r="J19" s="55">
        <v>102.6672335999793</v>
      </c>
      <c r="K19" s="55">
        <v>96.963473159988069</v>
      </c>
      <c r="L19" s="55">
        <v>108.37099403997721</v>
      </c>
      <c r="M19" s="55">
        <v>85.555952279982762</v>
      </c>
      <c r="N19" s="55">
        <v>79.852191839987157</v>
      </c>
      <c r="O19" s="55">
        <v>85.555952279991033</v>
      </c>
      <c r="P19" s="55">
        <v>59.889143879988737</v>
      </c>
      <c r="Q19" s="55">
        <v>88.306405559983261</v>
      </c>
      <c r="R19" s="55">
        <v>82.028611799989207</v>
      </c>
      <c r="S19" s="55">
        <v>77.716433519985387</v>
      </c>
      <c r="T19" s="55">
        <v>82.028611799987416</v>
      </c>
      <c r="U19" s="55">
        <v>86.320799999986605</v>
      </c>
      <c r="V19" s="55">
        <v>88.970167079984378</v>
      </c>
      <c r="W19" s="55">
        <v>112.3183533599794</v>
      </c>
      <c r="DA19" s="101" t="s">
        <v>1046</v>
      </c>
    </row>
    <row r="20" spans="1:105" x14ac:dyDescent="0.25">
      <c r="A20" s="61" t="s">
        <v>173</v>
      </c>
      <c r="B20" s="55">
        <v>139.73371941087709</v>
      </c>
      <c r="C20" s="55">
        <v>144.18795996472551</v>
      </c>
      <c r="D20" s="55">
        <v>125.9589788544268</v>
      </c>
      <c r="E20" s="55">
        <v>113.6368011280889</v>
      </c>
      <c r="F20" s="55">
        <v>98.40529874481831</v>
      </c>
      <c r="G20" s="55">
        <v>100.1428604731834</v>
      </c>
      <c r="H20" s="55">
        <v>116.6150621088743</v>
      </c>
      <c r="I20" s="55">
        <v>102.2354304587777</v>
      </c>
      <c r="J20" s="55">
        <v>88.457511240343877</v>
      </c>
      <c r="K20" s="55">
        <v>78.955589692797872</v>
      </c>
      <c r="L20" s="55">
        <v>71.325195439805228</v>
      </c>
      <c r="M20" s="55">
        <v>89.913497517813823</v>
      </c>
      <c r="N20" s="55">
        <v>71.517754177432806</v>
      </c>
      <c r="O20" s="55">
        <v>86.354234770816689</v>
      </c>
      <c r="P20" s="55">
        <v>114.6983562690028</v>
      </c>
      <c r="Q20" s="55">
        <v>121.5097747767537</v>
      </c>
      <c r="R20" s="55">
        <v>106.9527615246022</v>
      </c>
      <c r="S20" s="55">
        <v>93.834844528894124</v>
      </c>
      <c r="T20" s="55">
        <v>106.4401365244195</v>
      </c>
      <c r="U20" s="55">
        <v>105.18354448450791</v>
      </c>
      <c r="V20" s="55">
        <v>129.27689047541321</v>
      </c>
      <c r="W20" s="55">
        <v>94.369414806604752</v>
      </c>
      <c r="DA20" s="101" t="s">
        <v>1047</v>
      </c>
    </row>
    <row r="21" spans="1:105" x14ac:dyDescent="0.25">
      <c r="A21" s="61" t="s">
        <v>129</v>
      </c>
      <c r="B21" s="55">
        <v>228.48479999995919</v>
      </c>
      <c r="C21" s="55">
        <v>206.27106191997029</v>
      </c>
      <c r="D21" s="55">
        <v>158.66987615996061</v>
      </c>
      <c r="E21" s="55">
        <v>152.32329287997101</v>
      </c>
      <c r="F21" s="55">
        <v>145.97643095994809</v>
      </c>
      <c r="G21" s="55">
        <v>145.97643095996051</v>
      </c>
      <c r="H21" s="55">
        <v>142.80299999996799</v>
      </c>
      <c r="I21" s="55">
        <v>136.45613807998231</v>
      </c>
      <c r="J21" s="55">
        <v>152.3232928799693</v>
      </c>
      <c r="K21" s="55">
        <v>168.19016903997931</v>
      </c>
      <c r="L21" s="55">
        <v>130.10927615997261</v>
      </c>
      <c r="M21" s="55">
        <v>63.468061919987221</v>
      </c>
      <c r="N21" s="55">
        <v>44.861039999992769</v>
      </c>
      <c r="O21" s="55">
        <v>66.641492879992995</v>
      </c>
      <c r="P21" s="55">
        <v>104.72210711998029</v>
      </c>
      <c r="Q21" s="55">
        <v>76.161507119985572</v>
      </c>
      <c r="R21" s="55">
        <v>60.929372879991973</v>
      </c>
      <c r="S21" s="55">
        <v>60.929372879988527</v>
      </c>
      <c r="T21" s="55">
        <v>57.121199999991227</v>
      </c>
      <c r="U21" s="55">
        <v>22.848479999996449</v>
      </c>
      <c r="V21" s="55">
        <v>0</v>
      </c>
      <c r="W21" s="55">
        <v>0</v>
      </c>
      <c r="DA21" s="101" t="s">
        <v>1048</v>
      </c>
    </row>
    <row r="22" spans="1:105" x14ac:dyDescent="0.25">
      <c r="A22" s="61" t="s">
        <v>176</v>
      </c>
      <c r="B22" s="55">
        <v>4764.8198180933232</v>
      </c>
      <c r="C22" s="55">
        <v>4628.3005703387826</v>
      </c>
      <c r="D22" s="55">
        <v>4306.8367269780829</v>
      </c>
      <c r="E22" s="55">
        <v>4301.0316131541258</v>
      </c>
      <c r="F22" s="55">
        <v>4358.6423529268977</v>
      </c>
      <c r="G22" s="55">
        <v>4427.2437098664977</v>
      </c>
      <c r="H22" s="55">
        <v>3748.857060285824</v>
      </c>
      <c r="I22" s="55">
        <v>3735.4548455647268</v>
      </c>
      <c r="J22" s="55">
        <v>3780.017272997959</v>
      </c>
      <c r="K22" s="55">
        <v>3740.736382077228</v>
      </c>
      <c r="L22" s="55">
        <v>4444.9704519571278</v>
      </c>
      <c r="M22" s="55">
        <v>3837.2196077385438</v>
      </c>
      <c r="N22" s="55">
        <v>3924.315711830794</v>
      </c>
      <c r="O22" s="55">
        <v>3827.9253663539898</v>
      </c>
      <c r="P22" s="55">
        <v>3346.1661509300361</v>
      </c>
      <c r="Q22" s="55">
        <v>3465.0784000631161</v>
      </c>
      <c r="R22" s="55">
        <v>3542.1606030710932</v>
      </c>
      <c r="S22" s="55">
        <v>3482.152056064132</v>
      </c>
      <c r="T22" s="55">
        <v>3637.0311458092051</v>
      </c>
      <c r="U22" s="55">
        <v>3512.5137311252838</v>
      </c>
      <c r="V22" s="55">
        <v>3320.214761467184</v>
      </c>
      <c r="W22" s="55">
        <v>3324.8542013773731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323.40403304835331</v>
      </c>
      <c r="C25" s="258">
        <v>320.79478193578012</v>
      </c>
      <c r="D25" s="258">
        <v>291.10872319787728</v>
      </c>
      <c r="E25" s="258">
        <v>280.5052992274031</v>
      </c>
      <c r="F25" s="258">
        <v>269.56656078077617</v>
      </c>
      <c r="G25" s="258">
        <v>273.85244739049273</v>
      </c>
      <c r="H25" s="258">
        <v>260.8289603589019</v>
      </c>
      <c r="I25" s="258">
        <v>249.74114495463289</v>
      </c>
      <c r="J25" s="258">
        <v>241.11404569268299</v>
      </c>
      <c r="K25" s="258">
        <v>231.52087615994469</v>
      </c>
      <c r="L25" s="258">
        <v>249.63628656417561</v>
      </c>
      <c r="M25" s="258">
        <v>244.35363336443041</v>
      </c>
      <c r="N25" s="258">
        <v>226.05998584553339</v>
      </c>
      <c r="O25" s="258">
        <v>240.0971389693581</v>
      </c>
      <c r="P25" s="258">
        <v>244.5210066401317</v>
      </c>
      <c r="Q25" s="258">
        <v>257.96333400202741</v>
      </c>
      <c r="R25" s="258">
        <v>251.533711939683</v>
      </c>
      <c r="S25" s="258">
        <v>237.8257215842539</v>
      </c>
      <c r="T25" s="258">
        <v>253.91359080303849</v>
      </c>
      <c r="U25" s="258">
        <v>248.97605969364511</v>
      </c>
      <c r="V25" s="258">
        <v>264.1413924570262</v>
      </c>
      <c r="W25" s="258">
        <v>237.84596560637189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1.0000000000000002</v>
      </c>
      <c r="D31" s="236">
        <f t="shared" si="3"/>
        <v>1</v>
      </c>
      <c r="E31" s="236">
        <f t="shared" si="3"/>
        <v>1</v>
      </c>
      <c r="F31" s="236">
        <f t="shared" si="3"/>
        <v>0.99999999999999989</v>
      </c>
      <c r="G31" s="236">
        <f t="shared" si="3"/>
        <v>1</v>
      </c>
      <c r="H31" s="236">
        <f t="shared" si="3"/>
        <v>1</v>
      </c>
      <c r="I31" s="236">
        <f t="shared" si="3"/>
        <v>0.99999999999999989</v>
      </c>
      <c r="J31" s="236">
        <f t="shared" si="3"/>
        <v>1</v>
      </c>
      <c r="K31" s="236">
        <f t="shared" si="3"/>
        <v>1</v>
      </c>
      <c r="L31" s="236">
        <f t="shared" si="3"/>
        <v>1.0000000000000002</v>
      </c>
      <c r="M31" s="236">
        <f t="shared" si="3"/>
        <v>1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1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0.23604165303478647</v>
      </c>
      <c r="C35" s="247">
        <f t="shared" si="8"/>
        <v>0.23550294903564439</v>
      </c>
      <c r="D35" s="247">
        <f t="shared" si="8"/>
        <v>0.23754551494358986</v>
      </c>
      <c r="E35" s="247">
        <f t="shared" si="8"/>
        <v>0.24214351972226722</v>
      </c>
      <c r="F35" s="247">
        <f t="shared" si="8"/>
        <v>0.24764265003096197</v>
      </c>
      <c r="G35" s="247">
        <f t="shared" si="8"/>
        <v>0.24632031323790229</v>
      </c>
      <c r="H35" s="247">
        <f t="shared" si="8"/>
        <v>0.23684991941664851</v>
      </c>
      <c r="I35" s="247">
        <f t="shared" si="8"/>
        <v>0.24022615955010782</v>
      </c>
      <c r="J35" s="247">
        <f t="shared" si="8"/>
        <v>0.24559088953524671</v>
      </c>
      <c r="K35" s="247">
        <f t="shared" si="8"/>
        <v>0.24593677589004048</v>
      </c>
      <c r="L35" s="247">
        <f t="shared" si="8"/>
        <v>0.25957404276127771</v>
      </c>
      <c r="M35" s="247">
        <f t="shared" si="8"/>
        <v>0.25002184905315356</v>
      </c>
      <c r="N35" s="247">
        <f t="shared" si="8"/>
        <v>0.25437638621692499</v>
      </c>
      <c r="O35" s="247">
        <f t="shared" si="8"/>
        <v>0.24899236362337016</v>
      </c>
      <c r="P35" s="247">
        <f t="shared" si="8"/>
        <v>0.23402995634515586</v>
      </c>
      <c r="Q35" s="247">
        <f t="shared" si="8"/>
        <v>0.233938814649788</v>
      </c>
      <c r="R35" s="247">
        <f t="shared" si="8"/>
        <v>0.2375278386856392</v>
      </c>
      <c r="S35" s="247">
        <f t="shared" si="8"/>
        <v>0.23578676464157095</v>
      </c>
      <c r="T35" s="247">
        <f t="shared" si="8"/>
        <v>0.2331817739098693</v>
      </c>
      <c r="U35" s="247">
        <f t="shared" si="8"/>
        <v>0.22835800160628769</v>
      </c>
      <c r="V35" s="247">
        <f t="shared" si="8"/>
        <v>0.22918687470096644</v>
      </c>
      <c r="W35" s="247">
        <f t="shared" si="8"/>
        <v>0.23722200238053695</v>
      </c>
      <c r="DA35" s="278"/>
    </row>
    <row r="36" spans="1:105" x14ac:dyDescent="0.25">
      <c r="A36" s="128" t="s">
        <v>175</v>
      </c>
      <c r="B36" s="260">
        <f t="shared" ref="B36:W36" si="9">IF(B$16=0,0,B$16/B$5)</f>
        <v>0.17711909781961996</v>
      </c>
      <c r="C36" s="260">
        <f t="shared" si="9"/>
        <v>0.17982481791931151</v>
      </c>
      <c r="D36" s="260">
        <f t="shared" si="9"/>
        <v>0.17730976099329199</v>
      </c>
      <c r="E36" s="260">
        <f t="shared" si="9"/>
        <v>0.17251332901845445</v>
      </c>
      <c r="F36" s="260">
        <f t="shared" si="9"/>
        <v>0.16525625605611757</v>
      </c>
      <c r="G36" s="260">
        <f t="shared" si="9"/>
        <v>0.16581037985415492</v>
      </c>
      <c r="H36" s="260">
        <f t="shared" si="9"/>
        <v>0.18071794360233667</v>
      </c>
      <c r="I36" s="260">
        <f t="shared" si="9"/>
        <v>0.17541978236670117</v>
      </c>
      <c r="J36" s="260">
        <f t="shared" si="9"/>
        <v>0.16845517805158527</v>
      </c>
      <c r="K36" s="260">
        <f t="shared" si="9"/>
        <v>0.16455245441127722</v>
      </c>
      <c r="L36" s="260">
        <f t="shared" si="9"/>
        <v>0.15259711033617471</v>
      </c>
      <c r="M36" s="260">
        <f t="shared" si="9"/>
        <v>0.17054161228902112</v>
      </c>
      <c r="N36" s="260">
        <f t="shared" si="9"/>
        <v>0.15882049401605616</v>
      </c>
      <c r="O36" s="260">
        <f t="shared" si="9"/>
        <v>0.16889079867170856</v>
      </c>
      <c r="P36" s="260">
        <f t="shared" si="9"/>
        <v>0.1895373990789391</v>
      </c>
      <c r="Q36" s="260">
        <f t="shared" si="9"/>
        <v>0.19217151194355853</v>
      </c>
      <c r="R36" s="260">
        <f t="shared" si="9"/>
        <v>0.18646461130406894</v>
      </c>
      <c r="S36" s="260">
        <f t="shared" si="9"/>
        <v>0.18223731368672211</v>
      </c>
      <c r="T36" s="260">
        <f t="shared" si="9"/>
        <v>0.18564901561648195</v>
      </c>
      <c r="U36" s="260">
        <f t="shared" si="9"/>
        <v>0.18966098355691666</v>
      </c>
      <c r="V36" s="260">
        <f t="shared" si="9"/>
        <v>0.20465901957769861</v>
      </c>
      <c r="W36" s="260">
        <f t="shared" si="9"/>
        <v>0.18855769894271068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0.5528043384376633</v>
      </c>
      <c r="C37" s="260">
        <f t="shared" si="10"/>
        <v>0.55011739567123041</v>
      </c>
      <c r="D37" s="260">
        <f t="shared" si="10"/>
        <v>0.55107317583743221</v>
      </c>
      <c r="E37" s="260">
        <f t="shared" si="10"/>
        <v>0.55219327740970359</v>
      </c>
      <c r="F37" s="260">
        <f t="shared" si="10"/>
        <v>0.55534572711151042</v>
      </c>
      <c r="G37" s="260">
        <f t="shared" si="10"/>
        <v>0.55600746060082462</v>
      </c>
      <c r="H37" s="260">
        <f t="shared" si="10"/>
        <v>0.54770567806414361</v>
      </c>
      <c r="I37" s="260">
        <f t="shared" si="10"/>
        <v>0.55064568500116706</v>
      </c>
      <c r="J37" s="260">
        <f t="shared" si="10"/>
        <v>0.5535838660913921</v>
      </c>
      <c r="K37" s="260">
        <f t="shared" si="10"/>
        <v>0.55789064424861812</v>
      </c>
      <c r="L37" s="260">
        <f t="shared" si="10"/>
        <v>0.55850604044906671</v>
      </c>
      <c r="M37" s="260">
        <f t="shared" si="10"/>
        <v>0.54666554660955646</v>
      </c>
      <c r="N37" s="260">
        <f t="shared" si="10"/>
        <v>0.55628443827547913</v>
      </c>
      <c r="O37" s="260">
        <f t="shared" si="10"/>
        <v>0.54966306325064618</v>
      </c>
      <c r="P37" s="260">
        <f t="shared" si="10"/>
        <v>0.54001145379028626</v>
      </c>
      <c r="Q37" s="260">
        <f t="shared" si="10"/>
        <v>0.53696231588212529</v>
      </c>
      <c r="R37" s="260">
        <f t="shared" si="10"/>
        <v>0.54017682100338338</v>
      </c>
      <c r="S37" s="260">
        <f t="shared" si="10"/>
        <v>0.54695750313110836</v>
      </c>
      <c r="T37" s="260">
        <f t="shared" si="10"/>
        <v>0.54549520497506043</v>
      </c>
      <c r="U37" s="260">
        <f t="shared" si="10"/>
        <v>0.5455360762638144</v>
      </c>
      <c r="V37" s="260">
        <f t="shared" si="10"/>
        <v>0.52682716953744968</v>
      </c>
      <c r="W37" s="260">
        <f t="shared" si="10"/>
        <v>0.53798736543686165</v>
      </c>
      <c r="DA37" s="279"/>
    </row>
    <row r="38" spans="1:105" x14ac:dyDescent="0.25">
      <c r="A38" s="128" t="s">
        <v>174</v>
      </c>
      <c r="B38" s="260">
        <f t="shared" ref="B38:W38" si="11">IF(B$25=0,0,B$25/B$5)</f>
        <v>3.403491070793032E-2</v>
      </c>
      <c r="C38" s="260">
        <f t="shared" si="11"/>
        <v>3.4554837373813853E-2</v>
      </c>
      <c r="D38" s="260">
        <f t="shared" si="11"/>
        <v>3.4071548225685901E-2</v>
      </c>
      <c r="E38" s="260">
        <f t="shared" si="11"/>
        <v>3.3149873849574803E-2</v>
      </c>
      <c r="F38" s="260">
        <f t="shared" si="11"/>
        <v>3.1755366801409883E-2</v>
      </c>
      <c r="G38" s="260">
        <f t="shared" si="11"/>
        <v>3.1861846307118247E-2</v>
      </c>
      <c r="H38" s="260">
        <f t="shared" si="11"/>
        <v>3.4726458916871171E-2</v>
      </c>
      <c r="I38" s="260">
        <f t="shared" si="11"/>
        <v>3.3708373082023943E-2</v>
      </c>
      <c r="J38" s="260">
        <f t="shared" si="11"/>
        <v>3.2370066321775887E-2</v>
      </c>
      <c r="K38" s="260">
        <f t="shared" si="11"/>
        <v>3.162012545006429E-2</v>
      </c>
      <c r="L38" s="260">
        <f t="shared" si="11"/>
        <v>2.9322806453481069E-2</v>
      </c>
      <c r="M38" s="260">
        <f t="shared" si="11"/>
        <v>3.2770992048268784E-2</v>
      </c>
      <c r="N38" s="260">
        <f t="shared" si="11"/>
        <v>3.0518681491539745E-2</v>
      </c>
      <c r="O38" s="260">
        <f t="shared" si="11"/>
        <v>3.2453774454275115E-2</v>
      </c>
      <c r="P38" s="260">
        <f t="shared" si="11"/>
        <v>3.6421190785618729E-2</v>
      </c>
      <c r="Q38" s="260">
        <f t="shared" si="11"/>
        <v>3.6927357524528151E-2</v>
      </c>
      <c r="R38" s="260">
        <f t="shared" si="11"/>
        <v>3.5830729006908528E-2</v>
      </c>
      <c r="S38" s="260">
        <f t="shared" si="11"/>
        <v>3.5018418540598596E-2</v>
      </c>
      <c r="T38" s="260">
        <f t="shared" si="11"/>
        <v>3.5674005498588304E-2</v>
      </c>
      <c r="U38" s="260">
        <f t="shared" si="11"/>
        <v>3.6444938572981235E-2</v>
      </c>
      <c r="V38" s="260">
        <f t="shared" si="11"/>
        <v>3.9326936183885303E-2</v>
      </c>
      <c r="W38" s="260">
        <f t="shared" si="11"/>
        <v>3.6232933239890727E-2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2.1102875741023399</v>
      </c>
      <c r="C44" s="238">
        <f>IF(C$5=0,0,C$5/AGR_fec!C$5)</f>
        <v>2.1076704642401696</v>
      </c>
      <c r="D44" s="238">
        <f>IF(D$5=0,0,D$5/AGR_fec!D$5)</f>
        <v>2.0968157942139118</v>
      </c>
      <c r="E44" s="238">
        <f>IF(E$5=0,0,E$5/AGR_fec!E$5)</f>
        <v>2.093896552424872</v>
      </c>
      <c r="F44" s="238">
        <f>IF(F$5=0,0,F$5/AGR_fec!F$5)</f>
        <v>2.0870794730051778</v>
      </c>
      <c r="G44" s="238">
        <f>IF(G$5=0,0,G$5/AGR_fec!G$5)</f>
        <v>2.0617086864181959</v>
      </c>
      <c r="H44" s="238">
        <f>IF(H$5=0,0,H$5/AGR_fec!H$5)</f>
        <v>2.0252529555724763</v>
      </c>
      <c r="I44" s="238">
        <f>IF(I$5=0,0,I$5/AGR_fec!I$5)</f>
        <v>1.9979013095782006</v>
      </c>
      <c r="J44" s="238">
        <f>IF(J$5=0,0,J$5/AGR_fec!J$5)</f>
        <v>1.9910159668113321</v>
      </c>
      <c r="K44" s="238">
        <f>IF(K$5=0,0,K$5/AGR_fec!K$5)</f>
        <v>1.9580009640833693</v>
      </c>
      <c r="L44" s="238">
        <f>IF(L$5=0,0,L$5/AGR_fec!L$5)</f>
        <v>2.0075348695300241</v>
      </c>
      <c r="M44" s="238">
        <f>IF(M$5=0,0,M$5/AGR_fec!M$5)</f>
        <v>1.9671247992075702</v>
      </c>
      <c r="N44" s="238">
        <f>IF(N$5=0,0,N$5/AGR_fec!N$5)</f>
        <v>1.9256818743058672</v>
      </c>
      <c r="O44" s="238">
        <f>IF(O$5=0,0,O$5/AGR_fec!O$5)</f>
        <v>1.9067108549527743</v>
      </c>
      <c r="P44" s="238">
        <f>IF(P$5=0,0,P$5/AGR_fec!P$5)</f>
        <v>1.8519348550810655</v>
      </c>
      <c r="Q44" s="238">
        <f>IF(Q$5=0,0,Q$5/AGR_fec!Q$5)</f>
        <v>1.8267855588170916</v>
      </c>
      <c r="R44" s="238">
        <f>IF(R$5=0,0,R$5/AGR_fec!R$5)</f>
        <v>1.817960564895063</v>
      </c>
      <c r="S44" s="238">
        <f>IF(S$5=0,0,S$5/AGR_fec!S$5)</f>
        <v>1.7636452534692781</v>
      </c>
      <c r="T44" s="238">
        <f>IF(T$5=0,0,T$5/AGR_fec!T$5)</f>
        <v>1.7225964111314929</v>
      </c>
      <c r="U44" s="238">
        <f>IF(U$5=0,0,U$5/AGR_fec!U$5)</f>
        <v>1.6469642641217996</v>
      </c>
      <c r="V44" s="238">
        <f>IF(V$5=0,0,V$5/AGR_fec!V$5)</f>
        <v>1.6620236064498026</v>
      </c>
      <c r="W44" s="238">
        <f>IF(W$5=0,0,W$5/AGR_fec!W$5)</f>
        <v>1.643300324987411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1.7034968300705695</v>
      </c>
      <c r="C48" s="253">
        <f>IF(C$9=0,0,C$9/AGR_fec!C$9)</f>
        <v>1.7143609742418224</v>
      </c>
      <c r="D48" s="253">
        <f>IF(D$9=0,0,D$9/AGR_fec!D$9)</f>
        <v>1.7308767048679998</v>
      </c>
      <c r="E48" s="253">
        <f>IF(E$9=0,0,E$9/AGR_fec!E$9)</f>
        <v>1.7837165173771328</v>
      </c>
      <c r="F48" s="253">
        <f>IF(F$9=0,0,F$9/AGR_fec!F$9)</f>
        <v>1.8417156576449414</v>
      </c>
      <c r="G48" s="253">
        <f>IF(G$9=0,0,G$9/AGR_fec!G$9)</f>
        <v>1.8297579472210979</v>
      </c>
      <c r="H48" s="253">
        <f>IF(H$9=0,0,H$9/AGR_fec!H$9)</f>
        <v>1.7725916355923157</v>
      </c>
      <c r="I48" s="253">
        <f>IF(I$9=0,0,I$9/AGR_fec!I$9)</f>
        <v>1.7947224277851248</v>
      </c>
      <c r="J48" s="253">
        <f>IF(J$9=0,0,J$9/AGR_fec!J$9)</f>
        <v>1.8360066382281421</v>
      </c>
      <c r="K48" s="253">
        <f>IF(K$9=0,0,K$9/AGR_fec!K$9)</f>
        <v>1.822752270781596</v>
      </c>
      <c r="L48" s="253">
        <f>IF(L$9=0,0,L$9/AGR_fec!L$9)</f>
        <v>1.9295029626235665</v>
      </c>
      <c r="M48" s="253">
        <f>IF(M$9=0,0,M$9/AGR_fec!M$9)</f>
        <v>1.871005722478509</v>
      </c>
      <c r="N48" s="253">
        <f>IF(N$9=0,0,N$9/AGR_fec!N$9)</f>
        <v>1.8583852008086119</v>
      </c>
      <c r="O48" s="253">
        <f>IF(O$9=0,0,O$9/AGR_fec!O$9)</f>
        <v>1.8297841440621003</v>
      </c>
      <c r="P48" s="253">
        <f>IF(P$9=0,0,P$9/AGR_fec!P$9)</f>
        <v>1.7101043033941714</v>
      </c>
      <c r="Q48" s="253">
        <f>IF(Q$9=0,0,Q$9/AGR_fec!Q$9)</f>
        <v>1.7019949875800675</v>
      </c>
      <c r="R48" s="253">
        <f>IF(R$9=0,0,R$9/AGR_fec!R$9)</f>
        <v>1.704408954460181</v>
      </c>
      <c r="S48" s="253">
        <f>IF(S$9=0,0,S$9/AGR_fec!S$9)</f>
        <v>1.6393486889553908</v>
      </c>
      <c r="T48" s="253">
        <f>IF(T$9=0,0,T$9/AGR_fec!T$9)</f>
        <v>1.5981914673447517</v>
      </c>
      <c r="U48" s="253">
        <f>IF(U$9=0,0,U$9/AGR_fec!U$9)</f>
        <v>1.4981034549080092</v>
      </c>
      <c r="V48" s="253">
        <f>IF(V$9=0,0,V$9/AGR_fec!V$9)</f>
        <v>1.5358263865453579</v>
      </c>
      <c r="W48" s="253">
        <f>IF(W$9=0,0,W$9/AGR_fec!W$9)</f>
        <v>1.5489024239449158</v>
      </c>
      <c r="DA48" s="290"/>
    </row>
    <row r="49" spans="1:105" x14ac:dyDescent="0.25">
      <c r="A49" s="128" t="s">
        <v>175</v>
      </c>
      <c r="B49" s="265">
        <f>IF(B$16=0,0,B$16/AGR_fec!B$16)</f>
        <v>3.1024188000000006</v>
      </c>
      <c r="C49" s="265">
        <f>IF(C$16=0,0,C$16/AGR_fec!C$16)</f>
        <v>3.1024187999999997</v>
      </c>
      <c r="D49" s="265">
        <f>IF(D$16=0,0,D$16/AGR_fec!D$16)</f>
        <v>3.1024188000000006</v>
      </c>
      <c r="E49" s="265">
        <f>IF(E$16=0,0,E$16/AGR_fec!E$16)</f>
        <v>3.1024187999999997</v>
      </c>
      <c r="F49" s="265">
        <f>IF(F$16=0,0,F$16/AGR_fec!F$16)</f>
        <v>3.1024187999999997</v>
      </c>
      <c r="G49" s="265">
        <f>IF(G$16=0,0,G$16/AGR_fec!G$16)</f>
        <v>3.1024188000000001</v>
      </c>
      <c r="H49" s="265">
        <f>IF(H$16=0,0,H$16/AGR_fec!H$16)</f>
        <v>3.1024188000000001</v>
      </c>
      <c r="I49" s="265">
        <f>IF(I$16=0,0,I$16/AGR_fec!I$16)</f>
        <v>3.1024188000000001</v>
      </c>
      <c r="J49" s="265">
        <f>IF(J$16=0,0,J$16/AGR_fec!J$16)</f>
        <v>3.1024187999999993</v>
      </c>
      <c r="K49" s="265">
        <f>IF(K$16=0,0,K$16/AGR_fec!K$16)</f>
        <v>3.102418800000001</v>
      </c>
      <c r="L49" s="265">
        <f>IF(L$16=0,0,L$16/AGR_fec!L$16)</f>
        <v>3.102418800000001</v>
      </c>
      <c r="M49" s="265">
        <f>IF(M$16=0,0,M$16/AGR_fec!M$16)</f>
        <v>3.1024188000000001</v>
      </c>
      <c r="N49" s="265">
        <f>IF(N$16=0,0,N$16/AGR_fec!N$16)</f>
        <v>3.0361662362326123</v>
      </c>
      <c r="O49" s="265">
        <f>IF(O$16=0,0,O$16/AGR_fec!O$16)</f>
        <v>3.0455997690609</v>
      </c>
      <c r="P49" s="265">
        <f>IF(P$16=0,0,P$16/AGR_fec!P$16)</f>
        <v>3.0332720196397447</v>
      </c>
      <c r="Q49" s="265">
        <f>IF(Q$16=0,0,Q$16/AGR_fec!Q$16)</f>
        <v>3.0382505784419793</v>
      </c>
      <c r="R49" s="265">
        <f>IF(R$16=0,0,R$16/AGR_fec!R$16)</f>
        <v>3.054302838205158</v>
      </c>
      <c r="S49" s="265">
        <f>IF(S$16=0,0,S$16/AGR_fec!S$16)</f>
        <v>3.0301347113033481</v>
      </c>
      <c r="T49" s="265">
        <f>IF(T$16=0,0,T$16/AGR_fec!T$16)</f>
        <v>2.9660271534856433</v>
      </c>
      <c r="U49" s="265">
        <f>IF(U$16=0,0,U$16/AGR_fec!U$16)</f>
        <v>2.9309251870308959</v>
      </c>
      <c r="V49" s="265">
        <f>IF(V$16=0,0,V$16/AGR_fec!V$16)</f>
        <v>2.9617061853903084</v>
      </c>
      <c r="W49" s="265">
        <f>IF(W$16=0,0,W$16/AGR_fec!W$16)</f>
        <v>2.9270151128558366</v>
      </c>
      <c r="DA49" s="291"/>
    </row>
    <row r="50" spans="1:105" x14ac:dyDescent="0.25">
      <c r="A50" s="128" t="s">
        <v>121</v>
      </c>
      <c r="B50" s="265">
        <f>IF(B$17=0,0,B$17/AGR_fec!B$17)</f>
        <v>2.3966526039130307</v>
      </c>
      <c r="C50" s="265">
        <f>IF(C$17=0,0,C$17/AGR_fec!C$17)</f>
        <v>2.3961182687628022</v>
      </c>
      <c r="D50" s="265">
        <f>IF(D$17=0,0,D$17/AGR_fec!D$17)</f>
        <v>2.3904921064868896</v>
      </c>
      <c r="E50" s="265">
        <f>IF(E$17=0,0,E$17/AGR_fec!E$17)</f>
        <v>2.3876943863430586</v>
      </c>
      <c r="F50" s="265">
        <f>IF(F$17=0,0,F$17/AGR_fec!F$17)</f>
        <v>2.3848979726264496</v>
      </c>
      <c r="G50" s="265">
        <f>IF(G$17=0,0,G$17/AGR_fec!G$17)</f>
        <v>2.37912819233284</v>
      </c>
      <c r="H50" s="265">
        <f>IF(H$17=0,0,H$17/AGR_fec!H$17)</f>
        <v>2.3669238237842176</v>
      </c>
      <c r="I50" s="265">
        <f>IF(I$17=0,0,I$17/AGR_fec!I$17)</f>
        <v>2.3471347965808991</v>
      </c>
      <c r="J50" s="265">
        <f>IF(J$17=0,0,J$17/AGR_fec!J$17)</f>
        <v>2.3306791933213127</v>
      </c>
      <c r="K50" s="265">
        <f>IF(K$17=0,0,K$17/AGR_fec!K$17)</f>
        <v>2.3159056171777443</v>
      </c>
      <c r="L50" s="265">
        <f>IF(L$17=0,0,L$17/AGR_fec!L$17)</f>
        <v>2.3030308272973494</v>
      </c>
      <c r="M50" s="265">
        <f>IF(M$17=0,0,M$17/AGR_fec!M$17)</f>
        <v>2.2827631873686487</v>
      </c>
      <c r="N50" s="265">
        <f>IF(N$17=0,0,N$17/AGR_fec!N$17)</f>
        <v>2.2624605242686129</v>
      </c>
      <c r="O50" s="265">
        <f>IF(O$17=0,0,O$17/AGR_fec!O$17)</f>
        <v>2.2451692004696793</v>
      </c>
      <c r="P50" s="265">
        <f>IF(P$17=0,0,P$17/AGR_fec!P$17)</f>
        <v>2.2212215862057136</v>
      </c>
      <c r="Q50" s="265">
        <f>IF(Q$17=0,0,Q$17/AGR_fec!Q$17)</f>
        <v>2.1866570088780382</v>
      </c>
      <c r="R50" s="265">
        <f>IF(R$17=0,0,R$17/AGR_fec!R$17)</f>
        <v>2.1675436248661759</v>
      </c>
      <c r="S50" s="265">
        <f>IF(S$17=0,0,S$17/AGR_fec!S$17)</f>
        <v>2.1385366323767849</v>
      </c>
      <c r="T50" s="265">
        <f>IF(T$17=0,0,T$17/AGR_fec!T$17)</f>
        <v>2.107061423934848</v>
      </c>
      <c r="U50" s="265">
        <f>IF(U$17=0,0,U$17/AGR_fec!U$17)</f>
        <v>2.0379945786581706</v>
      </c>
      <c r="V50" s="265">
        <f>IF(V$17=0,0,V$17/AGR_fec!V$17)</f>
        <v>1.987314977376023</v>
      </c>
      <c r="W50" s="265">
        <f>IF(W$17=0,0,W$17/AGR_fec!W$17)</f>
        <v>1.9624035886046554</v>
      </c>
      <c r="DA50" s="291"/>
    </row>
    <row r="51" spans="1:105" x14ac:dyDescent="0.25">
      <c r="A51" s="128" t="s">
        <v>174</v>
      </c>
      <c r="B51" s="265">
        <f>IF(B$25=0,0,B$25/AGR_fec!B$25)</f>
        <v>3.1024187999999993</v>
      </c>
      <c r="C51" s="265">
        <f>IF(C$25=0,0,C$25/AGR_fec!C$25)</f>
        <v>3.1024188000000015</v>
      </c>
      <c r="D51" s="265">
        <f>IF(D$25=0,0,D$25/AGR_fec!D$25)</f>
        <v>3.1024188000000001</v>
      </c>
      <c r="E51" s="265">
        <f>IF(E$25=0,0,E$25/AGR_fec!E$25)</f>
        <v>3.1024187999999997</v>
      </c>
      <c r="F51" s="265">
        <f>IF(F$25=0,0,F$25/AGR_fec!F$25)</f>
        <v>3.1024187999999988</v>
      </c>
      <c r="G51" s="265">
        <f>IF(G$25=0,0,G$25/AGR_fec!G$25)</f>
        <v>3.102418800000001</v>
      </c>
      <c r="H51" s="265">
        <f>IF(H$25=0,0,H$25/AGR_fec!H$25)</f>
        <v>3.1024188000000006</v>
      </c>
      <c r="I51" s="265">
        <f>IF(I$25=0,0,I$25/AGR_fec!I$25)</f>
        <v>3.1024188000000001</v>
      </c>
      <c r="J51" s="265">
        <f>IF(J$25=0,0,J$25/AGR_fec!J$25)</f>
        <v>3.1024187999999993</v>
      </c>
      <c r="K51" s="265">
        <f>IF(K$25=0,0,K$25/AGR_fec!K$25)</f>
        <v>3.1024187999999993</v>
      </c>
      <c r="L51" s="265">
        <f>IF(L$25=0,0,L$25/AGR_fec!L$25)</f>
        <v>3.102418800000001</v>
      </c>
      <c r="M51" s="265">
        <f>IF(M$25=0,0,M$25/AGR_fec!M$25)</f>
        <v>3.1024188000000001</v>
      </c>
      <c r="N51" s="265">
        <f>IF(N$25=0,0,N$25/AGR_fec!N$25)</f>
        <v>3.0361662362326127</v>
      </c>
      <c r="O51" s="265">
        <f>IF(O$25=0,0,O$25/AGR_fec!O$25)</f>
        <v>3.0455997690608996</v>
      </c>
      <c r="P51" s="265">
        <f>IF(P$25=0,0,P$25/AGR_fec!P$25)</f>
        <v>3.0332720196397434</v>
      </c>
      <c r="Q51" s="265">
        <f>IF(Q$25=0,0,Q$25/AGR_fec!Q$25)</f>
        <v>3.0382505784419793</v>
      </c>
      <c r="R51" s="265">
        <f>IF(R$25=0,0,R$25/AGR_fec!R$25)</f>
        <v>3.0543028382051598</v>
      </c>
      <c r="S51" s="265">
        <f>IF(S$25=0,0,S$25/AGR_fec!S$25)</f>
        <v>3.0301347113033485</v>
      </c>
      <c r="T51" s="265">
        <f>IF(T$25=0,0,T$25/AGR_fec!T$25)</f>
        <v>2.9660271534856424</v>
      </c>
      <c r="U51" s="265">
        <f>IF(U$25=0,0,U$25/AGR_fec!U$25)</f>
        <v>2.9309251870308968</v>
      </c>
      <c r="V51" s="265">
        <f>IF(V$25=0,0,V$25/AGR_fec!V$25)</f>
        <v>2.9617061853903084</v>
      </c>
      <c r="W51" s="265">
        <f>IF(W$25=0,0,W$25/AGR_fec!W$25)</f>
        <v>2.9270151128558362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2024-05-20T16:54:17Z</dcterms:created>
  <dcterms:modified xsi:type="dcterms:W3CDTF">2024-05-20T16:54:17Z</dcterms:modified>
</cp:coreProperties>
</file>