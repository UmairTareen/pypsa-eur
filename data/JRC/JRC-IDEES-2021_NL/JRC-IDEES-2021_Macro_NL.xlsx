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NL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W21" i="59"/>
  <c r="V94" i="59"/>
  <c r="W20" i="59"/>
  <c r="V20" i="59"/>
  <c r="U93" i="59"/>
  <c r="T119" i="59"/>
  <c r="Y118" i="59"/>
  <c r="U117" i="59"/>
  <c r="Y84" i="59"/>
  <c r="Y115" i="59"/>
  <c r="Y80" i="59"/>
  <c r="X112" i="59"/>
  <c r="W112" i="59"/>
  <c r="Y111" i="59"/>
  <c r="W111" i="59"/>
  <c r="V111" i="59"/>
  <c r="W75" i="59"/>
  <c r="U107" i="59"/>
  <c r="Y74" i="59"/>
  <c r="R106" i="59"/>
  <c r="O106" i="59"/>
  <c r="M106" i="59"/>
  <c r="J106" i="59"/>
  <c r="G106" i="59"/>
  <c r="Y73" i="59"/>
  <c r="W105" i="59"/>
  <c r="U104" i="59"/>
  <c r="Y103" i="59"/>
  <c r="U101" i="59"/>
  <c r="X100" i="59"/>
  <c r="T67" i="59"/>
  <c r="Y66" i="59"/>
  <c r="Y67" i="59"/>
  <c r="V74" i="59"/>
  <c r="U71" i="59"/>
  <c r="E106" i="59"/>
  <c r="X122" i="59"/>
  <c r="U115" i="59"/>
  <c r="V113" i="59"/>
  <c r="T112" i="59"/>
  <c r="X110" i="59"/>
  <c r="W104" i="59"/>
  <c r="U103" i="59"/>
  <c r="Y93" i="59"/>
  <c r="W90" i="59"/>
  <c r="T80" i="59"/>
  <c r="W78" i="59"/>
  <c r="Y122" i="59"/>
  <c r="W122" i="59"/>
  <c r="T90" i="59"/>
  <c r="U121" i="59"/>
  <c r="Y120" i="59"/>
  <c r="W87" i="59"/>
  <c r="T118" i="59"/>
  <c r="W85" i="59"/>
  <c r="W84" i="59"/>
  <c r="U116" i="59"/>
  <c r="V115" i="59"/>
  <c r="T83" i="59"/>
  <c r="Y114" i="59"/>
  <c r="W81" i="59"/>
  <c r="W113" i="59"/>
  <c r="U113" i="59"/>
  <c r="W80" i="59"/>
  <c r="W110" i="59"/>
  <c r="Y77" i="59"/>
  <c r="U109" i="59"/>
  <c r="U108" i="59"/>
  <c r="Y75" i="59"/>
  <c r="Y107" i="59"/>
  <c r="W74" i="59"/>
  <c r="W73" i="59"/>
  <c r="W72" i="59"/>
  <c r="V103" i="59"/>
  <c r="T71" i="59"/>
  <c r="Y102" i="59"/>
  <c r="W69" i="59"/>
  <c r="W101" i="59"/>
  <c r="V101" i="59"/>
  <c r="U100" i="59"/>
  <c r="Y99" i="59"/>
  <c r="W67" i="59"/>
  <c r="W98" i="59"/>
  <c r="W65" i="59"/>
  <c r="Y20" i="59"/>
  <c r="U94" i="59"/>
  <c r="X20" i="59"/>
  <c r="U20" i="59"/>
  <c r="V13" i="59"/>
  <c r="W5" i="59"/>
  <c r="T5" i="59"/>
  <c r="Y5" i="59"/>
  <c r="X21" i="59"/>
  <c r="U5" i="59"/>
  <c r="Y71" i="59" l="1"/>
  <c r="Y89" i="59"/>
  <c r="Y69" i="59"/>
  <c r="Y65" i="59"/>
  <c r="Y72" i="59"/>
  <c r="Y97" i="59"/>
  <c r="T98" i="59"/>
  <c r="Y68" i="59"/>
  <c r="X102" i="59"/>
  <c r="Y105" i="59"/>
  <c r="L106" i="59"/>
  <c r="T106" i="59"/>
  <c r="U110" i="59"/>
  <c r="W117" i="59"/>
  <c r="Y70" i="59"/>
  <c r="Y82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7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<sst xmlns="http://schemas.openxmlformats.org/spreadsheetml/2006/main" count="722" uniqueCount="281">
  <si>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</si>
  <si>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</si>
  <si>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</si>
  <si>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</si>
  <si>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</si>
  <si>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</si>
  <si>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</si>
  <si>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</si>
  <si>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</si>
  <si>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</si>
  <si>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</si>
  <si>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</si>
  <si>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</si>
  <si>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</si>
  <si>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</si>
  <si>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</si>
  <si>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</si>
  <si>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</si>
  <si>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</si>
  <si>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</si>
  <si>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</si>
  <si>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</si>
  <si>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</si>
  <si>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</si>
  <si>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</si>
  <si>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</si>
  <si>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</si>
  <si>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</si>
  <si>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</si>
  <si>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</si>
  <si>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</si>
  <si>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</si>
  <si>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</si>
  <si>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</si>
  <si>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</si>
  <si>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</si>
  <si>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</si>
  <si>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</si>
  <si>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</si>
  <si>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</si>
  <si>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</si>
  <si>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</si>
  <si>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</si>
  <si>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</si>
  <si>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</si>
  <si>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</si>
  <si>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</si>
  <si>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</si>
  <si>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</si>
  <si>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</si>
  <si>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</si>
  <si>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</si>
  <si>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</si>
  <si>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</si>
  <si>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</si>
  <si>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</si>
  <si>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</si>
  <si>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</si>
  <si>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</si>
  <si>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</si>
  <si>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</si>
  <si>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</si>
  <si>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</si>
  <si>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</si>
  <si>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</si>
  <si>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</si>
  <si>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</si>
  <si>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</si>
  <si>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</si>
  <si>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</si>
  <si>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</si>
  <si>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</si>
  <si>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</si>
  <si>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</si>
  <si>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</si>
  <si>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</si>
  <si>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</si>
  <si>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</si>
  <si>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</si>
  <si>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</si>
  <si>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</si>
  <si>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</si>
  <si>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</si>
  <si>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</si>
  <si>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</si>
  <si>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</si>
  <si>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</si>
  <si>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</si>
  <si>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</si>
  <si>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</si>
  <si>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</si>
  <si>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</si>
  <si>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</si>
  <si>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</si>
  <si>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</si>
  <si>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</si>
  <si>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</si>
  <si>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</si>
  <si>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</si>
  <si>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</si>
  <si>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</si>
  <si>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</si>
  <si>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</si>
  <si>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</si>
  <si>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</si>
  <si>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</si>
  <si>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</si>
  <si>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</si>
  <si>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</si>
  <si>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</si>
  <si>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</si>
  <si>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</si>
  <si>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</si>
  <si>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</si>
  <si>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</si>
  <si>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</si>
  <si>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</si>
  <si>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</si>
  <si>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</si>
  <si>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</si>
  <si>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</si>
  <si>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</si>
  <si>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</si>
  <si>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</si>
  <si>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</si>
  <si>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</si>
  <si>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</si>
  <si>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</si>
  <si>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</si>
  <si>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</si>
  <si>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</si>
  <si>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</si>
  <si>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</si>
  <si>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</si>
  <si>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</si>
  <si>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</si>
  <si>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</si>
  <si>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</si>
  <si>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</si>
  <si>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</si>
  <si>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</si>
  <si>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</si>
  <si>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</si>
  <si>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</si>
  <si>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</si>
  <si>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</si>
  <si>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</si>
  <si>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</si>
  <si>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</si>
  <si>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</si>
  <si>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</si>
  <si>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</si>
  <si>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</si>
  <si>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</si>
  <si>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</si>
  <si>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</si>
  <si>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</si>
  <si>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</si>
  <si>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</si>
  <si>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</si>
  <si>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</si>
  <si>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</si>
  <si>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</si>
  <si>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</si>
  <si>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</si>
  <si>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</si>
  <si>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</si>
  <si>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</si>
  <si>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</si>
  <si>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</si>
  <si>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</si>
  <si>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</si>
  <si>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</si>
  <si>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</si>
  <si>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</si>
  <si>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</si>
  <si>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</si>
  <si>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</si>
  <si>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</si>
  <si>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</si>
  <si>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</si>
  <si>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</si>
  <si>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</si>
  <si>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</si>
  <si>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</si>
  <si>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</si>
  <si>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</si>
  <si>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</si>
  <si>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</si>
  <si>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</si>
  <si>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</si>
  <si>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</si>
  <si>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</si>
  <si>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</si>
  <si>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</si>
  <si>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</si>
  <si>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</si>
  <si>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</si>
  <si>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</si>
  <si>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</si>
  <si>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</si>
  <si>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</si>
  <si>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</si>
  <si>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</si>
  <si>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</si>
  <si>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</si>
  <si>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</si>
  <si>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</si>
  <si>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</si>
  <si>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</si>
  <si>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</si>
  <si>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</si>
  <si>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</si>
  <si>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</si>
  <si>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</si>
  <si>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</si>
  <si>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</si>
  <si>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</si>
  <si>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</si>
  <si>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</si>
  <si>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</si>
  <si>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</si>
  <si>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</si>
  <si>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</si>
  <si>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</si>
  <si>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</si>
  <si>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</si>
  <si>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</si>
  <si>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</si>
  <si>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</si>
  <si>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</si>
  <si>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</si>
  <si>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</si>
  <si>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</si>
  <si>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</si>
  <si>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</si>
  <si>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</si>
  <si>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</si>
  <si>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</si>
  <si>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</si>
  <si>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</si>
  <si>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</si>
  <si>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</si>
  <si>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</si>
  <si>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</si>
  <si>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</si>
  <si>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</si>
  <si>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</si>
  <si>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</si>
  <si>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</si>
  <si>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</si>
  <si>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</si>
  <si>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</si>
  <si>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</si>
  <si>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</si>
  <si>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</si>
  <si>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</si>
  <si>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</si>
  <si>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</si>
  <si>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</si>
  <si>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</si>
  <si>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</si>
  <si>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</si>
  <si>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</si>
  <si>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</si>
  <si>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</si>
  <si>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</si>
  <si>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</si>
  <si>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</si>
  <si>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</si>
  <si>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</si>
  <si>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</si>
  <si>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</si>
  <si>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</si>
  <si>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</si>
  <si>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</si>
  <si>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</si>
  <si>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</si>
  <si>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</si>
  <si>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NL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</si>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</sst>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45432.787546296298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470095.87439297006</v>
      </c>
      <c r="E2" s="19">
        <v>501163.3706147112</v>
      </c>
      <c r="F2" s="19">
        <v>521193.67553147249</v>
      </c>
      <c r="G2" s="19">
        <v>533333.37442863954</v>
      </c>
      <c r="H2" s="19">
        <v>550465.95577773941</v>
      </c>
      <c r="I2" s="19">
        <v>572925.76897853403</v>
      </c>
      <c r="J2" s="19">
        <v>607936.06055944983</v>
      </c>
      <c r="K2" s="19">
        <v>643949.06290364254</v>
      </c>
      <c r="L2" s="19">
        <v>673093.5463507527</v>
      </c>
      <c r="M2" s="19">
        <v>649847.22490971698</v>
      </c>
      <c r="N2" s="19">
        <v>664767.24353107577</v>
      </c>
      <c r="O2" s="19">
        <v>676390.10199505906</v>
      </c>
      <c r="P2" s="19">
        <v>679096.13164572511</v>
      </c>
      <c r="Q2" s="19">
        <v>686892.72978188167</v>
      </c>
      <c r="R2" s="19">
        <v>698433.76941138518</v>
      </c>
      <c r="S2" s="19">
        <v>717622.12016000005</v>
      </c>
      <c r="T2" s="19">
        <v>736683.17231596226</v>
      </c>
      <c r="U2" s="19">
        <v>767687.51420060755</v>
      </c>
      <c r="V2" s="19">
        <v>804961.33579654503</v>
      </c>
      <c r="W2" s="19">
        <v>845589.31706408353</v>
      </c>
      <c r="X2" s="19">
        <v>828404.01074649778</v>
      </c>
      <c r="Y2" s="19">
        <v>905424.08400884317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242708.55197668716</v>
      </c>
      <c r="E3" s="23">
        <v>255664.3685781736</v>
      </c>
      <c r="F3" s="23">
        <v>267474.0360175377</v>
      </c>
      <c r="G3" s="23">
        <v>273343.32124645892</v>
      </c>
      <c r="H3" s="23">
        <v>279127.20623347582</v>
      </c>
      <c r="I3" s="23">
        <v>286855.10569291643</v>
      </c>
      <c r="J3" s="23">
        <v>294334.61168916436</v>
      </c>
      <c r="K3" s="23">
        <v>305994.03932302463</v>
      </c>
      <c r="L3" s="23">
        <v>315183.6504491418</v>
      </c>
      <c r="M3" s="23">
        <v>304622.37031575292</v>
      </c>
      <c r="N3" s="23">
        <v>309932.46775415272</v>
      </c>
      <c r="O3" s="23">
        <v>316662.13931642682</v>
      </c>
      <c r="P3" s="23">
        <v>317035.1623177639</v>
      </c>
      <c r="Q3" s="23">
        <v>320530.72585959453</v>
      </c>
      <c r="R3" s="23">
        <v>324585.65612446278</v>
      </c>
      <c r="S3" s="23">
        <v>331597.15776000003</v>
      </c>
      <c r="T3" s="23">
        <v>337171.16401969065</v>
      </c>
      <c r="U3" s="23">
        <v>349143.24102518836</v>
      </c>
      <c r="V3" s="23">
        <v>364394.50577515771</v>
      </c>
      <c r="W3" s="23">
        <v>377181.64308573358</v>
      </c>
      <c r="X3" s="23">
        <v>357921.88197163329</v>
      </c>
      <c r="Y3" s="23">
        <v>385039.1916315144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405832</v>
      </c>
      <c r="E4" s="27">
        <v>430408.00000000006</v>
      </c>
      <c r="F4" s="27">
        <v>448394</v>
      </c>
      <c r="G4" s="27">
        <v>458616</v>
      </c>
      <c r="H4" s="27">
        <v>472578</v>
      </c>
      <c r="I4" s="27">
        <v>491394.00000000006</v>
      </c>
      <c r="J4" s="27">
        <v>520586.00000000006</v>
      </c>
      <c r="K4" s="27">
        <v>552505</v>
      </c>
      <c r="L4" s="27">
        <v>578387</v>
      </c>
      <c r="M4" s="27">
        <v>561185</v>
      </c>
      <c r="N4" s="27">
        <v>574280.00000000012</v>
      </c>
      <c r="O4" s="27">
        <v>585953</v>
      </c>
      <c r="P4" s="27">
        <v>590316</v>
      </c>
      <c r="Q4" s="27">
        <v>595709</v>
      </c>
      <c r="R4" s="27">
        <v>604814</v>
      </c>
      <c r="S4" s="27">
        <v>620835</v>
      </c>
      <c r="T4" s="27">
        <v>634823.99999999988</v>
      </c>
      <c r="U4" s="27">
        <v>661566</v>
      </c>
      <c r="V4" s="27">
        <v>692632</v>
      </c>
      <c r="W4" s="27">
        <v>724960</v>
      </c>
      <c r="X4" s="27">
        <v>709628</v>
      </c>
      <c r="Y4" s="27">
        <v>774497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10390.000000000002</v>
      </c>
      <c r="E6" s="19">
        <v>10720</v>
      </c>
      <c r="F6" s="19">
        <v>10412</v>
      </c>
      <c r="G6" s="19">
        <v>10563</v>
      </c>
      <c r="H6" s="19">
        <v>9878</v>
      </c>
      <c r="I6" s="19">
        <v>10235</v>
      </c>
      <c r="J6" s="19">
        <v>11375</v>
      </c>
      <c r="K6" s="19">
        <v>11251</v>
      </c>
      <c r="L6" s="19">
        <v>10582</v>
      </c>
      <c r="M6" s="19">
        <v>9705</v>
      </c>
      <c r="N6" s="19">
        <v>11368</v>
      </c>
      <c r="O6" s="19">
        <v>10269.000000000002</v>
      </c>
      <c r="P6" s="19">
        <v>10836</v>
      </c>
      <c r="Q6" s="19">
        <v>11828</v>
      </c>
      <c r="R6" s="19">
        <v>11674</v>
      </c>
      <c r="S6" s="19">
        <v>11898</v>
      </c>
      <c r="T6" s="19">
        <v>12513</v>
      </c>
      <c r="U6" s="19">
        <v>13697</v>
      </c>
      <c r="V6" s="19">
        <v>12776</v>
      </c>
      <c r="W6" s="19">
        <v>13300</v>
      </c>
      <c r="X6" s="19">
        <v>12737</v>
      </c>
      <c r="Y6" s="19">
        <v>13206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76617.000000000044</v>
      </c>
      <c r="E7" s="23">
        <v>81876.000000000029</v>
      </c>
      <c r="F7" s="23">
        <v>81090.999999999985</v>
      </c>
      <c r="G7" s="23">
        <v>81508.000000000058</v>
      </c>
      <c r="H7" s="23">
        <v>84288.999999999956</v>
      </c>
      <c r="I7" s="23">
        <v>89111.000000000044</v>
      </c>
      <c r="J7" s="23">
        <v>95432.000000000058</v>
      </c>
      <c r="K7" s="23">
        <v>99956</v>
      </c>
      <c r="L7" s="23">
        <v>105876</v>
      </c>
      <c r="M7" s="23">
        <v>93379.999999999913</v>
      </c>
      <c r="N7" s="23">
        <v>95696.999999999985</v>
      </c>
      <c r="O7" s="23">
        <v>100708.00000000006</v>
      </c>
      <c r="P7" s="23">
        <v>103457.99999999996</v>
      </c>
      <c r="Q7" s="23">
        <v>102062.99999999999</v>
      </c>
      <c r="R7" s="23">
        <v>97767.999999999985</v>
      </c>
      <c r="S7" s="23">
        <v>99091</v>
      </c>
      <c r="T7" s="23">
        <v>96744.999999999927</v>
      </c>
      <c r="U7" s="23">
        <v>100705.00000000001</v>
      </c>
      <c r="V7" s="23">
        <v>105270.00000000004</v>
      </c>
      <c r="W7" s="23">
        <v>106790</v>
      </c>
      <c r="X7" s="23">
        <v>103994.00000000017</v>
      </c>
      <c r="Y7" s="23">
        <v>117435.00000000009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21651</v>
      </c>
      <c r="E8" s="23">
        <v>23624</v>
      </c>
      <c r="F8" s="23">
        <v>24887</v>
      </c>
      <c r="G8" s="23">
        <v>25047</v>
      </c>
      <c r="H8" s="23">
        <v>25327</v>
      </c>
      <c r="I8" s="23">
        <v>26702</v>
      </c>
      <c r="J8" s="23">
        <v>28529</v>
      </c>
      <c r="K8" s="23">
        <v>31030.000000000004</v>
      </c>
      <c r="L8" s="23">
        <v>33336</v>
      </c>
      <c r="M8" s="23">
        <v>33516</v>
      </c>
      <c r="N8" s="23">
        <v>30186</v>
      </c>
      <c r="O8" s="23">
        <v>29794</v>
      </c>
      <c r="P8" s="23">
        <v>27254</v>
      </c>
      <c r="Q8" s="23">
        <v>25632</v>
      </c>
      <c r="R8" s="23">
        <v>25882</v>
      </c>
      <c r="S8" s="23">
        <v>26394</v>
      </c>
      <c r="T8" s="23">
        <v>28188</v>
      </c>
      <c r="U8" s="23">
        <v>29970</v>
      </c>
      <c r="V8" s="23">
        <v>32544</v>
      </c>
      <c r="W8" s="23">
        <v>36001</v>
      </c>
      <c r="X8" s="23">
        <v>38241</v>
      </c>
      <c r="Y8" s="23">
        <v>40678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83321.999999999985</v>
      </c>
      <c r="E9" s="23">
        <v>88501</v>
      </c>
      <c r="F9" s="23">
        <v>92494</v>
      </c>
      <c r="G9" s="23">
        <v>91330</v>
      </c>
      <c r="H9" s="23">
        <v>94388</v>
      </c>
      <c r="I9" s="23">
        <v>97158</v>
      </c>
      <c r="J9" s="23">
        <v>101372</v>
      </c>
      <c r="K9" s="23">
        <v>107782</v>
      </c>
      <c r="L9" s="23">
        <v>110575</v>
      </c>
      <c r="M9" s="23">
        <v>104730</v>
      </c>
      <c r="N9" s="23">
        <v>107095</v>
      </c>
      <c r="O9" s="23">
        <v>110127</v>
      </c>
      <c r="P9" s="23">
        <v>111977</v>
      </c>
      <c r="Q9" s="23">
        <v>116061</v>
      </c>
      <c r="R9" s="23">
        <v>119378</v>
      </c>
      <c r="S9" s="23">
        <v>126069</v>
      </c>
      <c r="T9" s="23">
        <v>130564</v>
      </c>
      <c r="U9" s="23">
        <v>136693.00000000003</v>
      </c>
      <c r="V9" s="23">
        <v>142899</v>
      </c>
      <c r="W9" s="23">
        <v>151822</v>
      </c>
      <c r="X9" s="23">
        <v>142281</v>
      </c>
      <c r="Y9" s="23">
        <v>161800.99999999997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18248</v>
      </c>
      <c r="E10" s="23">
        <v>20376</v>
      </c>
      <c r="F10" s="23">
        <v>21931</v>
      </c>
      <c r="G10" s="23">
        <v>23264</v>
      </c>
      <c r="H10" s="23">
        <v>23642</v>
      </c>
      <c r="I10" s="23">
        <v>24543</v>
      </c>
      <c r="J10" s="23">
        <v>25961</v>
      </c>
      <c r="K10" s="23">
        <v>28443</v>
      </c>
      <c r="L10" s="23">
        <v>29087</v>
      </c>
      <c r="M10" s="23">
        <v>27754</v>
      </c>
      <c r="N10" s="23">
        <v>28023</v>
      </c>
      <c r="O10" s="23">
        <v>28043</v>
      </c>
      <c r="P10" s="23">
        <v>27809</v>
      </c>
      <c r="Q10" s="23">
        <v>27820</v>
      </c>
      <c r="R10" s="23">
        <v>28338</v>
      </c>
      <c r="S10" s="23">
        <v>29469</v>
      </c>
      <c r="T10" s="23">
        <v>31109</v>
      </c>
      <c r="U10" s="23">
        <v>32619</v>
      </c>
      <c r="V10" s="23">
        <v>34569</v>
      </c>
      <c r="W10" s="23">
        <v>36673</v>
      </c>
      <c r="X10" s="23">
        <v>39105</v>
      </c>
      <c r="Y10" s="23">
        <v>41121.999999999993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28749</v>
      </c>
      <c r="E11" s="23">
        <v>31244</v>
      </c>
      <c r="F11" s="23">
        <v>32765.999999999996</v>
      </c>
      <c r="G11" s="23">
        <v>34006</v>
      </c>
      <c r="H11" s="23">
        <v>34586.999999999993</v>
      </c>
      <c r="I11" s="23">
        <v>35473.999999999993</v>
      </c>
      <c r="J11" s="23">
        <v>34610</v>
      </c>
      <c r="K11" s="23">
        <v>34002</v>
      </c>
      <c r="L11" s="23">
        <v>33834.000000000007</v>
      </c>
      <c r="M11" s="23">
        <v>43029</v>
      </c>
      <c r="N11" s="23">
        <v>50889</v>
      </c>
      <c r="O11" s="23">
        <v>49988</v>
      </c>
      <c r="P11" s="23">
        <v>53637</v>
      </c>
      <c r="Q11" s="23">
        <v>53030</v>
      </c>
      <c r="R11" s="23">
        <v>53646</v>
      </c>
      <c r="S11" s="23">
        <v>52494</v>
      </c>
      <c r="T11" s="23">
        <v>49758</v>
      </c>
      <c r="U11" s="23">
        <v>48133</v>
      </c>
      <c r="V11" s="23">
        <v>46456</v>
      </c>
      <c r="W11" s="23">
        <v>47514</v>
      </c>
      <c r="X11" s="23">
        <v>46361</v>
      </c>
      <c r="Y11" s="23">
        <v>44398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32525.999999999996</v>
      </c>
      <c r="E12" s="23">
        <v>27144</v>
      </c>
      <c r="F12" s="23">
        <v>29064</v>
      </c>
      <c r="G12" s="23">
        <v>31669</v>
      </c>
      <c r="H12" s="23">
        <v>34264</v>
      </c>
      <c r="I12" s="23">
        <v>35520</v>
      </c>
      <c r="J12" s="23">
        <v>40916</v>
      </c>
      <c r="K12" s="23">
        <v>46262</v>
      </c>
      <c r="L12" s="23">
        <v>47868</v>
      </c>
      <c r="M12" s="23">
        <v>36499</v>
      </c>
      <c r="N12" s="23">
        <v>35336.000000000007</v>
      </c>
      <c r="O12" s="23">
        <v>36786.999999999993</v>
      </c>
      <c r="P12" s="23">
        <v>32446.000000000004</v>
      </c>
      <c r="Q12" s="23">
        <v>34652</v>
      </c>
      <c r="R12" s="23">
        <v>38152</v>
      </c>
      <c r="S12" s="23">
        <v>39504</v>
      </c>
      <c r="T12" s="23">
        <v>41618.000000000007</v>
      </c>
      <c r="U12" s="23">
        <v>45934</v>
      </c>
      <c r="V12" s="23">
        <v>50726</v>
      </c>
      <c r="W12" s="23">
        <v>52799</v>
      </c>
      <c r="X12" s="23">
        <v>55537</v>
      </c>
      <c r="Y12" s="23">
        <v>59989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53360.000000000007</v>
      </c>
      <c r="E13" s="23">
        <v>58852</v>
      </c>
      <c r="F13" s="23">
        <v>59107.000000000007</v>
      </c>
      <c r="G13" s="23">
        <v>59082</v>
      </c>
      <c r="H13" s="23">
        <v>60758</v>
      </c>
      <c r="I13" s="23">
        <v>64142</v>
      </c>
      <c r="J13" s="23">
        <v>69803</v>
      </c>
      <c r="K13" s="23">
        <v>76496</v>
      </c>
      <c r="L13" s="23">
        <v>82629</v>
      </c>
      <c r="M13" s="23">
        <v>80489.000000000015</v>
      </c>
      <c r="N13" s="23">
        <v>78887</v>
      </c>
      <c r="O13" s="23">
        <v>81269</v>
      </c>
      <c r="P13" s="23">
        <v>81262</v>
      </c>
      <c r="Q13" s="23">
        <v>81231</v>
      </c>
      <c r="R13" s="23">
        <v>84627</v>
      </c>
      <c r="S13" s="23">
        <v>89574</v>
      </c>
      <c r="T13" s="23">
        <v>93738</v>
      </c>
      <c r="U13" s="23">
        <v>99150</v>
      </c>
      <c r="V13" s="23">
        <v>105872</v>
      </c>
      <c r="W13" s="23">
        <v>110198</v>
      </c>
      <c r="X13" s="23">
        <v>102781</v>
      </c>
      <c r="Y13" s="23">
        <v>113589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71488</v>
      </c>
      <c r="E14" s="23">
        <v>77911</v>
      </c>
      <c r="F14" s="23">
        <v>85839</v>
      </c>
      <c r="G14" s="23">
        <v>91055</v>
      </c>
      <c r="H14" s="23">
        <v>94039</v>
      </c>
      <c r="I14" s="23">
        <v>96789</v>
      </c>
      <c r="J14" s="23">
        <v>100419</v>
      </c>
      <c r="K14" s="23">
        <v>104438</v>
      </c>
      <c r="L14" s="23">
        <v>111227</v>
      </c>
      <c r="M14" s="23">
        <v>118356</v>
      </c>
      <c r="N14" s="23">
        <v>122577</v>
      </c>
      <c r="O14" s="23">
        <v>124440</v>
      </c>
      <c r="P14" s="23">
        <v>127233</v>
      </c>
      <c r="Q14" s="23">
        <v>129230</v>
      </c>
      <c r="R14" s="23">
        <v>130966</v>
      </c>
      <c r="S14" s="23">
        <v>131636</v>
      </c>
      <c r="T14" s="23">
        <v>135414.00000000003</v>
      </c>
      <c r="U14" s="23">
        <v>139037</v>
      </c>
      <c r="V14" s="23">
        <v>145287.99999999997</v>
      </c>
      <c r="W14" s="23">
        <v>152839.00000000003</v>
      </c>
      <c r="X14" s="23">
        <v>154746</v>
      </c>
      <c r="Y14" s="23">
        <v>168026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9480.9999999999982</v>
      </c>
      <c r="E15" s="23">
        <v>10159.999999999998</v>
      </c>
      <c r="F15" s="23">
        <v>10803</v>
      </c>
      <c r="G15" s="23">
        <v>11092</v>
      </c>
      <c r="H15" s="23">
        <v>11406</v>
      </c>
      <c r="I15" s="23">
        <v>11720</v>
      </c>
      <c r="J15" s="23">
        <v>12169</v>
      </c>
      <c r="K15" s="23">
        <v>12845</v>
      </c>
      <c r="L15" s="23">
        <v>13373</v>
      </c>
      <c r="M15" s="23">
        <v>13727</v>
      </c>
      <c r="N15" s="23">
        <v>14222</v>
      </c>
      <c r="O15" s="23">
        <v>14528</v>
      </c>
      <c r="P15" s="23">
        <v>14404</v>
      </c>
      <c r="Q15" s="23">
        <v>14162</v>
      </c>
      <c r="R15" s="23">
        <v>14383</v>
      </c>
      <c r="S15" s="23">
        <v>14706</v>
      </c>
      <c r="T15" s="23">
        <v>15177</v>
      </c>
      <c r="U15" s="23">
        <v>15628</v>
      </c>
      <c r="V15" s="23">
        <v>16232</v>
      </c>
      <c r="W15" s="23">
        <v>17024</v>
      </c>
      <c r="X15" s="23">
        <v>13845</v>
      </c>
      <c r="Y15" s="23">
        <v>14253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405832</v>
      </c>
      <c r="E16" s="30">
        <f t="shared" ref="E16:S16" si="0">SUM(E6:E15)</f>
        <v>430408</v>
      </c>
      <c r="F16" s="30">
        <f t="shared" si="0"/>
        <v>448394</v>
      </c>
      <c r="G16" s="30">
        <f t="shared" si="0"/>
        <v>458616.00000000006</v>
      </c>
      <c r="H16" s="30">
        <f t="shared" si="0"/>
        <v>472577.99999999994</v>
      </c>
      <c r="I16" s="30">
        <f t="shared" si="0"/>
        <v>491394.00000000006</v>
      </c>
      <c r="J16" s="30">
        <f t="shared" si="0"/>
        <v>520586.00000000006</v>
      </c>
      <c r="K16" s="30">
        <f t="shared" si="0"/>
        <v>552505</v>
      </c>
      <c r="L16" s="30">
        <f t="shared" si="0"/>
        <v>578387</v>
      </c>
      <c r="M16" s="30">
        <f t="shared" si="0"/>
        <v>561184.99999999988</v>
      </c>
      <c r="N16" s="30">
        <f t="shared" si="0"/>
        <v>574280</v>
      </c>
      <c r="O16" s="30">
        <f t="shared" si="0"/>
        <v>585953</v>
      </c>
      <c r="P16" s="30">
        <f t="shared" si="0"/>
        <v>590316</v>
      </c>
      <c r="Q16" s="30">
        <f t="shared" si="0"/>
        <v>595709</v>
      </c>
      <c r="R16" s="30">
        <f t="shared" si="0"/>
        <v>604814</v>
      </c>
      <c r="S16" s="30">
        <f t="shared" si="0"/>
        <v>620835</v>
      </c>
      <c r="T16" s="30">
        <f t="shared" ref="T16:Y16" si="1">SUM(T6:T15)</f>
        <v>634824</v>
      </c>
      <c r="U16" s="30">
        <f t="shared" si="1"/>
        <v>661566</v>
      </c>
      <c r="V16" s="30">
        <f t="shared" si="1"/>
        <v>692632</v>
      </c>
      <c r="W16" s="30">
        <f t="shared" si="1"/>
        <v>724960</v>
      </c>
      <c r="X16" s="30">
        <f t="shared" si="1"/>
        <v>709628.00000000023</v>
      </c>
      <c r="Y16" s="30">
        <f t="shared" si="1"/>
        <v>774497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10390.000000000002</v>
      </c>
      <c r="E18" s="19">
        <v>10720</v>
      </c>
      <c r="F18" s="19">
        <v>10412</v>
      </c>
      <c r="G18" s="19">
        <v>10563</v>
      </c>
      <c r="H18" s="19">
        <v>9878</v>
      </c>
      <c r="I18" s="19">
        <v>10235</v>
      </c>
      <c r="J18" s="19">
        <v>11375</v>
      </c>
      <c r="K18" s="19">
        <v>11251</v>
      </c>
      <c r="L18" s="19">
        <v>10582</v>
      </c>
      <c r="M18" s="19">
        <v>9705</v>
      </c>
      <c r="N18" s="19">
        <v>11368</v>
      </c>
      <c r="O18" s="19">
        <v>10269.000000000002</v>
      </c>
      <c r="P18" s="19">
        <v>10836</v>
      </c>
      <c r="Q18" s="19">
        <v>11828</v>
      </c>
      <c r="R18" s="19">
        <v>11674</v>
      </c>
      <c r="S18" s="19">
        <v>11898</v>
      </c>
      <c r="T18" s="19">
        <v>12513</v>
      </c>
      <c r="U18" s="19">
        <v>13697</v>
      </c>
      <c r="V18" s="19">
        <v>12776</v>
      </c>
      <c r="W18" s="19">
        <v>13300</v>
      </c>
      <c r="X18" s="19">
        <v>12737</v>
      </c>
      <c r="Y18" s="19">
        <v>13206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9174.0000000000018</v>
      </c>
      <c r="E19" s="23">
        <v>11538</v>
      </c>
      <c r="F19" s="23">
        <v>10576</v>
      </c>
      <c r="G19" s="23">
        <v>11057</v>
      </c>
      <c r="H19" s="23">
        <v>11721</v>
      </c>
      <c r="I19" s="23">
        <v>12883</v>
      </c>
      <c r="J19" s="23">
        <v>16351</v>
      </c>
      <c r="K19" s="23">
        <v>15783</v>
      </c>
      <c r="L19" s="23">
        <v>22064</v>
      </c>
      <c r="M19" s="23">
        <v>16023</v>
      </c>
      <c r="N19" s="23">
        <v>17499</v>
      </c>
      <c r="O19" s="23">
        <v>18888</v>
      </c>
      <c r="P19" s="23">
        <v>21406</v>
      </c>
      <c r="Q19" s="23">
        <v>22301</v>
      </c>
      <c r="R19" s="23">
        <v>16741</v>
      </c>
      <c r="S19" s="23">
        <v>12569</v>
      </c>
      <c r="T19" s="23">
        <v>7923</v>
      </c>
      <c r="U19" s="23">
        <v>7422</v>
      </c>
      <c r="V19" s="23">
        <v>7165</v>
      </c>
      <c r="W19" s="23">
        <v>5546</v>
      </c>
      <c r="X19" s="23">
        <v>2797</v>
      </c>
      <c r="Y19" s="23">
        <v>6018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60357.000000000058</v>
      </c>
      <c r="E20" s="23">
        <v>63238.000000000029</v>
      </c>
      <c r="F20" s="23">
        <v>62853.999999999978</v>
      </c>
      <c r="G20" s="23">
        <v>62445.000000000058</v>
      </c>
      <c r="H20" s="23">
        <v>64924.999999999978</v>
      </c>
      <c r="I20" s="23">
        <v>67769.000000000044</v>
      </c>
      <c r="J20" s="23">
        <v>69730.000000000058</v>
      </c>
      <c r="K20" s="23">
        <v>74329.999999999985</v>
      </c>
      <c r="L20" s="23">
        <v>74157.999999999985</v>
      </c>
      <c r="M20" s="23">
        <v>65629.999999999913</v>
      </c>
      <c r="N20" s="23">
        <v>66917.999999999985</v>
      </c>
      <c r="O20" s="23">
        <v>70259.000000000058</v>
      </c>
      <c r="P20" s="23">
        <v>70096.999999999956</v>
      </c>
      <c r="Q20" s="23">
        <v>67948.999999999985</v>
      </c>
      <c r="R20" s="23">
        <v>69577.999999999985</v>
      </c>
      <c r="S20" s="23">
        <v>74533</v>
      </c>
      <c r="T20" s="23">
        <v>76861.999999999927</v>
      </c>
      <c r="U20" s="23">
        <v>81583.000000000029</v>
      </c>
      <c r="V20" s="23">
        <v>85581.000000000044</v>
      </c>
      <c r="W20" s="23">
        <v>87602.000000000015</v>
      </c>
      <c r="X20" s="23">
        <v>86236.000000000175</v>
      </c>
      <c r="Y20" s="23">
        <v>96563.000000000087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4451</v>
      </c>
      <c r="E21" s="23">
        <v>4262</v>
      </c>
      <c r="F21" s="23">
        <v>4689</v>
      </c>
      <c r="G21" s="23">
        <v>4862.0000000000009</v>
      </c>
      <c r="H21" s="23">
        <v>4516</v>
      </c>
      <c r="I21" s="23">
        <v>5328</v>
      </c>
      <c r="J21" s="23">
        <v>6052</v>
      </c>
      <c r="K21" s="23">
        <v>6400</v>
      </c>
      <c r="L21" s="23">
        <v>5951</v>
      </c>
      <c r="M21" s="23">
        <v>8182</v>
      </c>
      <c r="N21" s="23">
        <v>7724</v>
      </c>
      <c r="O21" s="23">
        <v>7805</v>
      </c>
      <c r="P21" s="23">
        <v>8150</v>
      </c>
      <c r="Q21" s="23">
        <v>7909</v>
      </c>
      <c r="R21" s="23">
        <v>7372</v>
      </c>
      <c r="S21" s="23">
        <v>7817</v>
      </c>
      <c r="T21" s="23">
        <v>7781</v>
      </c>
      <c r="U21" s="23">
        <v>7389</v>
      </c>
      <c r="V21" s="23">
        <v>8091</v>
      </c>
      <c r="W21" s="23">
        <v>9227</v>
      </c>
      <c r="X21" s="23">
        <v>10425</v>
      </c>
      <c r="Y21" s="23">
        <v>9860.9999999999982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2635</v>
      </c>
      <c r="E22" s="23">
        <v>2838</v>
      </c>
      <c r="F22" s="23">
        <v>2972</v>
      </c>
      <c r="G22" s="23">
        <v>3144</v>
      </c>
      <c r="H22" s="23">
        <v>3127</v>
      </c>
      <c r="I22" s="23">
        <v>3131</v>
      </c>
      <c r="J22" s="23">
        <v>3299</v>
      </c>
      <c r="K22" s="23">
        <v>3443</v>
      </c>
      <c r="L22" s="23">
        <v>3703</v>
      </c>
      <c r="M22" s="23">
        <v>3545</v>
      </c>
      <c r="N22" s="23">
        <v>3556</v>
      </c>
      <c r="O22" s="23">
        <v>3756</v>
      </c>
      <c r="P22" s="23">
        <v>3805</v>
      </c>
      <c r="Q22" s="23">
        <v>3904</v>
      </c>
      <c r="R22" s="23">
        <v>4077</v>
      </c>
      <c r="S22" s="23">
        <v>4172</v>
      </c>
      <c r="T22" s="23">
        <v>4179</v>
      </c>
      <c r="U22" s="23">
        <v>4311</v>
      </c>
      <c r="V22" s="23">
        <v>4432.9999999999991</v>
      </c>
      <c r="W22" s="23">
        <v>4414.9999999999991</v>
      </c>
      <c r="X22" s="23">
        <v>4536</v>
      </c>
      <c r="Y22" s="23">
        <v>4993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21651</v>
      </c>
      <c r="E23" s="23">
        <v>23624</v>
      </c>
      <c r="F23" s="23">
        <v>24887</v>
      </c>
      <c r="G23" s="23">
        <v>25047</v>
      </c>
      <c r="H23" s="23">
        <v>25327</v>
      </c>
      <c r="I23" s="23">
        <v>26702</v>
      </c>
      <c r="J23" s="23">
        <v>28529</v>
      </c>
      <c r="K23" s="23">
        <v>31030.000000000004</v>
      </c>
      <c r="L23" s="23">
        <v>33336</v>
      </c>
      <c r="M23" s="23">
        <v>33516</v>
      </c>
      <c r="N23" s="23">
        <v>30186</v>
      </c>
      <c r="O23" s="23">
        <v>29794</v>
      </c>
      <c r="P23" s="23">
        <v>27254</v>
      </c>
      <c r="Q23" s="23">
        <v>25632</v>
      </c>
      <c r="R23" s="23">
        <v>25882</v>
      </c>
      <c r="S23" s="23">
        <v>26394</v>
      </c>
      <c r="T23" s="23">
        <v>28188</v>
      </c>
      <c r="U23" s="23">
        <v>29970</v>
      </c>
      <c r="V23" s="23">
        <v>32544</v>
      </c>
      <c r="W23" s="23">
        <v>36001</v>
      </c>
      <c r="X23" s="23">
        <v>38241</v>
      </c>
      <c r="Y23" s="23">
        <v>40678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55616.999999999993</v>
      </c>
      <c r="E24" s="23">
        <v>59398.000000000007</v>
      </c>
      <c r="F24" s="23">
        <v>62540.999999999993</v>
      </c>
      <c r="G24" s="23">
        <v>61241</v>
      </c>
      <c r="H24" s="23">
        <v>63172</v>
      </c>
      <c r="I24" s="23">
        <v>64709</v>
      </c>
      <c r="J24" s="23">
        <v>67247.000000000015</v>
      </c>
      <c r="K24" s="23">
        <v>71715.999999999985</v>
      </c>
      <c r="L24" s="23">
        <v>74063</v>
      </c>
      <c r="M24" s="23">
        <v>70767</v>
      </c>
      <c r="N24" s="23">
        <v>72405.999999999985</v>
      </c>
      <c r="O24" s="23">
        <v>74740.999999999985</v>
      </c>
      <c r="P24" s="23">
        <v>75860.999999999985</v>
      </c>
      <c r="Q24" s="23">
        <v>78883</v>
      </c>
      <c r="R24" s="23">
        <v>79966.000000000015</v>
      </c>
      <c r="S24" s="23">
        <v>83576</v>
      </c>
      <c r="T24" s="23">
        <v>86763</v>
      </c>
      <c r="U24" s="23">
        <v>90713.000000000015</v>
      </c>
      <c r="V24" s="23">
        <v>95184</v>
      </c>
      <c r="W24" s="23">
        <v>101787</v>
      </c>
      <c r="X24" s="23">
        <v>103013.99999999999</v>
      </c>
      <c r="Y24" s="23">
        <v>117192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19903.000000000004</v>
      </c>
      <c r="E25" s="23">
        <v>20835</v>
      </c>
      <c r="F25" s="23">
        <v>21135</v>
      </c>
      <c r="G25" s="23">
        <v>21621</v>
      </c>
      <c r="H25" s="23">
        <v>22771</v>
      </c>
      <c r="I25" s="23">
        <v>23863</v>
      </c>
      <c r="J25" s="23">
        <v>25312</v>
      </c>
      <c r="K25" s="23">
        <v>26658</v>
      </c>
      <c r="L25" s="23">
        <v>27265</v>
      </c>
      <c r="M25" s="23">
        <v>24862</v>
      </c>
      <c r="N25" s="23">
        <v>25695</v>
      </c>
      <c r="O25" s="23">
        <v>25822</v>
      </c>
      <c r="P25" s="23">
        <v>26378</v>
      </c>
      <c r="Q25" s="23">
        <v>27145</v>
      </c>
      <c r="R25" s="23">
        <v>28589</v>
      </c>
      <c r="S25" s="23">
        <v>30665</v>
      </c>
      <c r="T25" s="23">
        <v>30969</v>
      </c>
      <c r="U25" s="23">
        <v>32330</v>
      </c>
      <c r="V25" s="23">
        <v>32986</v>
      </c>
      <c r="W25" s="23">
        <v>34744</v>
      </c>
      <c r="X25" s="23">
        <v>30530</v>
      </c>
      <c r="Y25" s="23">
        <v>34531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7802</v>
      </c>
      <c r="E26" s="23">
        <v>8268</v>
      </c>
      <c r="F26" s="23">
        <v>8817.9999999999982</v>
      </c>
      <c r="G26" s="23">
        <v>8468</v>
      </c>
      <c r="H26" s="23">
        <v>8444.9999999999982</v>
      </c>
      <c r="I26" s="23">
        <v>8586</v>
      </c>
      <c r="J26" s="23">
        <v>8812.9999999999982</v>
      </c>
      <c r="K26" s="23">
        <v>9408.0000000000018</v>
      </c>
      <c r="L26" s="23">
        <v>9246.9999999999982</v>
      </c>
      <c r="M26" s="23">
        <v>9101.0000000000018</v>
      </c>
      <c r="N26" s="23">
        <v>8994</v>
      </c>
      <c r="O26" s="23">
        <v>9564.0000000000018</v>
      </c>
      <c r="P26" s="23">
        <v>9737.9999999999982</v>
      </c>
      <c r="Q26" s="23">
        <v>10033</v>
      </c>
      <c r="R26" s="23">
        <v>10823</v>
      </c>
      <c r="S26" s="23">
        <v>11828</v>
      </c>
      <c r="T26" s="23">
        <v>12832</v>
      </c>
      <c r="U26" s="23">
        <v>13650</v>
      </c>
      <c r="V26" s="23">
        <v>14729</v>
      </c>
      <c r="W26" s="23">
        <v>15291</v>
      </c>
      <c r="X26" s="23">
        <v>8737</v>
      </c>
      <c r="Y26" s="23">
        <v>10078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18248</v>
      </c>
      <c r="E27" s="23">
        <v>20376</v>
      </c>
      <c r="F27" s="23">
        <v>21931</v>
      </c>
      <c r="G27" s="23">
        <v>23264</v>
      </c>
      <c r="H27" s="23">
        <v>23642</v>
      </c>
      <c r="I27" s="23">
        <v>24543</v>
      </c>
      <c r="J27" s="23">
        <v>25961</v>
      </c>
      <c r="K27" s="23">
        <v>28443</v>
      </c>
      <c r="L27" s="23">
        <v>29087</v>
      </c>
      <c r="M27" s="23">
        <v>27754</v>
      </c>
      <c r="N27" s="23">
        <v>28023</v>
      </c>
      <c r="O27" s="23">
        <v>28043</v>
      </c>
      <c r="P27" s="23">
        <v>27809</v>
      </c>
      <c r="Q27" s="23">
        <v>27820</v>
      </c>
      <c r="R27" s="23">
        <v>28338</v>
      </c>
      <c r="S27" s="23">
        <v>29469</v>
      </c>
      <c r="T27" s="23">
        <v>31109</v>
      </c>
      <c r="U27" s="23">
        <v>32619</v>
      </c>
      <c r="V27" s="23">
        <v>34569</v>
      </c>
      <c r="W27" s="23">
        <v>36673</v>
      </c>
      <c r="X27" s="23">
        <v>39105</v>
      </c>
      <c r="Y27" s="23">
        <v>41121.999999999993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28749</v>
      </c>
      <c r="E28" s="23">
        <v>31244</v>
      </c>
      <c r="F28" s="23">
        <v>32765.999999999996</v>
      </c>
      <c r="G28" s="23">
        <v>34006</v>
      </c>
      <c r="H28" s="23">
        <v>34586.999999999993</v>
      </c>
      <c r="I28" s="23">
        <v>35473.999999999993</v>
      </c>
      <c r="J28" s="23">
        <v>34610</v>
      </c>
      <c r="K28" s="23">
        <v>34002</v>
      </c>
      <c r="L28" s="23">
        <v>33834.000000000007</v>
      </c>
      <c r="M28" s="23">
        <v>43029</v>
      </c>
      <c r="N28" s="23">
        <v>50889</v>
      </c>
      <c r="O28" s="23">
        <v>49988</v>
      </c>
      <c r="P28" s="23">
        <v>53637</v>
      </c>
      <c r="Q28" s="23">
        <v>53030</v>
      </c>
      <c r="R28" s="23">
        <v>53646</v>
      </c>
      <c r="S28" s="23">
        <v>52494</v>
      </c>
      <c r="T28" s="23">
        <v>49758</v>
      </c>
      <c r="U28" s="23">
        <v>48133</v>
      </c>
      <c r="V28" s="23">
        <v>46456</v>
      </c>
      <c r="W28" s="23">
        <v>47514</v>
      </c>
      <c r="X28" s="23">
        <v>46361</v>
      </c>
      <c r="Y28" s="23">
        <v>44398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32525.999999999996</v>
      </c>
      <c r="E29" s="23">
        <v>27144</v>
      </c>
      <c r="F29" s="23">
        <v>29064</v>
      </c>
      <c r="G29" s="23">
        <v>31669</v>
      </c>
      <c r="H29" s="23">
        <v>34264</v>
      </c>
      <c r="I29" s="23">
        <v>35520</v>
      </c>
      <c r="J29" s="23">
        <v>40916</v>
      </c>
      <c r="K29" s="23">
        <v>46262</v>
      </c>
      <c r="L29" s="23">
        <v>47868</v>
      </c>
      <c r="M29" s="23">
        <v>36499</v>
      </c>
      <c r="N29" s="23">
        <v>35336.000000000007</v>
      </c>
      <c r="O29" s="23">
        <v>36786.999999999993</v>
      </c>
      <c r="P29" s="23">
        <v>32446.000000000004</v>
      </c>
      <c r="Q29" s="23">
        <v>34652</v>
      </c>
      <c r="R29" s="23">
        <v>38152</v>
      </c>
      <c r="S29" s="23">
        <v>39504</v>
      </c>
      <c r="T29" s="23">
        <v>41618.000000000007</v>
      </c>
      <c r="U29" s="23">
        <v>45934</v>
      </c>
      <c r="V29" s="23">
        <v>50726</v>
      </c>
      <c r="W29" s="23">
        <v>52799</v>
      </c>
      <c r="X29" s="23">
        <v>55537</v>
      </c>
      <c r="Y29" s="23">
        <v>59989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31780.000000000011</v>
      </c>
      <c r="E30" s="23">
        <v>35180</v>
      </c>
      <c r="F30" s="23">
        <v>36065</v>
      </c>
      <c r="G30" s="23">
        <v>36352.999999999993</v>
      </c>
      <c r="H30" s="23">
        <v>37607.999999999993</v>
      </c>
      <c r="I30" s="23">
        <v>39527</v>
      </c>
      <c r="J30" s="23">
        <v>42580</v>
      </c>
      <c r="K30" s="23">
        <v>45737</v>
      </c>
      <c r="L30" s="23">
        <v>48765</v>
      </c>
      <c r="M30" s="23">
        <v>47720.000000000007</v>
      </c>
      <c r="N30" s="23">
        <v>47110</v>
      </c>
      <c r="O30" s="23">
        <v>48172</v>
      </c>
      <c r="P30" s="23">
        <v>47414</v>
      </c>
      <c r="Q30" s="23">
        <v>46639</v>
      </c>
      <c r="R30" s="23">
        <v>48361</v>
      </c>
      <c r="S30" s="23">
        <v>50937</v>
      </c>
      <c r="T30" s="23">
        <v>52384.000000000007</v>
      </c>
      <c r="U30" s="23">
        <v>53710.999999999993</v>
      </c>
      <c r="V30" s="23">
        <v>56102</v>
      </c>
      <c r="W30" s="23">
        <v>58314.999999999993</v>
      </c>
      <c r="X30" s="23">
        <v>59409</v>
      </c>
      <c r="Y30" s="23">
        <v>64378.999999999993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21580</v>
      </c>
      <c r="E31" s="23">
        <v>23672</v>
      </c>
      <c r="F31" s="23">
        <v>23042</v>
      </c>
      <c r="G31" s="23">
        <v>22729</v>
      </c>
      <c r="H31" s="23">
        <v>23150</v>
      </c>
      <c r="I31" s="23">
        <v>24615</v>
      </c>
      <c r="J31" s="23">
        <v>27223</v>
      </c>
      <c r="K31" s="23">
        <v>30759</v>
      </c>
      <c r="L31" s="23">
        <v>33864</v>
      </c>
      <c r="M31" s="23">
        <v>32768.999999999993</v>
      </c>
      <c r="N31" s="23">
        <v>31777</v>
      </c>
      <c r="O31" s="23">
        <v>33097</v>
      </c>
      <c r="P31" s="23">
        <v>33848</v>
      </c>
      <c r="Q31" s="23">
        <v>34592.000000000007</v>
      </c>
      <c r="R31" s="23">
        <v>36265.999999999993</v>
      </c>
      <c r="S31" s="23">
        <v>38637</v>
      </c>
      <c r="T31" s="23">
        <v>41353.999999999993</v>
      </c>
      <c r="U31" s="23">
        <v>45439</v>
      </c>
      <c r="V31" s="23">
        <v>49770</v>
      </c>
      <c r="W31" s="23">
        <v>51883</v>
      </c>
      <c r="X31" s="23">
        <v>43372</v>
      </c>
      <c r="Y31" s="23">
        <v>49210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27715.999999999996</v>
      </c>
      <c r="E32" s="23">
        <v>29891.999999999996</v>
      </c>
      <c r="F32" s="23">
        <v>32080.999999999996</v>
      </c>
      <c r="G32" s="23">
        <v>33873.000000000007</v>
      </c>
      <c r="H32" s="23">
        <v>34433</v>
      </c>
      <c r="I32" s="23">
        <v>35132.999999999993</v>
      </c>
      <c r="J32" s="23">
        <v>35815</v>
      </c>
      <c r="K32" s="23">
        <v>37271.999999999985</v>
      </c>
      <c r="L32" s="23">
        <v>39213</v>
      </c>
      <c r="M32" s="23">
        <v>41085.000000000007</v>
      </c>
      <c r="N32" s="23">
        <v>42439</v>
      </c>
      <c r="O32" s="23">
        <v>42645</v>
      </c>
      <c r="P32" s="23">
        <v>43293.999999999993</v>
      </c>
      <c r="Q32" s="23">
        <v>43872</v>
      </c>
      <c r="R32" s="23">
        <v>43875.999999999993</v>
      </c>
      <c r="S32" s="23">
        <v>44041</v>
      </c>
      <c r="T32" s="23">
        <v>44924</v>
      </c>
      <c r="U32" s="23">
        <v>46453</v>
      </c>
      <c r="V32" s="23">
        <v>48376.999999999993</v>
      </c>
      <c r="W32" s="23">
        <v>50768.000000000007</v>
      </c>
      <c r="X32" s="23">
        <v>53035.999999999993</v>
      </c>
      <c r="Y32" s="23">
        <v>55250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18553</v>
      </c>
      <c r="E33" s="23">
        <v>19807</v>
      </c>
      <c r="F33" s="23">
        <v>21331</v>
      </c>
      <c r="G33" s="23">
        <v>22294</v>
      </c>
      <c r="H33" s="23">
        <v>22938</v>
      </c>
      <c r="I33" s="23">
        <v>23706</v>
      </c>
      <c r="J33" s="23">
        <v>24711</v>
      </c>
      <c r="K33" s="23">
        <v>25824</v>
      </c>
      <c r="L33" s="23">
        <v>27529</v>
      </c>
      <c r="M33" s="23">
        <v>28840</v>
      </c>
      <c r="N33" s="23">
        <v>29390</v>
      </c>
      <c r="O33" s="23">
        <v>29619</v>
      </c>
      <c r="P33" s="23">
        <v>29723</v>
      </c>
      <c r="Q33" s="23">
        <v>29927</v>
      </c>
      <c r="R33" s="23">
        <v>30400</v>
      </c>
      <c r="S33" s="23">
        <v>31008</v>
      </c>
      <c r="T33" s="23">
        <v>31949</v>
      </c>
      <c r="U33" s="23">
        <v>32687</v>
      </c>
      <c r="V33" s="23">
        <v>33929</v>
      </c>
      <c r="W33" s="23">
        <v>35117</v>
      </c>
      <c r="X33" s="23">
        <v>36143</v>
      </c>
      <c r="Y33" s="23">
        <v>37841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25219</v>
      </c>
      <c r="E34" s="23">
        <v>28212</v>
      </c>
      <c r="F34" s="23">
        <v>32426.999999999996</v>
      </c>
      <c r="G34" s="23">
        <v>34888</v>
      </c>
      <c r="H34" s="23">
        <v>36668</v>
      </c>
      <c r="I34" s="23">
        <v>37949.999999999993</v>
      </c>
      <c r="J34" s="23">
        <v>39893</v>
      </c>
      <c r="K34" s="23">
        <v>41342</v>
      </c>
      <c r="L34" s="23">
        <v>44485</v>
      </c>
      <c r="M34" s="23">
        <v>48431</v>
      </c>
      <c r="N34" s="23">
        <v>50748</v>
      </c>
      <c r="O34" s="23">
        <v>52176</v>
      </c>
      <c r="P34" s="23">
        <v>54216</v>
      </c>
      <c r="Q34" s="23">
        <v>55431</v>
      </c>
      <c r="R34" s="23">
        <v>56690</v>
      </c>
      <c r="S34" s="23">
        <v>56587</v>
      </c>
      <c r="T34" s="23">
        <v>58541</v>
      </c>
      <c r="U34" s="23">
        <v>59897</v>
      </c>
      <c r="V34" s="23">
        <v>62982</v>
      </c>
      <c r="W34" s="23">
        <v>66954</v>
      </c>
      <c r="X34" s="23">
        <v>65567</v>
      </c>
      <c r="Y34" s="23">
        <v>74935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4312.9999999999991</v>
      </c>
      <c r="E35" s="23">
        <v>4653.9999999999991</v>
      </c>
      <c r="F35" s="23">
        <v>5047.0000000000009</v>
      </c>
      <c r="G35" s="23">
        <v>5254</v>
      </c>
      <c r="H35" s="23">
        <v>5452.9999999999991</v>
      </c>
      <c r="I35" s="23">
        <v>5637</v>
      </c>
      <c r="J35" s="23">
        <v>5899.9999999999991</v>
      </c>
      <c r="K35" s="23">
        <v>6261</v>
      </c>
      <c r="L35" s="23">
        <v>6452</v>
      </c>
      <c r="M35" s="23">
        <v>6546.0000000000009</v>
      </c>
      <c r="N35" s="23">
        <v>6806</v>
      </c>
      <c r="O35" s="23">
        <v>6927</v>
      </c>
      <c r="P35" s="23">
        <v>6841.9999999999991</v>
      </c>
      <c r="Q35" s="23">
        <v>6684.9999999999991</v>
      </c>
      <c r="R35" s="23">
        <v>6831</v>
      </c>
      <c r="S35" s="23">
        <v>7114</v>
      </c>
      <c r="T35" s="23">
        <v>7322</v>
      </c>
      <c r="U35" s="23">
        <v>7495.9999999999991</v>
      </c>
      <c r="V35" s="23">
        <v>7712</v>
      </c>
      <c r="W35" s="23">
        <v>8008.9999999999991</v>
      </c>
      <c r="X35" s="23">
        <v>5151.9999999999991</v>
      </c>
      <c r="Y35" s="23">
        <v>4968.9999999999991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5096</v>
      </c>
      <c r="E36" s="23">
        <v>5418</v>
      </c>
      <c r="F36" s="23">
        <v>5641</v>
      </c>
      <c r="G36" s="23">
        <v>5692</v>
      </c>
      <c r="H36" s="23">
        <v>5756</v>
      </c>
      <c r="I36" s="23">
        <v>5851</v>
      </c>
      <c r="J36" s="23">
        <v>5996</v>
      </c>
      <c r="K36" s="23">
        <v>6303</v>
      </c>
      <c r="L36" s="23">
        <v>6597</v>
      </c>
      <c r="M36" s="23">
        <v>6804</v>
      </c>
      <c r="N36" s="23">
        <v>6986</v>
      </c>
      <c r="O36" s="23">
        <v>7152</v>
      </c>
      <c r="P36" s="23">
        <v>7072</v>
      </c>
      <c r="Q36" s="23">
        <v>6996</v>
      </c>
      <c r="R36" s="23">
        <v>7070</v>
      </c>
      <c r="S36" s="23">
        <v>7060</v>
      </c>
      <c r="T36" s="23">
        <v>7264</v>
      </c>
      <c r="U36" s="23">
        <v>7468</v>
      </c>
      <c r="V36" s="23">
        <v>7794</v>
      </c>
      <c r="W36" s="23">
        <v>8206</v>
      </c>
      <c r="X36" s="23">
        <v>7783</v>
      </c>
      <c r="Y36" s="23">
        <v>8343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72</v>
      </c>
      <c r="E37" s="23">
        <v>88</v>
      </c>
      <c r="F37" s="23">
        <v>115</v>
      </c>
      <c r="G37" s="23">
        <v>146</v>
      </c>
      <c r="H37" s="23">
        <v>197</v>
      </c>
      <c r="I37" s="23">
        <v>232</v>
      </c>
      <c r="J37" s="23">
        <v>272.99999999999994</v>
      </c>
      <c r="K37" s="23">
        <v>281.00000000000006</v>
      </c>
      <c r="L37" s="23">
        <v>323.99999999999994</v>
      </c>
      <c r="M37" s="23">
        <v>377</v>
      </c>
      <c r="N37" s="23">
        <v>430</v>
      </c>
      <c r="O37" s="23">
        <v>449</v>
      </c>
      <c r="P37" s="23">
        <v>490</v>
      </c>
      <c r="Q37" s="23">
        <v>481</v>
      </c>
      <c r="R37" s="23">
        <v>482</v>
      </c>
      <c r="S37" s="23">
        <v>532</v>
      </c>
      <c r="T37" s="23">
        <v>591.00000000000011</v>
      </c>
      <c r="U37" s="23">
        <v>664</v>
      </c>
      <c r="V37" s="23">
        <v>726</v>
      </c>
      <c r="W37" s="23">
        <v>809</v>
      </c>
      <c r="X37" s="23">
        <v>910</v>
      </c>
      <c r="Y37" s="23">
        <v>941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405832.00000000006</v>
      </c>
      <c r="E39" s="30">
        <f t="shared" ref="E39:S39" si="2">SUM(E18:E38)</f>
        <v>430408</v>
      </c>
      <c r="F39" s="30">
        <f t="shared" si="2"/>
        <v>448393.99999999994</v>
      </c>
      <c r="G39" s="30">
        <f t="shared" si="2"/>
        <v>458616.00000000006</v>
      </c>
      <c r="H39" s="30">
        <f t="shared" si="2"/>
        <v>472577.99999999994</v>
      </c>
      <c r="I39" s="30">
        <f t="shared" si="2"/>
        <v>491394.00000000006</v>
      </c>
      <c r="J39" s="30">
        <f t="shared" si="2"/>
        <v>520586.00000000006</v>
      </c>
      <c r="K39" s="30">
        <f t="shared" si="2"/>
        <v>552505</v>
      </c>
      <c r="L39" s="30">
        <f t="shared" si="2"/>
        <v>578387</v>
      </c>
      <c r="M39" s="30">
        <f t="shared" si="2"/>
        <v>561184.99999999988</v>
      </c>
      <c r="N39" s="30">
        <f t="shared" si="2"/>
        <v>574280</v>
      </c>
      <c r="O39" s="30">
        <f t="shared" si="2"/>
        <v>585953</v>
      </c>
      <c r="P39" s="30">
        <f t="shared" si="2"/>
        <v>590316</v>
      </c>
      <c r="Q39" s="30">
        <f t="shared" si="2"/>
        <v>595709</v>
      </c>
      <c r="R39" s="30">
        <f t="shared" si="2"/>
        <v>604814</v>
      </c>
      <c r="S39" s="30">
        <f t="shared" si="2"/>
        <v>620835</v>
      </c>
      <c r="T39" s="30">
        <f t="shared" ref="T39:Y39" si="3">SUM(T18:T38)</f>
        <v>634824</v>
      </c>
      <c r="U39" s="30">
        <f t="shared" si="3"/>
        <v>661566</v>
      </c>
      <c r="V39" s="30">
        <f t="shared" si="3"/>
        <v>692632</v>
      </c>
      <c r="W39" s="30">
        <f t="shared" si="3"/>
        <v>724960</v>
      </c>
      <c r="X39" s="30">
        <f t="shared" si="3"/>
        <v>709628.00000000023</v>
      </c>
      <c r="Y39" s="30">
        <f t="shared" si="3"/>
        <v>774497.00000000012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10294</v>
      </c>
      <c r="E41" s="19">
        <v>10909</v>
      </c>
      <c r="F41" s="19">
        <v>11420</v>
      </c>
      <c r="G41" s="19">
        <v>11770</v>
      </c>
      <c r="H41" s="19">
        <v>11965</v>
      </c>
      <c r="I41" s="19">
        <v>12273</v>
      </c>
      <c r="J41" s="19">
        <v>11176</v>
      </c>
      <c r="K41" s="19">
        <v>11530</v>
      </c>
      <c r="L41" s="19">
        <v>11115</v>
      </c>
      <c r="M41" s="19">
        <v>11682</v>
      </c>
      <c r="N41" s="19">
        <v>11425</v>
      </c>
      <c r="O41" s="19">
        <v>11855</v>
      </c>
      <c r="P41" s="19">
        <v>13067</v>
      </c>
      <c r="Q41" s="19">
        <v>13442</v>
      </c>
      <c r="R41" s="19">
        <v>14228</v>
      </c>
      <c r="S41" s="19">
        <v>14500</v>
      </c>
      <c r="T41" s="19">
        <v>15174</v>
      </c>
      <c r="U41" s="19">
        <v>15726</v>
      </c>
      <c r="V41" s="19">
        <v>16221</v>
      </c>
      <c r="W41" s="19">
        <v>16634</v>
      </c>
      <c r="X41" s="19">
        <v>17305</v>
      </c>
      <c r="Y41" s="19">
        <v>17747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1235</v>
      </c>
      <c r="E42" s="23">
        <v>1181</v>
      </c>
      <c r="F42" s="23">
        <v>1173</v>
      </c>
      <c r="G42" s="23">
        <v>1151.9999999999998</v>
      </c>
      <c r="H42" s="23">
        <v>1007</v>
      </c>
      <c r="I42" s="23">
        <v>1010.9999999999999</v>
      </c>
      <c r="J42" s="23">
        <v>1031.9999999999998</v>
      </c>
      <c r="K42" s="23">
        <v>1120</v>
      </c>
      <c r="L42" s="23">
        <v>1102</v>
      </c>
      <c r="M42" s="23">
        <v>995.99999999999989</v>
      </c>
      <c r="N42" s="23">
        <v>1005.9999999999999</v>
      </c>
      <c r="O42" s="23">
        <v>1078.0000000000002</v>
      </c>
      <c r="P42" s="23">
        <v>1055</v>
      </c>
      <c r="Q42" s="23">
        <v>1077.9999999999998</v>
      </c>
      <c r="R42" s="23">
        <v>1085.0000000000002</v>
      </c>
      <c r="S42" s="23">
        <v>1099</v>
      </c>
      <c r="T42" s="23">
        <v>1140</v>
      </c>
      <c r="U42" s="23">
        <v>1156</v>
      </c>
      <c r="V42" s="23">
        <v>1170</v>
      </c>
      <c r="W42" s="23">
        <v>1185</v>
      </c>
      <c r="X42" s="23">
        <v>1187.0000000000002</v>
      </c>
      <c r="Y42" s="23">
        <v>1402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4973</v>
      </c>
      <c r="E43" s="23">
        <v>5288</v>
      </c>
      <c r="F43" s="23">
        <v>5058</v>
      </c>
      <c r="G43" s="23">
        <v>4889</v>
      </c>
      <c r="H43" s="23">
        <v>4950.0000000000009</v>
      </c>
      <c r="I43" s="23">
        <v>4975</v>
      </c>
      <c r="J43" s="23">
        <v>4954</v>
      </c>
      <c r="K43" s="23">
        <v>5233</v>
      </c>
      <c r="L43" s="23">
        <v>5182.9999999999991</v>
      </c>
      <c r="M43" s="23">
        <v>4792</v>
      </c>
      <c r="N43" s="23">
        <v>4322</v>
      </c>
      <c r="O43" s="23">
        <v>4314.0000000000009</v>
      </c>
      <c r="P43" s="23">
        <v>3960</v>
      </c>
      <c r="Q43" s="23">
        <v>3845</v>
      </c>
      <c r="R43" s="23">
        <v>3892</v>
      </c>
      <c r="S43" s="23">
        <v>3849</v>
      </c>
      <c r="T43" s="23">
        <v>3985</v>
      </c>
      <c r="U43" s="23">
        <v>4120</v>
      </c>
      <c r="V43" s="23">
        <v>4412</v>
      </c>
      <c r="W43" s="23">
        <v>4651.0000000000009</v>
      </c>
      <c r="X43" s="23">
        <v>4633</v>
      </c>
      <c r="Y43" s="23">
        <v>4414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640</v>
      </c>
      <c r="E44" s="23">
        <v>1428</v>
      </c>
      <c r="F44" s="23">
        <v>1019</v>
      </c>
      <c r="G44" s="23">
        <v>1238</v>
      </c>
      <c r="H44" s="23">
        <v>1548</v>
      </c>
      <c r="I44" s="23">
        <v>2165</v>
      </c>
      <c r="J44" s="23">
        <v>1838</v>
      </c>
      <c r="K44" s="23">
        <v>1913</v>
      </c>
      <c r="L44" s="23">
        <v>2301</v>
      </c>
      <c r="M44" s="23">
        <v>1387</v>
      </c>
      <c r="N44" s="23">
        <v>624.00000000000011</v>
      </c>
      <c r="O44" s="23">
        <v>835</v>
      </c>
      <c r="P44" s="23">
        <v>930</v>
      </c>
      <c r="Q44" s="23">
        <v>532.99999999999989</v>
      </c>
      <c r="R44" s="23">
        <v>-339</v>
      </c>
      <c r="S44" s="23">
        <v>1504</v>
      </c>
      <c r="T44" s="23">
        <v>1455</v>
      </c>
      <c r="U44" s="23">
        <v>1541</v>
      </c>
      <c r="V44" s="23">
        <v>1200.9999999999998</v>
      </c>
      <c r="W44" s="23">
        <v>1603</v>
      </c>
      <c r="X44" s="23">
        <v>285</v>
      </c>
      <c r="Y44" s="23">
        <v>1291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6445</v>
      </c>
      <c r="E45" s="23">
        <v>7203</v>
      </c>
      <c r="F45" s="23">
        <v>7864</v>
      </c>
      <c r="G45" s="23">
        <v>7900</v>
      </c>
      <c r="H45" s="23">
        <v>8548</v>
      </c>
      <c r="I45" s="23">
        <v>8848.9999999999982</v>
      </c>
      <c r="J45" s="23">
        <v>9890</v>
      </c>
      <c r="K45" s="23">
        <v>10385</v>
      </c>
      <c r="L45" s="23">
        <v>9870</v>
      </c>
      <c r="M45" s="23">
        <v>7406</v>
      </c>
      <c r="N45" s="23">
        <v>8151</v>
      </c>
      <c r="O45" s="23">
        <v>8902</v>
      </c>
      <c r="P45" s="23">
        <v>8710.9999999999982</v>
      </c>
      <c r="Q45" s="23">
        <v>8120.9999999999991</v>
      </c>
      <c r="R45" s="23">
        <v>8159.0000000000009</v>
      </c>
      <c r="S45" s="23">
        <v>9497</v>
      </c>
      <c r="T45" s="23">
        <v>10278.999999999998</v>
      </c>
      <c r="U45" s="23">
        <v>11273</v>
      </c>
      <c r="V45" s="23">
        <v>12015</v>
      </c>
      <c r="W45" s="23">
        <v>10860</v>
      </c>
      <c r="X45" s="23">
        <v>9795</v>
      </c>
      <c r="Y45" s="23">
        <v>13434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2442</v>
      </c>
      <c r="E46" s="23">
        <v>2768</v>
      </c>
      <c r="F46" s="23">
        <v>3193</v>
      </c>
      <c r="G46" s="23">
        <v>2904</v>
      </c>
      <c r="H46" s="23">
        <v>2734</v>
      </c>
      <c r="I46" s="23">
        <v>2502</v>
      </c>
      <c r="J46" s="23">
        <v>2431.9999999999995</v>
      </c>
      <c r="K46" s="23">
        <v>2696</v>
      </c>
      <c r="L46" s="23">
        <v>2762</v>
      </c>
      <c r="M46" s="23">
        <v>2883</v>
      </c>
      <c r="N46" s="23">
        <v>2861</v>
      </c>
      <c r="O46" s="23">
        <v>2871</v>
      </c>
      <c r="P46" s="23">
        <v>3241</v>
      </c>
      <c r="Q46" s="23">
        <v>2028.0000000000002</v>
      </c>
      <c r="R46" s="23">
        <v>2024</v>
      </c>
      <c r="S46" s="23">
        <v>2423</v>
      </c>
      <c r="T46" s="23">
        <v>2713</v>
      </c>
      <c r="U46" s="23">
        <v>2729</v>
      </c>
      <c r="V46" s="23">
        <v>2615</v>
      </c>
      <c r="W46" s="23">
        <v>2811</v>
      </c>
      <c r="X46" s="23">
        <v>2881</v>
      </c>
      <c r="Y46" s="23">
        <v>3096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3996.0000000000005</v>
      </c>
      <c r="E47" s="23">
        <v>4131</v>
      </c>
      <c r="F47" s="23">
        <v>4207</v>
      </c>
      <c r="G47" s="23">
        <v>4047</v>
      </c>
      <c r="H47" s="23">
        <v>3988</v>
      </c>
      <c r="I47" s="23">
        <v>4009</v>
      </c>
      <c r="J47" s="23">
        <v>4331</v>
      </c>
      <c r="K47" s="23">
        <v>4739</v>
      </c>
      <c r="L47" s="23">
        <v>4740</v>
      </c>
      <c r="M47" s="23">
        <v>4678.0000000000009</v>
      </c>
      <c r="N47" s="23">
        <v>4191</v>
      </c>
      <c r="O47" s="23">
        <v>4383</v>
      </c>
      <c r="P47" s="23">
        <v>4193</v>
      </c>
      <c r="Q47" s="23">
        <v>4179</v>
      </c>
      <c r="R47" s="23">
        <v>4375.9999999999991</v>
      </c>
      <c r="S47" s="23">
        <v>4377</v>
      </c>
      <c r="T47" s="23">
        <v>4842</v>
      </c>
      <c r="U47" s="23">
        <v>4984</v>
      </c>
      <c r="V47" s="23">
        <v>5179</v>
      </c>
      <c r="W47" s="23">
        <v>5340</v>
      </c>
      <c r="X47" s="23">
        <v>5554</v>
      </c>
      <c r="Y47" s="23">
        <v>5726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7019</v>
      </c>
      <c r="E48" s="23">
        <v>6832</v>
      </c>
      <c r="F48" s="23">
        <v>6715</v>
      </c>
      <c r="G48" s="23">
        <v>6659</v>
      </c>
      <c r="H48" s="23">
        <v>7248</v>
      </c>
      <c r="I48" s="23">
        <v>7765</v>
      </c>
      <c r="J48" s="23">
        <v>8187</v>
      </c>
      <c r="K48" s="23">
        <v>8766.9999999999982</v>
      </c>
      <c r="L48" s="23">
        <v>8906</v>
      </c>
      <c r="M48" s="23">
        <v>7498</v>
      </c>
      <c r="N48" s="23">
        <v>7611</v>
      </c>
      <c r="O48" s="23">
        <v>8002</v>
      </c>
      <c r="P48" s="23">
        <v>8123.0000000000009</v>
      </c>
      <c r="Q48" s="23">
        <v>7900</v>
      </c>
      <c r="R48" s="23">
        <v>8501</v>
      </c>
      <c r="S48" s="23">
        <v>8504</v>
      </c>
      <c r="T48" s="23">
        <v>9106</v>
      </c>
      <c r="U48" s="23">
        <v>9190.0000000000018</v>
      </c>
      <c r="V48" s="23">
        <v>9926</v>
      </c>
      <c r="W48" s="23">
        <v>9880</v>
      </c>
      <c r="X48" s="23">
        <v>9238</v>
      </c>
      <c r="Y48" s="23">
        <v>10426.999999999998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5386</v>
      </c>
      <c r="E49" s="23">
        <v>4993</v>
      </c>
      <c r="F49" s="23">
        <v>4001</v>
      </c>
      <c r="G49" s="23">
        <v>3504</v>
      </c>
      <c r="H49" s="23">
        <v>3780</v>
      </c>
      <c r="I49" s="23">
        <v>5139</v>
      </c>
      <c r="J49" s="23">
        <v>5527</v>
      </c>
      <c r="K49" s="23">
        <v>5743</v>
      </c>
      <c r="L49" s="23">
        <v>5045.9999999999991</v>
      </c>
      <c r="M49" s="23">
        <v>4785.9999999999991</v>
      </c>
      <c r="N49" s="23">
        <v>4870</v>
      </c>
      <c r="O49" s="23">
        <v>4485</v>
      </c>
      <c r="P49" s="23">
        <v>4298</v>
      </c>
      <c r="Q49" s="23">
        <v>4277</v>
      </c>
      <c r="R49" s="23">
        <v>4292.0000000000009</v>
      </c>
      <c r="S49" s="23">
        <v>4743</v>
      </c>
      <c r="T49" s="23">
        <v>3848</v>
      </c>
      <c r="U49" s="23">
        <v>4012</v>
      </c>
      <c r="V49" s="23">
        <v>4532</v>
      </c>
      <c r="W49" s="23">
        <v>4387.0000000000009</v>
      </c>
      <c r="X49" s="23">
        <v>4102</v>
      </c>
      <c r="Y49" s="23">
        <v>4331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2967</v>
      </c>
      <c r="E50" s="23">
        <v>2718</v>
      </c>
      <c r="F50" s="23">
        <v>2216</v>
      </c>
      <c r="G50" s="23">
        <v>2254.0000000000005</v>
      </c>
      <c r="H50" s="23">
        <v>2137</v>
      </c>
      <c r="I50" s="23">
        <v>1847</v>
      </c>
      <c r="J50" s="23">
        <v>2177</v>
      </c>
      <c r="K50" s="23">
        <v>2514</v>
      </c>
      <c r="L50" s="23">
        <v>2711</v>
      </c>
      <c r="M50" s="23">
        <v>1982</v>
      </c>
      <c r="N50" s="23">
        <v>1886</v>
      </c>
      <c r="O50" s="23">
        <v>2277</v>
      </c>
      <c r="P50" s="23">
        <v>2282.9999999999995</v>
      </c>
      <c r="Q50" s="23">
        <v>2327</v>
      </c>
      <c r="R50" s="23">
        <v>2320</v>
      </c>
      <c r="S50" s="23">
        <v>2611</v>
      </c>
      <c r="T50" s="23">
        <v>2869</v>
      </c>
      <c r="U50" s="23">
        <v>2972</v>
      </c>
      <c r="V50" s="23">
        <v>2933</v>
      </c>
      <c r="W50" s="23">
        <v>3180</v>
      </c>
      <c r="X50" s="23">
        <v>3449</v>
      </c>
      <c r="Y50" s="23">
        <v>3536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4712.0000000000009</v>
      </c>
      <c r="E51" s="23">
        <v>4741</v>
      </c>
      <c r="F51" s="23">
        <v>4794</v>
      </c>
      <c r="G51" s="23">
        <v>4995</v>
      </c>
      <c r="H51" s="23">
        <v>5706</v>
      </c>
      <c r="I51" s="23">
        <v>5797</v>
      </c>
      <c r="J51" s="23">
        <v>6604</v>
      </c>
      <c r="K51" s="23">
        <v>7251</v>
      </c>
      <c r="L51" s="23">
        <v>7358</v>
      </c>
      <c r="M51" s="23">
        <v>6307</v>
      </c>
      <c r="N51" s="23">
        <v>8179.9999999999991</v>
      </c>
      <c r="O51" s="23">
        <v>9253.9999999999982</v>
      </c>
      <c r="P51" s="23">
        <v>8444</v>
      </c>
      <c r="Q51" s="23">
        <v>8809</v>
      </c>
      <c r="R51" s="23">
        <v>9607</v>
      </c>
      <c r="S51" s="23">
        <v>9635</v>
      </c>
      <c r="T51" s="23">
        <v>9649</v>
      </c>
      <c r="U51" s="23">
        <v>11109</v>
      </c>
      <c r="V51" s="23">
        <v>12022</v>
      </c>
      <c r="W51" s="23">
        <v>13477</v>
      </c>
      <c r="X51" s="23">
        <v>14602</v>
      </c>
      <c r="Y51" s="23">
        <v>17465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3074</v>
      </c>
      <c r="E52" s="23">
        <v>3512</v>
      </c>
      <c r="F52" s="23">
        <v>3532</v>
      </c>
      <c r="G52" s="23">
        <v>3535</v>
      </c>
      <c r="H52" s="23">
        <v>3728.9999999999995</v>
      </c>
      <c r="I52" s="23">
        <v>3608</v>
      </c>
      <c r="J52" s="23">
        <v>3627</v>
      </c>
      <c r="K52" s="23">
        <v>4290.0000000000009</v>
      </c>
      <c r="L52" s="23">
        <v>4560</v>
      </c>
      <c r="M52" s="23">
        <v>3117</v>
      </c>
      <c r="N52" s="23">
        <v>3639</v>
      </c>
      <c r="O52" s="23">
        <v>3648</v>
      </c>
      <c r="P52" s="23">
        <v>3250</v>
      </c>
      <c r="Q52" s="23">
        <v>3322</v>
      </c>
      <c r="R52" s="23">
        <v>3237</v>
      </c>
      <c r="S52" s="23">
        <v>3516</v>
      </c>
      <c r="T52" s="23">
        <v>3551</v>
      </c>
      <c r="U52" s="23">
        <v>4118</v>
      </c>
      <c r="V52" s="23">
        <v>4312.9999999999991</v>
      </c>
      <c r="W52" s="23">
        <v>4484.9999999999991</v>
      </c>
      <c r="X52" s="23">
        <v>4235</v>
      </c>
      <c r="Y52" s="23">
        <v>4345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7174.0000000000537</v>
      </c>
      <c r="E53" s="23">
        <v>7534.0000000000373</v>
      </c>
      <c r="F53" s="23">
        <v>7661.9999999999873</v>
      </c>
      <c r="G53" s="23">
        <v>7598.0000000000609</v>
      </c>
      <c r="H53" s="23">
        <v>7584.9999999999745</v>
      </c>
      <c r="I53" s="23">
        <v>7829.0000000000373</v>
      </c>
      <c r="J53" s="23">
        <v>7955.00000000005</v>
      </c>
      <c r="K53" s="23">
        <v>8148.9999999999945</v>
      </c>
      <c r="L53" s="23">
        <v>8503.9999999999818</v>
      </c>
      <c r="M53" s="23">
        <v>8115.9999999999136</v>
      </c>
      <c r="N53" s="23">
        <v>8151.9999999999882</v>
      </c>
      <c r="O53" s="23">
        <v>8355.0000000000637</v>
      </c>
      <c r="P53" s="23">
        <v>8541.9999999999654</v>
      </c>
      <c r="Q53" s="23">
        <v>8087.9999999999918</v>
      </c>
      <c r="R53" s="23">
        <v>8195.99999999998</v>
      </c>
      <c r="S53" s="23">
        <v>8275</v>
      </c>
      <c r="T53" s="23">
        <v>8250.9999999999309</v>
      </c>
      <c r="U53" s="23">
        <v>8653.0000000000309</v>
      </c>
      <c r="V53" s="23">
        <v>9042.0000000000437</v>
      </c>
      <c r="W53" s="23">
        <v>9109.0000000000091</v>
      </c>
      <c r="X53" s="23">
        <v>8970.0000000001601</v>
      </c>
      <c r="Y53" s="23">
        <v>9349.0000000000855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60357.000000000051</v>
      </c>
      <c r="E54" s="30">
        <f t="shared" ref="E54:S54" si="4">SUM(E41:E53)</f>
        <v>63238.000000000036</v>
      </c>
      <c r="F54" s="30">
        <f t="shared" si="4"/>
        <v>62853.999999999985</v>
      </c>
      <c r="G54" s="30">
        <f t="shared" si="4"/>
        <v>62445.000000000058</v>
      </c>
      <c r="H54" s="30">
        <f t="shared" si="4"/>
        <v>64924.999999999971</v>
      </c>
      <c r="I54" s="30">
        <f t="shared" si="4"/>
        <v>67769.000000000044</v>
      </c>
      <c r="J54" s="30">
        <f t="shared" si="4"/>
        <v>69730.000000000044</v>
      </c>
      <c r="K54" s="30">
        <f t="shared" si="4"/>
        <v>74330</v>
      </c>
      <c r="L54" s="30">
        <f t="shared" si="4"/>
        <v>74157.999999999985</v>
      </c>
      <c r="M54" s="30">
        <f t="shared" si="4"/>
        <v>65629.999999999913</v>
      </c>
      <c r="N54" s="30">
        <f t="shared" si="4"/>
        <v>66917.999999999985</v>
      </c>
      <c r="O54" s="30">
        <f t="shared" si="4"/>
        <v>70259.000000000058</v>
      </c>
      <c r="P54" s="30">
        <f t="shared" si="4"/>
        <v>70096.999999999971</v>
      </c>
      <c r="Q54" s="30">
        <f t="shared" si="4"/>
        <v>67948.999999999985</v>
      </c>
      <c r="R54" s="30">
        <f t="shared" si="4"/>
        <v>69577.999999999985</v>
      </c>
      <c r="S54" s="30">
        <f t="shared" si="4"/>
        <v>74533</v>
      </c>
      <c r="T54" s="30">
        <f t="shared" ref="T54:Y54" si="5">SUM(T41:T53)</f>
        <v>76861.999999999927</v>
      </c>
      <c r="U54" s="30">
        <f t="shared" si="5"/>
        <v>81583.000000000029</v>
      </c>
      <c r="V54" s="30">
        <f t="shared" si="5"/>
        <v>85581.000000000044</v>
      </c>
      <c r="W54" s="30">
        <f t="shared" si="5"/>
        <v>87602.000000000015</v>
      </c>
      <c r="X54" s="30">
        <f t="shared" si="5"/>
        <v>86236.00000000016</v>
      </c>
      <c r="Y54" s="30">
        <f t="shared" si="5"/>
        <v>96563.000000000087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10294</v>
      </c>
      <c r="E56" s="19">
        <v>10909</v>
      </c>
      <c r="F56" s="19">
        <v>11420</v>
      </c>
      <c r="G56" s="19">
        <v>11770</v>
      </c>
      <c r="H56" s="19">
        <v>11965</v>
      </c>
      <c r="I56" s="19">
        <v>12273</v>
      </c>
      <c r="J56" s="19">
        <v>11176</v>
      </c>
      <c r="K56" s="19">
        <v>11530</v>
      </c>
      <c r="L56" s="19">
        <v>11115</v>
      </c>
      <c r="M56" s="19">
        <v>11682</v>
      </c>
      <c r="N56" s="19">
        <v>11425</v>
      </c>
      <c r="O56" s="19">
        <v>11855</v>
      </c>
      <c r="P56" s="19">
        <v>13067</v>
      </c>
      <c r="Q56" s="19">
        <v>13442</v>
      </c>
      <c r="R56" s="19">
        <v>14228</v>
      </c>
      <c r="S56" s="19">
        <v>14500</v>
      </c>
      <c r="T56" s="19">
        <v>15174</v>
      </c>
      <c r="U56" s="19">
        <v>15726</v>
      </c>
      <c r="V56" s="19">
        <v>16221</v>
      </c>
      <c r="W56" s="19">
        <v>16634</v>
      </c>
      <c r="X56" s="19">
        <v>17305</v>
      </c>
      <c r="Y56" s="19">
        <v>17747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1235</v>
      </c>
      <c r="E57" s="23">
        <v>1181</v>
      </c>
      <c r="F57" s="23">
        <v>1173</v>
      </c>
      <c r="G57" s="23">
        <v>1151.9999999999998</v>
      </c>
      <c r="H57" s="23">
        <v>1007</v>
      </c>
      <c r="I57" s="23">
        <v>1010.9999999999999</v>
      </c>
      <c r="J57" s="23">
        <v>1031.9999999999998</v>
      </c>
      <c r="K57" s="23">
        <v>1120</v>
      </c>
      <c r="L57" s="23">
        <v>1102</v>
      </c>
      <c r="M57" s="23">
        <v>995.99999999999989</v>
      </c>
      <c r="N57" s="23">
        <v>1005.9999999999999</v>
      </c>
      <c r="O57" s="23">
        <v>1078.0000000000002</v>
      </c>
      <c r="P57" s="23">
        <v>1055</v>
      </c>
      <c r="Q57" s="23">
        <v>1077.9999999999998</v>
      </c>
      <c r="R57" s="23">
        <v>1085.0000000000002</v>
      </c>
      <c r="S57" s="23">
        <v>1099</v>
      </c>
      <c r="T57" s="23">
        <v>1140</v>
      </c>
      <c r="U57" s="23">
        <v>1156</v>
      </c>
      <c r="V57" s="23">
        <v>1170</v>
      </c>
      <c r="W57" s="23">
        <v>1185</v>
      </c>
      <c r="X57" s="23">
        <v>1187.0000000000002</v>
      </c>
      <c r="Y57" s="23">
        <v>1402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934</v>
      </c>
      <c r="E58" s="23">
        <v>1056</v>
      </c>
      <c r="F58" s="23">
        <v>905</v>
      </c>
      <c r="G58" s="23">
        <v>969</v>
      </c>
      <c r="H58" s="23">
        <v>972</v>
      </c>
      <c r="I58" s="23">
        <v>951</v>
      </c>
      <c r="J58" s="23">
        <v>953</v>
      </c>
      <c r="K58" s="23">
        <v>1023</v>
      </c>
      <c r="L58" s="23">
        <v>1108.9999999999998</v>
      </c>
      <c r="M58" s="23">
        <v>976</v>
      </c>
      <c r="N58" s="23">
        <v>807</v>
      </c>
      <c r="O58" s="23">
        <v>846</v>
      </c>
      <c r="P58" s="23">
        <v>757</v>
      </c>
      <c r="Q58" s="23">
        <v>660</v>
      </c>
      <c r="R58" s="23">
        <v>692</v>
      </c>
      <c r="S58" s="23">
        <v>792</v>
      </c>
      <c r="T58" s="23">
        <v>895</v>
      </c>
      <c r="U58" s="23">
        <v>990</v>
      </c>
      <c r="V58" s="23">
        <v>1094</v>
      </c>
      <c r="W58" s="23">
        <v>1216.0000000000002</v>
      </c>
      <c r="X58" s="23">
        <v>1273</v>
      </c>
      <c r="Y58" s="23">
        <v>1419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1405</v>
      </c>
      <c r="E59" s="23">
        <v>1595</v>
      </c>
      <c r="F59" s="23">
        <v>1676</v>
      </c>
      <c r="G59" s="23">
        <v>1643</v>
      </c>
      <c r="H59" s="23">
        <v>1697</v>
      </c>
      <c r="I59" s="23">
        <v>1631</v>
      </c>
      <c r="J59" s="23">
        <v>1696</v>
      </c>
      <c r="K59" s="23">
        <v>1827</v>
      </c>
      <c r="L59" s="23">
        <v>1731</v>
      </c>
      <c r="M59" s="23">
        <v>1590</v>
      </c>
      <c r="N59" s="23">
        <v>1567</v>
      </c>
      <c r="O59" s="23">
        <v>1578</v>
      </c>
      <c r="P59" s="23">
        <v>1418</v>
      </c>
      <c r="Q59" s="23">
        <v>1500</v>
      </c>
      <c r="R59" s="23">
        <v>1653</v>
      </c>
      <c r="S59" s="23">
        <v>1607</v>
      </c>
      <c r="T59" s="23">
        <v>1687</v>
      </c>
      <c r="U59" s="23">
        <v>1760</v>
      </c>
      <c r="V59" s="23">
        <v>1957</v>
      </c>
      <c r="W59" s="23">
        <v>2178</v>
      </c>
      <c r="X59" s="23">
        <v>2180</v>
      </c>
      <c r="Y59" s="23">
        <v>1774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2634</v>
      </c>
      <c r="E60" s="23">
        <v>2637</v>
      </c>
      <c r="F60" s="23">
        <v>2477</v>
      </c>
      <c r="G60" s="23">
        <v>2276.9999999999995</v>
      </c>
      <c r="H60" s="23">
        <v>2281.0000000000014</v>
      </c>
      <c r="I60" s="23">
        <v>2392.9999999999995</v>
      </c>
      <c r="J60" s="23">
        <v>2304.9999999999995</v>
      </c>
      <c r="K60" s="23">
        <v>2383</v>
      </c>
      <c r="L60" s="23">
        <v>2342.9999999999991</v>
      </c>
      <c r="M60" s="23">
        <v>2226</v>
      </c>
      <c r="N60" s="23">
        <v>1948</v>
      </c>
      <c r="O60" s="23">
        <v>1890.0000000000007</v>
      </c>
      <c r="P60" s="23">
        <v>1785.0000000000002</v>
      </c>
      <c r="Q60" s="23">
        <v>1684.9999999999998</v>
      </c>
      <c r="R60" s="23">
        <v>1547</v>
      </c>
      <c r="S60" s="23">
        <v>1450</v>
      </c>
      <c r="T60" s="23">
        <v>1403</v>
      </c>
      <c r="U60" s="23">
        <v>1370.0000000000002</v>
      </c>
      <c r="V60" s="23">
        <v>1361.0000000000002</v>
      </c>
      <c r="W60" s="23">
        <v>1257.0000000000002</v>
      </c>
      <c r="X60" s="23">
        <v>1179.9999999999998</v>
      </c>
      <c r="Y60" s="23">
        <v>1221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640</v>
      </c>
      <c r="E61" s="23">
        <v>1428</v>
      </c>
      <c r="F61" s="23">
        <v>1019</v>
      </c>
      <c r="G61" s="23">
        <v>1238</v>
      </c>
      <c r="H61" s="23">
        <v>1548</v>
      </c>
      <c r="I61" s="23">
        <v>2165</v>
      </c>
      <c r="J61" s="23">
        <v>1838</v>
      </c>
      <c r="K61" s="23">
        <v>1913</v>
      </c>
      <c r="L61" s="23">
        <v>2301</v>
      </c>
      <c r="M61" s="23">
        <v>1387</v>
      </c>
      <c r="N61" s="23">
        <v>624.00000000000011</v>
      </c>
      <c r="O61" s="23">
        <v>835</v>
      </c>
      <c r="P61" s="23">
        <v>930</v>
      </c>
      <c r="Q61" s="23">
        <v>532.99999999999989</v>
      </c>
      <c r="R61" s="23">
        <v>-339</v>
      </c>
      <c r="S61" s="23">
        <v>1504</v>
      </c>
      <c r="T61" s="23">
        <v>1455</v>
      </c>
      <c r="U61" s="23">
        <v>1541</v>
      </c>
      <c r="V61" s="23">
        <v>1200.9999999999998</v>
      </c>
      <c r="W61" s="23">
        <v>1603</v>
      </c>
      <c r="X61" s="23">
        <v>285</v>
      </c>
      <c r="Y61" s="23">
        <v>1291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6445</v>
      </c>
      <c r="E62" s="23">
        <v>7203</v>
      </c>
      <c r="F62" s="23">
        <v>7864</v>
      </c>
      <c r="G62" s="23">
        <v>7900</v>
      </c>
      <c r="H62" s="23">
        <v>8548</v>
      </c>
      <c r="I62" s="23">
        <v>8848.9999999999982</v>
      </c>
      <c r="J62" s="23">
        <v>9890</v>
      </c>
      <c r="K62" s="23">
        <v>10385</v>
      </c>
      <c r="L62" s="23">
        <v>9870</v>
      </c>
      <c r="M62" s="23">
        <v>7406</v>
      </c>
      <c r="N62" s="23">
        <v>8151</v>
      </c>
      <c r="O62" s="23">
        <v>8902</v>
      </c>
      <c r="P62" s="23">
        <v>8710.9999999999982</v>
      </c>
      <c r="Q62" s="23">
        <v>8120.9999999999991</v>
      </c>
      <c r="R62" s="23">
        <v>8159.0000000000009</v>
      </c>
      <c r="S62" s="23">
        <v>9497</v>
      </c>
      <c r="T62" s="23">
        <v>10278.999999999998</v>
      </c>
      <c r="U62" s="23">
        <v>11273</v>
      </c>
      <c r="V62" s="23">
        <v>12015</v>
      </c>
      <c r="W62" s="23">
        <v>10860</v>
      </c>
      <c r="X62" s="23">
        <v>9795</v>
      </c>
      <c r="Y62" s="23">
        <v>13434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2442</v>
      </c>
      <c r="E63" s="23">
        <v>2768</v>
      </c>
      <c r="F63" s="23">
        <v>3193</v>
      </c>
      <c r="G63" s="23">
        <v>2904</v>
      </c>
      <c r="H63" s="23">
        <v>2734</v>
      </c>
      <c r="I63" s="23">
        <v>2502</v>
      </c>
      <c r="J63" s="23">
        <v>2431.9999999999995</v>
      </c>
      <c r="K63" s="23">
        <v>2696</v>
      </c>
      <c r="L63" s="23">
        <v>2762</v>
      </c>
      <c r="M63" s="23">
        <v>2883</v>
      </c>
      <c r="N63" s="23">
        <v>2861</v>
      </c>
      <c r="O63" s="23">
        <v>2871</v>
      </c>
      <c r="P63" s="23">
        <v>3241</v>
      </c>
      <c r="Q63" s="23">
        <v>2028.0000000000002</v>
      </c>
      <c r="R63" s="23">
        <v>2024</v>
      </c>
      <c r="S63" s="23">
        <v>2423</v>
      </c>
      <c r="T63" s="23">
        <v>2713</v>
      </c>
      <c r="U63" s="23">
        <v>2729</v>
      </c>
      <c r="V63" s="23">
        <v>2615</v>
      </c>
      <c r="W63" s="23">
        <v>2811</v>
      </c>
      <c r="X63" s="23">
        <v>2881</v>
      </c>
      <c r="Y63" s="23">
        <v>3096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2115.0000000000005</v>
      </c>
      <c r="E64" s="23">
        <v>2205</v>
      </c>
      <c r="F64" s="23">
        <v>2311</v>
      </c>
      <c r="G64" s="23">
        <v>2290</v>
      </c>
      <c r="H64" s="23">
        <v>2223</v>
      </c>
      <c r="I64" s="23">
        <v>2278</v>
      </c>
      <c r="J64" s="23">
        <v>2399</v>
      </c>
      <c r="K64" s="23">
        <v>2567</v>
      </c>
      <c r="L64" s="23">
        <v>2528</v>
      </c>
      <c r="M64" s="23">
        <v>2540</v>
      </c>
      <c r="N64" s="23">
        <v>2307.0000000000005</v>
      </c>
      <c r="O64" s="23">
        <v>2399</v>
      </c>
      <c r="P64" s="23">
        <v>2452</v>
      </c>
      <c r="Q64" s="23">
        <v>2500</v>
      </c>
      <c r="R64" s="23">
        <v>2760</v>
      </c>
      <c r="S64" s="23">
        <v>2746</v>
      </c>
      <c r="T64" s="23">
        <v>2987</v>
      </c>
      <c r="U64" s="23">
        <v>3039</v>
      </c>
      <c r="V64" s="23">
        <v>3048</v>
      </c>
      <c r="W64" s="23">
        <v>3111</v>
      </c>
      <c r="X64" s="23">
        <v>3207</v>
      </c>
      <c r="Y64" s="23">
        <v>3364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1881</v>
      </c>
      <c r="E65" s="23">
        <v>1926.0000000000002</v>
      </c>
      <c r="F65" s="23">
        <v>1895.9999999999998</v>
      </c>
      <c r="G65" s="23">
        <v>1756.9999999999998</v>
      </c>
      <c r="H65" s="23">
        <v>1765</v>
      </c>
      <c r="I65" s="23">
        <v>1731.0000000000002</v>
      </c>
      <c r="J65" s="23">
        <v>1932</v>
      </c>
      <c r="K65" s="23">
        <v>2171.9999999999995</v>
      </c>
      <c r="L65" s="23">
        <v>2212</v>
      </c>
      <c r="M65" s="23">
        <v>2138.0000000000005</v>
      </c>
      <c r="N65" s="23">
        <v>1884</v>
      </c>
      <c r="O65" s="23">
        <v>1984</v>
      </c>
      <c r="P65" s="23">
        <v>1741.0000000000002</v>
      </c>
      <c r="Q65" s="23">
        <v>1679</v>
      </c>
      <c r="R65" s="23">
        <v>1615.9999999999993</v>
      </c>
      <c r="S65" s="23">
        <v>1631</v>
      </c>
      <c r="T65" s="23">
        <v>1854.9999999999998</v>
      </c>
      <c r="U65" s="23">
        <v>1945</v>
      </c>
      <c r="V65" s="23">
        <v>2131</v>
      </c>
      <c r="W65" s="23">
        <v>2229</v>
      </c>
      <c r="X65" s="23">
        <v>2347</v>
      </c>
      <c r="Y65" s="23">
        <v>2361.9999999999995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1931</v>
      </c>
      <c r="E66" s="23">
        <v>1680</v>
      </c>
      <c r="F66" s="23">
        <v>1732</v>
      </c>
      <c r="G66" s="23">
        <v>1831</v>
      </c>
      <c r="H66" s="23">
        <v>2352.9999999999995</v>
      </c>
      <c r="I66" s="23">
        <v>2586</v>
      </c>
      <c r="J66" s="23">
        <v>2842</v>
      </c>
      <c r="K66" s="23">
        <v>2999</v>
      </c>
      <c r="L66" s="23">
        <v>2697</v>
      </c>
      <c r="M66" s="23">
        <v>1716</v>
      </c>
      <c r="N66" s="23">
        <v>1764</v>
      </c>
      <c r="O66" s="23">
        <v>1740</v>
      </c>
      <c r="P66" s="23">
        <v>1856</v>
      </c>
      <c r="Q66" s="23">
        <v>1823</v>
      </c>
      <c r="R66" s="23">
        <v>2118.9999999999995</v>
      </c>
      <c r="S66" s="23">
        <v>1867</v>
      </c>
      <c r="T66" s="23">
        <v>2113</v>
      </c>
      <c r="U66" s="23">
        <v>2162.9999999999995</v>
      </c>
      <c r="V66" s="23">
        <v>2431.0000000000005</v>
      </c>
      <c r="W66" s="23">
        <v>2046</v>
      </c>
      <c r="X66" s="23">
        <v>1749</v>
      </c>
      <c r="Y66" s="23">
        <v>2617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5087.9999999999991</v>
      </c>
      <c r="E67" s="23">
        <v>5152.0000000000009</v>
      </c>
      <c r="F67" s="23">
        <v>4983</v>
      </c>
      <c r="G67" s="23">
        <v>4828</v>
      </c>
      <c r="H67" s="23">
        <v>4895</v>
      </c>
      <c r="I67" s="23">
        <v>5179</v>
      </c>
      <c r="J67" s="23">
        <v>5345</v>
      </c>
      <c r="K67" s="23">
        <v>5768</v>
      </c>
      <c r="L67" s="23">
        <v>6209</v>
      </c>
      <c r="M67" s="23">
        <v>5781.9999999999991</v>
      </c>
      <c r="N67" s="23">
        <v>5847.0000000000009</v>
      </c>
      <c r="O67" s="23">
        <v>6262</v>
      </c>
      <c r="P67" s="23">
        <v>6267.0000000000009</v>
      </c>
      <c r="Q67" s="23">
        <v>6077</v>
      </c>
      <c r="R67" s="23">
        <v>6382.0000000000009</v>
      </c>
      <c r="S67" s="23">
        <v>6637</v>
      </c>
      <c r="T67" s="23">
        <v>6992.9999999999991</v>
      </c>
      <c r="U67" s="23">
        <v>7027.0000000000009</v>
      </c>
      <c r="V67" s="23">
        <v>7495</v>
      </c>
      <c r="W67" s="23">
        <v>7834</v>
      </c>
      <c r="X67" s="23">
        <v>7489</v>
      </c>
      <c r="Y67" s="23">
        <v>7809.9999999999991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5386</v>
      </c>
      <c r="E68" s="23">
        <v>4993</v>
      </c>
      <c r="F68" s="23">
        <v>4001</v>
      </c>
      <c r="G68" s="23">
        <v>3504</v>
      </c>
      <c r="H68" s="23">
        <v>3780</v>
      </c>
      <c r="I68" s="23">
        <v>5139</v>
      </c>
      <c r="J68" s="23">
        <v>5527</v>
      </c>
      <c r="K68" s="23">
        <v>5743</v>
      </c>
      <c r="L68" s="23">
        <v>5045.9999999999991</v>
      </c>
      <c r="M68" s="23">
        <v>4785.9999999999991</v>
      </c>
      <c r="N68" s="23">
        <v>4870</v>
      </c>
      <c r="O68" s="23">
        <v>4485</v>
      </c>
      <c r="P68" s="23">
        <v>4298</v>
      </c>
      <c r="Q68" s="23">
        <v>4277</v>
      </c>
      <c r="R68" s="23">
        <v>4292.0000000000009</v>
      </c>
      <c r="S68" s="23">
        <v>4743</v>
      </c>
      <c r="T68" s="23">
        <v>3848</v>
      </c>
      <c r="U68" s="23">
        <v>4012</v>
      </c>
      <c r="V68" s="23">
        <v>4532</v>
      </c>
      <c r="W68" s="23">
        <v>4387.0000000000009</v>
      </c>
      <c r="X68" s="23">
        <v>4102</v>
      </c>
      <c r="Y68" s="23">
        <v>4331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2967</v>
      </c>
      <c r="E69" s="23">
        <v>2718</v>
      </c>
      <c r="F69" s="23">
        <v>2216</v>
      </c>
      <c r="G69" s="23">
        <v>2254.0000000000005</v>
      </c>
      <c r="H69" s="23">
        <v>2137</v>
      </c>
      <c r="I69" s="23">
        <v>1847</v>
      </c>
      <c r="J69" s="23">
        <v>2177</v>
      </c>
      <c r="K69" s="23">
        <v>2514</v>
      </c>
      <c r="L69" s="23">
        <v>2711</v>
      </c>
      <c r="M69" s="23">
        <v>1982</v>
      </c>
      <c r="N69" s="23">
        <v>1886</v>
      </c>
      <c r="O69" s="23">
        <v>2277</v>
      </c>
      <c r="P69" s="23">
        <v>2282.9999999999995</v>
      </c>
      <c r="Q69" s="23">
        <v>2327</v>
      </c>
      <c r="R69" s="23">
        <v>2320</v>
      </c>
      <c r="S69" s="23">
        <v>2611</v>
      </c>
      <c r="T69" s="23">
        <v>2869</v>
      </c>
      <c r="U69" s="23">
        <v>2972</v>
      </c>
      <c r="V69" s="23">
        <v>2933</v>
      </c>
      <c r="W69" s="23">
        <v>3180</v>
      </c>
      <c r="X69" s="23">
        <v>3449</v>
      </c>
      <c r="Y69" s="23">
        <v>3536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4712.0000000000009</v>
      </c>
      <c r="E70" s="23">
        <v>4741</v>
      </c>
      <c r="F70" s="23">
        <v>4794</v>
      </c>
      <c r="G70" s="23">
        <v>4995</v>
      </c>
      <c r="H70" s="23">
        <v>5706</v>
      </c>
      <c r="I70" s="23">
        <v>5797</v>
      </c>
      <c r="J70" s="23">
        <v>6604</v>
      </c>
      <c r="K70" s="23">
        <v>7251</v>
      </c>
      <c r="L70" s="23">
        <v>7358</v>
      </c>
      <c r="M70" s="23">
        <v>6307</v>
      </c>
      <c r="N70" s="23">
        <v>8179.9999999999991</v>
      </c>
      <c r="O70" s="23">
        <v>9253.9999999999982</v>
      </c>
      <c r="P70" s="23">
        <v>8444</v>
      </c>
      <c r="Q70" s="23">
        <v>8809</v>
      </c>
      <c r="R70" s="23">
        <v>9607</v>
      </c>
      <c r="S70" s="23">
        <v>9635</v>
      </c>
      <c r="T70" s="23">
        <v>9649</v>
      </c>
      <c r="U70" s="23">
        <v>11109</v>
      </c>
      <c r="V70" s="23">
        <v>12022</v>
      </c>
      <c r="W70" s="23">
        <v>13477</v>
      </c>
      <c r="X70" s="23">
        <v>14602</v>
      </c>
      <c r="Y70" s="23">
        <v>17465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2185</v>
      </c>
      <c r="E71" s="23">
        <v>2047</v>
      </c>
      <c r="F71" s="23">
        <v>1999</v>
      </c>
      <c r="G71" s="23">
        <v>2070</v>
      </c>
      <c r="H71" s="23">
        <v>2222</v>
      </c>
      <c r="I71" s="23">
        <v>2084</v>
      </c>
      <c r="J71" s="23">
        <v>2157.9999999999995</v>
      </c>
      <c r="K71" s="23">
        <v>2386</v>
      </c>
      <c r="L71" s="23">
        <v>2480.0000000000005</v>
      </c>
      <c r="M71" s="23">
        <v>1168.9999999999998</v>
      </c>
      <c r="N71" s="23">
        <v>1753</v>
      </c>
      <c r="O71" s="23">
        <v>2119.0000000000005</v>
      </c>
      <c r="P71" s="23">
        <v>1802</v>
      </c>
      <c r="Q71" s="23">
        <v>1749</v>
      </c>
      <c r="R71" s="23">
        <v>1715</v>
      </c>
      <c r="S71" s="23">
        <v>2082</v>
      </c>
      <c r="T71" s="23">
        <v>2227</v>
      </c>
      <c r="U71" s="23">
        <v>2594.9999999999995</v>
      </c>
      <c r="V71" s="23">
        <v>2953</v>
      </c>
      <c r="W71" s="23">
        <v>3004</v>
      </c>
      <c r="X71" s="23">
        <v>2684</v>
      </c>
      <c r="Y71" s="23">
        <v>2882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888.99999999999989</v>
      </c>
      <c r="E72" s="23">
        <v>1465.0000000000002</v>
      </c>
      <c r="F72" s="23">
        <v>1533</v>
      </c>
      <c r="G72" s="23">
        <v>1465</v>
      </c>
      <c r="H72" s="23">
        <v>1506.9999999999998</v>
      </c>
      <c r="I72" s="23">
        <v>1524</v>
      </c>
      <c r="J72" s="23">
        <v>1469</v>
      </c>
      <c r="K72" s="23">
        <v>1904.0000000000002</v>
      </c>
      <c r="L72" s="23">
        <v>2079.9999999999995</v>
      </c>
      <c r="M72" s="23">
        <v>1948</v>
      </c>
      <c r="N72" s="23">
        <v>1886.0000000000002</v>
      </c>
      <c r="O72" s="23">
        <v>1529</v>
      </c>
      <c r="P72" s="23">
        <v>1448</v>
      </c>
      <c r="Q72" s="23">
        <v>1573</v>
      </c>
      <c r="R72" s="23">
        <v>1522</v>
      </c>
      <c r="S72" s="23">
        <v>1434</v>
      </c>
      <c r="T72" s="23">
        <v>1324</v>
      </c>
      <c r="U72" s="23">
        <v>1523.0000000000002</v>
      </c>
      <c r="V72" s="23">
        <v>1359.9999999999998</v>
      </c>
      <c r="W72" s="23">
        <v>1480.9999999999993</v>
      </c>
      <c r="X72" s="23">
        <v>1551</v>
      </c>
      <c r="Y72" s="23">
        <v>1462.9999999999998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5121</v>
      </c>
      <c r="E73" s="23">
        <v>5229</v>
      </c>
      <c r="F73" s="23">
        <v>5276</v>
      </c>
      <c r="G73" s="23">
        <v>5298</v>
      </c>
      <c r="H73" s="23">
        <v>5294</v>
      </c>
      <c r="I73" s="23">
        <v>5395</v>
      </c>
      <c r="J73" s="23">
        <v>5459</v>
      </c>
      <c r="K73" s="23">
        <v>5590</v>
      </c>
      <c r="L73" s="23">
        <v>5808</v>
      </c>
      <c r="M73" s="23">
        <v>5543</v>
      </c>
      <c r="N73" s="23">
        <v>5441</v>
      </c>
      <c r="O73" s="23">
        <v>5344</v>
      </c>
      <c r="P73" s="23">
        <v>5338</v>
      </c>
      <c r="Q73" s="23">
        <v>5072.9999999999991</v>
      </c>
      <c r="R73" s="23">
        <v>5093.9999999999991</v>
      </c>
      <c r="S73" s="23">
        <v>5098</v>
      </c>
      <c r="T73" s="23">
        <v>5060.9999999999991</v>
      </c>
      <c r="U73" s="23">
        <v>5204.0000000000009</v>
      </c>
      <c r="V73" s="23">
        <v>5229</v>
      </c>
      <c r="W73" s="23">
        <v>5349</v>
      </c>
      <c r="X73" s="23">
        <v>5329</v>
      </c>
      <c r="Y73" s="23">
        <v>5464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2053.0000000000537</v>
      </c>
      <c r="E74" s="23">
        <v>2305.0000000000373</v>
      </c>
      <c r="F74" s="23">
        <v>2385.9999999999868</v>
      </c>
      <c r="G74" s="23">
        <v>2300.00000000006</v>
      </c>
      <c r="H74" s="23">
        <v>2290.9999999999736</v>
      </c>
      <c r="I74" s="23">
        <v>2434.0000000000368</v>
      </c>
      <c r="J74" s="23">
        <v>2496.00000000005</v>
      </c>
      <c r="K74" s="23">
        <v>2558.9999999999941</v>
      </c>
      <c r="L74" s="23">
        <v>2695.9999999999814</v>
      </c>
      <c r="M74" s="23">
        <v>2572.9999999999131</v>
      </c>
      <c r="N74" s="23">
        <v>2710.9999999999882</v>
      </c>
      <c r="O74" s="23">
        <v>3011.0000000000641</v>
      </c>
      <c r="P74" s="23">
        <v>3203.9999999999654</v>
      </c>
      <c r="Q74" s="23">
        <v>3014.9999999999923</v>
      </c>
      <c r="R74" s="23">
        <v>3101.99999999998</v>
      </c>
      <c r="S74" s="23">
        <v>3177</v>
      </c>
      <c r="T74" s="23">
        <v>3189.99999999993</v>
      </c>
      <c r="U74" s="23">
        <v>3449.0000000000305</v>
      </c>
      <c r="V74" s="23">
        <v>3813.0000000000441</v>
      </c>
      <c r="W74" s="23">
        <v>3760.0000000000091</v>
      </c>
      <c r="X74" s="23">
        <v>3641.0000000001605</v>
      </c>
      <c r="Y74" s="23">
        <v>3885.0000000000855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60357.000000000051</v>
      </c>
      <c r="E75" s="30">
        <f t="shared" ref="E75:S75" si="6">SUM(E56:E74)</f>
        <v>63238.000000000036</v>
      </c>
      <c r="F75" s="30">
        <f t="shared" si="6"/>
        <v>62853.999999999985</v>
      </c>
      <c r="G75" s="30">
        <f t="shared" si="6"/>
        <v>62445.000000000058</v>
      </c>
      <c r="H75" s="30">
        <f t="shared" si="6"/>
        <v>64924.999999999971</v>
      </c>
      <c r="I75" s="30">
        <f t="shared" si="6"/>
        <v>67769.000000000044</v>
      </c>
      <c r="J75" s="30">
        <f t="shared" si="6"/>
        <v>69730.000000000044</v>
      </c>
      <c r="K75" s="30">
        <f t="shared" si="6"/>
        <v>74330</v>
      </c>
      <c r="L75" s="30">
        <f t="shared" si="6"/>
        <v>74157.999999999985</v>
      </c>
      <c r="M75" s="30">
        <f t="shared" si="6"/>
        <v>65629.999999999913</v>
      </c>
      <c r="N75" s="30">
        <f t="shared" si="6"/>
        <v>66917.999999999985</v>
      </c>
      <c r="O75" s="30">
        <f t="shared" si="6"/>
        <v>70259.000000000058</v>
      </c>
      <c r="P75" s="30">
        <f t="shared" si="6"/>
        <v>70096.999999999971</v>
      </c>
      <c r="Q75" s="30">
        <f t="shared" si="6"/>
        <v>67948.999999999985</v>
      </c>
      <c r="R75" s="30">
        <f t="shared" si="6"/>
        <v>69577.999999999985</v>
      </c>
      <c r="S75" s="30">
        <f t="shared" si="6"/>
        <v>74533</v>
      </c>
      <c r="T75" s="30">
        <f t="shared" ref="T75:Y75" si="7">SUM(T56:T74)</f>
        <v>76861.999999999927</v>
      </c>
      <c r="U75" s="30">
        <f t="shared" si="7"/>
        <v>81583.000000000029</v>
      </c>
      <c r="V75" s="30">
        <f t="shared" si="7"/>
        <v>85581.000000000044</v>
      </c>
      <c r="W75" s="30">
        <f t="shared" si="7"/>
        <v>87602.000000000015</v>
      </c>
      <c r="X75" s="30">
        <f t="shared" si="7"/>
        <v>86236.00000000016</v>
      </c>
      <c r="Y75" s="30">
        <f t="shared" si="7"/>
        <v>96563.000000000087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580702.22770369228</v>
      </c>
      <c r="E2" s="19">
        <v>594217.89259510452</v>
      </c>
      <c r="F2" s="19">
        <v>595506.99321473984</v>
      </c>
      <c r="G2" s="19">
        <v>596436.3391060608</v>
      </c>
      <c r="H2" s="19">
        <v>608269.83853358612</v>
      </c>
      <c r="I2" s="19">
        <v>620748.21116682631</v>
      </c>
      <c r="J2" s="19">
        <v>642231.20701399725</v>
      </c>
      <c r="K2" s="19">
        <v>666462.15448204603</v>
      </c>
      <c r="L2" s="19">
        <v>680924.17435584497</v>
      </c>
      <c r="M2" s="19">
        <v>655960.7793734778</v>
      </c>
      <c r="N2" s="19">
        <v>664767.24353107577</v>
      </c>
      <c r="O2" s="19">
        <v>675080.44592995499</v>
      </c>
      <c r="P2" s="19">
        <v>668118.93750255799</v>
      </c>
      <c r="Q2" s="19">
        <v>667248.92153198016</v>
      </c>
      <c r="R2" s="19">
        <v>676750.67769794317</v>
      </c>
      <c r="S2" s="19">
        <v>690008</v>
      </c>
      <c r="T2" s="19">
        <v>705128.66457617842</v>
      </c>
      <c r="U2" s="19">
        <v>725657.43553445209</v>
      </c>
      <c r="V2" s="19">
        <v>742789.82725527824</v>
      </c>
      <c r="W2" s="19">
        <v>757316.50521609536</v>
      </c>
      <c r="X2" s="19">
        <v>727883.32373824599</v>
      </c>
      <c r="Y2" s="19">
        <v>772955.04789977893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293338.83487634419</v>
      </c>
      <c r="E3" s="23">
        <v>299334.24099726451</v>
      </c>
      <c r="F3" s="23">
        <v>302819.0789076371</v>
      </c>
      <c r="G3" s="23">
        <v>302424.45703493862</v>
      </c>
      <c r="H3" s="23">
        <v>304724.0242723535</v>
      </c>
      <c r="I3" s="23">
        <v>307494.11038173875</v>
      </c>
      <c r="J3" s="23">
        <v>307017.50481298892</v>
      </c>
      <c r="K3" s="23">
        <v>312771.80432269746</v>
      </c>
      <c r="L3" s="23">
        <v>315556.00653685525</v>
      </c>
      <c r="M3" s="23">
        <v>309607.04371963913</v>
      </c>
      <c r="N3" s="23">
        <v>309932.46775415272</v>
      </c>
      <c r="O3" s="23">
        <v>310145.97243555583</v>
      </c>
      <c r="P3" s="23">
        <v>306607.44317536958</v>
      </c>
      <c r="Q3" s="23">
        <v>303653.65567706333</v>
      </c>
      <c r="R3" s="23">
        <v>304789.57333627192</v>
      </c>
      <c r="S3" s="23">
        <v>310816</v>
      </c>
      <c r="T3" s="23">
        <v>314296.65357267164</v>
      </c>
      <c r="U3" s="23">
        <v>320995.17419962335</v>
      </c>
      <c r="V3" s="23">
        <v>327940.62581010628</v>
      </c>
      <c r="W3" s="23">
        <v>330832.07006905845</v>
      </c>
      <c r="X3" s="23">
        <v>309789.83526630711</v>
      </c>
      <c r="Y3" s="23">
        <v>323230.96626275114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514114.87496516254</v>
      </c>
      <c r="E4" s="27">
        <v>526222.613458529</v>
      </c>
      <c r="F4" s="27">
        <v>527286.62480302923</v>
      </c>
      <c r="G4" s="27">
        <v>527939.77137989388</v>
      </c>
      <c r="H4" s="27">
        <v>538839.03629294317</v>
      </c>
      <c r="I4" s="27">
        <v>550014.55082715861</v>
      </c>
      <c r="J4" s="27">
        <v>568437.02911052399</v>
      </c>
      <c r="K4" s="27">
        <v>590339.88310841855</v>
      </c>
      <c r="L4" s="27">
        <v>605032.63734884304</v>
      </c>
      <c r="M4" s="27">
        <v>585049.15503382985</v>
      </c>
      <c r="N4" s="27">
        <v>593884.11462372937</v>
      </c>
      <c r="O4" s="27">
        <v>604998.34799487877</v>
      </c>
      <c r="P4" s="27">
        <v>600189.11087387521</v>
      </c>
      <c r="Q4" s="27">
        <v>601774.89090027474</v>
      </c>
      <c r="R4" s="27">
        <v>610429.95559144125</v>
      </c>
      <c r="S4" s="27">
        <v>620835</v>
      </c>
      <c r="T4" s="27">
        <v>633045.14314775472</v>
      </c>
      <c r="U4" s="27">
        <v>651596.57244164287</v>
      </c>
      <c r="V4" s="27">
        <v>666710.30340366543</v>
      </c>
      <c r="W4" s="27">
        <v>680164.37430807052</v>
      </c>
      <c r="X4" s="27">
        <v>652597.50411535881</v>
      </c>
      <c r="Y4" s="27">
        <v>695570.6036085391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13162.22858445869</v>
      </c>
      <c r="E6" s="19">
        <v>13106.41627543036</v>
      </c>
      <c r="F6" s="19">
        <v>12243.938004186364</v>
      </c>
      <c r="G6" s="19">
        <v>12159.688726703427</v>
      </c>
      <c r="H6" s="19">
        <v>11263.012667753668</v>
      </c>
      <c r="I6" s="19">
        <v>11455.978151373374</v>
      </c>
      <c r="J6" s="19">
        <v>12420.56299272783</v>
      </c>
      <c r="K6" s="19">
        <v>12021.455054438997</v>
      </c>
      <c r="L6" s="19">
        <v>11069.500815933721</v>
      </c>
      <c r="M6" s="19">
        <v>10117.70102480166</v>
      </c>
      <c r="N6" s="19">
        <v>11756.067798012389</v>
      </c>
      <c r="O6" s="19">
        <v>10602.775368603643</v>
      </c>
      <c r="P6" s="19">
        <v>11017.233490925728</v>
      </c>
      <c r="Q6" s="19">
        <v>11948.440278002263</v>
      </c>
      <c r="R6" s="19">
        <v>11782.398062171982</v>
      </c>
      <c r="S6" s="19">
        <v>11898</v>
      </c>
      <c r="T6" s="19">
        <v>12477.936997038321</v>
      </c>
      <c r="U6" s="19">
        <v>13490.593913129123</v>
      </c>
      <c r="V6" s="19">
        <v>12297.859233020175</v>
      </c>
      <c r="W6" s="19">
        <v>12478.186628637908</v>
      </c>
      <c r="X6" s="19">
        <v>11713.368708559026</v>
      </c>
      <c r="Y6" s="19">
        <v>11860.220751344896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97059.717753173434</v>
      </c>
      <c r="E7" s="23">
        <v>100102.69953051646</v>
      </c>
      <c r="F7" s="23">
        <v>95358.545591382659</v>
      </c>
      <c r="G7" s="23">
        <v>93828.63852467516</v>
      </c>
      <c r="H7" s="23">
        <v>96107.316739450151</v>
      </c>
      <c r="I7" s="23">
        <v>99741.442994336423</v>
      </c>
      <c r="J7" s="23">
        <v>104203.88285907719</v>
      </c>
      <c r="K7" s="23">
        <v>106800.86760479107</v>
      </c>
      <c r="L7" s="23">
        <v>110753.58801623498</v>
      </c>
      <c r="M7" s="23">
        <v>97350.945048529422</v>
      </c>
      <c r="N7" s="23">
        <v>98963.794868612895</v>
      </c>
      <c r="O7" s="23">
        <v>103981.33234213031</v>
      </c>
      <c r="P7" s="23">
        <v>105188.34833002894</v>
      </c>
      <c r="Q7" s="23">
        <v>103102.270890577</v>
      </c>
      <c r="R7" s="23">
        <v>98675.817521194986</v>
      </c>
      <c r="S7" s="23">
        <v>99091</v>
      </c>
      <c r="T7" s="23">
        <v>96473.908317627385</v>
      </c>
      <c r="U7" s="23">
        <v>99187.432286023861</v>
      </c>
      <c r="V7" s="23">
        <v>101330.27876174345</v>
      </c>
      <c r="W7" s="23">
        <v>100191.39474227384</v>
      </c>
      <c r="X7" s="23">
        <v>95636.340227517416</v>
      </c>
      <c r="Y7" s="23">
        <v>105467.59230154392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27427.854772099621</v>
      </c>
      <c r="E8" s="23">
        <v>28883.02034428795</v>
      </c>
      <c r="F8" s="23">
        <v>29265.740022107766</v>
      </c>
      <c r="G8" s="23">
        <v>28833.070485443601</v>
      </c>
      <c r="H8" s="23">
        <v>28878.145559444944</v>
      </c>
      <c r="I8" s="23">
        <v>29887.398983680687</v>
      </c>
      <c r="J8" s="23">
        <v>31151.317944574264</v>
      </c>
      <c r="K8" s="23">
        <v>33154.89737261062</v>
      </c>
      <c r="L8" s="23">
        <v>34871.751956148793</v>
      </c>
      <c r="M8" s="23">
        <v>34941.25374005692</v>
      </c>
      <c r="N8" s="23">
        <v>31216.455185679275</v>
      </c>
      <c r="O8" s="23">
        <v>30762.400363441124</v>
      </c>
      <c r="P8" s="23">
        <v>27709.826648365612</v>
      </c>
      <c r="Q8" s="23">
        <v>25893.001454663001</v>
      </c>
      <c r="R8" s="23">
        <v>26122.325393621315</v>
      </c>
      <c r="S8" s="23">
        <v>26394</v>
      </c>
      <c r="T8" s="23">
        <v>28109.013671582852</v>
      </c>
      <c r="U8" s="23">
        <v>29518.368954988673</v>
      </c>
      <c r="V8" s="23">
        <v>31326.043431387647</v>
      </c>
      <c r="W8" s="23">
        <v>33776.48096372882</v>
      </c>
      <c r="X8" s="23">
        <v>35167.695123184873</v>
      </c>
      <c r="Y8" s="23">
        <v>36532.641202726612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105553.7257087841</v>
      </c>
      <c r="E9" s="23">
        <v>108202.51369327074</v>
      </c>
      <c r="F9" s="23">
        <v>108767.84496342811</v>
      </c>
      <c r="G9" s="23">
        <v>105135.31869826981</v>
      </c>
      <c r="H9" s="23">
        <v>107622.31622635486</v>
      </c>
      <c r="I9" s="23">
        <v>108748.40500548454</v>
      </c>
      <c r="J9" s="23">
        <v>110689.87355593895</v>
      </c>
      <c r="K9" s="23">
        <v>115162.78274620423</v>
      </c>
      <c r="L9" s="23">
        <v>115669.06565128248</v>
      </c>
      <c r="M9" s="23">
        <v>109183.59900334649</v>
      </c>
      <c r="N9" s="23">
        <v>110750.88677235546</v>
      </c>
      <c r="O9" s="23">
        <v>113706.47999008796</v>
      </c>
      <c r="P9" s="23">
        <v>113849.829698541</v>
      </c>
      <c r="Q9" s="23">
        <v>117242.80749959592</v>
      </c>
      <c r="R9" s="23">
        <v>120486.4755752927</v>
      </c>
      <c r="S9" s="23">
        <v>126069</v>
      </c>
      <c r="T9" s="23">
        <v>130198.14321755865</v>
      </c>
      <c r="U9" s="23">
        <v>134633.11336550774</v>
      </c>
      <c r="V9" s="23">
        <v>137551.01647928538</v>
      </c>
      <c r="W9" s="23">
        <v>142440.8458897041</v>
      </c>
      <c r="X9" s="23">
        <v>130846.33848021408</v>
      </c>
      <c r="Y9" s="23">
        <v>145312.40177104008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23116.876536015607</v>
      </c>
      <c r="E10" s="23">
        <v>24911.971830985916</v>
      </c>
      <c r="F10" s="23">
        <v>25789.646981349517</v>
      </c>
      <c r="G10" s="23">
        <v>26780.554628233316</v>
      </c>
      <c r="H10" s="23">
        <v>26956.888589900002</v>
      </c>
      <c r="I10" s="23">
        <v>27470.84238096304</v>
      </c>
      <c r="J10" s="23">
        <v>28347.273481688542</v>
      </c>
      <c r="K10" s="23">
        <v>30390.742699618557</v>
      </c>
      <c r="L10" s="23">
        <v>30427.005314029873</v>
      </c>
      <c r="M10" s="23">
        <v>28934.227124404457</v>
      </c>
      <c r="N10" s="23">
        <v>28979.617162535291</v>
      </c>
      <c r="O10" s="23">
        <v>28954.4872589105</v>
      </c>
      <c r="P10" s="23">
        <v>28274.109094606272</v>
      </c>
      <c r="Q10" s="23">
        <v>28103.281073218037</v>
      </c>
      <c r="R10" s="23">
        <v>28601.130399677029</v>
      </c>
      <c r="S10" s="23">
        <v>29469</v>
      </c>
      <c r="T10" s="23">
        <v>31021.828661461292</v>
      </c>
      <c r="U10" s="23">
        <v>32127.450014773956</v>
      </c>
      <c r="V10" s="23">
        <v>33275.257970121667</v>
      </c>
      <c r="W10" s="23">
        <v>34406.957761807367</v>
      </c>
      <c r="X10" s="23">
        <v>35962.258251409337</v>
      </c>
      <c r="Y10" s="23">
        <v>36931.394649159833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36419.721806987764</v>
      </c>
      <c r="E11" s="23">
        <v>38199.334898278561</v>
      </c>
      <c r="F11" s="23">
        <v>38531.009666266844</v>
      </c>
      <c r="G11" s="23">
        <v>39146.300751706593</v>
      </c>
      <c r="H11" s="23">
        <v>39436.507303056904</v>
      </c>
      <c r="I11" s="23">
        <v>39705.849432517738</v>
      </c>
      <c r="J11" s="23">
        <v>37791.269026664631</v>
      </c>
      <c r="K11" s="23">
        <v>36330.416386190984</v>
      </c>
      <c r="L11" s="23">
        <v>35392.69425498975</v>
      </c>
      <c r="M11" s="23">
        <v>44858.790045975329</v>
      </c>
      <c r="N11" s="23">
        <v>52626.190550057392</v>
      </c>
      <c r="O11" s="23">
        <v>51612.769999586999</v>
      </c>
      <c r="P11" s="23">
        <v>54534.085709928317</v>
      </c>
      <c r="Q11" s="23">
        <v>53569.985453369969</v>
      </c>
      <c r="R11" s="23">
        <v>54144.125958821154</v>
      </c>
      <c r="S11" s="23">
        <v>52494</v>
      </c>
      <c r="T11" s="23">
        <v>49618.571813204893</v>
      </c>
      <c r="U11" s="23">
        <v>47407.662759775434</v>
      </c>
      <c r="V11" s="23">
        <v>44717.387956260587</v>
      </c>
      <c r="W11" s="23">
        <v>44578.087178428686</v>
      </c>
      <c r="X11" s="23">
        <v>42635.117115294415</v>
      </c>
      <c r="Y11" s="23">
        <v>39873.54845662658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41204.489599432462</v>
      </c>
      <c r="E12" s="23">
        <v>33186.619718309856</v>
      </c>
      <c r="F12" s="23">
        <v>34177.661751217107</v>
      </c>
      <c r="G12" s="23">
        <v>36456.043007286833</v>
      </c>
      <c r="H12" s="23">
        <v>39068.218875066988</v>
      </c>
      <c r="I12" s="23">
        <v>39757.336974771104</v>
      </c>
      <c r="J12" s="23">
        <v>44676.90157454522</v>
      </c>
      <c r="K12" s="23">
        <v>49429.966556613355</v>
      </c>
      <c r="L12" s="23">
        <v>50073.224821122218</v>
      </c>
      <c r="M12" s="23">
        <v>38051.104554789876</v>
      </c>
      <c r="N12" s="23">
        <v>36542.260002688759</v>
      </c>
      <c r="O12" s="23">
        <v>37982.695246355259</v>
      </c>
      <c r="P12" s="23">
        <v>32988.663514818771</v>
      </c>
      <c r="Q12" s="23">
        <v>35004.848876676901</v>
      </c>
      <c r="R12" s="23">
        <v>38506.257569640693</v>
      </c>
      <c r="S12" s="23">
        <v>39504</v>
      </c>
      <c r="T12" s="23">
        <v>41501.381119055455</v>
      </c>
      <c r="U12" s="23">
        <v>45241.800453068056</v>
      </c>
      <c r="V12" s="23">
        <v>48827.583551517018</v>
      </c>
      <c r="W12" s="23">
        <v>49536.524496650592</v>
      </c>
      <c r="X12" s="23">
        <v>51073.671819678311</v>
      </c>
      <c r="Y12" s="23">
        <v>53875.721842528314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67597.354886113157</v>
      </c>
      <c r="E13" s="23">
        <v>71953.247261345852</v>
      </c>
      <c r="F13" s="23">
        <v>69506.573531832837</v>
      </c>
      <c r="G13" s="23">
        <v>68012.754837744185</v>
      </c>
      <c r="H13" s="23">
        <v>69276.991665051362</v>
      </c>
      <c r="I13" s="23">
        <v>71793.781200331316</v>
      </c>
      <c r="J13" s="23">
        <v>76219.126029132371</v>
      </c>
      <c r="K13" s="23">
        <v>81734.354799072564</v>
      </c>
      <c r="L13" s="23">
        <v>86435.624921544833</v>
      </c>
      <c r="M13" s="23">
        <v>83911.760719758968</v>
      </c>
      <c r="N13" s="23">
        <v>81579.954291150891</v>
      </c>
      <c r="O13" s="23">
        <v>83910.502622558124</v>
      </c>
      <c r="P13" s="23">
        <v>82621.117380916068</v>
      </c>
      <c r="Q13" s="23">
        <v>82058.146112817194</v>
      </c>
      <c r="R13" s="23">
        <v>85412.797739200643</v>
      </c>
      <c r="S13" s="23">
        <v>89574</v>
      </c>
      <c r="T13" s="23">
        <v>93475.334310587248</v>
      </c>
      <c r="U13" s="23">
        <v>97655.865261499057</v>
      </c>
      <c r="V13" s="23">
        <v>101909.7489604189</v>
      </c>
      <c r="W13" s="23">
        <v>103388.81278967219</v>
      </c>
      <c r="X13" s="23">
        <v>94520.825094952132</v>
      </c>
      <c r="Y13" s="23">
        <v>102013.52528581821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90562.213382654736</v>
      </c>
      <c r="E14" s="23">
        <v>95255.037167449133</v>
      </c>
      <c r="F14" s="23">
        <v>100941.93184223524</v>
      </c>
      <c r="G14" s="23">
        <v>104818.75007194742</v>
      </c>
      <c r="H14" s="23">
        <v>107224.38229022952</v>
      </c>
      <c r="I14" s="23">
        <v>108335.38537306082</v>
      </c>
      <c r="J14" s="23">
        <v>109649.27605861415</v>
      </c>
      <c r="K14" s="23">
        <v>111589.78961652296</v>
      </c>
      <c r="L14" s="23">
        <v>116351.10255659232</v>
      </c>
      <c r="M14" s="23">
        <v>123389.03889659198</v>
      </c>
      <c r="N14" s="23">
        <v>126761.3936028294</v>
      </c>
      <c r="O14" s="23">
        <v>128484.69830256474</v>
      </c>
      <c r="P14" s="23">
        <v>129360.98825682476</v>
      </c>
      <c r="Q14" s="23">
        <v>130545.90269920802</v>
      </c>
      <c r="R14" s="23">
        <v>132182.07509083569</v>
      </c>
      <c r="S14" s="23">
        <v>131636</v>
      </c>
      <c r="T14" s="23">
        <v>135034.55290633321</v>
      </c>
      <c r="U14" s="23">
        <v>136941.79060376243</v>
      </c>
      <c r="V14" s="23">
        <v>139850.60834745108</v>
      </c>
      <c r="W14" s="23">
        <v>143395.00497251048</v>
      </c>
      <c r="X14" s="23">
        <v>142309.56694470244</v>
      </c>
      <c r="Y14" s="23">
        <v>150903.03286123561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12010.691935443005</v>
      </c>
      <c r="E15" s="23">
        <v>12421.752738654146</v>
      </c>
      <c r="F15" s="23">
        <v>12703.732449022791</v>
      </c>
      <c r="G15" s="23">
        <v>12768.651647883595</v>
      </c>
      <c r="H15" s="23">
        <v>13005.256376634778</v>
      </c>
      <c r="I15" s="23">
        <v>13118.130330639566</v>
      </c>
      <c r="J15" s="23">
        <v>13287.545587560875</v>
      </c>
      <c r="K15" s="23">
        <v>13724.610272355249</v>
      </c>
      <c r="L15" s="23">
        <v>13989.079040964056</v>
      </c>
      <c r="M15" s="23">
        <v>14310.734875574692</v>
      </c>
      <c r="N15" s="23">
        <v>14707.494389807547</v>
      </c>
      <c r="O15" s="23">
        <v>15000.206500640152</v>
      </c>
      <c r="P15" s="23">
        <v>14644.908748919728</v>
      </c>
      <c r="Q15" s="23">
        <v>14306.206562146435</v>
      </c>
      <c r="R15" s="23">
        <v>14516.552280985063</v>
      </c>
      <c r="S15" s="23">
        <v>14706</v>
      </c>
      <c r="T15" s="23">
        <v>15134.472133305411</v>
      </c>
      <c r="U15" s="23">
        <v>15392.494829114547</v>
      </c>
      <c r="V15" s="23">
        <v>15624.51871245957</v>
      </c>
      <c r="W15" s="23">
        <v>15972.078884656521</v>
      </c>
      <c r="X15" s="23">
        <v>12732.32234984688</v>
      </c>
      <c r="Y15" s="23">
        <v>12800.524486515129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514114.87496516254</v>
      </c>
      <c r="E16" s="30">
        <f t="shared" ref="E16:S16" si="0">SUM(E6:E15)</f>
        <v>526222.613458529</v>
      </c>
      <c r="F16" s="30">
        <f t="shared" si="0"/>
        <v>527286.62480302923</v>
      </c>
      <c r="G16" s="30">
        <f t="shared" si="0"/>
        <v>527939.77137989399</v>
      </c>
      <c r="H16" s="30">
        <f t="shared" si="0"/>
        <v>538839.03629294317</v>
      </c>
      <c r="I16" s="30">
        <f t="shared" si="0"/>
        <v>550014.55082715861</v>
      </c>
      <c r="J16" s="30">
        <f t="shared" si="0"/>
        <v>568437.02911052399</v>
      </c>
      <c r="K16" s="30">
        <f t="shared" si="0"/>
        <v>590339.88310841855</v>
      </c>
      <c r="L16" s="30">
        <f t="shared" si="0"/>
        <v>605032.63734884292</v>
      </c>
      <c r="M16" s="30">
        <f t="shared" si="0"/>
        <v>585049.15503382985</v>
      </c>
      <c r="N16" s="30">
        <f t="shared" si="0"/>
        <v>593884.11462372937</v>
      </c>
      <c r="O16" s="30">
        <f t="shared" si="0"/>
        <v>604998.34799487866</v>
      </c>
      <c r="P16" s="30">
        <f t="shared" si="0"/>
        <v>600189.11087387521</v>
      </c>
      <c r="Q16" s="30">
        <f t="shared" si="0"/>
        <v>601774.89090027474</v>
      </c>
      <c r="R16" s="30">
        <f t="shared" si="0"/>
        <v>610429.95559144125</v>
      </c>
      <c r="S16" s="30">
        <f t="shared" si="0"/>
        <v>620835</v>
      </c>
      <c r="T16" s="30">
        <f t="shared" ref="T16:Y16" si="1">SUM(T6:T15)</f>
        <v>633045.14314775472</v>
      </c>
      <c r="U16" s="30">
        <f t="shared" si="1"/>
        <v>651596.57244164287</v>
      </c>
      <c r="V16" s="30">
        <f t="shared" si="1"/>
        <v>666710.30340366554</v>
      </c>
      <c r="W16" s="30">
        <f t="shared" si="1"/>
        <v>680164.37430807052</v>
      </c>
      <c r="X16" s="30">
        <f t="shared" si="1"/>
        <v>652597.50411535893</v>
      </c>
      <c r="Y16" s="30">
        <f t="shared" si="1"/>
        <v>695570.60360853921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13162.22858445869</v>
      </c>
      <c r="E18" s="19">
        <v>13106.41627543036</v>
      </c>
      <c r="F18" s="19">
        <v>12243.938004186364</v>
      </c>
      <c r="G18" s="19">
        <v>12159.688726703427</v>
      </c>
      <c r="H18" s="19">
        <v>11263.012667753668</v>
      </c>
      <c r="I18" s="19">
        <v>11455.978151373374</v>
      </c>
      <c r="J18" s="19">
        <v>12420.56299272783</v>
      </c>
      <c r="K18" s="19">
        <v>12021.455054438997</v>
      </c>
      <c r="L18" s="19">
        <v>11069.500815933721</v>
      </c>
      <c r="M18" s="19">
        <v>10117.70102480166</v>
      </c>
      <c r="N18" s="19">
        <v>11756.067798012389</v>
      </c>
      <c r="O18" s="19">
        <v>10602.775368603643</v>
      </c>
      <c r="P18" s="19">
        <v>11017.233490925728</v>
      </c>
      <c r="Q18" s="19">
        <v>11948.440278002263</v>
      </c>
      <c r="R18" s="19">
        <v>11782.398062171982</v>
      </c>
      <c r="S18" s="19">
        <v>11898</v>
      </c>
      <c r="T18" s="19">
        <v>12477.936997038321</v>
      </c>
      <c r="U18" s="19">
        <v>13490.593913129123</v>
      </c>
      <c r="V18" s="19">
        <v>12297.859233020175</v>
      </c>
      <c r="W18" s="19">
        <v>12478.186628637908</v>
      </c>
      <c r="X18" s="19">
        <v>11713.368708559026</v>
      </c>
      <c r="Y18" s="19">
        <v>11860.220751344896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11621.779117788645</v>
      </c>
      <c r="E19" s="23">
        <v>14106.514084507042</v>
      </c>
      <c r="F19" s="23">
        <v>12436.792963145888</v>
      </c>
      <c r="G19" s="23">
        <v>12728.361095442562</v>
      </c>
      <c r="H19" s="23">
        <v>13364.423109813803</v>
      </c>
      <c r="I19" s="23">
        <v>14419.869714132212</v>
      </c>
      <c r="J19" s="23">
        <v>17853.945098381781</v>
      </c>
      <c r="K19" s="23">
        <v>16863.801006507038</v>
      </c>
      <c r="L19" s="23">
        <v>23080.463617724588</v>
      </c>
      <c r="M19" s="23">
        <v>16704.371305553526</v>
      </c>
      <c r="N19" s="23">
        <v>18096.360872397854</v>
      </c>
      <c r="O19" s="23">
        <v>19501.920455953412</v>
      </c>
      <c r="P19" s="23">
        <v>21764.018097707285</v>
      </c>
      <c r="Q19" s="23">
        <v>22528.083077420397</v>
      </c>
      <c r="R19" s="23">
        <v>16896.447315300768</v>
      </c>
      <c r="S19" s="23">
        <v>12569</v>
      </c>
      <c r="T19" s="23">
        <v>7900.7987554970532</v>
      </c>
      <c r="U19" s="23">
        <v>7310.1546340982959</v>
      </c>
      <c r="V19" s="23">
        <v>6896.8504543354375</v>
      </c>
      <c r="W19" s="23">
        <v>5203.3100031899121</v>
      </c>
      <c r="X19" s="23">
        <v>2572.2142009766503</v>
      </c>
      <c r="Y19" s="23">
        <v>5404.7257671962425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76461.273404444059</v>
      </c>
      <c r="E20" s="23">
        <v>77315.629890453871</v>
      </c>
      <c r="F20" s="23">
        <v>73912.838966109251</v>
      </c>
      <c r="G20" s="23">
        <v>71884.101348006836</v>
      </c>
      <c r="H20" s="23">
        <v>74028.254449676722</v>
      </c>
      <c r="I20" s="23">
        <v>75853.461977569386</v>
      </c>
      <c r="J20" s="23">
        <v>76139.416042453828</v>
      </c>
      <c r="K20" s="23">
        <v>79420.029703710825</v>
      </c>
      <c r="L20" s="23">
        <v>77574.375496882698</v>
      </c>
      <c r="M20" s="23">
        <v>68420.888022435029</v>
      </c>
      <c r="N20" s="23">
        <v>69202.370241677767</v>
      </c>
      <c r="O20" s="23">
        <v>72542.642382191436</v>
      </c>
      <c r="P20" s="23">
        <v>71269.381322759349</v>
      </c>
      <c r="Q20" s="23">
        <v>68640.900274769665</v>
      </c>
      <c r="R20" s="23">
        <v>70224.061364553883</v>
      </c>
      <c r="S20" s="23">
        <v>74533</v>
      </c>
      <c r="T20" s="23">
        <v>76646.622989399708</v>
      </c>
      <c r="U20" s="23">
        <v>80353.590071899962</v>
      </c>
      <c r="V20" s="23">
        <v>82378.137994763631</v>
      </c>
      <c r="W20" s="23">
        <v>82189.030454281063</v>
      </c>
      <c r="X20" s="23">
        <v>79305.492969403946</v>
      </c>
      <c r="Y20" s="23">
        <v>86722.58794579118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5638.6024474904352</v>
      </c>
      <c r="E21" s="23">
        <v>5210.7785602503909</v>
      </c>
      <c r="F21" s="23">
        <v>5514.0055034219995</v>
      </c>
      <c r="G21" s="23">
        <v>5596.9333133799173</v>
      </c>
      <c r="H21" s="23">
        <v>5149.196720750715</v>
      </c>
      <c r="I21" s="23">
        <v>5963.6005462156654</v>
      </c>
      <c r="J21" s="23">
        <v>6608.2854709440726</v>
      </c>
      <c r="K21" s="23">
        <v>6838.2643630263601</v>
      </c>
      <c r="L21" s="23">
        <v>6225.155864262103</v>
      </c>
      <c r="M21" s="23">
        <v>8529.9360932433974</v>
      </c>
      <c r="N21" s="23">
        <v>7987.6730886565529</v>
      </c>
      <c r="O21" s="23">
        <v>8058.6874819311934</v>
      </c>
      <c r="P21" s="23">
        <v>8286.3097961466119</v>
      </c>
      <c r="Q21" s="23">
        <v>7989.5345078390174</v>
      </c>
      <c r="R21" s="23">
        <v>7440.4521598708116</v>
      </c>
      <c r="S21" s="23">
        <v>7817</v>
      </c>
      <c r="T21" s="23">
        <v>7759.1966573927257</v>
      </c>
      <c r="U21" s="23">
        <v>7277.6519255392495</v>
      </c>
      <c r="V21" s="23">
        <v>7788.1949792083778</v>
      </c>
      <c r="W21" s="23">
        <v>8656.8592498076669</v>
      </c>
      <c r="X21" s="23">
        <v>9587.1766339583774</v>
      </c>
      <c r="Y21" s="23">
        <v>8856.0985028783889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3338.0627834503025</v>
      </c>
      <c r="E22" s="23">
        <v>3469.7769953051643</v>
      </c>
      <c r="F22" s="23">
        <v>3494.9081587055202</v>
      </c>
      <c r="G22" s="23">
        <v>3619.2427678458366</v>
      </c>
      <c r="H22" s="23">
        <v>3565.4424592089208</v>
      </c>
      <c r="I22" s="23">
        <v>3504.5107564191535</v>
      </c>
      <c r="J22" s="23">
        <v>3602.2362472975042</v>
      </c>
      <c r="K22" s="23">
        <v>3678.7725315468369</v>
      </c>
      <c r="L22" s="23">
        <v>3873.5930373655801</v>
      </c>
      <c r="M22" s="23">
        <v>3695.7496272974631</v>
      </c>
      <c r="N22" s="23">
        <v>3677.3906658807227</v>
      </c>
      <c r="O22" s="23">
        <v>3878.0820220542682</v>
      </c>
      <c r="P22" s="23">
        <v>3868.6391134156879</v>
      </c>
      <c r="Q22" s="23">
        <v>3943.7530305479227</v>
      </c>
      <c r="R22" s="23">
        <v>4114.8566814695196</v>
      </c>
      <c r="S22" s="23">
        <v>4172</v>
      </c>
      <c r="T22" s="23">
        <v>4167.2899153379003</v>
      </c>
      <c r="U22" s="23">
        <v>4246.0356544863589</v>
      </c>
      <c r="V22" s="23">
        <v>4267.0953334360074</v>
      </c>
      <c r="W22" s="23">
        <v>4142.1950349952149</v>
      </c>
      <c r="X22" s="23">
        <v>4171.4564231784361</v>
      </c>
      <c r="Y22" s="23">
        <v>4484.1800856781056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27427.854772099621</v>
      </c>
      <c r="E23" s="23">
        <v>28883.02034428795</v>
      </c>
      <c r="F23" s="23">
        <v>29265.740022107766</v>
      </c>
      <c r="G23" s="23">
        <v>28833.070485443601</v>
      </c>
      <c r="H23" s="23">
        <v>28878.145559444944</v>
      </c>
      <c r="I23" s="23">
        <v>29887.398983680687</v>
      </c>
      <c r="J23" s="23">
        <v>31151.317944574264</v>
      </c>
      <c r="K23" s="23">
        <v>33154.89737261062</v>
      </c>
      <c r="L23" s="23">
        <v>34871.751956148793</v>
      </c>
      <c r="M23" s="23">
        <v>34941.25374005692</v>
      </c>
      <c r="N23" s="23">
        <v>31216.455185679275</v>
      </c>
      <c r="O23" s="23">
        <v>30762.400363441124</v>
      </c>
      <c r="P23" s="23">
        <v>27709.826648365612</v>
      </c>
      <c r="Q23" s="23">
        <v>25893.001454663001</v>
      </c>
      <c r="R23" s="23">
        <v>26122.325393621315</v>
      </c>
      <c r="S23" s="23">
        <v>26394</v>
      </c>
      <c r="T23" s="23">
        <v>28109.013671582852</v>
      </c>
      <c r="U23" s="23">
        <v>29518.368954988673</v>
      </c>
      <c r="V23" s="23">
        <v>31326.043431387647</v>
      </c>
      <c r="W23" s="23">
        <v>33776.48096372882</v>
      </c>
      <c r="X23" s="23">
        <v>35167.695123184873</v>
      </c>
      <c r="Y23" s="23">
        <v>36532.641202726612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70456.560845220287</v>
      </c>
      <c r="E24" s="23">
        <v>72620.794209702668</v>
      </c>
      <c r="F24" s="23">
        <v>73544.768221265782</v>
      </c>
      <c r="G24" s="23">
        <v>70498.106344035274</v>
      </c>
      <c r="H24" s="23">
        <v>72029.463074239189</v>
      </c>
      <c r="I24" s="23">
        <v>72428.42112332386</v>
      </c>
      <c r="J24" s="23">
        <v>73428.18457775547</v>
      </c>
      <c r="K24" s="23">
        <v>76627.026102937234</v>
      </c>
      <c r="L24" s="23">
        <v>77474.998953931121</v>
      </c>
      <c r="M24" s="23">
        <v>73776.336777139513</v>
      </c>
      <c r="N24" s="23">
        <v>74877.71331658031</v>
      </c>
      <c r="O24" s="23">
        <v>77170.321727997347</v>
      </c>
      <c r="P24" s="23">
        <v>77129.784962635342</v>
      </c>
      <c r="Q24" s="23">
        <v>79686.237271698716</v>
      </c>
      <c r="R24" s="23">
        <v>80708.518368994759</v>
      </c>
      <c r="S24" s="23">
        <v>83576</v>
      </c>
      <c r="T24" s="23">
        <v>86519.879139617668</v>
      </c>
      <c r="U24" s="23">
        <v>89346.006106569504</v>
      </c>
      <c r="V24" s="23">
        <v>91621.746496226697</v>
      </c>
      <c r="W24" s="23">
        <v>95497.532508959906</v>
      </c>
      <c r="X24" s="23">
        <v>94735.099642262649</v>
      </c>
      <c r="Y24" s="23">
        <v>105249.35561802294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25213.458663761434</v>
      </c>
      <c r="E25" s="23">
        <v>25473.151408450703</v>
      </c>
      <c r="F25" s="23">
        <v>24853.594863472801</v>
      </c>
      <c r="G25" s="23">
        <v>24889.200980787162</v>
      </c>
      <c r="H25" s="23">
        <v>25963.764067363714</v>
      </c>
      <c r="I25" s="23">
        <v>26709.722191130713</v>
      </c>
      <c r="J25" s="23">
        <v>27638.618942586974</v>
      </c>
      <c r="K25" s="23">
        <v>28483.508029618235</v>
      </c>
      <c r="L25" s="23">
        <v>28521.067827105737</v>
      </c>
      <c r="M25" s="23">
        <v>25919.246046225537</v>
      </c>
      <c r="N25" s="23">
        <v>26572.146557875469</v>
      </c>
      <c r="O25" s="23">
        <v>26661.297650022712</v>
      </c>
      <c r="P25" s="23">
        <v>26819.175435920897</v>
      </c>
      <c r="Q25" s="23">
        <v>27421.407790528527</v>
      </c>
      <c r="R25" s="23">
        <v>28854.461041582559</v>
      </c>
      <c r="S25" s="23">
        <v>30665</v>
      </c>
      <c r="T25" s="23">
        <v>30882.220959104914</v>
      </c>
      <c r="U25" s="23">
        <v>31842.805082241703</v>
      </c>
      <c r="V25" s="23">
        <v>31751.501617126134</v>
      </c>
      <c r="W25" s="23">
        <v>32597.151595894396</v>
      </c>
      <c r="X25" s="23">
        <v>28076.403130431583</v>
      </c>
      <c r="Y25" s="23">
        <v>31012.061393661257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9883.7061998023764</v>
      </c>
      <c r="E26" s="23">
        <v>10108.568075117371</v>
      </c>
      <c r="F26" s="23">
        <v>10369.481878689527</v>
      </c>
      <c r="G26" s="23">
        <v>9748.0113734473744</v>
      </c>
      <c r="H26" s="23">
        <v>9629.0890847519458</v>
      </c>
      <c r="I26" s="23">
        <v>9610.2616910299748</v>
      </c>
      <c r="J26" s="23">
        <v>9623.0700355965146</v>
      </c>
      <c r="K26" s="23">
        <v>10052.24861364875</v>
      </c>
      <c r="L26" s="23">
        <v>9672.9988702456158</v>
      </c>
      <c r="M26" s="23">
        <v>9488.0161799814432</v>
      </c>
      <c r="N26" s="23">
        <v>9301.0268978996683</v>
      </c>
      <c r="O26" s="23">
        <v>9874.8606120678978</v>
      </c>
      <c r="P26" s="23">
        <v>9900.8692999847481</v>
      </c>
      <c r="Q26" s="23">
        <v>10135.162437368675</v>
      </c>
      <c r="R26" s="23">
        <v>10923.496164715381</v>
      </c>
      <c r="S26" s="23">
        <v>11828</v>
      </c>
      <c r="T26" s="23">
        <v>12796.043118836071</v>
      </c>
      <c r="U26" s="23">
        <v>13444.302176696543</v>
      </c>
      <c r="V26" s="23">
        <v>14177.768365932541</v>
      </c>
      <c r="W26" s="23">
        <v>14346.161784849794</v>
      </c>
      <c r="X26" s="23">
        <v>8034.835707519841</v>
      </c>
      <c r="Y26" s="23">
        <v>9050.9847593558879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23116.876536015607</v>
      </c>
      <c r="E27" s="23">
        <v>24911.971830985916</v>
      </c>
      <c r="F27" s="23">
        <v>25789.646981349517</v>
      </c>
      <c r="G27" s="23">
        <v>26780.554628233316</v>
      </c>
      <c r="H27" s="23">
        <v>26956.888589900002</v>
      </c>
      <c r="I27" s="23">
        <v>27470.84238096304</v>
      </c>
      <c r="J27" s="23">
        <v>28347.273481688542</v>
      </c>
      <c r="K27" s="23">
        <v>30390.742699618557</v>
      </c>
      <c r="L27" s="23">
        <v>30427.005314029873</v>
      </c>
      <c r="M27" s="23">
        <v>28934.227124404457</v>
      </c>
      <c r="N27" s="23">
        <v>28979.617162535291</v>
      </c>
      <c r="O27" s="23">
        <v>28954.4872589105</v>
      </c>
      <c r="P27" s="23">
        <v>28274.109094606272</v>
      </c>
      <c r="Q27" s="23">
        <v>28103.281073218037</v>
      </c>
      <c r="R27" s="23">
        <v>28601.130399677029</v>
      </c>
      <c r="S27" s="23">
        <v>29469</v>
      </c>
      <c r="T27" s="23">
        <v>31021.828661461292</v>
      </c>
      <c r="U27" s="23">
        <v>32127.450014773956</v>
      </c>
      <c r="V27" s="23">
        <v>33275.257970121667</v>
      </c>
      <c r="W27" s="23">
        <v>34406.957761807367</v>
      </c>
      <c r="X27" s="23">
        <v>35962.258251409337</v>
      </c>
      <c r="Y27" s="23">
        <v>36931.394649159833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36419.721806987764</v>
      </c>
      <c r="E28" s="23">
        <v>38199.334898278561</v>
      </c>
      <c r="F28" s="23">
        <v>38531.009666266844</v>
      </c>
      <c r="G28" s="23">
        <v>39146.300751706593</v>
      </c>
      <c r="H28" s="23">
        <v>39436.507303056904</v>
      </c>
      <c r="I28" s="23">
        <v>39705.849432517738</v>
      </c>
      <c r="J28" s="23">
        <v>37791.269026664631</v>
      </c>
      <c r="K28" s="23">
        <v>36330.416386190984</v>
      </c>
      <c r="L28" s="23">
        <v>35392.69425498975</v>
      </c>
      <c r="M28" s="23">
        <v>44858.790045975329</v>
      </c>
      <c r="N28" s="23">
        <v>52626.190550057392</v>
      </c>
      <c r="O28" s="23">
        <v>51612.769999586999</v>
      </c>
      <c r="P28" s="23">
        <v>54534.085709928317</v>
      </c>
      <c r="Q28" s="23">
        <v>53569.985453369969</v>
      </c>
      <c r="R28" s="23">
        <v>54144.125958821154</v>
      </c>
      <c r="S28" s="23">
        <v>52494</v>
      </c>
      <c r="T28" s="23">
        <v>49618.571813204893</v>
      </c>
      <c r="U28" s="23">
        <v>47407.662759775434</v>
      </c>
      <c r="V28" s="23">
        <v>44717.387956260587</v>
      </c>
      <c r="W28" s="23">
        <v>44578.087178428686</v>
      </c>
      <c r="X28" s="23">
        <v>42635.117115294415</v>
      </c>
      <c r="Y28" s="23">
        <v>39873.54845662658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41204.489599432462</v>
      </c>
      <c r="E29" s="23">
        <v>33186.619718309856</v>
      </c>
      <c r="F29" s="23">
        <v>34177.661751217107</v>
      </c>
      <c r="G29" s="23">
        <v>36456.043007286833</v>
      </c>
      <c r="H29" s="23">
        <v>39068.218875066988</v>
      </c>
      <c r="I29" s="23">
        <v>39757.336974771104</v>
      </c>
      <c r="J29" s="23">
        <v>44676.90157454522</v>
      </c>
      <c r="K29" s="23">
        <v>49429.966556613355</v>
      </c>
      <c r="L29" s="23">
        <v>50073.224821122218</v>
      </c>
      <c r="M29" s="23">
        <v>38051.104554789876</v>
      </c>
      <c r="N29" s="23">
        <v>36542.260002688759</v>
      </c>
      <c r="O29" s="23">
        <v>37982.695246355259</v>
      </c>
      <c r="P29" s="23">
        <v>32988.663514818771</v>
      </c>
      <c r="Q29" s="23">
        <v>35004.848876676901</v>
      </c>
      <c r="R29" s="23">
        <v>38506.257569640693</v>
      </c>
      <c r="S29" s="23">
        <v>39504</v>
      </c>
      <c r="T29" s="23">
        <v>41501.381119055455</v>
      </c>
      <c r="U29" s="23">
        <v>45241.800453068056</v>
      </c>
      <c r="V29" s="23">
        <v>48827.583551517018</v>
      </c>
      <c r="W29" s="23">
        <v>49536.524496650592</v>
      </c>
      <c r="X29" s="23">
        <v>51073.671819678311</v>
      </c>
      <c r="Y29" s="23">
        <v>53875.721842528314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40259.444120702334</v>
      </c>
      <c r="E30" s="23">
        <v>43011.541471048513</v>
      </c>
      <c r="F30" s="23">
        <v>42410.451798019712</v>
      </c>
      <c r="G30" s="23">
        <v>41848.07008253807</v>
      </c>
      <c r="H30" s="23">
        <v>42881.087306021451</v>
      </c>
      <c r="I30" s="23">
        <v>44242.349622797788</v>
      </c>
      <c r="J30" s="23">
        <v>46493.852503767121</v>
      </c>
      <c r="K30" s="23">
        <v>48869.015183083844</v>
      </c>
      <c r="L30" s="23">
        <v>51011.548600359849</v>
      </c>
      <c r="M30" s="23">
        <v>49749.272839107187</v>
      </c>
      <c r="N30" s="23">
        <v>48718.187364915873</v>
      </c>
      <c r="O30" s="23">
        <v>49737.744187006974</v>
      </c>
      <c r="P30" s="23">
        <v>48207.005236134413</v>
      </c>
      <c r="Q30" s="23">
        <v>47113.908194601579</v>
      </c>
      <c r="R30" s="23">
        <v>48810.052482842148</v>
      </c>
      <c r="S30" s="23">
        <v>50937</v>
      </c>
      <c r="T30" s="23">
        <v>52237.21343026097</v>
      </c>
      <c r="U30" s="23">
        <v>52901.605436816695</v>
      </c>
      <c r="V30" s="23">
        <v>54002.387186200518</v>
      </c>
      <c r="W30" s="23">
        <v>54711.688214211994</v>
      </c>
      <c r="X30" s="23">
        <v>54634.491764684244</v>
      </c>
      <c r="Y30" s="23">
        <v>57818.351639469402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27337.910765410827</v>
      </c>
      <c r="E31" s="23">
        <v>28941.705790297339</v>
      </c>
      <c r="F31" s="23">
        <v>27096.121733813121</v>
      </c>
      <c r="G31" s="23">
        <v>26164.684755206115</v>
      </c>
      <c r="H31" s="23">
        <v>26395.904359029908</v>
      </c>
      <c r="I31" s="23">
        <v>27551.431577533524</v>
      </c>
      <c r="J31" s="23">
        <v>29725.27352536525</v>
      </c>
      <c r="K31" s="23">
        <v>32865.33961598872</v>
      </c>
      <c r="L31" s="23">
        <v>35424.076321184984</v>
      </c>
      <c r="M31" s="23">
        <v>34162.487880651781</v>
      </c>
      <c r="N31" s="23">
        <v>32861.766926235017</v>
      </c>
      <c r="O31" s="23">
        <v>34172.75843555115</v>
      </c>
      <c r="P31" s="23">
        <v>34414.112144781655</v>
      </c>
      <c r="Q31" s="23">
        <v>34944.237918215615</v>
      </c>
      <c r="R31" s="23">
        <v>36602.745256358496</v>
      </c>
      <c r="S31" s="23">
        <v>38637</v>
      </c>
      <c r="T31" s="23">
        <v>41238.120880326278</v>
      </c>
      <c r="U31" s="23">
        <v>44754.259824682362</v>
      </c>
      <c r="V31" s="23">
        <v>47907.361774218385</v>
      </c>
      <c r="W31" s="23">
        <v>48677.124575460191</v>
      </c>
      <c r="X31" s="23">
        <v>39886.333330267888</v>
      </c>
      <c r="Y31" s="23">
        <v>44195.173646348805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35111.099850515588</v>
      </c>
      <c r="E32" s="23">
        <v>36546.361502347412</v>
      </c>
      <c r="F32" s="23">
        <v>37725.487429149318</v>
      </c>
      <c r="G32" s="23">
        <v>38993.196652430677</v>
      </c>
      <c r="H32" s="23">
        <v>39260.914677947163</v>
      </c>
      <c r="I32" s="23">
        <v>39324.170043204758</v>
      </c>
      <c r="J32" s="23">
        <v>39107.029765674481</v>
      </c>
      <c r="K32" s="23">
        <v>39824.34208417475</v>
      </c>
      <c r="L32" s="23">
        <v>41019.498723795972</v>
      </c>
      <c r="M32" s="23">
        <v>42832.122267282452</v>
      </c>
      <c r="N32" s="23">
        <v>43887.734102731156</v>
      </c>
      <c r="O32" s="23">
        <v>44031.098996406887</v>
      </c>
      <c r="P32" s="23">
        <v>44018.097707284825</v>
      </c>
      <c r="Q32" s="23">
        <v>44318.732826895102</v>
      </c>
      <c r="R32" s="23">
        <v>44283.407347597888</v>
      </c>
      <c r="S32" s="23">
        <v>44041</v>
      </c>
      <c r="T32" s="23">
        <v>44798.117290413938</v>
      </c>
      <c r="U32" s="23">
        <v>45752.979414951245</v>
      </c>
      <c r="V32" s="23">
        <v>46566.494686585545</v>
      </c>
      <c r="W32" s="23">
        <v>47631.020959600704</v>
      </c>
      <c r="X32" s="23">
        <v>48773.669060778549</v>
      </c>
      <c r="Y32" s="23">
        <v>49619.657467197147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23503.255719678735</v>
      </c>
      <c r="E33" s="23">
        <v>24216.304773082942</v>
      </c>
      <c r="F33" s="23">
        <v>25084.080058326868</v>
      </c>
      <c r="G33" s="23">
        <v>25663.930746296148</v>
      </c>
      <c r="H33" s="23">
        <v>26154.179446541166</v>
      </c>
      <c r="I33" s="23">
        <v>26533.99297083119</v>
      </c>
      <c r="J33" s="23">
        <v>26982.376449520649</v>
      </c>
      <c r="K33" s="23">
        <v>27592.396704811363</v>
      </c>
      <c r="L33" s="23">
        <v>28797.230009623832</v>
      </c>
      <c r="M33" s="23">
        <v>30066.408815587827</v>
      </c>
      <c r="N33" s="23">
        <v>30393.282246972565</v>
      </c>
      <c r="O33" s="23">
        <v>30581.712303308141</v>
      </c>
      <c r="P33" s="23">
        <v>30220.120990290274</v>
      </c>
      <c r="Q33" s="23">
        <v>30231.735897850329</v>
      </c>
      <c r="R33" s="23">
        <v>30682.276947920873</v>
      </c>
      <c r="S33" s="23">
        <v>31008</v>
      </c>
      <c r="T33" s="23">
        <v>31859.474875599564</v>
      </c>
      <c r="U33" s="23">
        <v>32194.42529301684</v>
      </c>
      <c r="V33" s="23">
        <v>32659.209918373632</v>
      </c>
      <c r="W33" s="23">
        <v>32947.103747208828</v>
      </c>
      <c r="X33" s="23">
        <v>33238.30456413982</v>
      </c>
      <c r="Y33" s="23">
        <v>33984.750374953976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31947.85781246041</v>
      </c>
      <c r="E34" s="23">
        <v>34492.370892018778</v>
      </c>
      <c r="F34" s="23">
        <v>38132.364354759047</v>
      </c>
      <c r="G34" s="23">
        <v>40161.622673220598</v>
      </c>
      <c r="H34" s="23">
        <v>41809.288165741193</v>
      </c>
      <c r="I34" s="23">
        <v>42477.222359024869</v>
      </c>
      <c r="J34" s="23">
        <v>43559.869843419016</v>
      </c>
      <c r="K34" s="23">
        <v>44173.050827536841</v>
      </c>
      <c r="L34" s="23">
        <v>46534.373823172515</v>
      </c>
      <c r="M34" s="23">
        <v>50490.507813721706</v>
      </c>
      <c r="N34" s="23">
        <v>52480.377253125676</v>
      </c>
      <c r="O34" s="23">
        <v>53871.887002849704</v>
      </c>
      <c r="P34" s="23">
        <v>55122.769559249653</v>
      </c>
      <c r="Q34" s="23">
        <v>55995.433974462583</v>
      </c>
      <c r="R34" s="23">
        <v>57216.390795316918</v>
      </c>
      <c r="S34" s="23">
        <v>56587</v>
      </c>
      <c r="T34" s="23">
        <v>58376.960740319701</v>
      </c>
      <c r="U34" s="23">
        <v>58994.385895794345</v>
      </c>
      <c r="V34" s="23">
        <v>60624.903742491908</v>
      </c>
      <c r="W34" s="23">
        <v>62816.880265700936</v>
      </c>
      <c r="X34" s="23">
        <v>60297.593319784071</v>
      </c>
      <c r="Y34" s="23">
        <v>67298.625019084488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5463.7817020953144</v>
      </c>
      <c r="E35" s="23">
        <v>5690.0430359937391</v>
      </c>
      <c r="F35" s="23">
        <v>5934.9937674921812</v>
      </c>
      <c r="G35" s="23">
        <v>6048.187500719474</v>
      </c>
      <c r="H35" s="23">
        <v>6217.5752254768922</v>
      </c>
      <c r="I35" s="23">
        <v>6309.4625148306513</v>
      </c>
      <c r="J35" s="23">
        <v>6442.3139918324559</v>
      </c>
      <c r="K35" s="23">
        <v>6689.7458088918811</v>
      </c>
      <c r="L35" s="23">
        <v>6749.2363697225819</v>
      </c>
      <c r="M35" s="23">
        <v>6824.3658844257261</v>
      </c>
      <c r="N35" s="23">
        <v>7038.3354533138918</v>
      </c>
      <c r="O35" s="23">
        <v>7152.1496716639822</v>
      </c>
      <c r="P35" s="23">
        <v>6956.4333282497064</v>
      </c>
      <c r="Q35" s="23">
        <v>6753.0709552287044</v>
      </c>
      <c r="R35" s="23">
        <v>6894.42874444893</v>
      </c>
      <c r="S35" s="23">
        <v>7114</v>
      </c>
      <c r="T35" s="23">
        <v>7301.4828332385987</v>
      </c>
      <c r="U35" s="23">
        <v>7383.0394957155513</v>
      </c>
      <c r="V35" s="23">
        <v>7423.3790235638371</v>
      </c>
      <c r="W35" s="23">
        <v>7514.1200532902994</v>
      </c>
      <c r="X35" s="23">
        <v>4737.9505053384701</v>
      </c>
      <c r="Y35" s="23">
        <v>4462.6258453303635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6455.6994096632798</v>
      </c>
      <c r="E36" s="23">
        <v>6624.1197183098593</v>
      </c>
      <c r="F36" s="23">
        <v>6633.5050212846027</v>
      </c>
      <c r="G36" s="23">
        <v>6552.394985552959</v>
      </c>
      <c r="H36" s="23">
        <v>6563.0594164395743</v>
      </c>
      <c r="I36" s="23">
        <v>6548.991515748472</v>
      </c>
      <c r="J36" s="23">
        <v>6547.1380839029507</v>
      </c>
      <c r="K36" s="23">
        <v>6734.6219187742417</v>
      </c>
      <c r="L36" s="23">
        <v>6900.9163563329002</v>
      </c>
      <c r="M36" s="23">
        <v>7093.3372254250889</v>
      </c>
      <c r="N36" s="23">
        <v>7224.4800876948057</v>
      </c>
      <c r="O36" s="23">
        <v>7384.4628918349645</v>
      </c>
      <c r="P36" s="23">
        <v>7190.2801077728636</v>
      </c>
      <c r="Q36" s="23">
        <v>7067.2377565863908</v>
      </c>
      <c r="R36" s="23">
        <v>7135.6479612434396</v>
      </c>
      <c r="S36" s="23">
        <v>7060</v>
      </c>
      <c r="T36" s="23">
        <v>7243.6453565480997</v>
      </c>
      <c r="U36" s="23">
        <v>7355.4614399684824</v>
      </c>
      <c r="V36" s="23">
        <v>7502.3101801940547</v>
      </c>
      <c r="W36" s="23">
        <v>7698.9473289174939</v>
      </c>
      <c r="X36" s="23">
        <v>7157.5055867719948</v>
      </c>
      <c r="Y36" s="23">
        <v>7492.7928008837243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91.210823684410542</v>
      </c>
      <c r="E37" s="23">
        <v>107.58998435054772</v>
      </c>
      <c r="F37" s="23">
        <v>135.23366024600767</v>
      </c>
      <c r="G37" s="23">
        <v>168.06916161116163</v>
      </c>
      <c r="H37" s="23">
        <v>224.62173471831065</v>
      </c>
      <c r="I37" s="23">
        <v>259.67630006044192</v>
      </c>
      <c r="J37" s="23">
        <v>298.09351182546789</v>
      </c>
      <c r="K37" s="23">
        <v>300.24254468912613</v>
      </c>
      <c r="L37" s="23">
        <v>338.92631490857354</v>
      </c>
      <c r="M37" s="23">
        <v>393.0317657238769</v>
      </c>
      <c r="N37" s="23">
        <v>444.67884879885003</v>
      </c>
      <c r="O37" s="23">
        <v>463.59393714120512</v>
      </c>
      <c r="P37" s="23">
        <v>498.19531289715826</v>
      </c>
      <c r="Q37" s="23">
        <v>485.8978503313399</v>
      </c>
      <c r="R37" s="23">
        <v>486.47557529269278</v>
      </c>
      <c r="S37" s="23">
        <v>532</v>
      </c>
      <c r="T37" s="23">
        <v>589.34394351871242</v>
      </c>
      <c r="U37" s="23">
        <v>653.99389343051314</v>
      </c>
      <c r="V37" s="23">
        <v>698.82950870167872</v>
      </c>
      <c r="W37" s="23">
        <v>759.0115024487269</v>
      </c>
      <c r="X37" s="23">
        <v>836.8662577364147</v>
      </c>
      <c r="Y37" s="23">
        <v>845.10584030104098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514114.87496516248</v>
      </c>
      <c r="E39" s="30">
        <f t="shared" ref="E39:S39" si="2">SUM(E18:E38)</f>
        <v>526222.61345852911</v>
      </c>
      <c r="F39" s="30">
        <f t="shared" si="2"/>
        <v>527286.62480302923</v>
      </c>
      <c r="G39" s="30">
        <f t="shared" si="2"/>
        <v>527939.77137989388</v>
      </c>
      <c r="H39" s="30">
        <f t="shared" si="2"/>
        <v>538839.03629294317</v>
      </c>
      <c r="I39" s="30">
        <f t="shared" si="2"/>
        <v>550014.5508271585</v>
      </c>
      <c r="J39" s="30">
        <f t="shared" si="2"/>
        <v>568437.02911052399</v>
      </c>
      <c r="K39" s="30">
        <f t="shared" si="2"/>
        <v>590339.88310841843</v>
      </c>
      <c r="L39" s="30">
        <f t="shared" si="2"/>
        <v>605032.63734884304</v>
      </c>
      <c r="M39" s="30">
        <f t="shared" si="2"/>
        <v>585049.15503382974</v>
      </c>
      <c r="N39" s="30">
        <f t="shared" si="2"/>
        <v>593884.11462372926</v>
      </c>
      <c r="O39" s="30">
        <f t="shared" si="2"/>
        <v>604998.34799487889</v>
      </c>
      <c r="P39" s="30">
        <f t="shared" si="2"/>
        <v>600189.11087387521</v>
      </c>
      <c r="Q39" s="30">
        <f t="shared" si="2"/>
        <v>601774.89090027486</v>
      </c>
      <c r="R39" s="30">
        <f t="shared" si="2"/>
        <v>610429.95559144125</v>
      </c>
      <c r="S39" s="30">
        <f t="shared" si="2"/>
        <v>620835</v>
      </c>
      <c r="T39" s="30">
        <f t="shared" ref="T39:Y39" si="3">SUM(T18:T38)</f>
        <v>633045.14314775472</v>
      </c>
      <c r="U39" s="30">
        <f t="shared" si="3"/>
        <v>651596.57244164287</v>
      </c>
      <c r="V39" s="30">
        <f t="shared" si="3"/>
        <v>666710.30340366554</v>
      </c>
      <c r="W39" s="30">
        <f t="shared" si="3"/>
        <v>680164.37430807052</v>
      </c>
      <c r="X39" s="30">
        <f t="shared" si="3"/>
        <v>652597.50411535893</v>
      </c>
      <c r="Y39" s="30">
        <f t="shared" si="3"/>
        <v>695570.60360853933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13040.614152879474</v>
      </c>
      <c r="E41" s="19">
        <v>13337.490219092331</v>
      </c>
      <c r="F41" s="19">
        <v>13429.290434864413</v>
      </c>
      <c r="G41" s="19">
        <v>13549.137206598441</v>
      </c>
      <c r="H41" s="19">
        <v>13642.634801546126</v>
      </c>
      <c r="I41" s="19">
        <v>13737.100132076739</v>
      </c>
      <c r="J41" s="19">
        <v>12203.271385206701</v>
      </c>
      <c r="K41" s="19">
        <v>12319.560641514676</v>
      </c>
      <c r="L41" s="19">
        <v>11627.055525335787</v>
      </c>
      <c r="M41" s="19">
        <v>12178.772114552599</v>
      </c>
      <c r="N41" s="19">
        <v>11815.013598899679</v>
      </c>
      <c r="O41" s="19">
        <v>12240.325445008879</v>
      </c>
      <c r="P41" s="19">
        <v>13285.547252300341</v>
      </c>
      <c r="Q41" s="19">
        <v>13578.875060610957</v>
      </c>
      <c r="R41" s="19">
        <v>14360.113039967702</v>
      </c>
      <c r="S41" s="19">
        <v>14500</v>
      </c>
      <c r="T41" s="19">
        <v>15131.480539683489</v>
      </c>
      <c r="U41" s="19">
        <v>15489.018024229292</v>
      </c>
      <c r="V41" s="19">
        <v>15613.930386570151</v>
      </c>
      <c r="W41" s="19">
        <v>15606.177171485937</v>
      </c>
      <c r="X41" s="19">
        <v>15914.253395745776</v>
      </c>
      <c r="Y41" s="19">
        <v>15938.462643807197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1564.5189895867643</v>
      </c>
      <c r="E42" s="23">
        <v>1443.9064945226917</v>
      </c>
      <c r="F42" s="23">
        <v>1379.3833345092783</v>
      </c>
      <c r="G42" s="23">
        <v>1326.1347546305356</v>
      </c>
      <c r="H42" s="23">
        <v>1148.1933343215169</v>
      </c>
      <c r="I42" s="23">
        <v>1131.6066351771842</v>
      </c>
      <c r="J42" s="23">
        <v>1126.8589897578127</v>
      </c>
      <c r="K42" s="23">
        <v>1196.6962635296129</v>
      </c>
      <c r="L42" s="23">
        <v>1152.76789823842</v>
      </c>
      <c r="M42" s="23">
        <v>1038.3544792068471</v>
      </c>
      <c r="N42" s="23">
        <v>1040.3416788177747</v>
      </c>
      <c r="O42" s="23">
        <v>1113.0384504191964</v>
      </c>
      <c r="P42" s="23">
        <v>1072.6450104214325</v>
      </c>
      <c r="Q42" s="23">
        <v>1088.9768870211733</v>
      </c>
      <c r="R42" s="23">
        <v>1095.0746871215181</v>
      </c>
      <c r="S42" s="23">
        <v>1099</v>
      </c>
      <c r="T42" s="23">
        <v>1136.8055763305113</v>
      </c>
      <c r="U42" s="23">
        <v>1138.5797301290258</v>
      </c>
      <c r="V42" s="23">
        <v>1126.2128446018789</v>
      </c>
      <c r="W42" s="23">
        <v>1111.778282326009</v>
      </c>
      <c r="X42" s="23">
        <v>1091.6046680583784</v>
      </c>
      <c r="Y42" s="23">
        <v>1259.1268736472471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6299.8809192024119</v>
      </c>
      <c r="E43" s="23">
        <v>6465.1799687010953</v>
      </c>
      <c r="F43" s="23">
        <v>5947.9291610809287</v>
      </c>
      <c r="G43" s="23">
        <v>5628.0145966915697</v>
      </c>
      <c r="H43" s="23">
        <v>5644.0486642418164</v>
      </c>
      <c r="I43" s="23">
        <v>5568.4896241409415</v>
      </c>
      <c r="J43" s="23">
        <v>5409.3599178877948</v>
      </c>
      <c r="K43" s="23">
        <v>5591.3495955807721</v>
      </c>
      <c r="L43" s="23">
        <v>5421.7749696640021</v>
      </c>
      <c r="M43" s="23">
        <v>4995.7777754610561</v>
      </c>
      <c r="N43" s="23">
        <v>4469.5394988572789</v>
      </c>
      <c r="O43" s="23">
        <v>4454.2188080783053</v>
      </c>
      <c r="P43" s="23">
        <v>4026.2315083117278</v>
      </c>
      <c r="Q43" s="23">
        <v>3884.1522547276545</v>
      </c>
      <c r="R43" s="23">
        <v>3928.1388776746066</v>
      </c>
      <c r="S43" s="23">
        <v>3849</v>
      </c>
      <c r="T43" s="23">
        <v>3973.8335277869187</v>
      </c>
      <c r="U43" s="23">
        <v>4057.9139170688468</v>
      </c>
      <c r="V43" s="23">
        <v>4246.8812567380255</v>
      </c>
      <c r="W43" s="23">
        <v>4363.6124819394672</v>
      </c>
      <c r="X43" s="23">
        <v>4260.6608484536364</v>
      </c>
      <c r="Y43" s="23">
        <v>3964.184037288836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810.76287719476045</v>
      </c>
      <c r="E44" s="23">
        <v>1745.8920187793426</v>
      </c>
      <c r="F44" s="23">
        <v>1198.2878242667985</v>
      </c>
      <c r="G44" s="23">
        <v>1425.1343977713568</v>
      </c>
      <c r="H44" s="23">
        <v>1765.0479459083497</v>
      </c>
      <c r="I44" s="23">
        <v>2423.2723690985204</v>
      </c>
      <c r="J44" s="23">
        <v>2006.9445960996704</v>
      </c>
      <c r="K44" s="23">
        <v>2043.9999572608479</v>
      </c>
      <c r="L44" s="23">
        <v>2407.0044771747771</v>
      </c>
      <c r="M44" s="23">
        <v>1445.9815890159609</v>
      </c>
      <c r="N44" s="23">
        <v>645.3013991871685</v>
      </c>
      <c r="O44" s="23">
        <v>862.14017263453513</v>
      </c>
      <c r="P44" s="23">
        <v>945.55436937623915</v>
      </c>
      <c r="Q44" s="23">
        <v>538.42734766445767</v>
      </c>
      <c r="R44" s="23">
        <v>-342.14775938635449</v>
      </c>
      <c r="S44" s="23">
        <v>1504</v>
      </c>
      <c r="T44" s="23">
        <v>1450.922906632363</v>
      </c>
      <c r="U44" s="23">
        <v>1517.777996651236</v>
      </c>
      <c r="V44" s="23">
        <v>1156.0526721084243</v>
      </c>
      <c r="W44" s="23">
        <v>1503.9498620832005</v>
      </c>
      <c r="X44" s="23">
        <v>262.09547632404195</v>
      </c>
      <c r="Y44" s="23">
        <v>1159.4385120389413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8164.6355367503611</v>
      </c>
      <c r="E45" s="23">
        <v>8806.4847417840374</v>
      </c>
      <c r="F45" s="23">
        <v>9247.6304710835157</v>
      </c>
      <c r="G45" s="23">
        <v>9094.153265261486</v>
      </c>
      <c r="H45" s="23">
        <v>9746.5309054422305</v>
      </c>
      <c r="I45" s="23">
        <v>9904.6361173915957</v>
      </c>
      <c r="J45" s="23">
        <v>10799.065318512372</v>
      </c>
      <c r="K45" s="23">
        <v>11096.152407816991</v>
      </c>
      <c r="L45" s="23">
        <v>10324.699778233398</v>
      </c>
      <c r="M45" s="23">
        <v>7720.9370210902716</v>
      </c>
      <c r="N45" s="23">
        <v>8429.2495268823877</v>
      </c>
      <c r="O45" s="23">
        <v>9191.343493164828</v>
      </c>
      <c r="P45" s="23">
        <v>8856.6925931574388</v>
      </c>
      <c r="Q45" s="23">
        <v>8203.6932277355736</v>
      </c>
      <c r="R45" s="23">
        <v>8234.7597900686324</v>
      </c>
      <c r="S45" s="23">
        <v>9497</v>
      </c>
      <c r="T45" s="23">
        <v>10250.196946580108</v>
      </c>
      <c r="U45" s="23">
        <v>11103.122229882792</v>
      </c>
      <c r="V45" s="23">
        <v>11565.339596488526</v>
      </c>
      <c r="W45" s="23">
        <v>10188.955397519374</v>
      </c>
      <c r="X45" s="23">
        <v>9007.8076862947055</v>
      </c>
      <c r="Y45" s="23">
        <v>12064.986034648442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3093.5671032962578</v>
      </c>
      <c r="E46" s="23">
        <v>3384.1940532081376</v>
      </c>
      <c r="F46" s="23">
        <v>3754.7919753521955</v>
      </c>
      <c r="G46" s="23">
        <v>3342.9646939644754</v>
      </c>
      <c r="H46" s="23">
        <v>3117.3392016236617</v>
      </c>
      <c r="I46" s="23">
        <v>2800.4745808242483</v>
      </c>
      <c r="J46" s="23">
        <v>2655.5436657858531</v>
      </c>
      <c r="K46" s="23">
        <v>2880.6188629248541</v>
      </c>
      <c r="L46" s="23">
        <v>2889.2422277082724</v>
      </c>
      <c r="M46" s="23">
        <v>3005.5983569812656</v>
      </c>
      <c r="N46" s="23">
        <v>2958.6655497988604</v>
      </c>
      <c r="O46" s="23">
        <v>2964.316689381737</v>
      </c>
      <c r="P46" s="23">
        <v>3295.2061410197753</v>
      </c>
      <c r="Q46" s="23">
        <v>2048.6503959915954</v>
      </c>
      <c r="R46" s="23">
        <v>2042.7937020589422</v>
      </c>
      <c r="S46" s="23">
        <v>2423</v>
      </c>
      <c r="T46" s="23">
        <v>2705.3978320918218</v>
      </c>
      <c r="U46" s="23">
        <v>2687.8755047769132</v>
      </c>
      <c r="V46" s="23">
        <v>2517.1338364392423</v>
      </c>
      <c r="W46" s="23">
        <v>2637.3069633910645</v>
      </c>
      <c r="X46" s="23">
        <v>2649.4633939984733</v>
      </c>
      <c r="Y46" s="23">
        <v>2780.4970048586852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5062.2007144847857</v>
      </c>
      <c r="E47" s="23">
        <v>5050.6161971830988</v>
      </c>
      <c r="F47" s="23">
        <v>4947.2000752604717</v>
      </c>
      <c r="G47" s="23">
        <v>4658.7390208244597</v>
      </c>
      <c r="H47" s="23">
        <v>4547.1648632315882</v>
      </c>
      <c r="I47" s="23">
        <v>4487.2512368203088</v>
      </c>
      <c r="J47" s="23">
        <v>4729.0952370553168</v>
      </c>
      <c r="K47" s="23">
        <v>5063.5210650596746</v>
      </c>
      <c r="L47" s="23">
        <v>4958.3664588476504</v>
      </c>
      <c r="M47" s="23">
        <v>4876.9299736241283</v>
      </c>
      <c r="N47" s="23">
        <v>4334.0675705022804</v>
      </c>
      <c r="O47" s="23">
        <v>4525.4615289307394</v>
      </c>
      <c r="P47" s="23">
        <v>4263.1284632199686</v>
      </c>
      <c r="Q47" s="23">
        <v>4221.5532568288345</v>
      </c>
      <c r="R47" s="23">
        <v>4416.6330238191358</v>
      </c>
      <c r="S47" s="23">
        <v>4377</v>
      </c>
      <c r="T47" s="23">
        <v>4828.4321057827501</v>
      </c>
      <c r="U47" s="23">
        <v>4908.8939229784301</v>
      </c>
      <c r="V47" s="23">
        <v>4985.1763437548125</v>
      </c>
      <c r="W47" s="23">
        <v>5010.0388418741677</v>
      </c>
      <c r="X47" s="23">
        <v>5107.643071942909</v>
      </c>
      <c r="Y47" s="23">
        <v>5142.482509632051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8891.788492234411</v>
      </c>
      <c r="E48" s="23">
        <v>8352.895148669797</v>
      </c>
      <c r="F48" s="23">
        <v>7896.4698134951441</v>
      </c>
      <c r="G48" s="23">
        <v>7665.5653915666117</v>
      </c>
      <c r="H48" s="23">
        <v>8264.2554986716532</v>
      </c>
      <c r="I48" s="23">
        <v>8691.3209912471175</v>
      </c>
      <c r="J48" s="23">
        <v>8939.5296018868339</v>
      </c>
      <c r="K48" s="23">
        <v>9367.3536985393894</v>
      </c>
      <c r="L48" s="23">
        <v>9316.289384493075</v>
      </c>
      <c r="M48" s="23">
        <v>7816.8492822218277</v>
      </c>
      <c r="N48" s="23">
        <v>7870.8156237396461</v>
      </c>
      <c r="O48" s="23">
        <v>8262.0906124808989</v>
      </c>
      <c r="P48" s="23">
        <v>8258.8582176808504</v>
      </c>
      <c r="Q48" s="23">
        <v>7980.4428640698234</v>
      </c>
      <c r="R48" s="23">
        <v>8579.9354057327419</v>
      </c>
      <c r="S48" s="23">
        <v>8504</v>
      </c>
      <c r="T48" s="23">
        <v>9080.4838404084512</v>
      </c>
      <c r="U48" s="23">
        <v>9051.5118684132776</v>
      </c>
      <c r="V48" s="23">
        <v>9554.5202525797013</v>
      </c>
      <c r="W48" s="23">
        <v>9269.5100669881595</v>
      </c>
      <c r="X48" s="23">
        <v>8495.5719658999988</v>
      </c>
      <c r="Y48" s="23">
        <v>9364.4193377459651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6823.0763383921558</v>
      </c>
      <c r="E49" s="23">
        <v>6104.5089984350543</v>
      </c>
      <c r="F49" s="23">
        <v>4704.9554316893627</v>
      </c>
      <c r="G49" s="23">
        <v>4033.6598786678792</v>
      </c>
      <c r="H49" s="23">
        <v>4310.0007981482959</v>
      </c>
      <c r="I49" s="23">
        <v>5752.0539052181502</v>
      </c>
      <c r="J49" s="23">
        <v>6035.0287174335572</v>
      </c>
      <c r="K49" s="23">
        <v>6136.2737870094352</v>
      </c>
      <c r="L49" s="23">
        <v>5278.4635340390805</v>
      </c>
      <c r="M49" s="23">
        <v>4989.5226279959543</v>
      </c>
      <c r="N49" s="23">
        <v>5036.2464968613949</v>
      </c>
      <c r="O49" s="23">
        <v>4630.7768554082513</v>
      </c>
      <c r="P49" s="23">
        <v>4369.8846016979305</v>
      </c>
      <c r="Q49" s="23">
        <v>4320.5511556489409</v>
      </c>
      <c r="R49" s="23">
        <v>4331.8530480419868</v>
      </c>
      <c r="S49" s="23">
        <v>4743</v>
      </c>
      <c r="T49" s="23">
        <v>3837.2174190524624</v>
      </c>
      <c r="U49" s="23">
        <v>3951.5414163301489</v>
      </c>
      <c r="V49" s="23">
        <v>4362.3902664407824</v>
      </c>
      <c r="W49" s="23">
        <v>4115.9251684086094</v>
      </c>
      <c r="X49" s="23">
        <v>3772.3355925656847</v>
      </c>
      <c r="Y49" s="23">
        <v>3889.6422894195625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3758.6460259950845</v>
      </c>
      <c r="E50" s="23">
        <v>3323.0633802816901</v>
      </c>
      <c r="F50" s="23">
        <v>2605.8938356969825</v>
      </c>
      <c r="G50" s="23">
        <v>2594.7115772024545</v>
      </c>
      <c r="H50" s="23">
        <v>2436.6327263605576</v>
      </c>
      <c r="I50" s="23">
        <v>2067.3367509122249</v>
      </c>
      <c r="J50" s="23">
        <v>2377.104671223603</v>
      </c>
      <c r="K50" s="23">
        <v>2686.155720101292</v>
      </c>
      <c r="L50" s="23">
        <v>2835.8927151763669</v>
      </c>
      <c r="M50" s="23">
        <v>2066.2837126385252</v>
      </c>
      <c r="N50" s="23">
        <v>1950.3821135689097</v>
      </c>
      <c r="O50" s="23">
        <v>2351.0097881303432</v>
      </c>
      <c r="P50" s="23">
        <v>2321.1834680494126</v>
      </c>
      <c r="Q50" s="23">
        <v>2350.6950056570226</v>
      </c>
      <c r="R50" s="23">
        <v>2341.5421881308034</v>
      </c>
      <c r="S50" s="23">
        <v>2611</v>
      </c>
      <c r="T50" s="23">
        <v>2860.9607004317863</v>
      </c>
      <c r="U50" s="23">
        <v>2927.2136314389836</v>
      </c>
      <c r="V50" s="23">
        <v>2823.2327121515477</v>
      </c>
      <c r="W50" s="23">
        <v>2983.5062766216952</v>
      </c>
      <c r="X50" s="23">
        <v>3171.8150801460374</v>
      </c>
      <c r="Y50" s="23">
        <v>3175.6580779006172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5969.241683346424</v>
      </c>
      <c r="E51" s="23">
        <v>5796.4104068857587</v>
      </c>
      <c r="F51" s="23">
        <v>5637.4797149509632</v>
      </c>
      <c r="G51" s="23">
        <v>5750.0374126558381</v>
      </c>
      <c r="H51" s="23">
        <v>6506.0488238714752</v>
      </c>
      <c r="I51" s="23">
        <v>6488.5496183206105</v>
      </c>
      <c r="J51" s="23">
        <v>7211.0240003494146</v>
      </c>
      <c r="K51" s="23">
        <v>7747.5398275475209</v>
      </c>
      <c r="L51" s="23">
        <v>7696.974768818779</v>
      </c>
      <c r="M51" s="23">
        <v>6575.2025103991818</v>
      </c>
      <c r="N51" s="23">
        <v>8459.2394957548677</v>
      </c>
      <c r="O51" s="23">
        <v>9554.7846198323205</v>
      </c>
      <c r="P51" s="23">
        <v>8585.2269838849061</v>
      </c>
      <c r="Q51" s="23">
        <v>8898.6988847583634</v>
      </c>
      <c r="R51" s="23">
        <v>9696.2050867985472</v>
      </c>
      <c r="S51" s="23">
        <v>9635</v>
      </c>
      <c r="T51" s="23">
        <v>9621.9622859764058</v>
      </c>
      <c r="U51" s="23">
        <v>10941.593617649956</v>
      </c>
      <c r="V51" s="23">
        <v>11572.077622054519</v>
      </c>
      <c r="W51" s="23">
        <v>12644.249713846097</v>
      </c>
      <c r="X51" s="23">
        <v>13428.484720293547</v>
      </c>
      <c r="Y51" s="23">
        <v>15685.200319721233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3894.1954445260835</v>
      </c>
      <c r="E52" s="23">
        <v>4293.8184663536776</v>
      </c>
      <c r="F52" s="23">
        <v>4153.4372868599921</v>
      </c>
      <c r="G52" s="23">
        <v>4069.3457965442217</v>
      </c>
      <c r="H52" s="23">
        <v>4251.8499937288343</v>
      </c>
      <c r="I52" s="23">
        <v>4038.4141836985964</v>
      </c>
      <c r="J52" s="23">
        <v>3960.3852285383591</v>
      </c>
      <c r="K52" s="23">
        <v>4583.7740808411072</v>
      </c>
      <c r="L52" s="23">
        <v>4770.0740616762205</v>
      </c>
      <c r="M52" s="23">
        <v>3249.5491081202235</v>
      </c>
      <c r="N52" s="23">
        <v>3763.2240250674777</v>
      </c>
      <c r="O52" s="23">
        <v>3766.5716763721966</v>
      </c>
      <c r="P52" s="23">
        <v>3304.3566671750291</v>
      </c>
      <c r="Q52" s="23">
        <v>3355.8267334734119</v>
      </c>
      <c r="R52" s="23">
        <v>3267.0569236980218</v>
      </c>
      <c r="S52" s="23">
        <v>3516</v>
      </c>
      <c r="T52" s="23">
        <v>3541.0496504821449</v>
      </c>
      <c r="U52" s="23">
        <v>4055.9440559440559</v>
      </c>
      <c r="V52" s="23">
        <v>4151.5863237332505</v>
      </c>
      <c r="W52" s="23">
        <v>4207.8697014617301</v>
      </c>
      <c r="X52" s="23">
        <v>3894.6468148502377</v>
      </c>
      <c r="Y52" s="23">
        <v>3902.2155962890783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9088.1451265550859</v>
      </c>
      <c r="E53" s="23">
        <v>9211.1697965571657</v>
      </c>
      <c r="F53" s="23">
        <v>9010.0896069992086</v>
      </c>
      <c r="G53" s="23">
        <v>8746.5033556275084</v>
      </c>
      <c r="H53" s="23">
        <v>8648.5068925806117</v>
      </c>
      <c r="I53" s="23">
        <v>8762.9558326431434</v>
      </c>
      <c r="J53" s="23">
        <v>8686.2047127165279</v>
      </c>
      <c r="K53" s="23">
        <v>8707.0337959846511</v>
      </c>
      <c r="L53" s="23">
        <v>8895.7696974768623</v>
      </c>
      <c r="M53" s="23">
        <v>8461.1294711271912</v>
      </c>
      <c r="N53" s="23">
        <v>8430.2836637400469</v>
      </c>
      <c r="O53" s="23">
        <v>8626.5642423492172</v>
      </c>
      <c r="P53" s="23">
        <v>8684.8660464643035</v>
      </c>
      <c r="Q53" s="23">
        <v>8170.3572005818569</v>
      </c>
      <c r="R53" s="23">
        <v>8272.1033508275941</v>
      </c>
      <c r="S53" s="23">
        <v>8275</v>
      </c>
      <c r="T53" s="23">
        <v>8227.8796581604984</v>
      </c>
      <c r="U53" s="23">
        <v>8522.6041564070038</v>
      </c>
      <c r="V53" s="23">
        <v>8703.6038811027684</v>
      </c>
      <c r="W53" s="23">
        <v>8546.1505263355502</v>
      </c>
      <c r="X53" s="23">
        <v>8249.1102548305207</v>
      </c>
      <c r="Y53" s="23">
        <v>8396.2747087933094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76461.273404444059</v>
      </c>
      <c r="E54" s="30">
        <f t="shared" ref="E54:S54" si="4">SUM(E41:E53)</f>
        <v>77315.629890453871</v>
      </c>
      <c r="F54" s="30">
        <f t="shared" si="4"/>
        <v>73912.838966109251</v>
      </c>
      <c r="G54" s="30">
        <f t="shared" si="4"/>
        <v>71884.101348006836</v>
      </c>
      <c r="H54" s="30">
        <f t="shared" si="4"/>
        <v>74028.254449676722</v>
      </c>
      <c r="I54" s="30">
        <f t="shared" si="4"/>
        <v>75853.461977569386</v>
      </c>
      <c r="J54" s="30">
        <f t="shared" si="4"/>
        <v>76139.416042453828</v>
      </c>
      <c r="K54" s="30">
        <f t="shared" si="4"/>
        <v>79420.029703710825</v>
      </c>
      <c r="L54" s="30">
        <f t="shared" si="4"/>
        <v>77574.375496882698</v>
      </c>
      <c r="M54" s="30">
        <f t="shared" si="4"/>
        <v>68420.888022435029</v>
      </c>
      <c r="N54" s="30">
        <f t="shared" si="4"/>
        <v>69202.370241677767</v>
      </c>
      <c r="O54" s="30">
        <f t="shared" si="4"/>
        <v>72542.642382191436</v>
      </c>
      <c r="P54" s="30">
        <f t="shared" si="4"/>
        <v>71269.381322759349</v>
      </c>
      <c r="Q54" s="30">
        <f t="shared" si="4"/>
        <v>68640.900274769665</v>
      </c>
      <c r="R54" s="30">
        <f t="shared" si="4"/>
        <v>70224.061364553883</v>
      </c>
      <c r="S54" s="30">
        <f t="shared" si="4"/>
        <v>74533</v>
      </c>
      <c r="T54" s="30">
        <f t="shared" ref="T54:Y54" si="5">SUM(T41:T53)</f>
        <v>76646.622989399708</v>
      </c>
      <c r="U54" s="30">
        <f t="shared" si="5"/>
        <v>80353.590071899962</v>
      </c>
      <c r="V54" s="30">
        <f t="shared" si="5"/>
        <v>82378.137994763631</v>
      </c>
      <c r="W54" s="30">
        <f t="shared" si="5"/>
        <v>82189.030454281063</v>
      </c>
      <c r="X54" s="30">
        <f t="shared" si="5"/>
        <v>79305.492969403946</v>
      </c>
      <c r="Y54" s="30">
        <f t="shared" si="5"/>
        <v>86722.58794579118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13040.614152879474</v>
      </c>
      <c r="E56" s="19">
        <v>13337.490219092331</v>
      </c>
      <c r="F56" s="19">
        <v>13429.290434864413</v>
      </c>
      <c r="G56" s="19">
        <v>13549.137206598441</v>
      </c>
      <c r="H56" s="19">
        <v>13642.634801546126</v>
      </c>
      <c r="I56" s="19">
        <v>13737.100132076739</v>
      </c>
      <c r="J56" s="19">
        <v>12203.271385206701</v>
      </c>
      <c r="K56" s="19">
        <v>12319.560641514676</v>
      </c>
      <c r="L56" s="19">
        <v>11627.055525335787</v>
      </c>
      <c r="M56" s="19">
        <v>12178.772114552599</v>
      </c>
      <c r="N56" s="19">
        <v>11815.013598899679</v>
      </c>
      <c r="O56" s="19">
        <v>12240.325445008879</v>
      </c>
      <c r="P56" s="19">
        <v>13285.547252300341</v>
      </c>
      <c r="Q56" s="19">
        <v>13578.875060610957</v>
      </c>
      <c r="R56" s="19">
        <v>14360.113039967702</v>
      </c>
      <c r="S56" s="19">
        <v>14500</v>
      </c>
      <c r="T56" s="19">
        <v>15131.480539683489</v>
      </c>
      <c r="U56" s="19">
        <v>15489.018024229292</v>
      </c>
      <c r="V56" s="19">
        <v>15613.930386570151</v>
      </c>
      <c r="W56" s="19">
        <v>15606.177171485937</v>
      </c>
      <c r="X56" s="19">
        <v>15914.253395745776</v>
      </c>
      <c r="Y56" s="19">
        <v>15938.462643807197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1564.5189895867643</v>
      </c>
      <c r="E57" s="23">
        <v>1443.9064945226917</v>
      </c>
      <c r="F57" s="23">
        <v>1379.3833345092783</v>
      </c>
      <c r="G57" s="23">
        <v>1326.1347546305356</v>
      </c>
      <c r="H57" s="23">
        <v>1148.1933343215169</v>
      </c>
      <c r="I57" s="23">
        <v>1131.6066351771842</v>
      </c>
      <c r="J57" s="23">
        <v>1126.8589897578127</v>
      </c>
      <c r="K57" s="23">
        <v>1196.6962635296129</v>
      </c>
      <c r="L57" s="23">
        <v>1152.76789823842</v>
      </c>
      <c r="M57" s="23">
        <v>1038.3544792068471</v>
      </c>
      <c r="N57" s="23">
        <v>1040.3416788177747</v>
      </c>
      <c r="O57" s="23">
        <v>1113.0384504191964</v>
      </c>
      <c r="P57" s="23">
        <v>1072.6450104214325</v>
      </c>
      <c r="Q57" s="23">
        <v>1088.9768870211733</v>
      </c>
      <c r="R57" s="23">
        <v>1095.0746871215181</v>
      </c>
      <c r="S57" s="23">
        <v>1099</v>
      </c>
      <c r="T57" s="23">
        <v>1136.8055763305113</v>
      </c>
      <c r="U57" s="23">
        <v>1138.5797301290258</v>
      </c>
      <c r="V57" s="23">
        <v>1126.2128446018789</v>
      </c>
      <c r="W57" s="23">
        <v>1111.778282326009</v>
      </c>
      <c r="X57" s="23">
        <v>1091.6046680583784</v>
      </c>
      <c r="Y57" s="23">
        <v>1259.1268736472471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1183.2070739061035</v>
      </c>
      <c r="E58" s="23">
        <v>1291.0798122065728</v>
      </c>
      <c r="F58" s="23">
        <v>1064.2301088924951</v>
      </c>
      <c r="G58" s="23">
        <v>1115.4727232959974</v>
      </c>
      <c r="H58" s="23">
        <v>1108.2859195238475</v>
      </c>
      <c r="I58" s="23">
        <v>1064.4489713684493</v>
      </c>
      <c r="J58" s="23">
        <v>1040.5974973248019</v>
      </c>
      <c r="K58" s="23">
        <v>1093.0538192774948</v>
      </c>
      <c r="L58" s="23">
        <v>1160.0903803506421</v>
      </c>
      <c r="M58" s="23">
        <v>1017.5039876565089</v>
      </c>
      <c r="N58" s="23">
        <v>834.54844414109766</v>
      </c>
      <c r="O58" s="23">
        <v>873.49770784289433</v>
      </c>
      <c r="P58" s="23">
        <v>769.66092216969139</v>
      </c>
      <c r="Q58" s="23">
        <v>666.72054307418773</v>
      </c>
      <c r="R58" s="23">
        <v>698.42551473556728</v>
      </c>
      <c r="S58" s="23">
        <v>792</v>
      </c>
      <c r="T58" s="23">
        <v>892.49209720684871</v>
      </c>
      <c r="U58" s="23">
        <v>975.08125677139765</v>
      </c>
      <c r="V58" s="23">
        <v>1053.0571384567995</v>
      </c>
      <c r="W58" s="23">
        <v>1140.8627774754659</v>
      </c>
      <c r="X58" s="23">
        <v>1170.6931275807208</v>
      </c>
      <c r="Y58" s="23">
        <v>1274.3944605602308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1779.8778788416225</v>
      </c>
      <c r="E59" s="23">
        <v>1950.0684663536776</v>
      </c>
      <c r="F59" s="23">
        <v>1970.8836049765987</v>
      </c>
      <c r="G59" s="23">
        <v>1891.3536474461546</v>
      </c>
      <c r="H59" s="23">
        <v>1934.9395117612851</v>
      </c>
      <c r="I59" s="23">
        <v>1825.569161200779</v>
      </c>
      <c r="J59" s="23">
        <v>1851.8922932453977</v>
      </c>
      <c r="K59" s="23">
        <v>1952.1107798826811</v>
      </c>
      <c r="L59" s="23">
        <v>1810.7452194652494</v>
      </c>
      <c r="M59" s="23">
        <v>1657.6140782518946</v>
      </c>
      <c r="N59" s="23">
        <v>1620.4924559716233</v>
      </c>
      <c r="O59" s="23">
        <v>1629.2900507991574</v>
      </c>
      <c r="P59" s="23">
        <v>1441.7162320166742</v>
      </c>
      <c r="Q59" s="23">
        <v>1515.273961532245</v>
      </c>
      <c r="R59" s="23">
        <v>1668.3488090431974</v>
      </c>
      <c r="S59" s="23">
        <v>1607</v>
      </c>
      <c r="T59" s="23">
        <v>1682.2728133943617</v>
      </c>
      <c r="U59" s="23">
        <v>1733.4777898158179</v>
      </c>
      <c r="V59" s="23">
        <v>1883.7594332357924</v>
      </c>
      <c r="W59" s="23">
        <v>2043.4203366295762</v>
      </c>
      <c r="X59" s="23">
        <v>2004.800485566356</v>
      </c>
      <c r="Y59" s="23">
        <v>1593.2175990372441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3336.7959664546856</v>
      </c>
      <c r="E60" s="23">
        <v>3224.0316901408451</v>
      </c>
      <c r="F60" s="23">
        <v>2912.8154472118349</v>
      </c>
      <c r="G60" s="23">
        <v>2621.1882259494178</v>
      </c>
      <c r="H60" s="23">
        <v>2600.8232329566845</v>
      </c>
      <c r="I60" s="23">
        <v>2678.4714915717127</v>
      </c>
      <c r="J60" s="23">
        <v>2516.8701273175948</v>
      </c>
      <c r="K60" s="23">
        <v>2546.1849964205962</v>
      </c>
      <c r="L60" s="23">
        <v>2450.9393698481099</v>
      </c>
      <c r="M60" s="23">
        <v>2320.6597095526527</v>
      </c>
      <c r="N60" s="23">
        <v>2014.498598744558</v>
      </c>
      <c r="O60" s="23">
        <v>1951.4310494362537</v>
      </c>
      <c r="P60" s="23">
        <v>1814.8543541253623</v>
      </c>
      <c r="Q60" s="23">
        <v>1702.1577501212216</v>
      </c>
      <c r="R60" s="23">
        <v>1561.3645538958417</v>
      </c>
      <c r="S60" s="23">
        <v>1450</v>
      </c>
      <c r="T60" s="23">
        <v>1399.068617185708</v>
      </c>
      <c r="U60" s="23">
        <v>1349.3548704816315</v>
      </c>
      <c r="V60" s="23">
        <v>1310.0646850454339</v>
      </c>
      <c r="W60" s="23">
        <v>1179.3293678344251</v>
      </c>
      <c r="X60" s="23">
        <v>1085.1672353065594</v>
      </c>
      <c r="Y60" s="23">
        <v>1096.5719776913613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810.76287719476045</v>
      </c>
      <c r="E61" s="23">
        <v>1745.8920187793426</v>
      </c>
      <c r="F61" s="23">
        <v>1198.2878242667985</v>
      </c>
      <c r="G61" s="23">
        <v>1425.1343977713568</v>
      </c>
      <c r="H61" s="23">
        <v>1765.0479459083497</v>
      </c>
      <c r="I61" s="23">
        <v>2423.2723690985204</v>
      </c>
      <c r="J61" s="23">
        <v>2006.9445960996704</v>
      </c>
      <c r="K61" s="23">
        <v>2043.9999572608479</v>
      </c>
      <c r="L61" s="23">
        <v>2407.0044771747771</v>
      </c>
      <c r="M61" s="23">
        <v>1445.9815890159609</v>
      </c>
      <c r="N61" s="23">
        <v>645.3013991871685</v>
      </c>
      <c r="O61" s="23">
        <v>862.14017263453513</v>
      </c>
      <c r="P61" s="23">
        <v>945.55436937623915</v>
      </c>
      <c r="Q61" s="23">
        <v>538.42734766445767</v>
      </c>
      <c r="R61" s="23">
        <v>-342.14775938635449</v>
      </c>
      <c r="S61" s="23">
        <v>1504</v>
      </c>
      <c r="T61" s="23">
        <v>1450.922906632363</v>
      </c>
      <c r="U61" s="23">
        <v>1517.777996651236</v>
      </c>
      <c r="V61" s="23">
        <v>1156.0526721084243</v>
      </c>
      <c r="W61" s="23">
        <v>1503.9498620832005</v>
      </c>
      <c r="X61" s="23">
        <v>262.09547632404195</v>
      </c>
      <c r="Y61" s="23">
        <v>1159.4385120389413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8164.6355367503611</v>
      </c>
      <c r="E62" s="23">
        <v>8806.4847417840374</v>
      </c>
      <c r="F62" s="23">
        <v>9247.6304710835157</v>
      </c>
      <c r="G62" s="23">
        <v>9094.153265261486</v>
      </c>
      <c r="H62" s="23">
        <v>9746.5309054422305</v>
      </c>
      <c r="I62" s="23">
        <v>9904.6361173915957</v>
      </c>
      <c r="J62" s="23">
        <v>10799.065318512372</v>
      </c>
      <c r="K62" s="23">
        <v>11096.152407816991</v>
      </c>
      <c r="L62" s="23">
        <v>10324.699778233398</v>
      </c>
      <c r="M62" s="23">
        <v>7720.9370210902716</v>
      </c>
      <c r="N62" s="23">
        <v>8429.2495268823877</v>
      </c>
      <c r="O62" s="23">
        <v>9191.343493164828</v>
      </c>
      <c r="P62" s="23">
        <v>8856.6925931574388</v>
      </c>
      <c r="Q62" s="23">
        <v>8203.6932277355736</v>
      </c>
      <c r="R62" s="23">
        <v>8234.7597900686324</v>
      </c>
      <c r="S62" s="23">
        <v>9497</v>
      </c>
      <c r="T62" s="23">
        <v>10250.196946580108</v>
      </c>
      <c r="U62" s="23">
        <v>11103.122229882792</v>
      </c>
      <c r="V62" s="23">
        <v>11565.339596488526</v>
      </c>
      <c r="W62" s="23">
        <v>10188.955397519374</v>
      </c>
      <c r="X62" s="23">
        <v>9007.8076862947055</v>
      </c>
      <c r="Y62" s="23">
        <v>12064.986034648442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3093.5671032962578</v>
      </c>
      <c r="E63" s="23">
        <v>3384.1940532081376</v>
      </c>
      <c r="F63" s="23">
        <v>3754.7919753521955</v>
      </c>
      <c r="G63" s="23">
        <v>3342.9646939644754</v>
      </c>
      <c r="H63" s="23">
        <v>3117.3392016236617</v>
      </c>
      <c r="I63" s="23">
        <v>2800.4745808242483</v>
      </c>
      <c r="J63" s="23">
        <v>2655.5436657858531</v>
      </c>
      <c r="K63" s="23">
        <v>2880.6188629248541</v>
      </c>
      <c r="L63" s="23">
        <v>2889.2422277082724</v>
      </c>
      <c r="M63" s="23">
        <v>3005.5983569812656</v>
      </c>
      <c r="N63" s="23">
        <v>2958.6655497988604</v>
      </c>
      <c r="O63" s="23">
        <v>2964.316689381737</v>
      </c>
      <c r="P63" s="23">
        <v>3295.2061410197753</v>
      </c>
      <c r="Q63" s="23">
        <v>2048.6503959915954</v>
      </c>
      <c r="R63" s="23">
        <v>2042.7937020589422</v>
      </c>
      <c r="S63" s="23">
        <v>2423</v>
      </c>
      <c r="T63" s="23">
        <v>2705.3978320918218</v>
      </c>
      <c r="U63" s="23">
        <v>2687.8755047769132</v>
      </c>
      <c r="V63" s="23">
        <v>2517.1338364392423</v>
      </c>
      <c r="W63" s="23">
        <v>2637.3069633910645</v>
      </c>
      <c r="X63" s="23">
        <v>2649.4633939984733</v>
      </c>
      <c r="Y63" s="23">
        <v>2780.4970048586852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2679.3179457295601</v>
      </c>
      <c r="E64" s="23">
        <v>2695.8626760563379</v>
      </c>
      <c r="F64" s="23">
        <v>2717.6085985089021</v>
      </c>
      <c r="G64" s="23">
        <v>2636.1532882846586</v>
      </c>
      <c r="H64" s="23">
        <v>2534.6909455776881</v>
      </c>
      <c r="I64" s="23">
        <v>2549.7526359383046</v>
      </c>
      <c r="J64" s="23">
        <v>2619.5103841366208</v>
      </c>
      <c r="K64" s="23">
        <v>2742.785096857604</v>
      </c>
      <c r="L64" s="23">
        <v>2644.4621113854137</v>
      </c>
      <c r="M64" s="23">
        <v>2648.012426892964</v>
      </c>
      <c r="N64" s="23">
        <v>2385.7537306487143</v>
      </c>
      <c r="O64" s="23">
        <v>2476.9751786230536</v>
      </c>
      <c r="P64" s="23">
        <v>2493.0100147425142</v>
      </c>
      <c r="Q64" s="23">
        <v>2525.4566025537415</v>
      </c>
      <c r="R64" s="23">
        <v>2785.6277755349215</v>
      </c>
      <c r="S64" s="23">
        <v>2746</v>
      </c>
      <c r="T64" s="23">
        <v>2978.6300495607343</v>
      </c>
      <c r="U64" s="23">
        <v>2993.203979119472</v>
      </c>
      <c r="V64" s="23">
        <v>2933.9288464500228</v>
      </c>
      <c r="W64" s="23">
        <v>2918.7698196761303</v>
      </c>
      <c r="X64" s="23">
        <v>2949.2638335831671</v>
      </c>
      <c r="Y64" s="23">
        <v>3021.1860220751346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2382.8827687552257</v>
      </c>
      <c r="E65" s="23">
        <v>2354.7535211267609</v>
      </c>
      <c r="F65" s="23">
        <v>2229.5914767515696</v>
      </c>
      <c r="G65" s="23">
        <v>2022.585732539801</v>
      </c>
      <c r="H65" s="23">
        <v>2012.4739176539001</v>
      </c>
      <c r="I65" s="23">
        <v>1937.4986008820042</v>
      </c>
      <c r="J65" s="23">
        <v>2109.584852918696</v>
      </c>
      <c r="K65" s="23">
        <v>2320.7359682020706</v>
      </c>
      <c r="L65" s="23">
        <v>2313.9043474622367</v>
      </c>
      <c r="M65" s="23">
        <v>2228.9175467311643</v>
      </c>
      <c r="N65" s="23">
        <v>1948.3138398535662</v>
      </c>
      <c r="O65" s="23">
        <v>2048.4863503076858</v>
      </c>
      <c r="P65" s="23">
        <v>1770.1184484774544</v>
      </c>
      <c r="Q65" s="23">
        <v>1696.096654275093</v>
      </c>
      <c r="R65" s="23">
        <v>1631.0052482842143</v>
      </c>
      <c r="S65" s="23">
        <v>1631</v>
      </c>
      <c r="T65" s="23">
        <v>1849.8020562220158</v>
      </c>
      <c r="U65" s="23">
        <v>1915.689943858958</v>
      </c>
      <c r="V65" s="23">
        <v>2051.2474973047897</v>
      </c>
      <c r="W65" s="23">
        <v>2091.2690221980374</v>
      </c>
      <c r="X65" s="23">
        <v>2158.379238359742</v>
      </c>
      <c r="Y65" s="23">
        <v>2121.2964875569164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2446.2236185360662</v>
      </c>
      <c r="E66" s="23">
        <v>2053.9906103286385</v>
      </c>
      <c r="F66" s="23">
        <v>2036.736517792046</v>
      </c>
      <c r="G66" s="23">
        <v>2107.7714719865544</v>
      </c>
      <c r="H66" s="23">
        <v>2682.9184862547459</v>
      </c>
      <c r="I66" s="23">
        <v>2894.4953101564774</v>
      </c>
      <c r="J66" s="23">
        <v>3103.2298923369221</v>
      </c>
      <c r="K66" s="23">
        <v>3204.3679413618834</v>
      </c>
      <c r="L66" s="23">
        <v>2821.2477509519226</v>
      </c>
      <c r="M66" s="23">
        <v>1788.9721750190261</v>
      </c>
      <c r="N66" s="23">
        <v>1824.2174169329569</v>
      </c>
      <c r="O66" s="23">
        <v>1796.5555693222648</v>
      </c>
      <c r="P66" s="23">
        <v>1887.0418382390319</v>
      </c>
      <c r="Q66" s="23">
        <v>1841.5629545821885</v>
      </c>
      <c r="R66" s="23">
        <v>2138.6758175211949</v>
      </c>
      <c r="S66" s="23">
        <v>1867</v>
      </c>
      <c r="T66" s="23">
        <v>2107.0791077073422</v>
      </c>
      <c r="U66" s="23">
        <v>2130.4048064611443</v>
      </c>
      <c r="V66" s="23">
        <v>2340.0200215616819</v>
      </c>
      <c r="W66" s="23">
        <v>1919.5766798641473</v>
      </c>
      <c r="X66" s="23">
        <v>1608.4385547043839</v>
      </c>
      <c r="Y66" s="23">
        <v>2350.3102912516729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6445.5648736983449</v>
      </c>
      <c r="E67" s="23">
        <v>6298.9045383411585</v>
      </c>
      <c r="F67" s="23">
        <v>5859.7332957030976</v>
      </c>
      <c r="G67" s="23">
        <v>5557.7939195800573</v>
      </c>
      <c r="H67" s="23">
        <v>5581.3370124169069</v>
      </c>
      <c r="I67" s="23">
        <v>5796.8256810906405</v>
      </c>
      <c r="J67" s="23">
        <v>5836.2997095499122</v>
      </c>
      <c r="K67" s="23">
        <v>6162.9857571775065</v>
      </c>
      <c r="L67" s="23">
        <v>6495.0416335411519</v>
      </c>
      <c r="M67" s="23">
        <v>6027.8771072028012</v>
      </c>
      <c r="N67" s="23">
        <v>6046.5982068066896</v>
      </c>
      <c r="O67" s="23">
        <v>6465.5350431586339</v>
      </c>
      <c r="P67" s="23">
        <v>6371.8163794418188</v>
      </c>
      <c r="Q67" s="23">
        <v>6138.8799094876349</v>
      </c>
      <c r="R67" s="23">
        <v>6441.2595882115475</v>
      </c>
      <c r="S67" s="23">
        <v>6637</v>
      </c>
      <c r="T67" s="23">
        <v>6973.4047327011085</v>
      </c>
      <c r="U67" s="23">
        <v>6921.1070619521333</v>
      </c>
      <c r="V67" s="23">
        <v>7214.5002310180189</v>
      </c>
      <c r="W67" s="23">
        <v>7349.9333871240124</v>
      </c>
      <c r="X67" s="23">
        <v>6887.1334111956148</v>
      </c>
      <c r="Y67" s="23">
        <v>7014.1090464942918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6823.0763383921558</v>
      </c>
      <c r="E68" s="23">
        <v>6104.5089984350543</v>
      </c>
      <c r="F68" s="23">
        <v>4704.9554316893627</v>
      </c>
      <c r="G68" s="23">
        <v>4033.6598786678792</v>
      </c>
      <c r="H68" s="23">
        <v>4310.0007981482959</v>
      </c>
      <c r="I68" s="23">
        <v>5752.0539052181502</v>
      </c>
      <c r="J68" s="23">
        <v>6035.0287174335572</v>
      </c>
      <c r="K68" s="23">
        <v>6136.2737870094352</v>
      </c>
      <c r="L68" s="23">
        <v>5278.4635340390805</v>
      </c>
      <c r="M68" s="23">
        <v>4989.5226279959543</v>
      </c>
      <c r="N68" s="23">
        <v>5036.2464968613949</v>
      </c>
      <c r="O68" s="23">
        <v>4630.7768554082513</v>
      </c>
      <c r="P68" s="23">
        <v>4369.8846016979305</v>
      </c>
      <c r="Q68" s="23">
        <v>4320.5511556489409</v>
      </c>
      <c r="R68" s="23">
        <v>4331.8530480419868</v>
      </c>
      <c r="S68" s="23">
        <v>4743</v>
      </c>
      <c r="T68" s="23">
        <v>3837.2174190524624</v>
      </c>
      <c r="U68" s="23">
        <v>3951.5414163301489</v>
      </c>
      <c r="V68" s="23">
        <v>4362.3902664407824</v>
      </c>
      <c r="W68" s="23">
        <v>4115.9251684086094</v>
      </c>
      <c r="X68" s="23">
        <v>3772.3355925656847</v>
      </c>
      <c r="Y68" s="23">
        <v>3889.6422894195625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3758.6460259950845</v>
      </c>
      <c r="E69" s="23">
        <v>3323.0633802816901</v>
      </c>
      <c r="F69" s="23">
        <v>2605.8938356969825</v>
      </c>
      <c r="G69" s="23">
        <v>2594.7115772024545</v>
      </c>
      <c r="H69" s="23">
        <v>2436.6327263605576</v>
      </c>
      <c r="I69" s="23">
        <v>2067.3367509122249</v>
      </c>
      <c r="J69" s="23">
        <v>2377.104671223603</v>
      </c>
      <c r="K69" s="23">
        <v>2686.155720101292</v>
      </c>
      <c r="L69" s="23">
        <v>2835.8927151763669</v>
      </c>
      <c r="M69" s="23">
        <v>2066.2837126385252</v>
      </c>
      <c r="N69" s="23">
        <v>1950.3821135689097</v>
      </c>
      <c r="O69" s="23">
        <v>2351.0097881303432</v>
      </c>
      <c r="P69" s="23">
        <v>2321.1834680494126</v>
      </c>
      <c r="Q69" s="23">
        <v>2350.6950056570226</v>
      </c>
      <c r="R69" s="23">
        <v>2341.5421881308034</v>
      </c>
      <c r="S69" s="23">
        <v>2611</v>
      </c>
      <c r="T69" s="23">
        <v>2860.9607004317863</v>
      </c>
      <c r="U69" s="23">
        <v>2927.2136314389836</v>
      </c>
      <c r="V69" s="23">
        <v>2823.2327121515477</v>
      </c>
      <c r="W69" s="23">
        <v>2983.5062766216952</v>
      </c>
      <c r="X69" s="23">
        <v>3171.8150801460374</v>
      </c>
      <c r="Y69" s="23">
        <v>3175.6580779006172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5969.241683346424</v>
      </c>
      <c r="E70" s="23">
        <v>5796.4104068857587</v>
      </c>
      <c r="F70" s="23">
        <v>5637.4797149509632</v>
      </c>
      <c r="G70" s="23">
        <v>5750.0374126558381</v>
      </c>
      <c r="H70" s="23">
        <v>6506.0488238714752</v>
      </c>
      <c r="I70" s="23">
        <v>6488.5496183206105</v>
      </c>
      <c r="J70" s="23">
        <v>7211.0240003494146</v>
      </c>
      <c r="K70" s="23">
        <v>7747.5398275475209</v>
      </c>
      <c r="L70" s="23">
        <v>7696.974768818779</v>
      </c>
      <c r="M70" s="23">
        <v>6575.2025103991818</v>
      </c>
      <c r="N70" s="23">
        <v>8459.2394957548677</v>
      </c>
      <c r="O70" s="23">
        <v>9554.7846198323205</v>
      </c>
      <c r="P70" s="23">
        <v>8585.2269838849061</v>
      </c>
      <c r="Q70" s="23">
        <v>8898.6988847583634</v>
      </c>
      <c r="R70" s="23">
        <v>9696.2050867985472</v>
      </c>
      <c r="S70" s="23">
        <v>9635</v>
      </c>
      <c r="T70" s="23">
        <v>9621.9622859764058</v>
      </c>
      <c r="U70" s="23">
        <v>10941.593617649956</v>
      </c>
      <c r="V70" s="23">
        <v>11572.077622054519</v>
      </c>
      <c r="W70" s="23">
        <v>12644.249713846097</v>
      </c>
      <c r="X70" s="23">
        <v>13428.484720293547</v>
      </c>
      <c r="Y70" s="23">
        <v>15685.200319721233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2767.9951354227369</v>
      </c>
      <c r="E71" s="23">
        <v>2502.6897496087636</v>
      </c>
      <c r="F71" s="23">
        <v>2350.7137985371246</v>
      </c>
      <c r="G71" s="23">
        <v>2382.8983872267436</v>
      </c>
      <c r="H71" s="23">
        <v>2533.5507337263261</v>
      </c>
      <c r="I71" s="23">
        <v>2332.6095229567281</v>
      </c>
      <c r="J71" s="23">
        <v>2356.3582363346509</v>
      </c>
      <c r="K71" s="23">
        <v>2549.3904328407648</v>
      </c>
      <c r="L71" s="23">
        <v>2594.2508054730324</v>
      </c>
      <c r="M71" s="23">
        <v>1218.7112311172734</v>
      </c>
      <c r="N71" s="23">
        <v>1812.8419114985677</v>
      </c>
      <c r="O71" s="23">
        <v>2187.8742824102756</v>
      </c>
      <c r="P71" s="23">
        <v>1832.1386813075085</v>
      </c>
      <c r="Q71" s="23">
        <v>1766.8094391465977</v>
      </c>
      <c r="R71" s="23">
        <v>1730.9245054501414</v>
      </c>
      <c r="S71" s="23">
        <v>2082</v>
      </c>
      <c r="T71" s="23">
        <v>2220.7596653403934</v>
      </c>
      <c r="U71" s="23">
        <v>2555.8948094159359</v>
      </c>
      <c r="V71" s="23">
        <v>2842.4842137686737</v>
      </c>
      <c r="W71" s="23">
        <v>2818.3814009344569</v>
      </c>
      <c r="X71" s="23">
        <v>2468.2956436972936</v>
      </c>
      <c r="Y71" s="23">
        <v>2588.3050284246547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1126.2003091033466</v>
      </c>
      <c r="E72" s="23">
        <v>1791.1287167449141</v>
      </c>
      <c r="F72" s="23">
        <v>1802.7234883228675</v>
      </c>
      <c r="G72" s="23">
        <v>1686.4474093174781</v>
      </c>
      <c r="H72" s="23">
        <v>1718.2992600025082</v>
      </c>
      <c r="I72" s="23">
        <v>1705.8046607418682</v>
      </c>
      <c r="J72" s="23">
        <v>1604.0269922037082</v>
      </c>
      <c r="K72" s="23">
        <v>2034.3836480003424</v>
      </c>
      <c r="L72" s="23">
        <v>2175.8232562031881</v>
      </c>
      <c r="M72" s="23">
        <v>2030.8378770029501</v>
      </c>
      <c r="N72" s="23">
        <v>1950.38211356891</v>
      </c>
      <c r="O72" s="23">
        <v>1578.6973939619211</v>
      </c>
      <c r="P72" s="23">
        <v>1472.2179858675206</v>
      </c>
      <c r="Q72" s="23">
        <v>1589.0172943268142</v>
      </c>
      <c r="R72" s="23">
        <v>1536.1324182478804</v>
      </c>
      <c r="S72" s="23">
        <v>1434</v>
      </c>
      <c r="T72" s="23">
        <v>1320.2899851417515</v>
      </c>
      <c r="U72" s="23">
        <v>1500.04924652812</v>
      </c>
      <c r="V72" s="23">
        <v>1309.1021099645768</v>
      </c>
      <c r="W72" s="23">
        <v>1389.4883005272732</v>
      </c>
      <c r="X72" s="23">
        <v>1426.3511711529441</v>
      </c>
      <c r="Y72" s="23">
        <v>1313.9105678644237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6487.3698345537005</v>
      </c>
      <c r="E73" s="23">
        <v>6393.0457746478869</v>
      </c>
      <c r="F73" s="23">
        <v>6204.2851431124909</v>
      </c>
      <c r="G73" s="23">
        <v>6098.8384809310573</v>
      </c>
      <c r="H73" s="23">
        <v>6036.2815411103384</v>
      </c>
      <c r="I73" s="23">
        <v>6038.5932708020864</v>
      </c>
      <c r="J73" s="23">
        <v>5960.7783188836238</v>
      </c>
      <c r="K73" s="23">
        <v>5972.7965295808362</v>
      </c>
      <c r="L73" s="23">
        <v>6075.5680153981339</v>
      </c>
      <c r="M73" s="23">
        <v>5778.7137331762597</v>
      </c>
      <c r="N73" s="23">
        <v>5626.7386425919603</v>
      </c>
      <c r="O73" s="23">
        <v>5517.6971048610249</v>
      </c>
      <c r="P73" s="23">
        <v>5427.2787351939405</v>
      </c>
      <c r="Q73" s="23">
        <v>5124.6565379020522</v>
      </c>
      <c r="R73" s="23">
        <v>5141.2999596285827</v>
      </c>
      <c r="S73" s="23">
        <v>5098</v>
      </c>
      <c r="T73" s="23">
        <v>5046.8184401830849</v>
      </c>
      <c r="U73" s="23">
        <v>5125.5786467054077</v>
      </c>
      <c r="V73" s="23">
        <v>5033.3050977976282</v>
      </c>
      <c r="W73" s="23">
        <v>5018.4827275627194</v>
      </c>
      <c r="X73" s="23">
        <v>4900.7255906344544</v>
      </c>
      <c r="Y73" s="23">
        <v>4907.1820525025378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2600.7752920013854</v>
      </c>
      <c r="E74" s="23">
        <v>2818.1240219092788</v>
      </c>
      <c r="F74" s="23">
        <v>2805.8044638867177</v>
      </c>
      <c r="G74" s="23">
        <v>2647.6648746964511</v>
      </c>
      <c r="H74" s="23">
        <v>2612.2253514702734</v>
      </c>
      <c r="I74" s="23">
        <v>2724.362561841057</v>
      </c>
      <c r="J74" s="23">
        <v>2725.4263938329041</v>
      </c>
      <c r="K74" s="23">
        <v>2734.2372664038148</v>
      </c>
      <c r="L74" s="23">
        <v>2820.2016820787285</v>
      </c>
      <c r="M74" s="23">
        <v>2682.4157379509315</v>
      </c>
      <c r="N74" s="23">
        <v>2803.5450211480866</v>
      </c>
      <c r="O74" s="23">
        <v>3108.8671374881924</v>
      </c>
      <c r="P74" s="23">
        <v>3257.587311270363</v>
      </c>
      <c r="Q74" s="23">
        <v>3045.7006626798047</v>
      </c>
      <c r="R74" s="23">
        <v>3130.8033911990115</v>
      </c>
      <c r="S74" s="23">
        <v>3177</v>
      </c>
      <c r="T74" s="23">
        <v>3181.0612179774134</v>
      </c>
      <c r="U74" s="23">
        <v>3397.0255097015961</v>
      </c>
      <c r="V74" s="23">
        <v>3670.2987833051402</v>
      </c>
      <c r="W74" s="23">
        <v>3527.6677987728308</v>
      </c>
      <c r="X74" s="23">
        <v>3348.3846641960663</v>
      </c>
      <c r="Y74" s="23">
        <v>3489.0926562907716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76461.273404444059</v>
      </c>
      <c r="E75" s="30">
        <f t="shared" ref="E75:S75" si="6">SUM(E56:E74)</f>
        <v>77315.629890453871</v>
      </c>
      <c r="F75" s="30">
        <f t="shared" si="6"/>
        <v>73912.838966109237</v>
      </c>
      <c r="G75" s="30">
        <f t="shared" si="6"/>
        <v>71884.101348006836</v>
      </c>
      <c r="H75" s="30">
        <f t="shared" si="6"/>
        <v>74028.254449676722</v>
      </c>
      <c r="I75" s="30">
        <f t="shared" si="6"/>
        <v>75853.461977569386</v>
      </c>
      <c r="J75" s="30">
        <f t="shared" si="6"/>
        <v>76139.416042453828</v>
      </c>
      <c r="K75" s="30">
        <f t="shared" si="6"/>
        <v>79420.02970371081</v>
      </c>
      <c r="L75" s="30">
        <f t="shared" si="6"/>
        <v>77574.375496882698</v>
      </c>
      <c r="M75" s="30">
        <f t="shared" si="6"/>
        <v>68420.888022435043</v>
      </c>
      <c r="N75" s="30">
        <f t="shared" si="6"/>
        <v>69202.370241677767</v>
      </c>
      <c r="O75" s="30">
        <f t="shared" si="6"/>
        <v>72542.642382191436</v>
      </c>
      <c r="P75" s="30">
        <f t="shared" si="6"/>
        <v>71269.381322759349</v>
      </c>
      <c r="Q75" s="30">
        <f t="shared" si="6"/>
        <v>68640.900274769665</v>
      </c>
      <c r="R75" s="30">
        <f t="shared" si="6"/>
        <v>70224.061364553869</v>
      </c>
      <c r="S75" s="30">
        <f t="shared" si="6"/>
        <v>74533</v>
      </c>
      <c r="T75" s="30">
        <f t="shared" ref="T75:Y75" si="7">SUM(T56:T74)</f>
        <v>76646.622989399708</v>
      </c>
      <c r="U75" s="30">
        <f t="shared" si="7"/>
        <v>80353.590071899962</v>
      </c>
      <c r="V75" s="30">
        <f t="shared" si="7"/>
        <v>82378.137994763616</v>
      </c>
      <c r="W75" s="30">
        <f t="shared" si="7"/>
        <v>82189.030454281048</v>
      </c>
      <c r="X75" s="30">
        <f t="shared" si="7"/>
        <v>79305.492969403931</v>
      </c>
      <c r="Y75" s="30">
        <f t="shared" si="7"/>
        <v>86722.587945791165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15863950</v>
      </c>
      <c r="E3" s="42">
        <v>15987075</v>
      </c>
      <c r="F3" s="42">
        <v>16105285</v>
      </c>
      <c r="G3" s="42">
        <v>16192572</v>
      </c>
      <c r="H3" s="42">
        <v>16258032</v>
      </c>
      <c r="I3" s="42">
        <v>16305526</v>
      </c>
      <c r="J3" s="42">
        <v>16334210</v>
      </c>
      <c r="K3" s="42">
        <v>16357992</v>
      </c>
      <c r="L3" s="42">
        <v>16405399</v>
      </c>
      <c r="M3" s="42">
        <v>16485787</v>
      </c>
      <c r="N3" s="42">
        <v>16574989</v>
      </c>
      <c r="O3" s="42">
        <v>16655799</v>
      </c>
      <c r="P3" s="42">
        <v>16730348</v>
      </c>
      <c r="Q3" s="42">
        <v>16779575</v>
      </c>
      <c r="R3" s="42">
        <v>16829289</v>
      </c>
      <c r="S3" s="42">
        <v>16900726</v>
      </c>
      <c r="T3" s="42">
        <v>16979120</v>
      </c>
      <c r="U3" s="42">
        <v>17081507</v>
      </c>
      <c r="V3" s="42">
        <v>17181084</v>
      </c>
      <c r="W3" s="42">
        <v>17282163</v>
      </c>
      <c r="X3" s="42">
        <v>17407585</v>
      </c>
      <c r="Y3" s="42">
        <v>17475415</v>
      </c>
    </row>
    <row r="4" spans="1:25" x14ac:dyDescent="0.25">
      <c r="A4" s="43" t="s">
        <v>239</v>
      </c>
      <c r="B4" s="44"/>
      <c r="C4" s="44"/>
      <c r="D4" s="45">
        <v>6867118</v>
      </c>
      <c r="E4" s="45">
        <v>6939588</v>
      </c>
      <c r="F4" s="45">
        <v>7008240</v>
      </c>
      <c r="G4" s="45">
        <v>7069603</v>
      </c>
      <c r="H4" s="45">
        <v>7115891</v>
      </c>
      <c r="I4" s="45">
        <v>7151546</v>
      </c>
      <c r="J4" s="45">
        <v>7202033</v>
      </c>
      <c r="K4" s="45">
        <v>7257317</v>
      </c>
      <c r="L4" s="45">
        <v>7301023</v>
      </c>
      <c r="M4" s="45">
        <v>7366303</v>
      </c>
      <c r="N4" s="45">
        <v>7452783</v>
      </c>
      <c r="O4" s="45">
        <v>7519548</v>
      </c>
      <c r="P4" s="45">
        <v>7563448</v>
      </c>
      <c r="Q4" s="45">
        <v>7658409</v>
      </c>
      <c r="R4" s="45">
        <v>7709248</v>
      </c>
      <c r="S4" s="45">
        <v>7752627</v>
      </c>
      <c r="T4" s="45">
        <v>7857066</v>
      </c>
      <c r="U4" s="45">
        <v>7926453</v>
      </c>
      <c r="V4" s="45">
        <v>7991202</v>
      </c>
      <c r="W4" s="45">
        <v>8064472</v>
      </c>
      <c r="X4" s="45">
        <v>8164909</v>
      </c>
      <c r="Y4" s="45">
        <v>8209682</v>
      </c>
    </row>
    <row r="5" spans="1:25" x14ac:dyDescent="0.25">
      <c r="A5" s="46" t="s">
        <v>240</v>
      </c>
      <c r="B5" s="47"/>
      <c r="C5" s="47"/>
      <c r="D5" s="48">
        <f>D3/D4</f>
        <v>2.3101321398583803</v>
      </c>
      <c r="E5" s="48">
        <f t="shared" ref="E5:S5" si="0">E3/E4</f>
        <v>2.3037498767938387</v>
      </c>
      <c r="F5" s="48">
        <f t="shared" si="0"/>
        <v>2.2980498670136869</v>
      </c>
      <c r="G5" s="48">
        <f t="shared" si="0"/>
        <v>2.2904499729334167</v>
      </c>
      <c r="H5" s="48">
        <f t="shared" si="0"/>
        <v>2.2847500053050278</v>
      </c>
      <c r="I5" s="48">
        <f t="shared" si="0"/>
        <v>2.2800001566094941</v>
      </c>
      <c r="J5" s="48">
        <f t="shared" si="0"/>
        <v>2.2679998828108676</v>
      </c>
      <c r="K5" s="48">
        <f t="shared" si="0"/>
        <v>2.25399992862376</v>
      </c>
      <c r="L5" s="48">
        <f t="shared" si="0"/>
        <v>2.2470000436925073</v>
      </c>
      <c r="M5" s="48">
        <f t="shared" si="0"/>
        <v>2.2380001202774307</v>
      </c>
      <c r="N5" s="48">
        <f t="shared" si="0"/>
        <v>2.2239999474021985</v>
      </c>
      <c r="O5" s="48">
        <f t="shared" si="0"/>
        <v>2.2150000239376091</v>
      </c>
      <c r="P5" s="48">
        <f t="shared" si="0"/>
        <v>2.2120001353879872</v>
      </c>
      <c r="Q5" s="48">
        <f t="shared" si="0"/>
        <v>2.1910001150369482</v>
      </c>
      <c r="R5" s="48">
        <f t="shared" si="0"/>
        <v>2.1830000799040321</v>
      </c>
      <c r="S5" s="48">
        <f t="shared" si="0"/>
        <v>2.17999988906986</v>
      </c>
      <c r="T5" s="48">
        <f t="shared" ref="T5:Y5" si="1">T3/T4</f>
        <v>2.1610000476004658</v>
      </c>
      <c r="U5" s="48">
        <f t="shared" si="1"/>
        <v>2.1550000990354703</v>
      </c>
      <c r="V5" s="48">
        <f t="shared" si="1"/>
        <v>2.1499999624587138</v>
      </c>
      <c r="W5" s="48">
        <f t="shared" si="1"/>
        <v>2.1429999384956635</v>
      </c>
      <c r="X5" s="48">
        <f t="shared" si="1"/>
        <v>2.1319998789943648</v>
      </c>
      <c r="Y5" s="48">
        <f t="shared" si="1"/>
        <v>2.1286348241015913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2496.48</v>
      </c>
      <c r="E8" s="42">
        <v>2728.84</v>
      </c>
      <c r="F8" s="42">
        <v>2594.89</v>
      </c>
      <c r="G8" s="42">
        <v>2762.17</v>
      </c>
      <c r="H8" s="42">
        <v>2772.07</v>
      </c>
      <c r="I8" s="42">
        <v>2650.18</v>
      </c>
      <c r="J8" s="42">
        <v>2566.5100000000002</v>
      </c>
      <c r="K8" s="42">
        <v>2424.77</v>
      </c>
      <c r="L8" s="42">
        <v>2697.32</v>
      </c>
      <c r="M8" s="42">
        <v>2727.14</v>
      </c>
      <c r="N8" s="42">
        <v>3311.71</v>
      </c>
      <c r="O8" s="42">
        <v>2516.5700000000002</v>
      </c>
      <c r="P8" s="42">
        <v>2817.13</v>
      </c>
      <c r="Q8" s="42">
        <v>3012.96</v>
      </c>
      <c r="R8" s="42">
        <v>2282.08</v>
      </c>
      <c r="S8" s="42">
        <v>2625.49</v>
      </c>
      <c r="T8" s="42">
        <v>2679.86</v>
      </c>
      <c r="U8" s="42">
        <v>2538.98</v>
      </c>
      <c r="V8" s="42">
        <v>2528.64</v>
      </c>
      <c r="W8" s="42">
        <v>2514.41</v>
      </c>
      <c r="X8" s="42">
        <v>2386.31</v>
      </c>
      <c r="Y8" s="42">
        <v>2722.19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2649.2623809523807</v>
      </c>
      <c r="E9" s="45">
        <f t="shared" si="2"/>
        <v>2649.2623809523807</v>
      </c>
      <c r="F9" s="45">
        <f t="shared" si="2"/>
        <v>2649.2623809523807</v>
      </c>
      <c r="G9" s="45">
        <f t="shared" si="2"/>
        <v>2649.2623809523807</v>
      </c>
      <c r="H9" s="45">
        <f t="shared" si="2"/>
        <v>2649.2623809523807</v>
      </c>
      <c r="I9" s="45">
        <f t="shared" si="2"/>
        <v>2649.2623809523807</v>
      </c>
      <c r="J9" s="45">
        <f t="shared" si="2"/>
        <v>2649.2623809523807</v>
      </c>
      <c r="K9" s="45">
        <f t="shared" si="2"/>
        <v>2649.2623809523807</v>
      </c>
      <c r="L9" s="45">
        <f t="shared" si="2"/>
        <v>2649.2623809523807</v>
      </c>
      <c r="M9" s="45">
        <f t="shared" si="2"/>
        <v>2649.2623809523807</v>
      </c>
      <c r="N9" s="45">
        <f t="shared" si="2"/>
        <v>2649.2623809523807</v>
      </c>
      <c r="O9" s="45">
        <f t="shared" si="2"/>
        <v>2649.2623809523807</v>
      </c>
      <c r="P9" s="45">
        <f t="shared" si="2"/>
        <v>2649.2623809523807</v>
      </c>
      <c r="Q9" s="45">
        <f t="shared" si="2"/>
        <v>2649.2623809523807</v>
      </c>
      <c r="R9" s="45">
        <f t="shared" si="2"/>
        <v>2649.2623809523807</v>
      </c>
      <c r="S9" s="45">
        <f t="shared" si="2"/>
        <v>2649.2623809523807</v>
      </c>
      <c r="T9" s="45">
        <f t="shared" si="2"/>
        <v>2649.2623809523807</v>
      </c>
      <c r="U9" s="45">
        <f t="shared" si="2"/>
        <v>2649.2623809523807</v>
      </c>
      <c r="V9" s="45">
        <f t="shared" si="2"/>
        <v>2649.2623809523807</v>
      </c>
      <c r="W9" s="45">
        <f t="shared" si="2"/>
        <v>2649.2623809523807</v>
      </c>
      <c r="X9" s="45">
        <f>AVERAGE($D8:$X8)</f>
        <v>2649.2623809523807</v>
      </c>
      <c r="Y9" s="45">
        <f t="shared" ref="Y9" si="3">AVERAGE($D8:$X8)</f>
        <v>2649.2623809523807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0.94233021913916393</v>
      </c>
      <c r="E10" s="53">
        <f t="shared" si="4"/>
        <v>1.0300376510910225</v>
      </c>
      <c r="F10" s="53">
        <f t="shared" si="4"/>
        <v>0.97947640771887812</v>
      </c>
      <c r="G10" s="53">
        <f t="shared" si="4"/>
        <v>1.0426185114239346</v>
      </c>
      <c r="H10" s="53">
        <f t="shared" si="4"/>
        <v>1.0463554006317304</v>
      </c>
      <c r="I10" s="53">
        <f t="shared" si="4"/>
        <v>1.0003463677490825</v>
      </c>
      <c r="J10" s="53">
        <f t="shared" si="4"/>
        <v>0.96876399198986407</v>
      </c>
      <c r="K10" s="53">
        <f t="shared" si="4"/>
        <v>0.91526230751380766</v>
      </c>
      <c r="L10" s="53">
        <f t="shared" si="4"/>
        <v>1.0181399997950913</v>
      </c>
      <c r="M10" s="53">
        <f t="shared" si="4"/>
        <v>1.0293959630452394</v>
      </c>
      <c r="N10" s="53">
        <f t="shared" si="4"/>
        <v>1.250049834176665</v>
      </c>
      <c r="O10" s="53">
        <f t="shared" si="4"/>
        <v>0.94991346198609472</v>
      </c>
      <c r="P10" s="53">
        <f t="shared" si="4"/>
        <v>1.0633639084805457</v>
      </c>
      <c r="Q10" s="53">
        <f t="shared" si="4"/>
        <v>1.1372825967191948</v>
      </c>
      <c r="R10" s="53">
        <f t="shared" si="4"/>
        <v>0.86140203265922544</v>
      </c>
      <c r="S10" s="53">
        <f t="shared" si="4"/>
        <v>0.99102679254297377</v>
      </c>
      <c r="T10" s="53">
        <f t="shared" ref="T10:Y10" si="5">IF(T8=0,0,T8/T9)</f>
        <v>1.0115494861013425</v>
      </c>
      <c r="U10" s="53">
        <f t="shared" si="5"/>
        <v>0.95837242028374126</v>
      </c>
      <c r="V10" s="53">
        <f t="shared" si="5"/>
        <v>0.95446944711115467</v>
      </c>
      <c r="W10" s="53">
        <f t="shared" si="5"/>
        <v>0.9490981407043938</v>
      </c>
      <c r="X10" s="53">
        <f t="shared" si="5"/>
        <v>0.90074505913685599</v>
      </c>
      <c r="Y10" s="53">
        <f t="shared" si="5"/>
        <v>1.0275275184413417</v>
      </c>
    </row>
    <row r="11" spans="1:25" x14ac:dyDescent="0.25">
      <c r="A11" s="43" t="s">
        <v>251</v>
      </c>
      <c r="B11" s="44"/>
      <c r="C11" s="44"/>
      <c r="D11" s="45">
        <v>7.14</v>
      </c>
      <c r="E11" s="45">
        <v>14.04</v>
      </c>
      <c r="F11" s="45">
        <v>11.2</v>
      </c>
      <c r="G11" s="45">
        <v>27.91</v>
      </c>
      <c r="H11" s="45">
        <v>11.37</v>
      </c>
      <c r="I11" s="45">
        <v>5.82</v>
      </c>
      <c r="J11" s="45">
        <v>25.54</v>
      </c>
      <c r="K11" s="45">
        <v>3.44</v>
      </c>
      <c r="L11" s="45">
        <v>3.25</v>
      </c>
      <c r="M11" s="45">
        <v>6.11</v>
      </c>
      <c r="N11" s="45">
        <v>16.45</v>
      </c>
      <c r="O11" s="45">
        <v>5.44</v>
      </c>
      <c r="P11" s="45">
        <v>8.84</v>
      </c>
      <c r="Q11" s="45">
        <v>11.74</v>
      </c>
      <c r="R11" s="45">
        <v>8.66</v>
      </c>
      <c r="S11" s="45">
        <v>15.42</v>
      </c>
      <c r="T11" s="45">
        <v>13.07</v>
      </c>
      <c r="U11" s="45">
        <v>5.41</v>
      </c>
      <c r="V11" s="45">
        <v>30.91</v>
      </c>
      <c r="W11" s="45">
        <v>39.67</v>
      </c>
      <c r="X11" s="45">
        <v>40.090000000000003</v>
      </c>
      <c r="Y11" s="45">
        <v>4.08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14.834285714285713</v>
      </c>
      <c r="E12" s="45">
        <f t="shared" ref="E12" si="7">AVERAGE($D11:$X11)</f>
        <v>14.834285714285713</v>
      </c>
      <c r="F12" s="45">
        <f t="shared" ref="F12" si="8">AVERAGE($D11:$X11)</f>
        <v>14.834285714285713</v>
      </c>
      <c r="G12" s="45">
        <f t="shared" ref="G12" si="9">AVERAGE($D11:$X11)</f>
        <v>14.834285714285713</v>
      </c>
      <c r="H12" s="45">
        <f t="shared" ref="H12" si="10">AVERAGE($D11:$X11)</f>
        <v>14.834285714285713</v>
      </c>
      <c r="I12" s="45">
        <f t="shared" ref="I12" si="11">AVERAGE($D11:$X11)</f>
        <v>14.834285714285713</v>
      </c>
      <c r="J12" s="45">
        <f t="shared" ref="J12" si="12">AVERAGE($D11:$X11)</f>
        <v>14.834285714285713</v>
      </c>
      <c r="K12" s="45">
        <f t="shared" ref="K12" si="13">AVERAGE($D11:$X11)</f>
        <v>14.834285714285713</v>
      </c>
      <c r="L12" s="45">
        <f t="shared" ref="L12" si="14">AVERAGE($D11:$X11)</f>
        <v>14.834285714285713</v>
      </c>
      <c r="M12" s="45">
        <f t="shared" ref="M12" si="15">AVERAGE($D11:$X11)</f>
        <v>14.834285714285713</v>
      </c>
      <c r="N12" s="45">
        <f t="shared" ref="N12" si="16">AVERAGE($D11:$X11)</f>
        <v>14.834285714285713</v>
      </c>
      <c r="O12" s="45">
        <f t="shared" ref="O12" si="17">AVERAGE($D11:$X11)</f>
        <v>14.834285714285713</v>
      </c>
      <c r="P12" s="45">
        <f t="shared" ref="P12" si="18">AVERAGE($D11:$X11)</f>
        <v>14.834285714285713</v>
      </c>
      <c r="Q12" s="45">
        <f t="shared" ref="Q12" si="19">AVERAGE($D11:$X11)</f>
        <v>14.834285714285713</v>
      </c>
      <c r="R12" s="45">
        <f t="shared" ref="R12" si="20">AVERAGE($D11:$X11)</f>
        <v>14.834285714285713</v>
      </c>
      <c r="S12" s="45">
        <f t="shared" ref="S12" si="21">AVERAGE($D11:$X11)</f>
        <v>14.834285714285713</v>
      </c>
      <c r="T12" s="45">
        <f t="shared" ref="T12" si="22">AVERAGE($D11:$X11)</f>
        <v>14.834285714285713</v>
      </c>
      <c r="U12" s="45">
        <f t="shared" ref="U12" si="23">AVERAGE($D11:$X11)</f>
        <v>14.834285714285713</v>
      </c>
      <c r="V12" s="45">
        <f t="shared" ref="V12" si="24">AVERAGE($D11:$X11)</f>
        <v>14.834285714285713</v>
      </c>
      <c r="W12" s="45">
        <f t="shared" ref="W12" si="25">AVERAGE($D11:$X11)</f>
        <v>14.834285714285713</v>
      </c>
      <c r="X12" s="45">
        <f>AVERAGE($D11:$X11)</f>
        <v>14.834285714285713</v>
      </c>
      <c r="Y12" s="45">
        <f t="shared" ref="Y12" si="26">AVERAGE($D11:$X11)</f>
        <v>14.834285714285713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0.48131741140215717</v>
      </c>
      <c r="E13" s="55">
        <f t="shared" si="27"/>
        <v>0.94645608628659483</v>
      </c>
      <c r="F13" s="55">
        <f t="shared" ref="F13" si="28">IF(F11=0,0,F11/F12)</f>
        <v>0.75500770416024654</v>
      </c>
      <c r="G13" s="55">
        <f t="shared" ref="G13" si="29">IF(G11=0,0,G11/G12)</f>
        <v>1.8814522342064717</v>
      </c>
      <c r="H13" s="55">
        <f t="shared" ref="H13" si="30">IF(H11=0,0,H11/H12)</f>
        <v>0.76646764252696464</v>
      </c>
      <c r="I13" s="55">
        <f t="shared" ref="I13" si="31">IF(I11=0,0,I11/I12)</f>
        <v>0.39233436055469961</v>
      </c>
      <c r="J13" s="55">
        <f t="shared" ref="J13" si="32">IF(J11=0,0,J11/J12)</f>
        <v>1.7216872110939909</v>
      </c>
      <c r="K13" s="55">
        <f t="shared" ref="K13" si="33">IF(K11=0,0,K11/K12)</f>
        <v>0.23189522342064717</v>
      </c>
      <c r="L13" s="55">
        <f t="shared" ref="L13" si="34">IF(L11=0,0,L11/L12)</f>
        <v>0.21908705701078585</v>
      </c>
      <c r="M13" s="55">
        <f t="shared" ref="M13" si="35">IF(M11=0,0,M11/M12)</f>
        <v>0.41188366718027741</v>
      </c>
      <c r="N13" s="55">
        <f t="shared" ref="N13" si="36">IF(N11=0,0,N11/N12)</f>
        <v>1.1089175654853622</v>
      </c>
      <c r="O13" s="55">
        <f t="shared" ref="O13" si="37">IF(O11=0,0,O11/O12)</f>
        <v>0.36671802773497697</v>
      </c>
      <c r="P13" s="55">
        <f t="shared" ref="P13" si="38">IF(P11=0,0,P11/P12)</f>
        <v>0.59591679506933748</v>
      </c>
      <c r="Q13" s="55">
        <f t="shared" ref="Q13" si="39">IF(Q11=0,0,Q11/Q12)</f>
        <v>0.7914098613251157</v>
      </c>
      <c r="R13" s="55">
        <f t="shared" ref="R13" si="40">IF(R11=0,0,R11/R12)</f>
        <v>0.58378274268104779</v>
      </c>
      <c r="S13" s="55">
        <f t="shared" ref="S13:Y13" si="41">IF(S11=0,0,S11/S12)</f>
        <v>1.0394838212634825</v>
      </c>
      <c r="T13" s="55">
        <f t="shared" si="41"/>
        <v>0.8810670261941449</v>
      </c>
      <c r="U13" s="55">
        <f t="shared" si="41"/>
        <v>0.364695685670262</v>
      </c>
      <c r="V13" s="55">
        <f t="shared" si="41"/>
        <v>2.0836864406779663</v>
      </c>
      <c r="W13" s="55">
        <f t="shared" si="41"/>
        <v>2.6742103235747305</v>
      </c>
      <c r="X13" s="55">
        <f t="shared" si="41"/>
        <v>2.7025231124807401</v>
      </c>
      <c r="Y13" s="55">
        <f t="shared" si="41"/>
        <v>0.2750385208012327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580702.22770369228</v>
      </c>
      <c r="E16" s="42">
        <v>594217.89259510452</v>
      </c>
      <c r="F16" s="42">
        <v>595506.99321473984</v>
      </c>
      <c r="G16" s="42">
        <v>596436.3391060608</v>
      </c>
      <c r="H16" s="42">
        <v>608269.83853358612</v>
      </c>
      <c r="I16" s="42">
        <v>620748.21116682631</v>
      </c>
      <c r="J16" s="42">
        <v>642231.20701399725</v>
      </c>
      <c r="K16" s="42">
        <v>666462.15448204603</v>
      </c>
      <c r="L16" s="42">
        <v>680924.17435584497</v>
      </c>
      <c r="M16" s="42">
        <v>655960.7793734778</v>
      </c>
      <c r="N16" s="42">
        <v>664767.24353107577</v>
      </c>
      <c r="O16" s="42">
        <v>675080.44592995499</v>
      </c>
      <c r="P16" s="42">
        <v>668118.93750255799</v>
      </c>
      <c r="Q16" s="42">
        <v>667248.92153198016</v>
      </c>
      <c r="R16" s="42">
        <v>676750.67769794317</v>
      </c>
      <c r="S16" s="42">
        <v>690008</v>
      </c>
      <c r="T16" s="42">
        <v>705128.66457617842</v>
      </c>
      <c r="U16" s="42">
        <v>725657.43553445209</v>
      </c>
      <c r="V16" s="42">
        <v>742789.82725527824</v>
      </c>
      <c r="W16" s="42">
        <v>757316.50521609536</v>
      </c>
      <c r="X16" s="42">
        <v>727883.32373824599</v>
      </c>
      <c r="Y16" s="42">
        <v>772955.04789977893</v>
      </c>
    </row>
    <row r="17" spans="1:25" x14ac:dyDescent="0.25">
      <c r="A17" s="46" t="s">
        <v>141</v>
      </c>
      <c r="B17" s="47"/>
      <c r="C17" s="47"/>
      <c r="D17" s="57">
        <v>293338.83487634419</v>
      </c>
      <c r="E17" s="57">
        <v>299334.24099726451</v>
      </c>
      <c r="F17" s="57">
        <v>302819.0789076371</v>
      </c>
      <c r="G17" s="57">
        <v>302424.45703493862</v>
      </c>
      <c r="H17" s="57">
        <v>304724.0242723535</v>
      </c>
      <c r="I17" s="57">
        <v>307494.11038173875</v>
      </c>
      <c r="J17" s="57">
        <v>307017.50481298892</v>
      </c>
      <c r="K17" s="57">
        <v>312771.80432269746</v>
      </c>
      <c r="L17" s="57">
        <v>315556.00653685525</v>
      </c>
      <c r="M17" s="57">
        <v>309607.04371963913</v>
      </c>
      <c r="N17" s="57">
        <v>309932.46775415272</v>
      </c>
      <c r="O17" s="57">
        <v>310145.97243555583</v>
      </c>
      <c r="P17" s="57">
        <v>306607.44317536958</v>
      </c>
      <c r="Q17" s="57">
        <v>303653.65567706333</v>
      </c>
      <c r="R17" s="57">
        <v>304789.57333627192</v>
      </c>
      <c r="S17" s="57">
        <v>310816</v>
      </c>
      <c r="T17" s="57">
        <v>314296.65357267164</v>
      </c>
      <c r="U17" s="57">
        <v>320995.17419962335</v>
      </c>
      <c r="V17" s="57">
        <v>327940.62581010628</v>
      </c>
      <c r="W17" s="57">
        <v>330832.07006905845</v>
      </c>
      <c r="X17" s="57">
        <v>309789.83526630711</v>
      </c>
      <c r="Y17" s="57">
        <v>323230.96626275114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36605.14737525599</v>
      </c>
      <c r="E20" s="42">
        <f t="shared" ref="E20:S20" si="42">1000000*E16/E$3</f>
        <v>37168.643582087687</v>
      </c>
      <c r="F20" s="42">
        <f t="shared" si="42"/>
        <v>36975.874268275278</v>
      </c>
      <c r="G20" s="42">
        <f t="shared" si="42"/>
        <v>36833.947016327038</v>
      </c>
      <c r="H20" s="42">
        <f t="shared" si="42"/>
        <v>37413.49743521148</v>
      </c>
      <c r="I20" s="42">
        <f t="shared" si="42"/>
        <v>38069.805976625736</v>
      </c>
      <c r="J20" s="42">
        <f t="shared" si="42"/>
        <v>39318.167637981707</v>
      </c>
      <c r="K20" s="42">
        <f t="shared" si="42"/>
        <v>40742.296149921458</v>
      </c>
      <c r="L20" s="42">
        <f t="shared" si="42"/>
        <v>41506.102616330449</v>
      </c>
      <c r="M20" s="42">
        <f t="shared" si="42"/>
        <v>39789.473160940259</v>
      </c>
      <c r="N20" s="42">
        <f t="shared" si="42"/>
        <v>40106.647644295619</v>
      </c>
      <c r="O20" s="42">
        <f t="shared" si="42"/>
        <v>40531.255566301857</v>
      </c>
      <c r="P20" s="42">
        <f t="shared" si="42"/>
        <v>39934.551122460689</v>
      </c>
      <c r="Q20" s="42">
        <f t="shared" si="42"/>
        <v>39765.543616687559</v>
      </c>
      <c r="R20" s="42">
        <f t="shared" si="42"/>
        <v>40212.671949358235</v>
      </c>
      <c r="S20" s="42">
        <f t="shared" si="42"/>
        <v>40827.121864469016</v>
      </c>
      <c r="T20" s="42">
        <f t="shared" ref="T20:Y20" si="43">1000000*T16/T$3</f>
        <v>41529.164325134545</v>
      </c>
      <c r="U20" s="42">
        <f t="shared" si="43"/>
        <v>42482.050063524963</v>
      </c>
      <c r="V20" s="42">
        <f t="shared" si="43"/>
        <v>43233.001320247211</v>
      </c>
      <c r="W20" s="42">
        <f t="shared" si="43"/>
        <v>43820.701449008164</v>
      </c>
      <c r="X20" s="42">
        <f t="shared" si="43"/>
        <v>41814.147323608988</v>
      </c>
      <c r="Y20" s="42">
        <f t="shared" si="43"/>
        <v>44230.998113622991</v>
      </c>
    </row>
    <row r="21" spans="1:25" x14ac:dyDescent="0.25">
      <c r="A21" s="46" t="s">
        <v>141</v>
      </c>
      <c r="B21" s="47"/>
      <c r="C21" s="47"/>
      <c r="D21" s="57">
        <f>1000000*D17/D$3</f>
        <v>18490.907679130618</v>
      </c>
      <c r="E21" s="57">
        <f t="shared" ref="E21:S21" si="44">1000000*E17/E$3</f>
        <v>18723.515151912688</v>
      </c>
      <c r="F21" s="57">
        <f t="shared" si="44"/>
        <v>18802.466327521499</v>
      </c>
      <c r="G21" s="57">
        <f t="shared" si="44"/>
        <v>18676.739991332975</v>
      </c>
      <c r="H21" s="57">
        <f t="shared" si="44"/>
        <v>18742.983423353671</v>
      </c>
      <c r="I21" s="57">
        <f t="shared" si="44"/>
        <v>18858.276045908533</v>
      </c>
      <c r="J21" s="57">
        <f t="shared" si="44"/>
        <v>18795.981245067185</v>
      </c>
      <c r="K21" s="57">
        <f t="shared" si="44"/>
        <v>19120.42775926883</v>
      </c>
      <c r="L21" s="57">
        <f t="shared" si="44"/>
        <v>19234.887645028033</v>
      </c>
      <c r="M21" s="57">
        <f t="shared" si="44"/>
        <v>18780.240441031969</v>
      </c>
      <c r="N21" s="57">
        <f t="shared" si="44"/>
        <v>18698.803827510998</v>
      </c>
      <c r="O21" s="57">
        <f t="shared" si="44"/>
        <v>18620.900290376692</v>
      </c>
      <c r="P21" s="57">
        <f t="shared" si="44"/>
        <v>18326.423525402435</v>
      </c>
      <c r="Q21" s="57">
        <f t="shared" si="44"/>
        <v>18096.623762941752</v>
      </c>
      <c r="R21" s="57">
        <f t="shared" si="44"/>
        <v>18110.662508456055</v>
      </c>
      <c r="S21" s="57">
        <f t="shared" si="44"/>
        <v>18390.689252047516</v>
      </c>
      <c r="T21" s="57">
        <f t="shared" ref="T21:Y21" si="45">1000000*T17/T$3</f>
        <v>18510.774031438123</v>
      </c>
      <c r="U21" s="57">
        <f t="shared" si="45"/>
        <v>18791.970415702981</v>
      </c>
      <c r="V21" s="57">
        <f t="shared" si="45"/>
        <v>19087.307052925546</v>
      </c>
      <c r="W21" s="57">
        <f t="shared" si="45"/>
        <v>19142.978229580316</v>
      </c>
      <c r="X21" s="57">
        <f t="shared" si="45"/>
        <v>17796.255785412344</v>
      </c>
      <c r="Y21" s="57">
        <f t="shared" si="45"/>
        <v>18496.325624470213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514114.87496516254</v>
      </c>
      <c r="E23" s="60">
        <v>526222.613458529</v>
      </c>
      <c r="F23" s="60">
        <v>527286.62480302923</v>
      </c>
      <c r="G23" s="60">
        <v>527939.77137989388</v>
      </c>
      <c r="H23" s="60">
        <v>538839.03629294317</v>
      </c>
      <c r="I23" s="60">
        <v>550014.55082715861</v>
      </c>
      <c r="J23" s="60">
        <v>568437.02911052399</v>
      </c>
      <c r="K23" s="60">
        <v>590339.88310841855</v>
      </c>
      <c r="L23" s="60">
        <v>605032.63734884304</v>
      </c>
      <c r="M23" s="60">
        <v>585049.15503382985</v>
      </c>
      <c r="N23" s="60">
        <v>593884.11462372937</v>
      </c>
      <c r="O23" s="60">
        <v>604998.34799487877</v>
      </c>
      <c r="P23" s="60">
        <v>600189.11087387521</v>
      </c>
      <c r="Q23" s="60">
        <v>601774.89090027474</v>
      </c>
      <c r="R23" s="60">
        <v>610429.95559144125</v>
      </c>
      <c r="S23" s="60">
        <v>620835</v>
      </c>
      <c r="T23" s="60">
        <v>633045.14314775472</v>
      </c>
      <c r="U23" s="60">
        <v>651596.57244164287</v>
      </c>
      <c r="V23" s="60">
        <v>666710.30340366543</v>
      </c>
      <c r="W23" s="60">
        <v>680164.37430807052</v>
      </c>
      <c r="X23" s="60">
        <v>652597.50411535881</v>
      </c>
      <c r="Y23" s="60">
        <v>695570.6036085391</v>
      </c>
    </row>
    <row r="24" spans="1:25" x14ac:dyDescent="0.25">
      <c r="A24" s="61" t="s">
        <v>33</v>
      </c>
      <c r="B24" s="62"/>
      <c r="C24" s="62"/>
      <c r="D24" s="63">
        <v>13162.22858445869</v>
      </c>
      <c r="E24" s="63">
        <v>13106.41627543036</v>
      </c>
      <c r="F24" s="63">
        <v>12243.938004186364</v>
      </c>
      <c r="G24" s="63">
        <v>12159.688726703427</v>
      </c>
      <c r="H24" s="63">
        <v>11263.012667753668</v>
      </c>
      <c r="I24" s="63">
        <v>11455.978151373374</v>
      </c>
      <c r="J24" s="63">
        <v>12420.56299272783</v>
      </c>
      <c r="K24" s="63">
        <v>12021.455054438997</v>
      </c>
      <c r="L24" s="63">
        <v>11069.500815933721</v>
      </c>
      <c r="M24" s="63">
        <v>10117.70102480166</v>
      </c>
      <c r="N24" s="63">
        <v>11756.067798012389</v>
      </c>
      <c r="O24" s="63">
        <v>10602.775368603643</v>
      </c>
      <c r="P24" s="63">
        <v>11017.233490925728</v>
      </c>
      <c r="Q24" s="63">
        <v>11948.440278002263</v>
      </c>
      <c r="R24" s="63">
        <v>11782.398062171982</v>
      </c>
      <c r="S24" s="63">
        <v>11898</v>
      </c>
      <c r="T24" s="63">
        <v>12477.936997038321</v>
      </c>
      <c r="U24" s="63">
        <v>13490.593913129123</v>
      </c>
      <c r="V24" s="63">
        <v>12297.859233020175</v>
      </c>
      <c r="W24" s="63">
        <v>12478.186628637908</v>
      </c>
      <c r="X24" s="63">
        <v>11713.368708559026</v>
      </c>
      <c r="Y24" s="63">
        <v>11860.220751344896</v>
      </c>
    </row>
    <row r="25" spans="1:25" x14ac:dyDescent="0.25">
      <c r="A25" s="64" t="s">
        <v>56</v>
      </c>
      <c r="B25" s="65"/>
      <c r="C25" s="65"/>
      <c r="D25" s="66">
        <v>11621.779117788645</v>
      </c>
      <c r="E25" s="66">
        <v>14106.514084507042</v>
      </c>
      <c r="F25" s="66">
        <v>12436.792963145888</v>
      </c>
      <c r="G25" s="66">
        <v>12728.361095442562</v>
      </c>
      <c r="H25" s="66">
        <v>13364.423109813803</v>
      </c>
      <c r="I25" s="66">
        <v>14419.869714132212</v>
      </c>
      <c r="J25" s="66">
        <v>17853.945098381781</v>
      </c>
      <c r="K25" s="66">
        <v>16863.801006507038</v>
      </c>
      <c r="L25" s="66">
        <v>23080.463617724588</v>
      </c>
      <c r="M25" s="66">
        <v>16704.371305553526</v>
      </c>
      <c r="N25" s="66">
        <v>18096.360872397854</v>
      </c>
      <c r="O25" s="66">
        <v>19501.920455953412</v>
      </c>
      <c r="P25" s="66">
        <v>21764.018097707285</v>
      </c>
      <c r="Q25" s="66">
        <v>22528.083077420397</v>
      </c>
      <c r="R25" s="66">
        <v>16896.447315300768</v>
      </c>
      <c r="S25" s="66">
        <v>12569</v>
      </c>
      <c r="T25" s="66">
        <v>7900.7987554970532</v>
      </c>
      <c r="U25" s="66">
        <v>7310.1546340982959</v>
      </c>
      <c r="V25" s="66">
        <v>6896.8504543354375</v>
      </c>
      <c r="W25" s="66">
        <v>5203.3100031899121</v>
      </c>
      <c r="X25" s="66">
        <v>2572.2142009766503</v>
      </c>
      <c r="Y25" s="66">
        <v>5404.7257671962425</v>
      </c>
    </row>
    <row r="26" spans="1:25" x14ac:dyDescent="0.25">
      <c r="A26" s="67" t="s">
        <v>146</v>
      </c>
      <c r="B26" s="44"/>
      <c r="C26" s="44"/>
      <c r="D26" s="45">
        <v>382403.91193088255</v>
      </c>
      <c r="E26" s="45">
        <v>390418.37832550862</v>
      </c>
      <c r="F26" s="45">
        <v>396719.1138079447</v>
      </c>
      <c r="G26" s="45">
        <v>399385.28128561401</v>
      </c>
      <c r="H26" s="45">
        <v>408768.22913697362</v>
      </c>
      <c r="I26" s="45">
        <v>415158.60401602834</v>
      </c>
      <c r="J26" s="45">
        <v>426988.92795527511</v>
      </c>
      <c r="K26" s="45">
        <v>444775.67287452857</v>
      </c>
      <c r="L26" s="45">
        <v>455031.59127996984</v>
      </c>
      <c r="M26" s="45">
        <v>449017.42058569018</v>
      </c>
      <c r="N26" s="45">
        <v>458428.73245845363</v>
      </c>
      <c r="O26" s="45">
        <v>466638.78908024624</v>
      </c>
      <c r="P26" s="45">
        <v>463399.92882924096</v>
      </c>
      <c r="Q26" s="45">
        <v>467820.63197026018</v>
      </c>
      <c r="R26" s="45">
        <v>481095.07468712155</v>
      </c>
      <c r="S26" s="45">
        <v>490801</v>
      </c>
      <c r="T26" s="45">
        <v>503332.63529482146</v>
      </c>
      <c r="U26" s="45">
        <v>517043.23845168913</v>
      </c>
      <c r="V26" s="45">
        <v>529693.51609425538</v>
      </c>
      <c r="W26" s="45">
        <v>541388.174807198</v>
      </c>
      <c r="X26" s="45">
        <v>517599.94114347204</v>
      </c>
      <c r="Y26" s="45">
        <v>549683.42209489259</v>
      </c>
    </row>
    <row r="27" spans="1:25" x14ac:dyDescent="0.25">
      <c r="A27" s="68" t="s">
        <v>148</v>
      </c>
      <c r="B27" s="69"/>
      <c r="C27" s="69"/>
      <c r="D27" s="70">
        <v>131123.15994831387</v>
      </c>
      <c r="E27" s="70">
        <v>136526.79968701093</v>
      </c>
      <c r="F27" s="70">
        <v>142100.00235188974</v>
      </c>
      <c r="G27" s="70">
        <v>145504.14992690142</v>
      </c>
      <c r="H27" s="70">
        <v>149034.81066782211</v>
      </c>
      <c r="I27" s="70">
        <v>150964.83177005214</v>
      </c>
      <c r="J27" s="70">
        <v>153353.27902863009</v>
      </c>
      <c r="K27" s="70">
        <v>156815.29206868185</v>
      </c>
      <c r="L27" s="70">
        <v>161294.40562366624</v>
      </c>
      <c r="M27" s="70">
        <v>165620.66700722469</v>
      </c>
      <c r="N27" s="70">
        <v>169672.90251191842</v>
      </c>
      <c r="O27" s="70">
        <v>172173.00623631934</v>
      </c>
      <c r="P27" s="70">
        <v>173037.46632098011</v>
      </c>
      <c r="Q27" s="70">
        <v>174855.54388233394</v>
      </c>
      <c r="R27" s="70">
        <v>178854.46104158257</v>
      </c>
      <c r="S27" s="70">
        <v>181243</v>
      </c>
      <c r="T27" s="70">
        <v>186014.2998175128</v>
      </c>
      <c r="U27" s="70">
        <v>189611.93735841624</v>
      </c>
      <c r="V27" s="70">
        <v>193203.2573540736</v>
      </c>
      <c r="W27" s="70">
        <v>197852.43840654494</v>
      </c>
      <c r="X27" s="70">
        <v>183158.75628799232</v>
      </c>
      <c r="Y27" s="70">
        <v>195428.70485958311</v>
      </c>
    </row>
    <row r="28" spans="1:25" x14ac:dyDescent="0.25">
      <c r="A28" s="68" t="s">
        <v>150</v>
      </c>
      <c r="B28" s="71"/>
      <c r="C28" s="71"/>
      <c r="D28" s="70">
        <v>174885.35306189666</v>
      </c>
      <c r="E28" s="70">
        <v>174982.88341158061</v>
      </c>
      <c r="F28" s="70">
        <v>174773.6306121969</v>
      </c>
      <c r="G28" s="70">
        <v>177116.11737213505</v>
      </c>
      <c r="H28" s="70">
        <v>181526.28758423313</v>
      </c>
      <c r="I28" s="70">
        <v>185536.47780439208</v>
      </c>
      <c r="J28" s="70">
        <v>193879.80170775915</v>
      </c>
      <c r="K28" s="70">
        <v>204920.34490495885</v>
      </c>
      <c r="L28" s="70">
        <v>209568.39198292812</v>
      </c>
      <c r="M28" s="70">
        <v>203242.25143607758</v>
      </c>
      <c r="N28" s="70">
        <v>207397.180942926</v>
      </c>
      <c r="O28" s="70">
        <v>210308.51195638705</v>
      </c>
      <c r="P28" s="70">
        <v>206106.45112093943</v>
      </c>
      <c r="Q28" s="70">
        <v>206289.39712299983</v>
      </c>
      <c r="R28" s="70">
        <v>214286.43520387565</v>
      </c>
      <c r="S28" s="70">
        <v>218633</v>
      </c>
      <c r="T28" s="70">
        <v>223450.10520437569</v>
      </c>
      <c r="U28" s="70">
        <v>230442.23382251553</v>
      </c>
      <c r="V28" s="70">
        <v>236931.11812721394</v>
      </c>
      <c r="W28" s="70">
        <v>240368.34105792505</v>
      </c>
      <c r="X28" s="70">
        <v>232186.24412584258</v>
      </c>
      <c r="Y28" s="70">
        <v>241032.08887531771</v>
      </c>
    </row>
    <row r="29" spans="1:25" x14ac:dyDescent="0.25">
      <c r="A29" s="68" t="s">
        <v>152</v>
      </c>
      <c r="B29" s="71"/>
      <c r="C29" s="71"/>
      <c r="D29" s="70">
        <v>76395.398920671971</v>
      </c>
      <c r="E29" s="70">
        <v>78908.695226917102</v>
      </c>
      <c r="F29" s="70">
        <v>79845.480843858022</v>
      </c>
      <c r="G29" s="70">
        <v>76765.013986577556</v>
      </c>
      <c r="H29" s="70">
        <v>78207.130884918384</v>
      </c>
      <c r="I29" s="70">
        <v>78657.294441584076</v>
      </c>
      <c r="J29" s="70">
        <v>79755.847218885887</v>
      </c>
      <c r="K29" s="70">
        <v>83040.035900887888</v>
      </c>
      <c r="L29" s="70">
        <v>84168.793673375432</v>
      </c>
      <c r="M29" s="70">
        <v>80154.502142387908</v>
      </c>
      <c r="N29" s="70">
        <v>81358.649003609127</v>
      </c>
      <c r="O29" s="70">
        <v>84157.270887539809</v>
      </c>
      <c r="P29" s="70">
        <v>84256.0113873214</v>
      </c>
      <c r="Q29" s="70">
        <v>86675.690964926442</v>
      </c>
      <c r="R29" s="70">
        <v>87954.178441663287</v>
      </c>
      <c r="S29" s="70">
        <v>90925</v>
      </c>
      <c r="T29" s="70">
        <v>93868.230272932982</v>
      </c>
      <c r="U29" s="70">
        <v>96989.067270757456</v>
      </c>
      <c r="V29" s="70">
        <v>99559.140612967851</v>
      </c>
      <c r="W29" s="70">
        <v>103167.39534272795</v>
      </c>
      <c r="X29" s="70">
        <v>102254.94072963715</v>
      </c>
      <c r="Y29" s="70">
        <v>113222.62835999181</v>
      </c>
    </row>
    <row r="30" spans="1:25" x14ac:dyDescent="0.25">
      <c r="A30" s="64" t="s">
        <v>154</v>
      </c>
      <c r="B30" s="65"/>
      <c r="C30" s="65"/>
      <c r="D30" s="66">
        <v>6449.3653246851954</v>
      </c>
      <c r="E30" s="66">
        <v>6956.6705790297337</v>
      </c>
      <c r="F30" s="66">
        <v>6712.2933276887979</v>
      </c>
      <c r="G30" s="66">
        <v>7022.0677111512741</v>
      </c>
      <c r="H30" s="66">
        <v>6914.2446666590649</v>
      </c>
      <c r="I30" s="66">
        <v>8386.8729153141867</v>
      </c>
      <c r="J30" s="66">
        <v>8615.2300670437435</v>
      </c>
      <c r="K30" s="66">
        <v>8882.2643202872077</v>
      </c>
      <c r="L30" s="66">
        <v>8632.1603414368801</v>
      </c>
      <c r="M30" s="66">
        <v>9975.9176822593581</v>
      </c>
      <c r="N30" s="66">
        <v>8632.9744878437214</v>
      </c>
      <c r="O30" s="66">
        <v>8920.8276545657282</v>
      </c>
      <c r="P30" s="66">
        <v>9231.8641655228512</v>
      </c>
      <c r="Q30" s="66">
        <v>8527.9618555034758</v>
      </c>
      <c r="R30" s="66">
        <v>7098.3044004844569</v>
      </c>
      <c r="S30" s="66">
        <v>9321</v>
      </c>
      <c r="T30" s="66">
        <v>9210.119564025088</v>
      </c>
      <c r="U30" s="66">
        <v>8795.4299221904857</v>
      </c>
      <c r="V30" s="66">
        <v>8944.2476513168021</v>
      </c>
      <c r="W30" s="66">
        <v>10160.809111890867</v>
      </c>
      <c r="X30" s="66">
        <v>9849.2721102824198</v>
      </c>
      <c r="Y30" s="66">
        <v>10015.53701491733</v>
      </c>
    </row>
    <row r="31" spans="1:25" x14ac:dyDescent="0.25">
      <c r="A31" s="64" t="s">
        <v>37</v>
      </c>
      <c r="B31" s="65"/>
      <c r="C31" s="65"/>
      <c r="D31" s="66">
        <v>27427.854772099621</v>
      </c>
      <c r="E31" s="66">
        <v>28883.02034428795</v>
      </c>
      <c r="F31" s="66">
        <v>29265.740022107766</v>
      </c>
      <c r="G31" s="66">
        <v>28833.070485443601</v>
      </c>
      <c r="H31" s="66">
        <v>28878.145559444944</v>
      </c>
      <c r="I31" s="66">
        <v>29887.398983680687</v>
      </c>
      <c r="J31" s="66">
        <v>31151.317944574264</v>
      </c>
      <c r="K31" s="66">
        <v>33154.89737261062</v>
      </c>
      <c r="L31" s="66">
        <v>34871.751956148793</v>
      </c>
      <c r="M31" s="66">
        <v>34941.25374005692</v>
      </c>
      <c r="N31" s="66">
        <v>31216.455185679275</v>
      </c>
      <c r="O31" s="66">
        <v>30762.400363441124</v>
      </c>
      <c r="P31" s="66">
        <v>27709.826648365612</v>
      </c>
      <c r="Q31" s="66">
        <v>25893.001454663001</v>
      </c>
      <c r="R31" s="66">
        <v>26122.325393621315</v>
      </c>
      <c r="S31" s="66">
        <v>26394</v>
      </c>
      <c r="T31" s="66">
        <v>28109.013671582852</v>
      </c>
      <c r="U31" s="66">
        <v>29518.368954988673</v>
      </c>
      <c r="V31" s="66">
        <v>31326.043431387647</v>
      </c>
      <c r="W31" s="66">
        <v>33776.48096372882</v>
      </c>
      <c r="X31" s="66">
        <v>35167.695123184873</v>
      </c>
      <c r="Y31" s="66">
        <v>36532.641202726612</v>
      </c>
    </row>
    <row r="32" spans="1:25" x14ac:dyDescent="0.25">
      <c r="A32" s="64" t="s">
        <v>58</v>
      </c>
      <c r="B32" s="65"/>
      <c r="C32" s="65"/>
      <c r="D32" s="66">
        <v>73049.735235247907</v>
      </c>
      <c r="E32" s="66">
        <v>72751.613849765257</v>
      </c>
      <c r="F32" s="66">
        <v>69908.746677955744</v>
      </c>
      <c r="G32" s="66">
        <v>67811.302075539032</v>
      </c>
      <c r="H32" s="66">
        <v>69650.981152298104</v>
      </c>
      <c r="I32" s="66">
        <v>70705.827046629813</v>
      </c>
      <c r="J32" s="66">
        <v>71407.045052521251</v>
      </c>
      <c r="K32" s="66">
        <v>74641.792480046162</v>
      </c>
      <c r="L32" s="66">
        <v>72347.169337629195</v>
      </c>
      <c r="M32" s="66">
        <v>64292.490695468143</v>
      </c>
      <c r="N32" s="66">
        <v>65753.523821342504</v>
      </c>
      <c r="O32" s="66">
        <v>68571.635072068704</v>
      </c>
      <c r="P32" s="66">
        <v>67066.239642112749</v>
      </c>
      <c r="Q32" s="66">
        <v>65056.772264425395</v>
      </c>
      <c r="R32" s="66">
        <v>67435.40573274123</v>
      </c>
      <c r="S32" s="66">
        <v>69852</v>
      </c>
      <c r="T32" s="66">
        <v>72014.638864789929</v>
      </c>
      <c r="U32" s="66">
        <v>75438.78656554714</v>
      </c>
      <c r="V32" s="66">
        <v>77551.786539350054</v>
      </c>
      <c r="W32" s="66">
        <v>77157.412793425028</v>
      </c>
      <c r="X32" s="66">
        <v>75695.012828883831</v>
      </c>
      <c r="Y32" s="66">
        <v>82074.056777461476</v>
      </c>
    </row>
    <row r="33" spans="1:25" x14ac:dyDescent="0.25">
      <c r="A33" s="72" t="s">
        <v>158</v>
      </c>
      <c r="B33" s="65"/>
      <c r="C33" s="65"/>
      <c r="D33" s="66">
        <v>2446.2236185360662</v>
      </c>
      <c r="E33" s="66">
        <v>2053.9906103286385</v>
      </c>
      <c r="F33" s="66">
        <v>2036.736517792046</v>
      </c>
      <c r="G33" s="66">
        <v>2107.7714719865544</v>
      </c>
      <c r="H33" s="66">
        <v>2682.9184862547459</v>
      </c>
      <c r="I33" s="66">
        <v>2894.4953101564774</v>
      </c>
      <c r="J33" s="66">
        <v>3103.2298923369221</v>
      </c>
      <c r="K33" s="66">
        <v>3204.3679413618834</v>
      </c>
      <c r="L33" s="66">
        <v>2821.2477509519226</v>
      </c>
      <c r="M33" s="66">
        <v>1788.9721750190261</v>
      </c>
      <c r="N33" s="66">
        <v>1824.2174169329569</v>
      </c>
      <c r="O33" s="66">
        <v>1796.5555693222648</v>
      </c>
      <c r="P33" s="66">
        <v>1887.0418382390319</v>
      </c>
      <c r="Q33" s="66">
        <v>1841.5629545821885</v>
      </c>
      <c r="R33" s="66">
        <v>2138.6758175211949</v>
      </c>
      <c r="S33" s="66">
        <v>1867</v>
      </c>
      <c r="T33" s="66">
        <v>2107.0791077073422</v>
      </c>
      <c r="U33" s="66">
        <v>2130.4048064611443</v>
      </c>
      <c r="V33" s="66">
        <v>2340.0200215616819</v>
      </c>
      <c r="W33" s="66">
        <v>1919.5766798641473</v>
      </c>
      <c r="X33" s="66">
        <v>1608.4385547043839</v>
      </c>
      <c r="Y33" s="66">
        <v>2350.3102912516729</v>
      </c>
    </row>
    <row r="34" spans="1:25" x14ac:dyDescent="0.25">
      <c r="A34" s="73" t="s">
        <v>5</v>
      </c>
      <c r="B34" s="65"/>
      <c r="C34" s="65"/>
      <c r="D34" s="66">
        <v>1467.7341711216393</v>
      </c>
      <c r="E34" s="66">
        <v>1232.3943661971828</v>
      </c>
      <c r="F34" s="66">
        <v>1222.0419106752272</v>
      </c>
      <c r="G34" s="66">
        <v>1264.6628831919325</v>
      </c>
      <c r="H34" s="66">
        <v>1609.7510917528471</v>
      </c>
      <c r="I34" s="66">
        <v>1736.6971860938863</v>
      </c>
      <c r="J34" s="66">
        <v>1861.9379354021532</v>
      </c>
      <c r="K34" s="66">
        <v>1922.6207648171301</v>
      </c>
      <c r="L34" s="66">
        <v>1692.7486505711533</v>
      </c>
      <c r="M34" s="66">
        <v>1023.3833050114156</v>
      </c>
      <c r="N34" s="66">
        <v>1174.5304501597741</v>
      </c>
      <c r="O34" s="66">
        <v>1277.933341593359</v>
      </c>
      <c r="P34" s="66">
        <v>1482.2251029434192</v>
      </c>
      <c r="Q34" s="66">
        <v>1454.9377727493129</v>
      </c>
      <c r="R34" s="66">
        <v>1633.2054905127168</v>
      </c>
      <c r="S34" s="66">
        <v>1470.2</v>
      </c>
      <c r="T34" s="66">
        <v>1614.2474646244052</v>
      </c>
      <c r="U34" s="66">
        <v>1628.2428838766866</v>
      </c>
      <c r="V34" s="66">
        <v>1799.9999999999998</v>
      </c>
      <c r="W34" s="66">
        <v>1501.7460079184884</v>
      </c>
      <c r="X34" s="66">
        <v>1100</v>
      </c>
      <c r="Y34" s="66">
        <v>1760.1861747510034</v>
      </c>
    </row>
    <row r="35" spans="1:25" x14ac:dyDescent="0.25">
      <c r="A35" s="74" t="s">
        <v>270</v>
      </c>
      <c r="B35" s="44"/>
      <c r="C35" s="44"/>
      <c r="D35" s="45">
        <v>1435.2190380294874</v>
      </c>
      <c r="E35" s="45">
        <v>1216.9840754265506</v>
      </c>
      <c r="F35" s="45">
        <v>1210.0538297023611</v>
      </c>
      <c r="G35" s="45">
        <v>1255.0607250183014</v>
      </c>
      <c r="H35" s="45">
        <v>1588.8572110898149</v>
      </c>
      <c r="I35" s="45">
        <v>1711.0118190556352</v>
      </c>
      <c r="J35" s="45">
        <v>1823.8031540941538</v>
      </c>
      <c r="K35" s="45">
        <v>1889.2592155378595</v>
      </c>
      <c r="L35" s="45">
        <v>1666.5314710349166</v>
      </c>
      <c r="M35" s="45">
        <v>1021.115635592977</v>
      </c>
      <c r="N35" s="45">
        <v>1166.5894497024876</v>
      </c>
      <c r="O35" s="45">
        <v>1261.8517380512017</v>
      </c>
      <c r="P35" s="45">
        <v>1464.6880862427693</v>
      </c>
      <c r="Q35" s="45">
        <v>1438.5935996209303</v>
      </c>
      <c r="R35" s="45">
        <v>1614.6683084420326</v>
      </c>
      <c r="S35" s="45">
        <v>1460.182030929079</v>
      </c>
      <c r="T35" s="45">
        <v>1602.5581281347713</v>
      </c>
      <c r="U35" s="45">
        <v>1628.2428838766866</v>
      </c>
      <c r="V35" s="45">
        <v>1799.9999999999998</v>
      </c>
      <c r="W35" s="45">
        <v>1501.7460079184884</v>
      </c>
      <c r="X35" s="45">
        <v>1100</v>
      </c>
      <c r="Y35" s="45">
        <v>1760.1861747510034</v>
      </c>
    </row>
    <row r="36" spans="1:25" x14ac:dyDescent="0.25">
      <c r="A36" s="74" t="s">
        <v>15</v>
      </c>
      <c r="B36" s="44"/>
      <c r="C36" s="44"/>
      <c r="D36" s="45">
        <v>32.515133092151927</v>
      </c>
      <c r="E36" s="45">
        <v>15.410290770632173</v>
      </c>
      <c r="F36" s="45">
        <v>11.988080972866101</v>
      </c>
      <c r="G36" s="45">
        <v>9.6021581736310964</v>
      </c>
      <c r="H36" s="45">
        <v>20.893880663032178</v>
      </c>
      <c r="I36" s="45">
        <v>25.685367038251115</v>
      </c>
      <c r="J36" s="45">
        <v>38.134781307999447</v>
      </c>
      <c r="K36" s="45">
        <v>33.361549279270548</v>
      </c>
      <c r="L36" s="45">
        <v>26.217179536236699</v>
      </c>
      <c r="M36" s="45">
        <v>2.2676694184385724</v>
      </c>
      <c r="N36" s="45">
        <v>7.9410004572864636</v>
      </c>
      <c r="O36" s="45">
        <v>16.081603542157382</v>
      </c>
      <c r="P36" s="45">
        <v>17.537016700649929</v>
      </c>
      <c r="Q36" s="45">
        <v>16.344173128382636</v>
      </c>
      <c r="R36" s="45">
        <v>18.537182070684139</v>
      </c>
      <c r="S36" s="45">
        <v>10.017969070921026</v>
      </c>
      <c r="T36" s="45">
        <v>11.689336489633888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978.48944741442688</v>
      </c>
      <c r="E37" s="66">
        <v>821.59624413145571</v>
      </c>
      <c r="F37" s="66">
        <v>814.69460711681859</v>
      </c>
      <c r="G37" s="66">
        <v>843.10858879462194</v>
      </c>
      <c r="H37" s="66">
        <v>1073.1673945018986</v>
      </c>
      <c r="I37" s="66">
        <v>1157.7981240625911</v>
      </c>
      <c r="J37" s="66">
        <v>1241.2919569347689</v>
      </c>
      <c r="K37" s="66">
        <v>1281.7471765447533</v>
      </c>
      <c r="L37" s="66">
        <v>1128.4991003807691</v>
      </c>
      <c r="M37" s="66">
        <v>765.58887000761047</v>
      </c>
      <c r="N37" s="66">
        <v>649.6869667731828</v>
      </c>
      <c r="O37" s="66">
        <v>518.62222772890595</v>
      </c>
      <c r="P37" s="66">
        <v>404.81673529561272</v>
      </c>
      <c r="Q37" s="66">
        <v>386.62518183287534</v>
      </c>
      <c r="R37" s="66">
        <v>505.47032700847802</v>
      </c>
      <c r="S37" s="66">
        <v>396.7999999999999</v>
      </c>
      <c r="T37" s="66">
        <v>492.83164308293703</v>
      </c>
      <c r="U37" s="66">
        <v>502.16192258445767</v>
      </c>
      <c r="V37" s="66">
        <v>540.02002156168192</v>
      </c>
      <c r="W37" s="66">
        <v>417.83067194565888</v>
      </c>
      <c r="X37" s="66">
        <v>508.43855470438399</v>
      </c>
      <c r="Y37" s="66">
        <v>590.12411650066929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195.69788948288533</v>
      </c>
      <c r="E39" s="45">
        <v>164.3192488262911</v>
      </c>
      <c r="F39" s="45">
        <v>162.93892142336369</v>
      </c>
      <c r="G39" s="45">
        <v>168.62171775892435</v>
      </c>
      <c r="H39" s="45">
        <v>214.63347890037969</v>
      </c>
      <c r="I39" s="45">
        <v>231.55962481251817</v>
      </c>
      <c r="J39" s="45">
        <v>248.25839138695378</v>
      </c>
      <c r="K39" s="45">
        <v>256.34943530895072</v>
      </c>
      <c r="L39" s="45">
        <v>225.69982007615386</v>
      </c>
      <c r="M39" s="45">
        <v>83.117774001522079</v>
      </c>
      <c r="N39" s="45">
        <v>95.937393354636555</v>
      </c>
      <c r="O39" s="45">
        <v>113.72444554578118</v>
      </c>
      <c r="P39" s="45">
        <v>80.963347059122555</v>
      </c>
      <c r="Q39" s="45">
        <v>77.325036366575091</v>
      </c>
      <c r="R39" s="45">
        <v>1</v>
      </c>
      <c r="S39" s="45">
        <v>30.000000000000004</v>
      </c>
      <c r="T39" s="45">
        <v>39.999999999999993</v>
      </c>
      <c r="U39" s="45">
        <v>30</v>
      </c>
      <c r="V39" s="45">
        <v>40</v>
      </c>
      <c r="W39" s="45">
        <v>83.566134389131761</v>
      </c>
      <c r="X39" s="45">
        <v>70</v>
      </c>
      <c r="Y39" s="45">
        <v>49.999999999999993</v>
      </c>
    </row>
    <row r="40" spans="1:25" x14ac:dyDescent="0.25">
      <c r="A40" s="75" t="s">
        <v>273</v>
      </c>
      <c r="B40" s="76"/>
      <c r="C40" s="76"/>
      <c r="D40" s="45">
        <v>150.08034801622122</v>
      </c>
      <c r="E40" s="45">
        <v>125.2284305429543</v>
      </c>
      <c r="F40" s="45">
        <v>123.18258257307818</v>
      </c>
      <c r="G40" s="45">
        <v>149.5705735170138</v>
      </c>
      <c r="H40" s="45">
        <v>193.5374948962164</v>
      </c>
      <c r="I40" s="45">
        <v>208.79375455613183</v>
      </c>
      <c r="J40" s="45">
        <v>230.52254717544525</v>
      </c>
      <c r="K40" s="45">
        <v>256.34943530895072</v>
      </c>
      <c r="L40" s="45">
        <v>225.69982007615386</v>
      </c>
      <c r="M40" s="45">
        <v>83.117774001522079</v>
      </c>
      <c r="N40" s="45">
        <v>95.937393354636555</v>
      </c>
      <c r="O40" s="45">
        <v>113.72444554578118</v>
      </c>
      <c r="P40" s="45">
        <v>80.963347059122555</v>
      </c>
      <c r="Q40" s="45">
        <v>77.325036366575091</v>
      </c>
      <c r="R40" s="45">
        <v>1</v>
      </c>
      <c r="S40" s="45">
        <v>30.000000000000004</v>
      </c>
      <c r="T40" s="45">
        <v>39.999999999999993</v>
      </c>
      <c r="U40" s="45">
        <v>30</v>
      </c>
      <c r="V40" s="45">
        <v>40</v>
      </c>
      <c r="W40" s="45">
        <v>83.566134389131761</v>
      </c>
      <c r="X40" s="45">
        <v>70</v>
      </c>
      <c r="Y40" s="45">
        <v>49.999999999999993</v>
      </c>
    </row>
    <row r="41" spans="1:25" x14ac:dyDescent="0.25">
      <c r="A41" s="75" t="s">
        <v>274</v>
      </c>
      <c r="B41" s="76"/>
      <c r="C41" s="76"/>
      <c r="D41" s="45">
        <v>45.617541466664107</v>
      </c>
      <c r="E41" s="45">
        <v>39.090818283336802</v>
      </c>
      <c r="F41" s="45">
        <v>39.756338850285516</v>
      </c>
      <c r="G41" s="45">
        <v>19.051144241910549</v>
      </c>
      <c r="H41" s="45">
        <v>21.095984004163284</v>
      </c>
      <c r="I41" s="45">
        <v>22.765870256386336</v>
      </c>
      <c r="J41" s="45">
        <v>17.735844211508521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782.79155793154155</v>
      </c>
      <c r="E42" s="45">
        <v>657.27699530516463</v>
      </c>
      <c r="F42" s="45">
        <v>651.75568569345489</v>
      </c>
      <c r="G42" s="45">
        <v>674.48687103569762</v>
      </c>
      <c r="H42" s="45">
        <v>858.53391560151886</v>
      </c>
      <c r="I42" s="45">
        <v>926.23849925007289</v>
      </c>
      <c r="J42" s="45">
        <v>993.03356554781521</v>
      </c>
      <c r="K42" s="45">
        <v>1025.3977412358026</v>
      </c>
      <c r="L42" s="45">
        <v>902.79928030461519</v>
      </c>
      <c r="M42" s="45">
        <v>682.47109600608837</v>
      </c>
      <c r="N42" s="45">
        <v>553.74957341854622</v>
      </c>
      <c r="O42" s="45">
        <v>404.89778218312478</v>
      </c>
      <c r="P42" s="45">
        <v>323.85338823649016</v>
      </c>
      <c r="Q42" s="45">
        <v>309.30014546630025</v>
      </c>
      <c r="R42" s="45">
        <v>504.47032700847802</v>
      </c>
      <c r="S42" s="45">
        <v>366.7999999999999</v>
      </c>
      <c r="T42" s="45">
        <v>452.83164308293703</v>
      </c>
      <c r="U42" s="45">
        <v>472.16192258445767</v>
      </c>
      <c r="V42" s="45">
        <v>500.02002156168192</v>
      </c>
      <c r="W42" s="45">
        <v>334.2645375565271</v>
      </c>
      <c r="X42" s="45">
        <v>438.43855470438399</v>
      </c>
      <c r="Y42" s="45">
        <v>540.12411650066929</v>
      </c>
    </row>
    <row r="43" spans="1:25" x14ac:dyDescent="0.25">
      <c r="A43" s="72" t="s">
        <v>271</v>
      </c>
      <c r="B43" s="65"/>
      <c r="C43" s="65"/>
      <c r="D43" s="66">
        <v>11258.202640046618</v>
      </c>
      <c r="E43" s="66">
        <v>12190.678794992175</v>
      </c>
      <c r="F43" s="66">
        <v>13002.42244643571</v>
      </c>
      <c r="G43" s="66">
        <v>12437.117959225961</v>
      </c>
      <c r="H43" s="66">
        <v>12863.870107065892</v>
      </c>
      <c r="I43" s="66">
        <v>12705.110698215844</v>
      </c>
      <c r="J43" s="66">
        <v>13454.608984298226</v>
      </c>
      <c r="K43" s="66">
        <v>13976.771270741845</v>
      </c>
      <c r="L43" s="66">
        <v>13213.94200594167</v>
      </c>
      <c r="M43" s="66">
        <v>10726.535378071538</v>
      </c>
      <c r="N43" s="66">
        <v>11387.915076681249</v>
      </c>
      <c r="O43" s="66">
        <v>12155.660182546566</v>
      </c>
      <c r="P43" s="66">
        <v>12151.898734177214</v>
      </c>
      <c r="Q43" s="66">
        <v>10252.343623727169</v>
      </c>
      <c r="R43" s="66">
        <v>10277.553492127574</v>
      </c>
      <c r="S43" s="66">
        <v>11920</v>
      </c>
      <c r="T43" s="66">
        <v>12955.59477867193</v>
      </c>
      <c r="U43" s="66">
        <v>13790.997734659706</v>
      </c>
      <c r="V43" s="66">
        <v>14082.473432927767</v>
      </c>
      <c r="W43" s="66">
        <v>12826.262360910438</v>
      </c>
      <c r="X43" s="66">
        <v>11657.27108029318</v>
      </c>
      <c r="Y43" s="66">
        <v>14845.483039507128</v>
      </c>
    </row>
    <row r="44" spans="1:25" x14ac:dyDescent="0.25">
      <c r="A44" s="73" t="s">
        <v>272</v>
      </c>
      <c r="B44" s="65"/>
      <c r="C44" s="65"/>
      <c r="D44" s="66">
        <v>8164.6355367503611</v>
      </c>
      <c r="E44" s="66">
        <v>8806.4847417840374</v>
      </c>
      <c r="F44" s="66">
        <v>9247.6304710835157</v>
      </c>
      <c r="G44" s="66">
        <v>9094.153265261486</v>
      </c>
      <c r="H44" s="66">
        <v>9746.5309054422305</v>
      </c>
      <c r="I44" s="66">
        <v>9904.6361173915957</v>
      </c>
      <c r="J44" s="66">
        <v>10799.065318512372</v>
      </c>
      <c r="K44" s="66">
        <v>11096.152407816991</v>
      </c>
      <c r="L44" s="66">
        <v>10324.699778233398</v>
      </c>
      <c r="M44" s="66">
        <v>7720.9370210902716</v>
      </c>
      <c r="N44" s="66">
        <v>8429.2495268823877</v>
      </c>
      <c r="O44" s="66">
        <v>9191.343493164828</v>
      </c>
      <c r="P44" s="66">
        <v>8856.6925931574388</v>
      </c>
      <c r="Q44" s="66">
        <v>8203.6932277355736</v>
      </c>
      <c r="R44" s="66">
        <v>8234.7597900686324</v>
      </c>
      <c r="S44" s="66">
        <v>9497</v>
      </c>
      <c r="T44" s="66">
        <v>10250.196946580108</v>
      </c>
      <c r="U44" s="66">
        <v>11103.122229882792</v>
      </c>
      <c r="V44" s="66">
        <v>11565.339596488526</v>
      </c>
      <c r="W44" s="66">
        <v>10188.955397519374</v>
      </c>
      <c r="X44" s="66">
        <v>9007.8076862947055</v>
      </c>
      <c r="Y44" s="66">
        <v>12064.986034648442</v>
      </c>
    </row>
    <row r="45" spans="1:25" x14ac:dyDescent="0.25">
      <c r="A45" s="74" t="s">
        <v>20</v>
      </c>
      <c r="B45" s="44"/>
      <c r="C45" s="44"/>
      <c r="D45" s="45">
        <v>4357.3833084029611</v>
      </c>
      <c r="E45" s="45">
        <v>4525.4175574266828</v>
      </c>
      <c r="F45" s="45">
        <v>4637.3790707193666</v>
      </c>
      <c r="G45" s="45">
        <v>4598.7362102392526</v>
      </c>
      <c r="H45" s="45">
        <v>4760.8269543137203</v>
      </c>
      <c r="I45" s="45">
        <v>4799.285945982564</v>
      </c>
      <c r="J45" s="45">
        <v>5011.3005257596869</v>
      </c>
      <c r="K45" s="45">
        <v>5183.4330668097837</v>
      </c>
      <c r="L45" s="45">
        <v>4999.9999999999991</v>
      </c>
      <c r="M45" s="45">
        <v>5420.1948096179858</v>
      </c>
      <c r="N45" s="45">
        <v>6179.474594059242</v>
      </c>
      <c r="O45" s="45">
        <v>6669.5096440035477</v>
      </c>
      <c r="P45" s="45">
        <v>6906.2183155119064</v>
      </c>
      <c r="Q45" s="45">
        <v>5550.2390946579726</v>
      </c>
      <c r="R45" s="45">
        <v>5362.9593436115674</v>
      </c>
      <c r="S45" s="45">
        <v>6694.0220419038387</v>
      </c>
      <c r="T45" s="45">
        <v>7206.9424344761892</v>
      </c>
      <c r="U45" s="45">
        <v>7899.1198606698099</v>
      </c>
      <c r="V45" s="45">
        <v>8894.6628891705659</v>
      </c>
      <c r="W45" s="45">
        <v>7864.5595432416803</v>
      </c>
      <c r="X45" s="45">
        <v>6724.5026219455285</v>
      </c>
      <c r="Y45" s="45">
        <v>8714.8715365194639</v>
      </c>
    </row>
    <row r="46" spans="1:25" x14ac:dyDescent="0.25">
      <c r="A46" s="74" t="s">
        <v>12</v>
      </c>
      <c r="B46" s="44"/>
      <c r="C46" s="44"/>
      <c r="D46" s="45">
        <v>3807.2522283474</v>
      </c>
      <c r="E46" s="45">
        <v>4281.0671843573546</v>
      </c>
      <c r="F46" s="45">
        <v>4610.251400364149</v>
      </c>
      <c r="G46" s="45">
        <v>4495.4170550222334</v>
      </c>
      <c r="H46" s="45">
        <v>4985.7039511285102</v>
      </c>
      <c r="I46" s="45">
        <v>5105.3501714090316</v>
      </c>
      <c r="J46" s="45">
        <v>5787.764792752685</v>
      </c>
      <c r="K46" s="45">
        <v>5912.7193410072077</v>
      </c>
      <c r="L46" s="45">
        <v>5324.6997782333992</v>
      </c>
      <c r="M46" s="45">
        <v>2300.7422114722858</v>
      </c>
      <c r="N46" s="45">
        <v>2249.7749328231457</v>
      </c>
      <c r="O46" s="45">
        <v>2521.8338491612803</v>
      </c>
      <c r="P46" s="45">
        <v>1950.4742776455323</v>
      </c>
      <c r="Q46" s="45">
        <v>2653.454133077601</v>
      </c>
      <c r="R46" s="45">
        <v>2871.8004464570649</v>
      </c>
      <c r="S46" s="45">
        <v>2802.9779580961613</v>
      </c>
      <c r="T46" s="45">
        <v>3043.2545121039193</v>
      </c>
      <c r="U46" s="45">
        <v>3204.0023692129826</v>
      </c>
      <c r="V46" s="45">
        <v>2670.6767073179599</v>
      </c>
      <c r="W46" s="45">
        <v>2324.3958542776936</v>
      </c>
      <c r="X46" s="45">
        <v>2283.305064349177</v>
      </c>
      <c r="Y46" s="45">
        <v>3350.1144981289781</v>
      </c>
    </row>
    <row r="47" spans="1:25" x14ac:dyDescent="0.25">
      <c r="A47" s="73" t="s">
        <v>11</v>
      </c>
      <c r="B47" s="65"/>
      <c r="C47" s="65"/>
      <c r="D47" s="66">
        <v>3093.5671032962578</v>
      </c>
      <c r="E47" s="66">
        <v>3384.1940532081376</v>
      </c>
      <c r="F47" s="66">
        <v>3754.7919753521955</v>
      </c>
      <c r="G47" s="66">
        <v>3342.9646939644754</v>
      </c>
      <c r="H47" s="66">
        <v>3117.3392016236617</v>
      </c>
      <c r="I47" s="66">
        <v>2800.4745808242483</v>
      </c>
      <c r="J47" s="66">
        <v>2655.5436657858531</v>
      </c>
      <c r="K47" s="66">
        <v>2880.6188629248541</v>
      </c>
      <c r="L47" s="66">
        <v>2889.2422277082724</v>
      </c>
      <c r="M47" s="66">
        <v>3005.5983569812656</v>
      </c>
      <c r="N47" s="66">
        <v>2958.6655497988604</v>
      </c>
      <c r="O47" s="66">
        <v>2964.316689381737</v>
      </c>
      <c r="P47" s="66">
        <v>3295.2061410197753</v>
      </c>
      <c r="Q47" s="66">
        <v>2048.6503959915954</v>
      </c>
      <c r="R47" s="66">
        <v>2042.7937020589422</v>
      </c>
      <c r="S47" s="66">
        <v>2423</v>
      </c>
      <c r="T47" s="66">
        <v>2705.3978320918218</v>
      </c>
      <c r="U47" s="66">
        <v>2687.8755047769132</v>
      </c>
      <c r="V47" s="66">
        <v>2517.1338364392423</v>
      </c>
      <c r="W47" s="66">
        <v>2637.3069633910645</v>
      </c>
      <c r="X47" s="66">
        <v>2649.4633939984733</v>
      </c>
      <c r="Y47" s="66">
        <v>2780.4970048586852</v>
      </c>
    </row>
    <row r="48" spans="1:25" x14ac:dyDescent="0.25">
      <c r="A48" s="72" t="s">
        <v>4</v>
      </c>
      <c r="B48" s="65"/>
      <c r="C48" s="65"/>
      <c r="D48" s="66">
        <v>2382.8827687552257</v>
      </c>
      <c r="E48" s="66">
        <v>2354.7535211267609</v>
      </c>
      <c r="F48" s="66">
        <v>2229.5914767515696</v>
      </c>
      <c r="G48" s="66">
        <v>2022.585732539801</v>
      </c>
      <c r="H48" s="66">
        <v>2012.4739176539001</v>
      </c>
      <c r="I48" s="66">
        <v>1937.4986008820042</v>
      </c>
      <c r="J48" s="66">
        <v>2109.584852918696</v>
      </c>
      <c r="K48" s="66">
        <v>2320.7359682020706</v>
      </c>
      <c r="L48" s="66">
        <v>2313.9043474622367</v>
      </c>
      <c r="M48" s="66">
        <v>2228.9175467311643</v>
      </c>
      <c r="N48" s="66">
        <v>1948.3138398535662</v>
      </c>
      <c r="O48" s="66">
        <v>2048.4863503076858</v>
      </c>
      <c r="P48" s="66">
        <v>1770.1184484774544</v>
      </c>
      <c r="Q48" s="66">
        <v>1696.096654275093</v>
      </c>
      <c r="R48" s="66">
        <v>1631.0052482842143</v>
      </c>
      <c r="S48" s="66">
        <v>1631</v>
      </c>
      <c r="T48" s="66">
        <v>1849.8020562220158</v>
      </c>
      <c r="U48" s="66">
        <v>1915.689943858958</v>
      </c>
      <c r="V48" s="66">
        <v>2051.2474973047897</v>
      </c>
      <c r="W48" s="66">
        <v>2091.2690221980374</v>
      </c>
      <c r="X48" s="66">
        <v>2158.379238359742</v>
      </c>
      <c r="Y48" s="66">
        <v>2121.2964875569164</v>
      </c>
    </row>
    <row r="49" spans="1:25" x14ac:dyDescent="0.25">
      <c r="A49" s="77" t="s">
        <v>10</v>
      </c>
      <c r="B49" s="44"/>
      <c r="C49" s="44"/>
      <c r="D49" s="45">
        <v>1467.3684167231095</v>
      </c>
      <c r="E49" s="45">
        <v>1443.7147318404773</v>
      </c>
      <c r="F49" s="45">
        <v>1389.0185947207542</v>
      </c>
      <c r="G49" s="45">
        <v>1040.5094589945638</v>
      </c>
      <c r="H49" s="45">
        <v>1032.3575387609426</v>
      </c>
      <c r="I49" s="45">
        <v>999.94714700271788</v>
      </c>
      <c r="J49" s="45">
        <v>1184.7715377213335</v>
      </c>
      <c r="K49" s="45">
        <v>1208.5368869951644</v>
      </c>
      <c r="L49" s="45">
        <v>1319.107317917711</v>
      </c>
      <c r="M49" s="45">
        <v>1148.4646549695435</v>
      </c>
      <c r="N49" s="45">
        <v>919.10780013277986</v>
      </c>
      <c r="O49" s="45">
        <v>976.05445559203781</v>
      </c>
      <c r="P49" s="45">
        <v>789.01759833777226</v>
      </c>
      <c r="Q49" s="45">
        <v>709.78262281039565</v>
      </c>
      <c r="R49" s="45">
        <v>632.19178159486341</v>
      </c>
      <c r="S49" s="45">
        <v>661.80793079581588</v>
      </c>
      <c r="T49" s="45">
        <v>801.1268537445236</v>
      </c>
      <c r="U49" s="45">
        <v>856.63760808261304</v>
      </c>
      <c r="V49" s="45">
        <v>938.2386697221516</v>
      </c>
      <c r="W49" s="45">
        <v>1030.7783698689709</v>
      </c>
      <c r="X49" s="45">
        <v>1035.7363515233487</v>
      </c>
      <c r="Y49" s="45">
        <v>1082.9647272061197</v>
      </c>
    </row>
    <row r="50" spans="1:25" x14ac:dyDescent="0.25">
      <c r="A50" s="77" t="s">
        <v>18</v>
      </c>
      <c r="B50" s="44"/>
      <c r="C50" s="44"/>
      <c r="D50" s="45">
        <v>539.53534625351176</v>
      </c>
      <c r="E50" s="45">
        <v>531.91595725540105</v>
      </c>
      <c r="F50" s="45">
        <v>551.3682896315396</v>
      </c>
      <c r="G50" s="45">
        <v>538.7406894895513</v>
      </c>
      <c r="H50" s="45">
        <v>550.2410737876063</v>
      </c>
      <c r="I50" s="45">
        <v>522.42675314327175</v>
      </c>
      <c r="J50" s="45">
        <v>547.12911031018416</v>
      </c>
      <c r="K50" s="45">
        <v>566.5018776518674</v>
      </c>
      <c r="L50" s="45">
        <v>529.35736011301174</v>
      </c>
      <c r="M50" s="45">
        <v>408.13712498791898</v>
      </c>
      <c r="N50" s="45">
        <v>388.42480953766176</v>
      </c>
      <c r="O50" s="45">
        <v>416.93495889357126</v>
      </c>
      <c r="P50" s="45">
        <v>383.23976512689893</v>
      </c>
      <c r="Q50" s="45">
        <v>414.11430351866471</v>
      </c>
      <c r="R50" s="45">
        <v>415.57750722759505</v>
      </c>
      <c r="S50" s="45">
        <v>390.74609036370367</v>
      </c>
      <c r="T50" s="45">
        <v>401.99986698435839</v>
      </c>
      <c r="U50" s="45">
        <v>410.08635110147878</v>
      </c>
      <c r="V50" s="45">
        <v>445.00602386890017</v>
      </c>
      <c r="W50" s="45">
        <v>426.83388117303514</v>
      </c>
      <c r="X50" s="45">
        <v>465.86967607744629</v>
      </c>
      <c r="Y50" s="45">
        <v>486.86230788469754</v>
      </c>
    </row>
    <row r="51" spans="1:25" x14ac:dyDescent="0.25">
      <c r="A51" s="77" t="s">
        <v>9</v>
      </c>
      <c r="B51" s="44"/>
      <c r="C51" s="44"/>
      <c r="D51" s="45">
        <v>375.97900577860446</v>
      </c>
      <c r="E51" s="45">
        <v>379.12283203088259</v>
      </c>
      <c r="F51" s="45">
        <v>289.20459239927584</v>
      </c>
      <c r="G51" s="45">
        <v>443.3355840556859</v>
      </c>
      <c r="H51" s="45">
        <v>429.87530510535123</v>
      </c>
      <c r="I51" s="45">
        <v>415.12470073601457</v>
      </c>
      <c r="J51" s="45">
        <v>377.68420488717834</v>
      </c>
      <c r="K51" s="45">
        <v>545.69720355503875</v>
      </c>
      <c r="L51" s="45">
        <v>465.43966943151395</v>
      </c>
      <c r="M51" s="45">
        <v>672.31576677370185</v>
      </c>
      <c r="N51" s="45">
        <v>640.78123018312453</v>
      </c>
      <c r="O51" s="45">
        <v>655.49693582207669</v>
      </c>
      <c r="P51" s="45">
        <v>597.86108501278318</v>
      </c>
      <c r="Q51" s="45">
        <v>572.19972794603268</v>
      </c>
      <c r="R51" s="45">
        <v>583.23595946175578</v>
      </c>
      <c r="S51" s="45">
        <v>578.44597884048039</v>
      </c>
      <c r="T51" s="45">
        <v>646.67533549313396</v>
      </c>
      <c r="U51" s="45">
        <v>648.96598467486615</v>
      </c>
      <c r="V51" s="45">
        <v>668.00280371373788</v>
      </c>
      <c r="W51" s="45">
        <v>633.65677115603137</v>
      </c>
      <c r="X51" s="45">
        <v>656.77321075894702</v>
      </c>
      <c r="Y51" s="45">
        <v>551.46945246609914</v>
      </c>
    </row>
    <row r="52" spans="1:25" x14ac:dyDescent="0.25">
      <c r="A52" s="72" t="s">
        <v>3</v>
      </c>
      <c r="B52" s="65"/>
      <c r="C52" s="65"/>
      <c r="D52" s="66">
        <v>5116.6738452963082</v>
      </c>
      <c r="E52" s="66">
        <v>5174.1001564945227</v>
      </c>
      <c r="F52" s="66">
        <v>4883.6990521884336</v>
      </c>
      <c r="G52" s="66">
        <v>4512.5418733955721</v>
      </c>
      <c r="H52" s="66">
        <v>4535.7627447179693</v>
      </c>
      <c r="I52" s="66">
        <v>4504.0406527724917</v>
      </c>
      <c r="J52" s="66">
        <v>4368.7624205629927</v>
      </c>
      <c r="K52" s="66">
        <v>4498.2957763032773</v>
      </c>
      <c r="L52" s="66">
        <v>4261.6845893133595</v>
      </c>
      <c r="M52" s="66">
        <v>3978.2737878045473</v>
      </c>
      <c r="N52" s="66">
        <v>3634.9910547161812</v>
      </c>
      <c r="O52" s="66">
        <v>3580.7211002354111</v>
      </c>
      <c r="P52" s="66">
        <v>3256.5705861420365</v>
      </c>
      <c r="Q52" s="66">
        <v>3217.4317116534667</v>
      </c>
      <c r="R52" s="66">
        <v>3229.7133629390391</v>
      </c>
      <c r="S52" s="66">
        <v>3057</v>
      </c>
      <c r="T52" s="66">
        <v>3081.3414305800698</v>
      </c>
      <c r="U52" s="66">
        <v>3082.8326602974494</v>
      </c>
      <c r="V52" s="66">
        <v>3193.8241182812262</v>
      </c>
      <c r="W52" s="66">
        <v>3222.7497044640013</v>
      </c>
      <c r="X52" s="66">
        <v>3089.9677208729154</v>
      </c>
      <c r="Y52" s="66">
        <v>2689.7895767286054</v>
      </c>
    </row>
    <row r="53" spans="1:25" x14ac:dyDescent="0.25">
      <c r="A53" s="73" t="s">
        <v>21</v>
      </c>
      <c r="B53" s="65"/>
      <c r="C53" s="65"/>
      <c r="D53" s="66">
        <v>1779.8778788416225</v>
      </c>
      <c r="E53" s="66">
        <v>1950.0684663536776</v>
      </c>
      <c r="F53" s="66">
        <v>1970.8836049765987</v>
      </c>
      <c r="G53" s="66">
        <v>1891.3536474461546</v>
      </c>
      <c r="H53" s="66">
        <v>1934.9395117612851</v>
      </c>
      <c r="I53" s="66">
        <v>1825.569161200779</v>
      </c>
      <c r="J53" s="66">
        <v>1851.8922932453977</v>
      </c>
      <c r="K53" s="66">
        <v>1952.1107798826811</v>
      </c>
      <c r="L53" s="66">
        <v>1810.7452194652494</v>
      </c>
      <c r="M53" s="66">
        <v>1657.6140782518946</v>
      </c>
      <c r="N53" s="66">
        <v>1620.4924559716233</v>
      </c>
      <c r="O53" s="66">
        <v>1629.2900507991574</v>
      </c>
      <c r="P53" s="66">
        <v>1441.7162320166742</v>
      </c>
      <c r="Q53" s="66">
        <v>1515.273961532245</v>
      </c>
      <c r="R53" s="66">
        <v>1668.3488090431974</v>
      </c>
      <c r="S53" s="66">
        <v>1607</v>
      </c>
      <c r="T53" s="66">
        <v>1682.2728133943617</v>
      </c>
      <c r="U53" s="66">
        <v>1733.4777898158179</v>
      </c>
      <c r="V53" s="66">
        <v>1883.7594332357924</v>
      </c>
      <c r="W53" s="66">
        <v>2043.4203366295762</v>
      </c>
      <c r="X53" s="66">
        <v>2004.800485566356</v>
      </c>
      <c r="Y53" s="66">
        <v>1593.2175990372441</v>
      </c>
    </row>
    <row r="54" spans="1:25" x14ac:dyDescent="0.25">
      <c r="A54" s="74" t="s">
        <v>8</v>
      </c>
      <c r="B54" s="44"/>
      <c r="C54" s="44"/>
      <c r="D54" s="45">
        <v>12.803735789539383</v>
      </c>
      <c r="E54" s="45">
        <v>13.924318554638003</v>
      </c>
      <c r="F54" s="45">
        <v>12.164052677063065</v>
      </c>
      <c r="G54" s="45">
        <v>12.292472691890591</v>
      </c>
      <c r="H54" s="45">
        <v>11.649976174685985</v>
      </c>
      <c r="I54" s="45">
        <v>10.769382036794944</v>
      </c>
      <c r="J54" s="45">
        <v>17.037549046781496</v>
      </c>
      <c r="K54" s="45">
        <v>14.769681547945845</v>
      </c>
      <c r="L54" s="45">
        <v>15.0688569936428</v>
      </c>
      <c r="M54" s="45">
        <v>8.0794492057990102</v>
      </c>
      <c r="N54" s="45">
        <v>9.71270455351031</v>
      </c>
      <c r="O54" s="45">
        <v>3.628470670542435</v>
      </c>
      <c r="P54" s="45">
        <v>3.6974782944161846</v>
      </c>
      <c r="Q54" s="45">
        <v>4.0189004774204591</v>
      </c>
      <c r="R54" s="45">
        <v>4.7616091588817619</v>
      </c>
      <c r="S54" s="45">
        <v>4.8203238459763558</v>
      </c>
      <c r="T54" s="45">
        <v>3.2916747580079946</v>
      </c>
      <c r="U54" s="45">
        <v>3.9114842615966152</v>
      </c>
      <c r="V54" s="45">
        <v>4.2097725382613662</v>
      </c>
      <c r="W54" s="45">
        <v>4.2992104846073094</v>
      </c>
      <c r="X54" s="45">
        <v>4.6518009510820999</v>
      </c>
      <c r="Y54" s="45">
        <v>3.6059979302265197</v>
      </c>
    </row>
    <row r="55" spans="1:25" x14ac:dyDescent="0.25">
      <c r="A55" s="74" t="s">
        <v>17</v>
      </c>
      <c r="B55" s="44"/>
      <c r="C55" s="44"/>
      <c r="D55" s="45">
        <v>1767.0741430520832</v>
      </c>
      <c r="E55" s="45">
        <v>1936.1441477990397</v>
      </c>
      <c r="F55" s="45">
        <v>1958.7195522995357</v>
      </c>
      <c r="G55" s="45">
        <v>1879.0611747542639</v>
      </c>
      <c r="H55" s="45">
        <v>1923.2895355865992</v>
      </c>
      <c r="I55" s="45">
        <v>1814.7997791639841</v>
      </c>
      <c r="J55" s="45">
        <v>1834.8547441986161</v>
      </c>
      <c r="K55" s="45">
        <v>1937.3410983347353</v>
      </c>
      <c r="L55" s="45">
        <v>1795.6763624716066</v>
      </c>
      <c r="M55" s="45">
        <v>1649.5346290460957</v>
      </c>
      <c r="N55" s="45">
        <v>1610.7797514181129</v>
      </c>
      <c r="O55" s="45">
        <v>1625.661580128615</v>
      </c>
      <c r="P55" s="45">
        <v>1438.018753722258</v>
      </c>
      <c r="Q55" s="45">
        <v>1511.2550610548246</v>
      </c>
      <c r="R55" s="45">
        <v>1663.5871998843156</v>
      </c>
      <c r="S55" s="45">
        <v>1602.1796761540236</v>
      </c>
      <c r="T55" s="45">
        <v>1678.9811386363538</v>
      </c>
      <c r="U55" s="45">
        <v>1729.5663055542213</v>
      </c>
      <c r="V55" s="45">
        <v>1879.549660697531</v>
      </c>
      <c r="W55" s="45">
        <v>2039.1211261449689</v>
      </c>
      <c r="X55" s="45">
        <v>2000.1486846152739</v>
      </c>
      <c r="Y55" s="45">
        <v>1589.6116011070176</v>
      </c>
    </row>
    <row r="56" spans="1:25" x14ac:dyDescent="0.25">
      <c r="A56" s="73" t="s">
        <v>16</v>
      </c>
      <c r="B56" s="65"/>
      <c r="C56" s="65"/>
      <c r="D56" s="66">
        <v>3336.7959664546856</v>
      </c>
      <c r="E56" s="66">
        <v>3224.0316901408451</v>
      </c>
      <c r="F56" s="66">
        <v>2912.8154472118349</v>
      </c>
      <c r="G56" s="66">
        <v>2621.1882259494178</v>
      </c>
      <c r="H56" s="66">
        <v>2600.8232329566845</v>
      </c>
      <c r="I56" s="66">
        <v>2678.4714915717127</v>
      </c>
      <c r="J56" s="66">
        <v>2516.8701273175948</v>
      </c>
      <c r="K56" s="66">
        <v>2546.1849964205962</v>
      </c>
      <c r="L56" s="66">
        <v>2450.9393698481099</v>
      </c>
      <c r="M56" s="66">
        <v>2320.6597095526527</v>
      </c>
      <c r="N56" s="66">
        <v>2014.498598744558</v>
      </c>
      <c r="O56" s="66">
        <v>1951.4310494362537</v>
      </c>
      <c r="P56" s="66">
        <v>1814.8543541253623</v>
      </c>
      <c r="Q56" s="66">
        <v>1702.1577501212216</v>
      </c>
      <c r="R56" s="66">
        <v>1561.3645538958417</v>
      </c>
      <c r="S56" s="66">
        <v>1450</v>
      </c>
      <c r="T56" s="66">
        <v>1399.068617185708</v>
      </c>
      <c r="U56" s="66">
        <v>1349.3548704816315</v>
      </c>
      <c r="V56" s="66">
        <v>1310.0646850454339</v>
      </c>
      <c r="W56" s="66">
        <v>1179.3293678344251</v>
      </c>
      <c r="X56" s="66">
        <v>1085.1672353065594</v>
      </c>
      <c r="Y56" s="66">
        <v>1096.5719776913613</v>
      </c>
    </row>
    <row r="57" spans="1:25" x14ac:dyDescent="0.25">
      <c r="A57" s="72" t="s">
        <v>2</v>
      </c>
      <c r="B57" s="65"/>
      <c r="C57" s="65"/>
      <c r="D57" s="66">
        <v>13040.614152879474</v>
      </c>
      <c r="E57" s="66">
        <v>13337.490219092331</v>
      </c>
      <c r="F57" s="66">
        <v>13429.290434864413</v>
      </c>
      <c r="G57" s="66">
        <v>13549.137206598441</v>
      </c>
      <c r="H57" s="66">
        <v>13642.634801546126</v>
      </c>
      <c r="I57" s="66">
        <v>13737.100132076739</v>
      </c>
      <c r="J57" s="66">
        <v>12203.271385206701</v>
      </c>
      <c r="K57" s="66">
        <v>12319.560641514676</v>
      </c>
      <c r="L57" s="66">
        <v>11627.055525335787</v>
      </c>
      <c r="M57" s="66">
        <v>12178.772114552599</v>
      </c>
      <c r="N57" s="66">
        <v>11815.013598899679</v>
      </c>
      <c r="O57" s="66">
        <v>12240.325445008879</v>
      </c>
      <c r="P57" s="66">
        <v>13285.547252300341</v>
      </c>
      <c r="Q57" s="66">
        <v>13578.875060610957</v>
      </c>
      <c r="R57" s="66">
        <v>14360.113039967702</v>
      </c>
      <c r="S57" s="66">
        <v>14500</v>
      </c>
      <c r="T57" s="66">
        <v>15131.480539683489</v>
      </c>
      <c r="U57" s="66">
        <v>15489.018024229292</v>
      </c>
      <c r="V57" s="66">
        <v>15613.930386570151</v>
      </c>
      <c r="W57" s="66">
        <v>15606.177171485937</v>
      </c>
      <c r="X57" s="66">
        <v>15914.253395745776</v>
      </c>
      <c r="Y57" s="66">
        <v>15938.462643807197</v>
      </c>
    </row>
    <row r="58" spans="1:25" x14ac:dyDescent="0.25">
      <c r="A58" s="72" t="s">
        <v>275</v>
      </c>
      <c r="B58" s="65"/>
      <c r="C58" s="65"/>
      <c r="D58" s="66">
        <v>3894.1954445260835</v>
      </c>
      <c r="E58" s="66">
        <v>4293.8184663536776</v>
      </c>
      <c r="F58" s="66">
        <v>4153.4372868599921</v>
      </c>
      <c r="G58" s="66">
        <v>4069.3457965442217</v>
      </c>
      <c r="H58" s="66">
        <v>4251.8499937288343</v>
      </c>
      <c r="I58" s="66">
        <v>4038.4141836985964</v>
      </c>
      <c r="J58" s="66">
        <v>3960.3852285383591</v>
      </c>
      <c r="K58" s="66">
        <v>4583.7740808411072</v>
      </c>
      <c r="L58" s="66">
        <v>4770.0740616762205</v>
      </c>
      <c r="M58" s="66">
        <v>3249.5491081202235</v>
      </c>
      <c r="N58" s="66">
        <v>3763.2240250674777</v>
      </c>
      <c r="O58" s="66">
        <v>3766.5716763721966</v>
      </c>
      <c r="P58" s="66">
        <v>3304.3566671750291</v>
      </c>
      <c r="Q58" s="66">
        <v>3355.8267334734119</v>
      </c>
      <c r="R58" s="66">
        <v>3267.0569236980218</v>
      </c>
      <c r="S58" s="66">
        <v>3516</v>
      </c>
      <c r="T58" s="66">
        <v>3541.0496504821449</v>
      </c>
      <c r="U58" s="66">
        <v>4055.9440559440559</v>
      </c>
      <c r="V58" s="66">
        <v>4151.5863237332505</v>
      </c>
      <c r="W58" s="66">
        <v>4207.8697014617301</v>
      </c>
      <c r="X58" s="66">
        <v>3894.6468148502377</v>
      </c>
      <c r="Y58" s="66">
        <v>3902.2155962890783</v>
      </c>
    </row>
    <row r="59" spans="1:25" x14ac:dyDescent="0.25">
      <c r="A59" s="72" t="s">
        <v>276</v>
      </c>
      <c r="B59" s="65"/>
      <c r="C59" s="65"/>
      <c r="D59" s="66">
        <v>22996.528921432011</v>
      </c>
      <c r="E59" s="66">
        <v>21522.887323943662</v>
      </c>
      <c r="F59" s="66">
        <v>18808.062278040408</v>
      </c>
      <c r="G59" s="66">
        <v>17936.202788106231</v>
      </c>
      <c r="H59" s="66">
        <v>18834.019360797236</v>
      </c>
      <c r="I59" s="66">
        <v>20104.765955541625</v>
      </c>
      <c r="J59" s="66">
        <v>21459.457098556486</v>
      </c>
      <c r="K59" s="66">
        <v>22732.955091835753</v>
      </c>
      <c r="L59" s="66">
        <v>22306.372651575381</v>
      </c>
      <c r="M59" s="66">
        <v>19658.88595823646</v>
      </c>
      <c r="N59" s="66">
        <v>21492.466312991863</v>
      </c>
      <c r="O59" s="66">
        <v>23002.106306529549</v>
      </c>
      <c r="P59" s="66">
        <v>21648.111433074067</v>
      </c>
      <c r="Q59" s="66">
        <v>21708.824955551961</v>
      </c>
      <c r="R59" s="66">
        <v>22810.859911182884</v>
      </c>
      <c r="S59" s="66">
        <v>23626</v>
      </c>
      <c r="T59" s="66">
        <v>23293.54513816176</v>
      </c>
      <c r="U59" s="66">
        <v>24741.455727371223</v>
      </c>
      <c r="V59" s="66">
        <v>25972.200831664872</v>
      </c>
      <c r="W59" s="66">
        <v>27093.614546000415</v>
      </c>
      <c r="X59" s="66">
        <v>27259.768804200881</v>
      </c>
      <c r="Y59" s="66">
        <v>29764.609733535704</v>
      </c>
    </row>
    <row r="60" spans="1:25" x14ac:dyDescent="0.25">
      <c r="A60" s="72" t="s">
        <v>1</v>
      </c>
      <c r="B60" s="65"/>
      <c r="C60" s="65"/>
      <c r="D60" s="66">
        <v>1564.5189895867643</v>
      </c>
      <c r="E60" s="66">
        <v>1443.9064945226917</v>
      </c>
      <c r="F60" s="66">
        <v>1379.3833345092783</v>
      </c>
      <c r="G60" s="66">
        <v>1326.1347546305356</v>
      </c>
      <c r="H60" s="66">
        <v>1148.1933343215169</v>
      </c>
      <c r="I60" s="66">
        <v>1131.6066351771842</v>
      </c>
      <c r="J60" s="66">
        <v>1126.8589897578127</v>
      </c>
      <c r="K60" s="66">
        <v>1196.6962635296129</v>
      </c>
      <c r="L60" s="66">
        <v>1152.76789823842</v>
      </c>
      <c r="M60" s="66">
        <v>1038.3544792068471</v>
      </c>
      <c r="N60" s="66">
        <v>1040.3416788177747</v>
      </c>
      <c r="O60" s="66">
        <v>1113.0384504191964</v>
      </c>
      <c r="P60" s="66">
        <v>1072.6450104214325</v>
      </c>
      <c r="Q60" s="66">
        <v>1088.9768870211733</v>
      </c>
      <c r="R60" s="66">
        <v>1095.0746871215181</v>
      </c>
      <c r="S60" s="66">
        <v>1099</v>
      </c>
      <c r="T60" s="66">
        <v>1136.8055763305113</v>
      </c>
      <c r="U60" s="66">
        <v>1138.5797301290258</v>
      </c>
      <c r="V60" s="66">
        <v>1126.2128446018789</v>
      </c>
      <c r="W60" s="66">
        <v>1111.778282326009</v>
      </c>
      <c r="X60" s="66">
        <v>1091.6046680583784</v>
      </c>
      <c r="Y60" s="66">
        <v>1259.1268736472471</v>
      </c>
    </row>
    <row r="61" spans="1:25" x14ac:dyDescent="0.25">
      <c r="A61" s="72" t="s">
        <v>0</v>
      </c>
      <c r="B61" s="65"/>
      <c r="C61" s="65"/>
      <c r="D61" s="66">
        <v>1183.2070739061035</v>
      </c>
      <c r="E61" s="66">
        <v>1291.0798122065728</v>
      </c>
      <c r="F61" s="66">
        <v>1064.2301088924951</v>
      </c>
      <c r="G61" s="66">
        <v>1115.4727232959974</v>
      </c>
      <c r="H61" s="66">
        <v>1108.2859195238475</v>
      </c>
      <c r="I61" s="66">
        <v>1064.4489713684493</v>
      </c>
      <c r="J61" s="66">
        <v>1040.5974973248019</v>
      </c>
      <c r="K61" s="66">
        <v>1093.0538192774948</v>
      </c>
      <c r="L61" s="66">
        <v>1160.0903803506421</v>
      </c>
      <c r="M61" s="66">
        <v>1017.5039876565089</v>
      </c>
      <c r="N61" s="66">
        <v>834.54844414109766</v>
      </c>
      <c r="O61" s="66">
        <v>873.49770784289433</v>
      </c>
      <c r="P61" s="66">
        <v>769.66092216969139</v>
      </c>
      <c r="Q61" s="66">
        <v>666.72054307418773</v>
      </c>
      <c r="R61" s="66">
        <v>698.42551473556728</v>
      </c>
      <c r="S61" s="66">
        <v>792</v>
      </c>
      <c r="T61" s="66">
        <v>892.49209720684871</v>
      </c>
      <c r="U61" s="66">
        <v>975.08125677139765</v>
      </c>
      <c r="V61" s="66">
        <v>1053.0571384567995</v>
      </c>
      <c r="W61" s="66">
        <v>1140.8627774754659</v>
      </c>
      <c r="X61" s="66">
        <v>1170.6931275807208</v>
      </c>
      <c r="Y61" s="66">
        <v>1274.3944605602308</v>
      </c>
    </row>
    <row r="62" spans="1:25" x14ac:dyDescent="0.25">
      <c r="A62" s="78" t="s">
        <v>277</v>
      </c>
      <c r="B62" s="79"/>
      <c r="C62" s="79"/>
      <c r="D62" s="80">
        <v>9166.6877802832605</v>
      </c>
      <c r="E62" s="80">
        <v>9088.9084507042244</v>
      </c>
      <c r="F62" s="80">
        <v>8921.8937416213921</v>
      </c>
      <c r="G62" s="80">
        <v>8734.991769215716</v>
      </c>
      <c r="H62" s="80">
        <v>8570.972486688026</v>
      </c>
      <c r="I62" s="80">
        <v>8588.345906740391</v>
      </c>
      <c r="J62" s="80">
        <v>8580.2887030202437</v>
      </c>
      <c r="K62" s="80">
        <v>8715.5816264384412</v>
      </c>
      <c r="L62" s="80">
        <v>8720.0301267835475</v>
      </c>
      <c r="M62" s="80">
        <v>8426.7261600692236</v>
      </c>
      <c r="N62" s="80">
        <v>8012.4923732406751</v>
      </c>
      <c r="O62" s="80">
        <v>7994.6722834840784</v>
      </c>
      <c r="P62" s="80">
        <v>7920.2887499364551</v>
      </c>
      <c r="Q62" s="80">
        <v>7650.1131404557937</v>
      </c>
      <c r="R62" s="80">
        <v>7926.9277351635046</v>
      </c>
      <c r="S62" s="80">
        <v>7844</v>
      </c>
      <c r="T62" s="80">
        <v>8025.4484897438197</v>
      </c>
      <c r="U62" s="80">
        <v>8118.7826258248797</v>
      </c>
      <c r="V62" s="80">
        <v>7967.2339442476514</v>
      </c>
      <c r="W62" s="80">
        <v>7937.2525472388497</v>
      </c>
      <c r="X62" s="80">
        <v>7849.9894242176215</v>
      </c>
      <c r="Y62" s="80">
        <v>7928.3680745776728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2.5601726822921802E-2</v>
      </c>
      <c r="E66" s="83">
        <f t="shared" ref="E66:S66" si="49">E24/E$23</f>
        <v>2.4906600249066001E-2</v>
      </c>
      <c r="F66" s="83">
        <f t="shared" si="49"/>
        <v>2.3220649696472299E-2</v>
      </c>
      <c r="G66" s="83">
        <f t="shared" si="49"/>
        <v>2.303234078183055E-2</v>
      </c>
      <c r="H66" s="83">
        <f t="shared" si="49"/>
        <v>2.0902369555925161E-2</v>
      </c>
      <c r="I66" s="83">
        <f t="shared" si="49"/>
        <v>2.0828500144486905E-2</v>
      </c>
      <c r="J66" s="83">
        <f t="shared" si="49"/>
        <v>2.1850376306700524E-2</v>
      </c>
      <c r="K66" s="83">
        <f t="shared" si="49"/>
        <v>2.0363616618854129E-2</v>
      </c>
      <c r="L66" s="83">
        <f t="shared" si="49"/>
        <v>1.8295708582661781E-2</v>
      </c>
      <c r="M66" s="83">
        <f t="shared" si="49"/>
        <v>1.7293762306547753E-2</v>
      </c>
      <c r="N66" s="83">
        <f t="shared" si="49"/>
        <v>1.9795221843003412E-2</v>
      </c>
      <c r="O66" s="83">
        <f t="shared" si="49"/>
        <v>1.7525296397492632E-2</v>
      </c>
      <c r="P66" s="83">
        <f t="shared" si="49"/>
        <v>1.8356270201044866E-2</v>
      </c>
      <c r="Q66" s="83">
        <f t="shared" si="49"/>
        <v>1.9855332049708834E-2</v>
      </c>
      <c r="R66" s="83">
        <f t="shared" si="49"/>
        <v>1.930180187627932E-2</v>
      </c>
      <c r="S66" s="83">
        <f t="shared" si="49"/>
        <v>1.9164512310034066E-2</v>
      </c>
      <c r="T66" s="83">
        <f t="shared" ref="T66:Y66" si="50">T24/T$23</f>
        <v>1.9710975010396585E-2</v>
      </c>
      <c r="U66" s="83">
        <f t="shared" si="50"/>
        <v>2.0703905581604856E-2</v>
      </c>
      <c r="V66" s="83">
        <f t="shared" si="50"/>
        <v>1.8445581492047728E-2</v>
      </c>
      <c r="W66" s="83">
        <f t="shared" si="50"/>
        <v>1.8345839770470097E-2</v>
      </c>
      <c r="X66" s="83">
        <f t="shared" si="50"/>
        <v>1.7948840801095784E-2</v>
      </c>
      <c r="Y66" s="83">
        <f t="shared" si="50"/>
        <v>1.7051066692317724E-2</v>
      </c>
    </row>
    <row r="67" spans="1:25" x14ac:dyDescent="0.25">
      <c r="A67" s="64" t="s">
        <v>56</v>
      </c>
      <c r="B67" s="65"/>
      <c r="C67" s="65"/>
      <c r="D67" s="83">
        <f t="shared" si="46"/>
        <v>2.2605413077332492E-2</v>
      </c>
      <c r="E67" s="83">
        <f t="shared" ref="E67:S67" si="51">E25/E$23</f>
        <v>2.6807122544190626E-2</v>
      </c>
      <c r="F67" s="83">
        <f t="shared" si="51"/>
        <v>2.3586399461188151E-2</v>
      </c>
      <c r="G67" s="83">
        <f t="shared" si="51"/>
        <v>2.4109494653479162E-2</v>
      </c>
      <c r="H67" s="83">
        <f t="shared" si="51"/>
        <v>2.4802254865863415E-2</v>
      </c>
      <c r="I67" s="83">
        <f t="shared" si="51"/>
        <v>2.6217251329890067E-2</v>
      </c>
      <c r="J67" s="83">
        <f t="shared" si="51"/>
        <v>3.1408835427767935E-2</v>
      </c>
      <c r="K67" s="83">
        <f t="shared" si="51"/>
        <v>2.8566257318938294E-2</v>
      </c>
      <c r="L67" s="83">
        <f t="shared" si="51"/>
        <v>3.8147468736330514E-2</v>
      </c>
      <c r="M67" s="83">
        <f t="shared" si="51"/>
        <v>2.85520817555708E-2</v>
      </c>
      <c r="N67" s="83">
        <f t="shared" si="51"/>
        <v>3.0471198718395206E-2</v>
      </c>
      <c r="O67" s="83">
        <f t="shared" si="51"/>
        <v>3.2234667285601405E-2</v>
      </c>
      <c r="P67" s="83">
        <f t="shared" si="51"/>
        <v>3.6261934286043407E-2</v>
      </c>
      <c r="Q67" s="83">
        <f t="shared" si="51"/>
        <v>3.7436063581379499E-2</v>
      </c>
      <c r="R67" s="83">
        <f t="shared" si="51"/>
        <v>2.7679584136610594E-2</v>
      </c>
      <c r="S67" s="83">
        <f t="shared" si="51"/>
        <v>2.024531477767845E-2</v>
      </c>
      <c r="T67" s="83">
        <f t="shared" ref="T67:Y67" si="52">T25/T$23</f>
        <v>1.2480624551056672E-2</v>
      </c>
      <c r="U67" s="83">
        <f t="shared" si="52"/>
        <v>1.1218835308948766E-2</v>
      </c>
      <c r="V67" s="83">
        <f t="shared" si="52"/>
        <v>1.0344598574712113E-2</v>
      </c>
      <c r="W67" s="83">
        <f t="shared" si="52"/>
        <v>7.6500772456411376E-3</v>
      </c>
      <c r="X67" s="83">
        <f t="shared" si="52"/>
        <v>3.9415017445760311E-3</v>
      </c>
      <c r="Y67" s="83">
        <f t="shared" si="52"/>
        <v>7.7702044036322927E-3</v>
      </c>
    </row>
    <row r="68" spans="1:25" x14ac:dyDescent="0.25">
      <c r="A68" s="64" t="s">
        <v>146</v>
      </c>
      <c r="B68" s="65"/>
      <c r="C68" s="65"/>
      <c r="D68" s="83">
        <f t="shared" si="46"/>
        <v>0.74381024660450645</v>
      </c>
      <c r="E68" s="83">
        <f t="shared" ref="E68:S68" si="53">E26/E$23</f>
        <v>0.74192626531105366</v>
      </c>
      <c r="F68" s="83">
        <f t="shared" si="53"/>
        <v>0.75237848856139911</v>
      </c>
      <c r="G68" s="83">
        <f t="shared" si="53"/>
        <v>0.75649781080468192</v>
      </c>
      <c r="H68" s="83">
        <f t="shared" si="53"/>
        <v>0.75860916081578067</v>
      </c>
      <c r="I68" s="83">
        <f t="shared" si="53"/>
        <v>0.75481385609103901</v>
      </c>
      <c r="J68" s="83">
        <f t="shared" si="53"/>
        <v>0.75116311233878741</v>
      </c>
      <c r="K68" s="83">
        <f t="shared" si="53"/>
        <v>0.75342304594528564</v>
      </c>
      <c r="L68" s="83">
        <f t="shared" si="53"/>
        <v>0.75207776108384172</v>
      </c>
      <c r="M68" s="83">
        <f t="shared" si="53"/>
        <v>0.76748665769755064</v>
      </c>
      <c r="N68" s="83">
        <f t="shared" si="53"/>
        <v>0.7719161384690395</v>
      </c>
      <c r="O68" s="83">
        <f t="shared" si="53"/>
        <v>0.77130588972153069</v>
      </c>
      <c r="P68" s="83">
        <f t="shared" si="53"/>
        <v>0.77208986373400001</v>
      </c>
      <c r="Q68" s="83">
        <f t="shared" si="53"/>
        <v>0.7774013822184993</v>
      </c>
      <c r="R68" s="83">
        <f t="shared" si="53"/>
        <v>0.78812494419772039</v>
      </c>
      <c r="S68" s="83">
        <f t="shared" si="53"/>
        <v>0.79054982402731799</v>
      </c>
      <c r="T68" s="83">
        <f t="shared" ref="T68:Y68" si="54">T26/T$23</f>
        <v>0.79509753884541223</v>
      </c>
      <c r="U68" s="83">
        <f t="shared" si="54"/>
        <v>0.79350208444811243</v>
      </c>
      <c r="V68" s="83">
        <f t="shared" si="54"/>
        <v>0.79448827082779905</v>
      </c>
      <c r="W68" s="83">
        <f t="shared" si="54"/>
        <v>0.79596667402339438</v>
      </c>
      <c r="X68" s="83">
        <f t="shared" si="54"/>
        <v>0.79313809488915321</v>
      </c>
      <c r="Y68" s="83">
        <f t="shared" si="54"/>
        <v>0.79026258332827637</v>
      </c>
    </row>
    <row r="69" spans="1:25" x14ac:dyDescent="0.25">
      <c r="A69" s="68" t="s">
        <v>148</v>
      </c>
      <c r="B69" s="69"/>
      <c r="C69" s="69"/>
      <c r="D69" s="84">
        <f t="shared" si="46"/>
        <v>0.25504642315046622</v>
      </c>
      <c r="E69" s="84">
        <f t="shared" ref="E69:S69" si="55">E27/E$23</f>
        <v>0.25944685043028937</v>
      </c>
      <c r="F69" s="84">
        <f t="shared" si="55"/>
        <v>0.26949290133231041</v>
      </c>
      <c r="G69" s="84">
        <f t="shared" si="55"/>
        <v>0.27560747989603501</v>
      </c>
      <c r="H69" s="84">
        <f t="shared" si="55"/>
        <v>0.2765850293496524</v>
      </c>
      <c r="I69" s="84">
        <f t="shared" si="55"/>
        <v>0.2744742508048531</v>
      </c>
      <c r="J69" s="84">
        <f t="shared" si="55"/>
        <v>0.26978059340819766</v>
      </c>
      <c r="K69" s="84">
        <f t="shared" si="55"/>
        <v>0.26563560510764617</v>
      </c>
      <c r="L69" s="84">
        <f t="shared" si="55"/>
        <v>0.26658794198348162</v>
      </c>
      <c r="M69" s="84">
        <f t="shared" si="55"/>
        <v>0.28308846458832654</v>
      </c>
      <c r="N69" s="84">
        <f t="shared" si="55"/>
        <v>0.28570035522741516</v>
      </c>
      <c r="O69" s="84">
        <f t="shared" si="55"/>
        <v>0.2845842584644161</v>
      </c>
      <c r="P69" s="84">
        <f t="shared" si="55"/>
        <v>0.28830490787984742</v>
      </c>
      <c r="Q69" s="84">
        <f t="shared" si="55"/>
        <v>0.29056636713563166</v>
      </c>
      <c r="R69" s="84">
        <f t="shared" si="55"/>
        <v>0.29299751659187784</v>
      </c>
      <c r="S69" s="84">
        <f t="shared" si="55"/>
        <v>0.29193424984094002</v>
      </c>
      <c r="T69" s="84">
        <f t="shared" ref="T69:Y69" si="56">T27/T$23</f>
        <v>0.29384049752372315</v>
      </c>
      <c r="U69" s="84">
        <f t="shared" si="56"/>
        <v>0.29099590970515415</v>
      </c>
      <c r="V69" s="84">
        <f t="shared" si="56"/>
        <v>0.2897859180632717</v>
      </c>
      <c r="W69" s="84">
        <f t="shared" si="56"/>
        <v>0.29088915250496578</v>
      </c>
      <c r="X69" s="84">
        <f t="shared" si="56"/>
        <v>0.28066113512995539</v>
      </c>
      <c r="Y69" s="84">
        <f t="shared" si="56"/>
        <v>0.28096170805051535</v>
      </c>
    </row>
    <row r="70" spans="1:25" x14ac:dyDescent="0.25">
      <c r="A70" s="68" t="s">
        <v>150</v>
      </c>
      <c r="B70" s="71"/>
      <c r="C70" s="71"/>
      <c r="D70" s="84">
        <f t="shared" si="46"/>
        <v>0.34016785270752425</v>
      </c>
      <c r="E70" s="84">
        <f t="shared" ref="E70:S70" si="57">E28/E$23</f>
        <v>0.3325263470939202</v>
      </c>
      <c r="F70" s="84">
        <f t="shared" si="57"/>
        <v>0.3314584940922492</v>
      </c>
      <c r="G70" s="84">
        <f t="shared" si="57"/>
        <v>0.33548546060320616</v>
      </c>
      <c r="H70" s="84">
        <f t="shared" si="57"/>
        <v>0.33688406993131292</v>
      </c>
      <c r="I70" s="84">
        <f t="shared" si="57"/>
        <v>0.33733012613096608</v>
      </c>
      <c r="J70" s="84">
        <f t="shared" si="57"/>
        <v>0.34107524981463189</v>
      </c>
      <c r="K70" s="84">
        <f t="shared" si="57"/>
        <v>0.34712265047375146</v>
      </c>
      <c r="L70" s="84">
        <f t="shared" si="57"/>
        <v>0.34637535075995823</v>
      </c>
      <c r="M70" s="84">
        <f t="shared" si="57"/>
        <v>0.34739346204905691</v>
      </c>
      <c r="N70" s="84">
        <f t="shared" si="57"/>
        <v>0.3492216340461099</v>
      </c>
      <c r="O70" s="84">
        <f t="shared" si="57"/>
        <v>0.34761832433659356</v>
      </c>
      <c r="P70" s="84">
        <f t="shared" si="57"/>
        <v>0.34340251661821802</v>
      </c>
      <c r="Q70" s="84">
        <f t="shared" si="57"/>
        <v>0.34280160279599603</v>
      </c>
      <c r="R70" s="84">
        <f t="shared" si="57"/>
        <v>0.3510418078946585</v>
      </c>
      <c r="S70" s="84">
        <f t="shared" si="57"/>
        <v>0.35215959151787513</v>
      </c>
      <c r="T70" s="84">
        <f t="shared" ref="T70:Y70" si="58">T28/T$23</f>
        <v>0.35297657303441587</v>
      </c>
      <c r="U70" s="84">
        <f t="shared" si="58"/>
        <v>0.35365783610403195</v>
      </c>
      <c r="V70" s="84">
        <f t="shared" si="58"/>
        <v>0.35537341618637319</v>
      </c>
      <c r="W70" s="84">
        <f t="shared" si="58"/>
        <v>0.35339742882365921</v>
      </c>
      <c r="X70" s="84">
        <f t="shared" si="58"/>
        <v>0.35578782122464159</v>
      </c>
      <c r="Y70" s="84">
        <f t="shared" si="58"/>
        <v>0.34652426026182154</v>
      </c>
    </row>
    <row r="71" spans="1:25" x14ac:dyDescent="0.25">
      <c r="A71" s="68" t="s">
        <v>152</v>
      </c>
      <c r="B71" s="71"/>
      <c r="C71" s="71"/>
      <c r="D71" s="84">
        <f t="shared" si="46"/>
        <v>0.1485959707465159</v>
      </c>
      <c r="E71" s="84">
        <f t="shared" ref="E71:S71" si="59">E29/E$23</f>
        <v>0.14995306778684417</v>
      </c>
      <c r="F71" s="84">
        <f t="shared" si="59"/>
        <v>0.15142709313683944</v>
      </c>
      <c r="G71" s="84">
        <f t="shared" si="59"/>
        <v>0.14540487030544083</v>
      </c>
      <c r="H71" s="84">
        <f t="shared" si="59"/>
        <v>0.14514006153481537</v>
      </c>
      <c r="I71" s="84">
        <f t="shared" si="59"/>
        <v>0.14300947915521972</v>
      </c>
      <c r="J71" s="84">
        <f t="shared" si="59"/>
        <v>0.14030726911595789</v>
      </c>
      <c r="K71" s="84">
        <f t="shared" si="59"/>
        <v>0.14066479036388807</v>
      </c>
      <c r="L71" s="84">
        <f t="shared" si="59"/>
        <v>0.13911446834040181</v>
      </c>
      <c r="M71" s="84">
        <f t="shared" si="59"/>
        <v>0.13700473106016717</v>
      </c>
      <c r="N71" s="84">
        <f t="shared" si="59"/>
        <v>0.13699414919551434</v>
      </c>
      <c r="O71" s="84">
        <f t="shared" si="59"/>
        <v>0.13910330692052103</v>
      </c>
      <c r="P71" s="84">
        <f t="shared" si="59"/>
        <v>0.1403824392359346</v>
      </c>
      <c r="Q71" s="84">
        <f t="shared" si="59"/>
        <v>0.14403341228687158</v>
      </c>
      <c r="R71" s="84">
        <f t="shared" si="59"/>
        <v>0.14408561971118392</v>
      </c>
      <c r="S71" s="84">
        <f t="shared" si="59"/>
        <v>0.1464559826685029</v>
      </c>
      <c r="T71" s="84">
        <f t="shared" ref="T71:Y71" si="60">T29/T$23</f>
        <v>0.14828046828727323</v>
      </c>
      <c r="U71" s="84">
        <f t="shared" si="60"/>
        <v>0.14884833863892649</v>
      </c>
      <c r="V71" s="84">
        <f t="shared" si="60"/>
        <v>0.14932893657815413</v>
      </c>
      <c r="W71" s="84">
        <f t="shared" si="60"/>
        <v>0.15168009269476937</v>
      </c>
      <c r="X71" s="84">
        <f t="shared" si="60"/>
        <v>0.15668913853455632</v>
      </c>
      <c r="Y71" s="84">
        <f t="shared" si="60"/>
        <v>0.16277661501593949</v>
      </c>
    </row>
    <row r="72" spans="1:25" x14ac:dyDescent="0.25">
      <c r="A72" s="64" t="s">
        <v>154</v>
      </c>
      <c r="B72" s="65"/>
      <c r="C72" s="65"/>
      <c r="D72" s="83">
        <f t="shared" si="46"/>
        <v>1.2544599735851286E-2</v>
      </c>
      <c r="E72" s="83">
        <f t="shared" ref="E72:S72" si="61">E30/E$23</f>
        <v>1.3220014497871786E-2</v>
      </c>
      <c r="F72" s="83">
        <f t="shared" si="61"/>
        <v>1.2729875957305405E-2</v>
      </c>
      <c r="G72" s="83">
        <f t="shared" si="61"/>
        <v>1.3300887888778411E-2</v>
      </c>
      <c r="H72" s="83">
        <f t="shared" si="61"/>
        <v>1.2831744177680722E-2</v>
      </c>
      <c r="I72" s="83">
        <f t="shared" si="61"/>
        <v>1.5248456432109469E-2</v>
      </c>
      <c r="J72" s="83">
        <f t="shared" si="61"/>
        <v>1.515599727998832E-2</v>
      </c>
      <c r="K72" s="83">
        <f t="shared" si="61"/>
        <v>1.5046017683097891E-2</v>
      </c>
      <c r="L72" s="83">
        <f t="shared" si="61"/>
        <v>1.4267263959943774E-2</v>
      </c>
      <c r="M72" s="83">
        <f t="shared" si="61"/>
        <v>1.7051417981592522E-2</v>
      </c>
      <c r="N72" s="83">
        <f t="shared" si="61"/>
        <v>1.4536463049383575E-2</v>
      </c>
      <c r="O72" s="83">
        <f t="shared" si="61"/>
        <v>1.4745209940046385E-2</v>
      </c>
      <c r="P72" s="83">
        <f t="shared" si="61"/>
        <v>1.5381592231957123E-2</v>
      </c>
      <c r="Q72" s="83">
        <f t="shared" si="61"/>
        <v>1.417134876256696E-2</v>
      </c>
      <c r="R72" s="83">
        <f t="shared" si="61"/>
        <v>1.1628368390943332E-2</v>
      </c>
      <c r="S72" s="83">
        <f t="shared" si="61"/>
        <v>1.501365097006451E-2</v>
      </c>
      <c r="T72" s="83">
        <f t="shared" ref="T72:Y72" si="62">T30/T$23</f>
        <v>1.4548914344763273E-2</v>
      </c>
      <c r="U72" s="83">
        <f t="shared" si="62"/>
        <v>1.3498275304353609E-2</v>
      </c>
      <c r="V72" s="83">
        <f t="shared" si="62"/>
        <v>1.3415493364441724E-2</v>
      </c>
      <c r="W72" s="83">
        <f t="shared" si="62"/>
        <v>1.4938755241668504E-2</v>
      </c>
      <c r="X72" s="83">
        <f t="shared" si="62"/>
        <v>1.5092414617236073E-2</v>
      </c>
      <c r="Y72" s="83">
        <f t="shared" si="62"/>
        <v>1.4399022849668881E-2</v>
      </c>
    </row>
    <row r="73" spans="1:25" x14ac:dyDescent="0.25">
      <c r="A73" s="64" t="s">
        <v>37</v>
      </c>
      <c r="B73" s="65"/>
      <c r="C73" s="65"/>
      <c r="D73" s="83">
        <f t="shared" si="46"/>
        <v>5.3349661929074095E-2</v>
      </c>
      <c r="E73" s="83">
        <f t="shared" ref="E73:S73" si="63">E31/E$23</f>
        <v>5.4887455623501419E-2</v>
      </c>
      <c r="F73" s="83">
        <f t="shared" si="63"/>
        <v>5.5502526795630634E-2</v>
      </c>
      <c r="G73" s="83">
        <f t="shared" si="63"/>
        <v>5.4614317860693914E-2</v>
      </c>
      <c r="H73" s="83">
        <f t="shared" si="63"/>
        <v>5.3593269259254561E-2</v>
      </c>
      <c r="I73" s="83">
        <f t="shared" si="63"/>
        <v>5.433928782199212E-2</v>
      </c>
      <c r="J73" s="83">
        <f t="shared" si="63"/>
        <v>5.4801704233306311E-2</v>
      </c>
      <c r="K73" s="83">
        <f t="shared" si="63"/>
        <v>5.6162387670699823E-2</v>
      </c>
      <c r="L73" s="83">
        <f t="shared" si="63"/>
        <v>5.7636150190097636E-2</v>
      </c>
      <c r="M73" s="83">
        <f t="shared" si="63"/>
        <v>5.972362055293709E-2</v>
      </c>
      <c r="N73" s="83">
        <f t="shared" si="63"/>
        <v>5.2563209584174965E-2</v>
      </c>
      <c r="O73" s="83">
        <f t="shared" si="63"/>
        <v>5.0847081591868286E-2</v>
      </c>
      <c r="P73" s="83">
        <f t="shared" si="63"/>
        <v>4.6168492807242223E-2</v>
      </c>
      <c r="Q73" s="83">
        <f t="shared" si="63"/>
        <v>4.3027719910224624E-2</v>
      </c>
      <c r="R73" s="83">
        <f t="shared" si="63"/>
        <v>4.2793321583164408E-2</v>
      </c>
      <c r="S73" s="83">
        <f t="shared" si="63"/>
        <v>4.2513711372586922E-2</v>
      </c>
      <c r="T73" s="83">
        <f t="shared" ref="T73:Y73" si="64">T31/T$23</f>
        <v>4.4402858115005113E-2</v>
      </c>
      <c r="U73" s="83">
        <f t="shared" si="64"/>
        <v>4.5301602561195704E-2</v>
      </c>
      <c r="V73" s="83">
        <f t="shared" si="64"/>
        <v>4.6985989674170413E-2</v>
      </c>
      <c r="W73" s="83">
        <f t="shared" si="64"/>
        <v>4.9659291547119837E-2</v>
      </c>
      <c r="X73" s="83">
        <f t="shared" si="64"/>
        <v>5.3888798074484094E-2</v>
      </c>
      <c r="Y73" s="83">
        <f t="shared" si="64"/>
        <v>5.2521830297599603E-2</v>
      </c>
    </row>
    <row r="74" spans="1:25" x14ac:dyDescent="0.25">
      <c r="A74" s="64" t="s">
        <v>58</v>
      </c>
      <c r="B74" s="65"/>
      <c r="C74" s="65"/>
      <c r="D74" s="83">
        <f t="shared" si="46"/>
        <v>0.14208835183031401</v>
      </c>
      <c r="E74" s="83">
        <f t="shared" ref="E74:S74" si="65">E32/E$23</f>
        <v>0.13825254177431645</v>
      </c>
      <c r="F74" s="83">
        <f t="shared" si="65"/>
        <v>0.13258205952800439</v>
      </c>
      <c r="G74" s="83">
        <f t="shared" si="65"/>
        <v>0.12844514801053605</v>
      </c>
      <c r="H74" s="83">
        <f t="shared" si="65"/>
        <v>0.12926120132549551</v>
      </c>
      <c r="I74" s="83">
        <f t="shared" si="65"/>
        <v>0.12855264818048245</v>
      </c>
      <c r="J74" s="83">
        <f t="shared" si="65"/>
        <v>0.12561997441344946</v>
      </c>
      <c r="K74" s="83">
        <f t="shared" si="65"/>
        <v>0.12643867476312431</v>
      </c>
      <c r="L74" s="83">
        <f t="shared" si="65"/>
        <v>0.11957564744712451</v>
      </c>
      <c r="M74" s="83">
        <f t="shared" si="65"/>
        <v>0.10989245970580112</v>
      </c>
      <c r="N74" s="83">
        <f t="shared" si="65"/>
        <v>0.1107177683360033</v>
      </c>
      <c r="O74" s="83">
        <f t="shared" si="65"/>
        <v>0.11334185506346069</v>
      </c>
      <c r="P74" s="83">
        <f t="shared" si="65"/>
        <v>0.11174184673971228</v>
      </c>
      <c r="Q74" s="83">
        <f t="shared" si="65"/>
        <v>0.10810815347762077</v>
      </c>
      <c r="R74" s="83">
        <f t="shared" si="65"/>
        <v>0.11047197981528208</v>
      </c>
      <c r="S74" s="83">
        <f t="shared" si="65"/>
        <v>0.11251298654231801</v>
      </c>
      <c r="T74" s="83">
        <f t="shared" ref="T74:Y74" si="66">T32/T$23</f>
        <v>0.1137590891333661</v>
      </c>
      <c r="U74" s="83">
        <f t="shared" si="66"/>
        <v>0.11577529679578456</v>
      </c>
      <c r="V74" s="83">
        <f t="shared" si="66"/>
        <v>0.11632006606682913</v>
      </c>
      <c r="W74" s="83">
        <f t="shared" si="66"/>
        <v>0.11343936217170603</v>
      </c>
      <c r="X74" s="83">
        <f t="shared" si="66"/>
        <v>0.1159903498734548</v>
      </c>
      <c r="Y74" s="83">
        <f t="shared" si="66"/>
        <v>0.11799529242850525</v>
      </c>
    </row>
    <row r="75" spans="1:25" x14ac:dyDescent="0.25">
      <c r="A75" s="85" t="s">
        <v>158</v>
      </c>
      <c r="B75" s="86"/>
      <c r="C75" s="86"/>
      <c r="D75" s="87">
        <f t="shared" si="46"/>
        <v>4.758126515405389E-3</v>
      </c>
      <c r="E75" s="87">
        <f t="shared" ref="E75:S75" si="67">E33/E$23</f>
        <v>3.9032731733610894E-3</v>
      </c>
      <c r="F75" s="87">
        <f t="shared" si="67"/>
        <v>3.8626743444381507E-3</v>
      </c>
      <c r="G75" s="87">
        <f t="shared" si="67"/>
        <v>3.9924468400579132E-3</v>
      </c>
      <c r="H75" s="87">
        <f t="shared" si="67"/>
        <v>4.9790722378104781E-3</v>
      </c>
      <c r="I75" s="87">
        <f t="shared" si="67"/>
        <v>5.262579518675441E-3</v>
      </c>
      <c r="J75" s="87">
        <f t="shared" si="67"/>
        <v>5.4592324803202537E-3</v>
      </c>
      <c r="K75" s="87">
        <f t="shared" si="67"/>
        <v>5.4280051764237433E-3</v>
      </c>
      <c r="L75" s="87">
        <f t="shared" si="67"/>
        <v>4.6629678744508438E-3</v>
      </c>
      <c r="M75" s="87">
        <f t="shared" si="67"/>
        <v>3.057815158993915E-3</v>
      </c>
      <c r="N75" s="87">
        <f t="shared" si="67"/>
        <v>3.0716723549488053E-3</v>
      </c>
      <c r="O75" s="87">
        <f t="shared" si="67"/>
        <v>2.9695214462593417E-3</v>
      </c>
      <c r="P75" s="87">
        <f t="shared" si="67"/>
        <v>3.1440787645938785E-3</v>
      </c>
      <c r="Q75" s="87">
        <f t="shared" si="67"/>
        <v>3.0602189995450799E-3</v>
      </c>
      <c r="R75" s="87">
        <f t="shared" si="67"/>
        <v>3.5035564652934619E-3</v>
      </c>
      <c r="S75" s="87">
        <f t="shared" si="67"/>
        <v>3.0072402490194656E-3</v>
      </c>
      <c r="T75" s="87">
        <f t="shared" ref="T75:Y75" si="68">T33/T$23</f>
        <v>3.3284815948987439E-3</v>
      </c>
      <c r="U75" s="87">
        <f t="shared" si="68"/>
        <v>3.269515059721932E-3</v>
      </c>
      <c r="V75" s="87">
        <f t="shared" si="68"/>
        <v>3.5098002979937403E-3</v>
      </c>
      <c r="W75" s="87">
        <f t="shared" si="68"/>
        <v>2.8222246744647982E-3</v>
      </c>
      <c r="X75" s="87">
        <f t="shared" si="68"/>
        <v>2.4646716307699244E-3</v>
      </c>
      <c r="Y75" s="87">
        <f t="shared" si="68"/>
        <v>3.3789672522940698E-3</v>
      </c>
    </row>
    <row r="76" spans="1:25" x14ac:dyDescent="0.25">
      <c r="A76" s="88" t="s">
        <v>5</v>
      </c>
      <c r="B76" s="44"/>
      <c r="C76" s="44"/>
      <c r="D76" s="89">
        <f t="shared" si="46"/>
        <v>2.8548759092432326E-3</v>
      </c>
      <c r="E76" s="89">
        <f t="shared" ref="E76:S76" si="69">E34/E$23</f>
        <v>2.3419639040166531E-3</v>
      </c>
      <c r="F76" s="89">
        <f t="shared" si="69"/>
        <v>2.3176046066628896E-3</v>
      </c>
      <c r="G76" s="89">
        <f t="shared" si="69"/>
        <v>2.3954681040347474E-3</v>
      </c>
      <c r="H76" s="89">
        <f t="shared" si="69"/>
        <v>2.9874433426862858E-3</v>
      </c>
      <c r="I76" s="89">
        <f t="shared" si="69"/>
        <v>3.1575477112052645E-3</v>
      </c>
      <c r="J76" s="89">
        <f t="shared" si="69"/>
        <v>3.2755394881921521E-3</v>
      </c>
      <c r="K76" s="89">
        <f t="shared" si="69"/>
        <v>3.2568031058542459E-3</v>
      </c>
      <c r="L76" s="89">
        <f t="shared" si="69"/>
        <v>2.7977807246705056E-3</v>
      </c>
      <c r="M76" s="89">
        <f t="shared" si="69"/>
        <v>1.7492261910065309E-3</v>
      </c>
      <c r="N76" s="89">
        <f t="shared" si="69"/>
        <v>1.9777098279584867E-3</v>
      </c>
      <c r="O76" s="89">
        <f t="shared" si="69"/>
        <v>2.112292282828145E-3</v>
      </c>
      <c r="P76" s="89">
        <f t="shared" si="69"/>
        <v>2.4695967922265362E-3</v>
      </c>
      <c r="Q76" s="89">
        <f t="shared" si="69"/>
        <v>2.4177442341814541E-3</v>
      </c>
      <c r="R76" s="89">
        <f t="shared" si="69"/>
        <v>2.6755002364363257E-3</v>
      </c>
      <c r="S76" s="89">
        <f t="shared" si="69"/>
        <v>2.3681010252321472E-3</v>
      </c>
      <c r="T76" s="89">
        <f t="shared" ref="T76:Y76" si="70">T34/T$23</f>
        <v>2.5499721182563988E-3</v>
      </c>
      <c r="U76" s="89">
        <f t="shared" si="70"/>
        <v>2.4988512106123954E-3</v>
      </c>
      <c r="V76" s="89">
        <f t="shared" si="70"/>
        <v>2.6998232827821988E-3</v>
      </c>
      <c r="W76" s="89">
        <f t="shared" si="70"/>
        <v>2.2079162988302803E-3</v>
      </c>
      <c r="X76" s="89">
        <f t="shared" si="70"/>
        <v>1.6855718770961686E-3</v>
      </c>
      <c r="Y76" s="89">
        <f t="shared" si="70"/>
        <v>2.5305643533803223E-3</v>
      </c>
    </row>
    <row r="77" spans="1:25" x14ac:dyDescent="0.25">
      <c r="A77" s="88" t="s">
        <v>269</v>
      </c>
      <c r="B77" s="44"/>
      <c r="C77" s="44"/>
      <c r="D77" s="89">
        <f>D37/D$23</f>
        <v>1.9032506061621565E-3</v>
      </c>
      <c r="E77" s="89">
        <f t="shared" ref="E77:S77" si="71">E37/E$23</f>
        <v>1.5613092693444364E-3</v>
      </c>
      <c r="F77" s="89">
        <f t="shared" si="71"/>
        <v>1.5450697377752606E-3</v>
      </c>
      <c r="G77" s="89">
        <f t="shared" si="71"/>
        <v>1.5969787360231656E-3</v>
      </c>
      <c r="H77" s="89">
        <f t="shared" si="71"/>
        <v>1.9916288951241914E-3</v>
      </c>
      <c r="I77" s="89">
        <f t="shared" si="71"/>
        <v>2.1050318074701769E-3</v>
      </c>
      <c r="J77" s="89">
        <f t="shared" si="71"/>
        <v>2.1836929921281016E-3</v>
      </c>
      <c r="K77" s="89">
        <f t="shared" si="71"/>
        <v>2.1712020705694974E-3</v>
      </c>
      <c r="L77" s="89">
        <f t="shared" si="71"/>
        <v>1.8651871497803374E-3</v>
      </c>
      <c r="M77" s="89">
        <f t="shared" si="71"/>
        <v>1.3085889679873841E-3</v>
      </c>
      <c r="N77" s="89">
        <f t="shared" si="71"/>
        <v>1.0939625269903183E-3</v>
      </c>
      <c r="O77" s="89">
        <f t="shared" si="71"/>
        <v>8.5722916343119668E-4</v>
      </c>
      <c r="P77" s="89">
        <f t="shared" si="71"/>
        <v>6.7448197236734213E-4</v>
      </c>
      <c r="Q77" s="89">
        <f t="shared" si="71"/>
        <v>6.4247476536362553E-4</v>
      </c>
      <c r="R77" s="89">
        <f t="shared" si="71"/>
        <v>8.2805622885713634E-4</v>
      </c>
      <c r="S77" s="89">
        <f t="shared" si="71"/>
        <v>6.3913922378731848E-4</v>
      </c>
      <c r="T77" s="89">
        <f t="shared" ref="T77:Y77" si="72">T37/T$23</f>
        <v>7.785094766423452E-4</v>
      </c>
      <c r="U77" s="89">
        <f t="shared" si="72"/>
        <v>7.706638491095369E-4</v>
      </c>
      <c r="V77" s="89">
        <f t="shared" si="72"/>
        <v>8.0997701521154115E-4</v>
      </c>
      <c r="W77" s="89">
        <f t="shared" si="72"/>
        <v>6.1430837563451767E-4</v>
      </c>
      <c r="X77" s="89">
        <f t="shared" si="72"/>
        <v>7.79099753673756E-4</v>
      </c>
      <c r="Y77" s="89">
        <f t="shared" si="72"/>
        <v>8.4840289891374688E-4</v>
      </c>
    </row>
    <row r="78" spans="1:25" x14ac:dyDescent="0.25">
      <c r="A78" s="68" t="s">
        <v>271</v>
      </c>
      <c r="B78" s="44"/>
      <c r="C78" s="44"/>
      <c r="D78" s="89">
        <f>D43/D$23</f>
        <v>2.1898223895602118E-2</v>
      </c>
      <c r="E78" s="89">
        <f t="shared" ref="E78:S78" si="73">E43/E$23</f>
        <v>2.3166390959275845E-2</v>
      </c>
      <c r="F78" s="89">
        <f t="shared" si="73"/>
        <v>2.465911675892184E-2</v>
      </c>
      <c r="G78" s="89">
        <f t="shared" si="73"/>
        <v>2.3557834877108517E-2</v>
      </c>
      <c r="H78" s="89">
        <f t="shared" si="73"/>
        <v>2.3873307686773402E-2</v>
      </c>
      <c r="I78" s="89">
        <f t="shared" si="73"/>
        <v>2.3099590145585817E-2</v>
      </c>
      <c r="J78" s="89">
        <f t="shared" si="73"/>
        <v>2.3669480162739679E-2</v>
      </c>
      <c r="K78" s="89">
        <f t="shared" si="73"/>
        <v>2.3675803838879288E-2</v>
      </c>
      <c r="L78" s="89">
        <f t="shared" si="73"/>
        <v>2.1840048272177622E-2</v>
      </c>
      <c r="M78" s="89">
        <f t="shared" si="73"/>
        <v>1.8334417349002558E-2</v>
      </c>
      <c r="N78" s="89">
        <f t="shared" si="73"/>
        <v>1.9175315177265444E-2</v>
      </c>
      <c r="O78" s="89">
        <f t="shared" si="73"/>
        <v>2.009205516483404E-2</v>
      </c>
      <c r="P78" s="89">
        <f t="shared" si="73"/>
        <v>2.0246783078893337E-2</v>
      </c>
      <c r="Q78" s="89">
        <f t="shared" si="73"/>
        <v>1.7036841813704341E-2</v>
      </c>
      <c r="R78" s="89">
        <f t="shared" si="73"/>
        <v>1.6836581163795813E-2</v>
      </c>
      <c r="S78" s="89">
        <f t="shared" si="73"/>
        <v>1.919994845651421E-2</v>
      </c>
      <c r="T78" s="89">
        <f t="shared" ref="T78:Y78" si="74">T43/T$23</f>
        <v>2.0465514851360375E-2</v>
      </c>
      <c r="U78" s="89">
        <f t="shared" si="74"/>
        <v>2.1164932901630372E-2</v>
      </c>
      <c r="V78" s="89">
        <f t="shared" si="74"/>
        <v>2.1122327585211195E-2</v>
      </c>
      <c r="W78" s="89">
        <f t="shared" si="74"/>
        <v>1.8857592143014783E-2</v>
      </c>
      <c r="X78" s="89">
        <f t="shared" si="74"/>
        <v>1.7862880269662415E-2</v>
      </c>
      <c r="Y78" s="89">
        <f t="shared" si="74"/>
        <v>2.1342884478571255E-2</v>
      </c>
    </row>
    <row r="79" spans="1:25" x14ac:dyDescent="0.25">
      <c r="A79" s="88" t="s">
        <v>272</v>
      </c>
      <c r="B79" s="44"/>
      <c r="C79" s="44"/>
      <c r="D79" s="89">
        <f>D44/D$23</f>
        <v>1.588095566638412E-2</v>
      </c>
      <c r="E79" s="89">
        <f t="shared" ref="E79:S79" si="75">E44/E$23</f>
        <v>1.6735283730785672E-2</v>
      </c>
      <c r="F79" s="89">
        <f t="shared" si="75"/>
        <v>1.7538147254423566E-2</v>
      </c>
      <c r="G79" s="89">
        <f t="shared" si="75"/>
        <v>1.7225740052680238E-2</v>
      </c>
      <c r="H79" s="89">
        <f t="shared" si="75"/>
        <v>1.8088019332258381E-2</v>
      </c>
      <c r="I79" s="89">
        <f t="shared" si="75"/>
        <v>1.8007952885057608E-2</v>
      </c>
      <c r="J79" s="89">
        <f t="shared" si="75"/>
        <v>1.8997821685562039E-2</v>
      </c>
      <c r="K79" s="89">
        <f t="shared" si="75"/>
        <v>1.8796209989049874E-2</v>
      </c>
      <c r="L79" s="89">
        <f t="shared" si="75"/>
        <v>1.706469889537628E-2</v>
      </c>
      <c r="M79" s="89">
        <f t="shared" si="75"/>
        <v>1.3197074048664879E-2</v>
      </c>
      <c r="N79" s="89">
        <f t="shared" si="75"/>
        <v>1.4193424810197116E-2</v>
      </c>
      <c r="O79" s="89">
        <f t="shared" si="75"/>
        <v>1.5192344778506124E-2</v>
      </c>
      <c r="P79" s="89">
        <f t="shared" si="75"/>
        <v>1.4756503296539479E-2</v>
      </c>
      <c r="Q79" s="89">
        <f t="shared" si="75"/>
        <v>1.363249506050773E-2</v>
      </c>
      <c r="R79" s="89">
        <f t="shared" si="75"/>
        <v>1.3490097782128061E-2</v>
      </c>
      <c r="S79" s="89">
        <f t="shared" si="75"/>
        <v>1.529714014190566E-2</v>
      </c>
      <c r="T79" s="89">
        <f t="shared" ref="T79:Y79" si="76">T44/T$23</f>
        <v>1.6191889405567528E-2</v>
      </c>
      <c r="U79" s="89">
        <f t="shared" si="76"/>
        <v>1.7039872061139778E-2</v>
      </c>
      <c r="V79" s="89">
        <f t="shared" si="76"/>
        <v>1.7346873953268116E-2</v>
      </c>
      <c r="W79" s="89">
        <f t="shared" si="76"/>
        <v>1.4980136835135731E-2</v>
      </c>
      <c r="X79" s="89">
        <f t="shared" si="76"/>
        <v>1.3803006645735512E-2</v>
      </c>
      <c r="Y79" s="89">
        <f t="shared" si="76"/>
        <v>1.734545130581526E-2</v>
      </c>
    </row>
    <row r="80" spans="1:25" x14ac:dyDescent="0.25">
      <c r="A80" s="88" t="s">
        <v>11</v>
      </c>
      <c r="B80" s="44"/>
      <c r="C80" s="44"/>
      <c r="D80" s="89">
        <f>D47/D$23</f>
        <v>6.0172682292180014E-3</v>
      </c>
      <c r="E80" s="89">
        <f t="shared" ref="E80:S80" si="77">E47/E$23</f>
        <v>6.4311072284901757E-3</v>
      </c>
      <c r="F80" s="89">
        <f t="shared" si="77"/>
        <v>7.1209695044982761E-3</v>
      </c>
      <c r="G80" s="89">
        <f t="shared" si="77"/>
        <v>6.3320948244282799E-3</v>
      </c>
      <c r="H80" s="89">
        <f t="shared" si="77"/>
        <v>5.7852883545150228E-3</v>
      </c>
      <c r="I80" s="89">
        <f t="shared" si="77"/>
        <v>5.0916372605282105E-3</v>
      </c>
      <c r="J80" s="89">
        <f t="shared" si="77"/>
        <v>4.6716584771776416E-3</v>
      </c>
      <c r="K80" s="89">
        <f t="shared" si="77"/>
        <v>4.8795938498294132E-3</v>
      </c>
      <c r="L80" s="89">
        <f t="shared" si="77"/>
        <v>4.7753493768013461E-3</v>
      </c>
      <c r="M80" s="89">
        <f t="shared" si="77"/>
        <v>5.1373433003376783E-3</v>
      </c>
      <c r="N80" s="89">
        <f t="shared" si="77"/>
        <v>4.9818903670683281E-3</v>
      </c>
      <c r="O80" s="89">
        <f t="shared" si="77"/>
        <v>4.8997103863279139E-3</v>
      </c>
      <c r="P80" s="89">
        <f t="shared" si="77"/>
        <v>5.4902797823538586E-3</v>
      </c>
      <c r="Q80" s="89">
        <f t="shared" si="77"/>
        <v>3.4043467531966114E-3</v>
      </c>
      <c r="R80" s="89">
        <f t="shared" si="77"/>
        <v>3.3464833816677524E-3</v>
      </c>
      <c r="S80" s="89">
        <f t="shared" si="77"/>
        <v>3.9028083146085512E-3</v>
      </c>
      <c r="T80" s="89">
        <f t="shared" ref="T80:Y80" si="78">T47/T$23</f>
        <v>4.2736254457928502E-3</v>
      </c>
      <c r="U80" s="89">
        <f t="shared" si="78"/>
        <v>4.1250608404905936E-3</v>
      </c>
      <c r="V80" s="89">
        <f t="shared" si="78"/>
        <v>3.7754536319430814E-3</v>
      </c>
      <c r="W80" s="89">
        <f t="shared" si="78"/>
        <v>3.8774553078790553E-3</v>
      </c>
      <c r="X80" s="89">
        <f t="shared" si="78"/>
        <v>4.0598736239269026E-3</v>
      </c>
      <c r="Y80" s="89">
        <f t="shared" si="78"/>
        <v>3.9974331727559952E-3</v>
      </c>
    </row>
    <row r="81" spans="1:25" x14ac:dyDescent="0.25">
      <c r="A81" s="68" t="s">
        <v>4</v>
      </c>
      <c r="B81" s="44"/>
      <c r="C81" s="44"/>
      <c r="D81" s="89">
        <f>D48/D$23</f>
        <v>4.6349228252084611E-3</v>
      </c>
      <c r="E81" s="89">
        <f t="shared" ref="E81:S81" si="79">E48/E$23</f>
        <v>4.474823888031821E-3</v>
      </c>
      <c r="F81" s="89">
        <f t="shared" si="79"/>
        <v>4.2284241091540024E-3</v>
      </c>
      <c r="G81" s="89">
        <f t="shared" si="79"/>
        <v>3.8310918066530599E-3</v>
      </c>
      <c r="H81" s="89">
        <f t="shared" si="79"/>
        <v>3.734833191557796E-3</v>
      </c>
      <c r="I81" s="89">
        <f t="shared" si="79"/>
        <v>3.5226315339625639E-3</v>
      </c>
      <c r="J81" s="89">
        <f t="shared" si="79"/>
        <v>3.7112023757842122E-3</v>
      </c>
      <c r="K81" s="89">
        <f t="shared" si="79"/>
        <v>3.9311861431118268E-3</v>
      </c>
      <c r="L81" s="89">
        <f t="shared" si="79"/>
        <v>3.8244289722970948E-3</v>
      </c>
      <c r="M81" s="89">
        <f t="shared" si="79"/>
        <v>3.8097953437814629E-3</v>
      </c>
      <c r="N81" s="89">
        <f t="shared" si="79"/>
        <v>3.280629658006547E-3</v>
      </c>
      <c r="O81" s="89">
        <f t="shared" si="79"/>
        <v>3.3859370973439848E-3</v>
      </c>
      <c r="P81" s="89">
        <f t="shared" si="79"/>
        <v>2.9492678497618232E-3</v>
      </c>
      <c r="Q81" s="89">
        <f t="shared" si="79"/>
        <v>2.8184902360044923E-3</v>
      </c>
      <c r="R81" s="89">
        <f t="shared" si="79"/>
        <v>2.6718958225173351E-3</v>
      </c>
      <c r="S81" s="89">
        <f t="shared" si="79"/>
        <v>2.6271070413233788E-3</v>
      </c>
      <c r="T81" s="89">
        <f t="shared" ref="T81:Y81" si="80">T48/T$23</f>
        <v>2.922069739014278E-3</v>
      </c>
      <c r="U81" s="89">
        <f t="shared" si="80"/>
        <v>2.939993893277466E-3</v>
      </c>
      <c r="V81" s="89">
        <f t="shared" si="80"/>
        <v>3.076669862206771E-3</v>
      </c>
      <c r="W81" s="89">
        <f t="shared" si="80"/>
        <v>3.0746523946148753E-3</v>
      </c>
      <c r="X81" s="89">
        <f t="shared" si="80"/>
        <v>3.3073666766249357E-3</v>
      </c>
      <c r="Y81" s="89">
        <f t="shared" si="80"/>
        <v>3.0497213029876159E-3</v>
      </c>
    </row>
    <row r="82" spans="1:25" x14ac:dyDescent="0.25">
      <c r="A82" s="68" t="s">
        <v>3</v>
      </c>
      <c r="B82" s="44"/>
      <c r="C82" s="44"/>
      <c r="D82" s="89">
        <f>D52/D$23</f>
        <v>9.9523940941079053E-3</v>
      </c>
      <c r="E82" s="89">
        <f t="shared" ref="E82:S82" si="81">E52/E$23</f>
        <v>9.8325309938476976E-3</v>
      </c>
      <c r="F82" s="89">
        <f t="shared" si="81"/>
        <v>9.2619437369813162E-3</v>
      </c>
      <c r="G82" s="89">
        <f t="shared" si="81"/>
        <v>8.54745582360842E-3</v>
      </c>
      <c r="H82" s="89">
        <f t="shared" si="81"/>
        <v>8.417658037403351E-3</v>
      </c>
      <c r="I82" s="89">
        <f t="shared" si="81"/>
        <v>8.1889481760054027E-3</v>
      </c>
      <c r="J82" s="89">
        <f t="shared" si="81"/>
        <v>7.6855697233502232E-3</v>
      </c>
      <c r="K82" s="89">
        <f t="shared" si="81"/>
        <v>7.6198405444294626E-3</v>
      </c>
      <c r="L82" s="89">
        <f t="shared" si="81"/>
        <v>7.0437267780914838E-3</v>
      </c>
      <c r="M82" s="89">
        <f t="shared" si="81"/>
        <v>6.799896647273181E-3</v>
      </c>
      <c r="N82" s="89">
        <f t="shared" si="81"/>
        <v>6.1207076687330216E-3</v>
      </c>
      <c r="O82" s="89">
        <f t="shared" si="81"/>
        <v>5.9185634342686193E-3</v>
      </c>
      <c r="P82" s="89">
        <f t="shared" si="81"/>
        <v>5.4259074800615268E-3</v>
      </c>
      <c r="Q82" s="89">
        <f t="shared" si="81"/>
        <v>5.3465702213664722E-3</v>
      </c>
      <c r="R82" s="89">
        <f t="shared" si="81"/>
        <v>5.2908828168660117E-3</v>
      </c>
      <c r="S82" s="89">
        <f t="shared" si="81"/>
        <v>4.9240136268090557E-3</v>
      </c>
      <c r="T82" s="89">
        <f t="shared" ref="T82:Y82" si="82">T52/T$23</f>
        <v>4.8674908321046468E-3</v>
      </c>
      <c r="U82" s="89">
        <f t="shared" si="82"/>
        <v>4.73119839895037E-3</v>
      </c>
      <c r="V82" s="89">
        <f t="shared" si="82"/>
        <v>4.7904226198038791E-3</v>
      </c>
      <c r="W82" s="89">
        <f t="shared" si="82"/>
        <v>4.7381924519973523E-3</v>
      </c>
      <c r="X82" s="89">
        <f t="shared" si="82"/>
        <v>4.7348751740348459E-3</v>
      </c>
      <c r="Y82" s="89">
        <f t="shared" si="82"/>
        <v>3.8670259536189295E-3</v>
      </c>
    </row>
    <row r="83" spans="1:25" x14ac:dyDescent="0.25">
      <c r="A83" s="88" t="s">
        <v>21</v>
      </c>
      <c r="B83" s="44"/>
      <c r="C83" s="44"/>
      <c r="D83" s="89">
        <f>D53/D$23</f>
        <v>3.4620236945336986E-3</v>
      </c>
      <c r="E83" s="89">
        <f t="shared" ref="E83:S83" si="83">E53/E$23</f>
        <v>3.7057861378041296E-3</v>
      </c>
      <c r="F83" s="89">
        <f t="shared" si="83"/>
        <v>3.7377841808766397E-3</v>
      </c>
      <c r="G83" s="89">
        <f t="shared" si="83"/>
        <v>3.5825178362726114E-3</v>
      </c>
      <c r="H83" s="89">
        <f t="shared" si="83"/>
        <v>3.5909416011748324E-3</v>
      </c>
      <c r="I83" s="89">
        <f t="shared" si="83"/>
        <v>3.3191288456920513E-3</v>
      </c>
      <c r="J83" s="89">
        <f t="shared" si="83"/>
        <v>3.2578670959265135E-3</v>
      </c>
      <c r="K83" s="89">
        <f t="shared" si="83"/>
        <v>3.3067574049103626E-3</v>
      </c>
      <c r="L83" s="89">
        <f t="shared" si="83"/>
        <v>2.9928058549033775E-3</v>
      </c>
      <c r="M83" s="89">
        <f t="shared" si="83"/>
        <v>2.8332902696971587E-3</v>
      </c>
      <c r="N83" s="89">
        <f t="shared" si="83"/>
        <v>2.7286341157623456E-3</v>
      </c>
      <c r="O83" s="89">
        <f t="shared" si="83"/>
        <v>2.6930487598834717E-3</v>
      </c>
      <c r="P83" s="89">
        <f t="shared" si="83"/>
        <v>2.4021032802770043E-3</v>
      </c>
      <c r="Q83" s="89">
        <f t="shared" si="83"/>
        <v>2.5180079535477894E-3</v>
      </c>
      <c r="R83" s="89">
        <f t="shared" si="83"/>
        <v>2.7330716550873491E-3</v>
      </c>
      <c r="S83" s="89">
        <f t="shared" si="83"/>
        <v>2.5884494269814043E-3</v>
      </c>
      <c r="T83" s="89">
        <f t="shared" ref="T83:Y83" si="84">T53/T$23</f>
        <v>2.6574294607639285E-3</v>
      </c>
      <c r="U83" s="89">
        <f t="shared" si="84"/>
        <v>2.6603543712947764E-3</v>
      </c>
      <c r="V83" s="89">
        <f t="shared" si="84"/>
        <v>2.8254542094503289E-3</v>
      </c>
      <c r="W83" s="89">
        <f t="shared" si="84"/>
        <v>3.0043036857205917E-3</v>
      </c>
      <c r="X83" s="89">
        <f t="shared" si="84"/>
        <v>3.0720321069630844E-3</v>
      </c>
      <c r="Y83" s="89">
        <f t="shared" si="84"/>
        <v>2.2905188787045012E-3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6.4903703995742076E-3</v>
      </c>
      <c r="E84" s="89">
        <f t="shared" ref="E84:S84" si="86">E56/E$23</f>
        <v>6.1267448560435676E-3</v>
      </c>
      <c r="F84" s="89">
        <f t="shared" si="86"/>
        <v>5.524159556104676E-3</v>
      </c>
      <c r="G84" s="89">
        <f t="shared" si="86"/>
        <v>4.9649379873358095E-3</v>
      </c>
      <c r="H84" s="89">
        <f t="shared" si="86"/>
        <v>4.8267164362285194E-3</v>
      </c>
      <c r="I84" s="89">
        <f t="shared" si="86"/>
        <v>4.8698193303133522E-3</v>
      </c>
      <c r="J84" s="89">
        <f t="shared" si="86"/>
        <v>4.4277026274237097E-3</v>
      </c>
      <c r="K84" s="89">
        <f t="shared" si="86"/>
        <v>4.3130831395190999E-3</v>
      </c>
      <c r="L84" s="89">
        <f t="shared" si="86"/>
        <v>4.0509209231881062E-3</v>
      </c>
      <c r="M84" s="89">
        <f t="shared" si="86"/>
        <v>3.9666063775760227E-3</v>
      </c>
      <c r="N84" s="89">
        <f t="shared" si="86"/>
        <v>3.392073552970676E-3</v>
      </c>
      <c r="O84" s="89">
        <f t="shared" si="86"/>
        <v>3.2255146743851476E-3</v>
      </c>
      <c r="P84" s="89">
        <f t="shared" si="86"/>
        <v>3.0238041997845224E-3</v>
      </c>
      <c r="Q84" s="89">
        <f t="shared" si="86"/>
        <v>2.8285622678186828E-3</v>
      </c>
      <c r="R84" s="89">
        <f t="shared" si="86"/>
        <v>2.5578111617786626E-3</v>
      </c>
      <c r="S84" s="89">
        <f t="shared" si="86"/>
        <v>2.3355641998276514E-3</v>
      </c>
      <c r="T84" s="89">
        <f t="shared" ref="T84:Y84" si="87">T56/T$23</f>
        <v>2.2100613713407183E-3</v>
      </c>
      <c r="U84" s="89">
        <f t="shared" si="87"/>
        <v>2.0708440276555936E-3</v>
      </c>
      <c r="V84" s="89">
        <f t="shared" si="87"/>
        <v>1.9649684103535507E-3</v>
      </c>
      <c r="W84" s="89">
        <f t="shared" si="87"/>
        <v>1.7338887662767604E-3</v>
      </c>
      <c r="X84" s="89">
        <f t="shared" si="87"/>
        <v>1.6628430670717609E-3</v>
      </c>
      <c r="Y84" s="89">
        <f t="shared" si="87"/>
        <v>1.5765070749144284E-3</v>
      </c>
    </row>
    <row r="85" spans="1:25" x14ac:dyDescent="0.25">
      <c r="A85" s="68" t="s">
        <v>2</v>
      </c>
      <c r="B85" s="44"/>
      <c r="C85" s="44"/>
      <c r="D85" s="89">
        <f t="shared" si="85"/>
        <v>2.5365175737743696E-2</v>
      </c>
      <c r="E85" s="89">
        <f t="shared" ref="E85:S85" si="88">E57/E$23</f>
        <v>2.5345718481069122E-2</v>
      </c>
      <c r="F85" s="89">
        <f t="shared" si="88"/>
        <v>2.546867264057949E-2</v>
      </c>
      <c r="G85" s="89">
        <f t="shared" si="88"/>
        <v>2.5664172205069165E-2</v>
      </c>
      <c r="H85" s="89">
        <f t="shared" si="88"/>
        <v>2.5318571749002282E-2</v>
      </c>
      <c r="I85" s="89">
        <f t="shared" si="88"/>
        <v>2.4975884931439943E-2</v>
      </c>
      <c r="J85" s="89">
        <f t="shared" si="88"/>
        <v>2.146811477834594E-2</v>
      </c>
      <c r="K85" s="89">
        <f t="shared" si="88"/>
        <v>2.0868589424530095E-2</v>
      </c>
      <c r="L85" s="89">
        <f t="shared" si="88"/>
        <v>1.92172369019359E-2</v>
      </c>
      <c r="M85" s="89">
        <f t="shared" si="88"/>
        <v>2.0816664736227803E-2</v>
      </c>
      <c r="N85" s="89">
        <f t="shared" si="88"/>
        <v>1.9894476561955841E-2</v>
      </c>
      <c r="O85" s="89">
        <f t="shared" si="88"/>
        <v>2.0231998129542812E-2</v>
      </c>
      <c r="P85" s="89">
        <f t="shared" si="88"/>
        <v>2.2135601948786752E-2</v>
      </c>
      <c r="Q85" s="89">
        <f t="shared" si="88"/>
        <v>2.2564708607726254E-2</v>
      </c>
      <c r="R85" s="89">
        <f t="shared" si="88"/>
        <v>2.3524587724490505E-2</v>
      </c>
      <c r="S85" s="89">
        <f t="shared" si="88"/>
        <v>2.3355641998276513E-2</v>
      </c>
      <c r="T85" s="89">
        <f t="shared" ref="T85:Y85" si="89">T57/T$23</f>
        <v>2.3902687989111947E-2</v>
      </c>
      <c r="U85" s="89">
        <f t="shared" si="89"/>
        <v>2.3770870933512302E-2</v>
      </c>
      <c r="V85" s="89">
        <f t="shared" si="89"/>
        <v>2.341936266300142E-2</v>
      </c>
      <c r="W85" s="89">
        <f t="shared" si="89"/>
        <v>2.2944714191127785E-2</v>
      </c>
      <c r="X85" s="89">
        <f t="shared" si="89"/>
        <v>2.4386016335319349E-2</v>
      </c>
      <c r="Y85" s="89">
        <f t="shared" si="89"/>
        <v>2.2914226911143618E-2</v>
      </c>
    </row>
    <row r="86" spans="1:25" x14ac:dyDescent="0.25">
      <c r="A86" s="68" t="s">
        <v>275</v>
      </c>
      <c r="B86" s="44"/>
      <c r="C86" s="44"/>
      <c r="D86" s="89">
        <f t="shared" si="85"/>
        <v>7.5745628733071809E-3</v>
      </c>
      <c r="E86" s="89">
        <f t="shared" ref="E86:S86" si="90">E58/E$23</f>
        <v>8.159699633835801E-3</v>
      </c>
      <c r="F86" s="89">
        <f t="shared" si="90"/>
        <v>7.8770010303438505E-3</v>
      </c>
      <c r="G86" s="89">
        <f t="shared" si="90"/>
        <v>7.7079735552183087E-3</v>
      </c>
      <c r="H86" s="89">
        <f t="shared" si="90"/>
        <v>7.8907608902657345E-3</v>
      </c>
      <c r="I86" s="89">
        <f t="shared" si="90"/>
        <v>7.3423769928000742E-3</v>
      </c>
      <c r="J86" s="89">
        <f t="shared" si="90"/>
        <v>6.9671485595079385E-3</v>
      </c>
      <c r="K86" s="89">
        <f t="shared" si="90"/>
        <v>7.7646356141573393E-3</v>
      </c>
      <c r="L86" s="89">
        <f t="shared" si="90"/>
        <v>7.8839946264352406E-3</v>
      </c>
      <c r="M86" s="89">
        <f t="shared" si="90"/>
        <v>5.5543180947459393E-3</v>
      </c>
      <c r="N86" s="89">
        <f t="shared" si="90"/>
        <v>6.3366302152260221E-3</v>
      </c>
      <c r="O86" s="89">
        <f t="shared" si="90"/>
        <v>6.225755308019585E-3</v>
      </c>
      <c r="P86" s="89">
        <f t="shared" si="90"/>
        <v>5.5055258539494101E-3</v>
      </c>
      <c r="Q86" s="89">
        <f t="shared" si="90"/>
        <v>5.5765482811238375E-3</v>
      </c>
      <c r="R86" s="89">
        <f t="shared" si="90"/>
        <v>5.3520586494360247E-3</v>
      </c>
      <c r="S86" s="89">
        <f t="shared" si="90"/>
        <v>5.6633405010993263E-3</v>
      </c>
      <c r="T86" s="89">
        <f t="shared" ref="T86:Y86" si="91">T58/T$23</f>
        <v>5.5936763575416184E-3</v>
      </c>
      <c r="U86" s="89">
        <f t="shared" si="91"/>
        <v>6.2246246028363006E-3</v>
      </c>
      <c r="V86" s="89">
        <f t="shared" si="91"/>
        <v>6.2269718984973256E-3</v>
      </c>
      <c r="W86" s="89">
        <f t="shared" si="91"/>
        <v>6.1865482233502533E-3</v>
      </c>
      <c r="X86" s="89">
        <f t="shared" si="91"/>
        <v>5.967915583939754E-3</v>
      </c>
      <c r="Y86" s="89">
        <f t="shared" si="91"/>
        <v>5.6100927440648572E-3</v>
      </c>
    </row>
    <row r="87" spans="1:25" x14ac:dyDescent="0.25">
      <c r="A87" s="68" t="s">
        <v>276</v>
      </c>
      <c r="B87" s="44"/>
      <c r="C87" s="44"/>
      <c r="D87" s="89">
        <f t="shared" si="85"/>
        <v>4.4730331762896966E-2</v>
      </c>
      <c r="E87" s="89">
        <f t="shared" ref="E87:S87" si="92">E59/E$23</f>
        <v>4.0900726752290846E-2</v>
      </c>
      <c r="F87" s="89">
        <f t="shared" si="92"/>
        <v>3.566952278576431E-2</v>
      </c>
      <c r="G87" s="89">
        <f t="shared" si="92"/>
        <v>3.3973956425419088E-2</v>
      </c>
      <c r="H87" s="89">
        <f t="shared" si="92"/>
        <v>3.495296014626157E-2</v>
      </c>
      <c r="I87" s="89">
        <f t="shared" si="92"/>
        <v>3.6553152867149372E-2</v>
      </c>
      <c r="J87" s="89">
        <f t="shared" si="92"/>
        <v>3.7751687521370147E-2</v>
      </c>
      <c r="K87" s="89">
        <f t="shared" si="92"/>
        <v>3.8508248794128556E-2</v>
      </c>
      <c r="L87" s="89">
        <f t="shared" si="92"/>
        <v>3.68680485557248E-2</v>
      </c>
      <c r="M87" s="89">
        <f t="shared" si="92"/>
        <v>3.3602109821181961E-2</v>
      </c>
      <c r="N87" s="89">
        <f t="shared" si="92"/>
        <v>3.6189663578742072E-2</v>
      </c>
      <c r="O87" s="89">
        <f t="shared" si="92"/>
        <v>3.8020114241244601E-2</v>
      </c>
      <c r="P87" s="89">
        <f t="shared" si="92"/>
        <v>3.6068817379166417E-2</v>
      </c>
      <c r="Q87" s="89">
        <f t="shared" si="92"/>
        <v>3.6074660614494658E-2</v>
      </c>
      <c r="R87" s="89">
        <f t="shared" si="92"/>
        <v>3.7368513294996485E-2</v>
      </c>
      <c r="S87" s="89">
        <f t="shared" si="92"/>
        <v>3.805519985181248E-2</v>
      </c>
      <c r="T87" s="89">
        <f t="shared" ref="T87:Y87" si="93">T59/T$23</f>
        <v>3.6796025355059041E-2</v>
      </c>
      <c r="U87" s="89">
        <f t="shared" si="93"/>
        <v>3.7970512390298174E-2</v>
      </c>
      <c r="V87" s="89">
        <f t="shared" si="93"/>
        <v>3.8955751394680008E-2</v>
      </c>
      <c r="W87" s="89">
        <f t="shared" si="93"/>
        <v>3.9833921871551534E-2</v>
      </c>
      <c r="X87" s="89">
        <f t="shared" si="93"/>
        <v>4.1771181520458597E-2</v>
      </c>
      <c r="Y87" s="89">
        <f t="shared" si="93"/>
        <v>4.2791644125154779E-2</v>
      </c>
    </row>
    <row r="88" spans="1:25" x14ac:dyDescent="0.25">
      <c r="A88" s="68" t="s">
        <v>1</v>
      </c>
      <c r="B88" s="44"/>
      <c r="C88" s="44"/>
      <c r="D88" s="89">
        <f t="shared" si="85"/>
        <v>3.0431311478641408E-3</v>
      </c>
      <c r="E88" s="89">
        <f t="shared" ref="E88:S88" si="94">E60/E$23</f>
        <v>2.7439081057972895E-3</v>
      </c>
      <c r="F88" s="89">
        <f t="shared" si="94"/>
        <v>2.616002890315214E-3</v>
      </c>
      <c r="G88" s="89">
        <f t="shared" si="94"/>
        <v>2.5119053848971684E-3</v>
      </c>
      <c r="H88" s="89">
        <f t="shared" si="94"/>
        <v>2.1308651693477056E-3</v>
      </c>
      <c r="I88" s="89">
        <f t="shared" si="94"/>
        <v>2.0574121784148764E-3</v>
      </c>
      <c r="J88" s="89">
        <f t="shared" si="94"/>
        <v>1.9823813932760385E-3</v>
      </c>
      <c r="K88" s="89">
        <f t="shared" si="94"/>
        <v>2.0271309761902608E-3</v>
      </c>
      <c r="L88" s="89">
        <f t="shared" si="94"/>
        <v>1.9052987013885166E-3</v>
      </c>
      <c r="M88" s="89">
        <f t="shared" si="94"/>
        <v>1.7748157915838804E-3</v>
      </c>
      <c r="N88" s="89">
        <f t="shared" si="94"/>
        <v>1.7517587239674023E-3</v>
      </c>
      <c r="O88" s="89">
        <f t="shared" si="94"/>
        <v>1.839737999464121E-3</v>
      </c>
      <c r="P88" s="89">
        <f t="shared" si="94"/>
        <v>1.7871783925897317E-3</v>
      </c>
      <c r="Q88" s="89">
        <f t="shared" si="94"/>
        <v>1.8096083826163445E-3</v>
      </c>
      <c r="R88" s="89">
        <f t="shared" si="94"/>
        <v>1.7939399550936323E-3</v>
      </c>
      <c r="S88" s="89">
        <f t="shared" si="94"/>
        <v>1.7701965900762682E-3</v>
      </c>
      <c r="T88" s="89">
        <f t="shared" ref="T88:Y88" si="95">T60/T$23</f>
        <v>1.7957733166988018E-3</v>
      </c>
      <c r="U88" s="89">
        <f t="shared" si="95"/>
        <v>1.7473691211458871E-3</v>
      </c>
      <c r="V88" s="89">
        <f t="shared" si="95"/>
        <v>1.6892086995691797E-3</v>
      </c>
      <c r="W88" s="89">
        <f t="shared" si="95"/>
        <v>1.6345729419554181E-3</v>
      </c>
      <c r="X88" s="89">
        <f t="shared" si="95"/>
        <v>1.6727073903510009E-3</v>
      </c>
      <c r="Y88" s="89">
        <f t="shared" si="95"/>
        <v>1.8102071408927344E-3</v>
      </c>
    </row>
    <row r="89" spans="1:25" x14ac:dyDescent="0.25">
      <c r="A89" s="68" t="s">
        <v>0</v>
      </c>
      <c r="B89" s="44"/>
      <c r="C89" s="44"/>
      <c r="D89" s="89">
        <f t="shared" si="85"/>
        <v>2.3014449328786295E-3</v>
      </c>
      <c r="E89" s="89">
        <f t="shared" ref="E89:S89" si="96">E61/E$23</f>
        <v>2.4534859946841133E-3</v>
      </c>
      <c r="F89" s="89">
        <f t="shared" si="96"/>
        <v>2.0183142504136987E-3</v>
      </c>
      <c r="G89" s="89">
        <f t="shared" si="96"/>
        <v>2.1128787482338164E-3</v>
      </c>
      <c r="H89" s="89">
        <f t="shared" si="96"/>
        <v>2.0568033213564747E-3</v>
      </c>
      <c r="I89" s="89">
        <f t="shared" si="96"/>
        <v>1.9353105654525693E-3</v>
      </c>
      <c r="J89" s="89">
        <f t="shared" si="96"/>
        <v>1.830629329255877E-3</v>
      </c>
      <c r="K89" s="89">
        <f t="shared" si="96"/>
        <v>1.8515669541452116E-3</v>
      </c>
      <c r="L89" s="89">
        <f t="shared" si="96"/>
        <v>1.9174013247185706E-3</v>
      </c>
      <c r="M89" s="89">
        <f t="shared" si="96"/>
        <v>1.7391769202669352E-3</v>
      </c>
      <c r="N89" s="89">
        <f t="shared" si="96"/>
        <v>1.4052378630633139E-3</v>
      </c>
      <c r="O89" s="89">
        <f t="shared" si="96"/>
        <v>1.443801806629542E-3</v>
      </c>
      <c r="P89" s="89">
        <f t="shared" si="96"/>
        <v>1.2823640219814473E-3</v>
      </c>
      <c r="Q89" s="89">
        <f t="shared" si="96"/>
        <v>1.1079234995610271E-3</v>
      </c>
      <c r="R89" s="89">
        <f t="shared" si="96"/>
        <v>1.1441534091472751E-3</v>
      </c>
      <c r="S89" s="89">
        <f t="shared" si="96"/>
        <v>1.2757012732851724E-3</v>
      </c>
      <c r="T89" s="89">
        <f t="shared" ref="T89:Y89" si="97">T61/T$23</f>
        <v>1.4098395775837085E-3</v>
      </c>
      <c r="U89" s="89">
        <f t="shared" si="97"/>
        <v>1.4964493338533117E-3</v>
      </c>
      <c r="V89" s="89">
        <f t="shared" si="97"/>
        <v>1.5794823225031473E-3</v>
      </c>
      <c r="W89" s="89">
        <f t="shared" si="97"/>
        <v>1.6773339218715516E-3</v>
      </c>
      <c r="X89" s="89">
        <f t="shared" si="97"/>
        <v>1.7938976477816545E-3</v>
      </c>
      <c r="Y89" s="89">
        <f t="shared" si="97"/>
        <v>1.8321568708464979E-3</v>
      </c>
    </row>
    <row r="90" spans="1:25" x14ac:dyDescent="0.25">
      <c r="A90" s="90" t="s">
        <v>278</v>
      </c>
      <c r="B90" s="47"/>
      <c r="C90" s="47"/>
      <c r="D90" s="91">
        <f t="shared" si="85"/>
        <v>1.7830038045299534E-2</v>
      </c>
      <c r="E90" s="91">
        <f t="shared" ref="E90:S90" si="98">E62/E$23</f>
        <v>1.727198379212282E-2</v>
      </c>
      <c r="F90" s="91">
        <f t="shared" si="98"/>
        <v>1.6920386981092519E-2</v>
      </c>
      <c r="G90" s="91">
        <f t="shared" si="98"/>
        <v>1.6545432344270587E-2</v>
      </c>
      <c r="H90" s="91">
        <f t="shared" si="98"/>
        <v>1.5906368895716685E-2</v>
      </c>
      <c r="I90" s="91">
        <f t="shared" si="98"/>
        <v>1.5614761270996388E-2</v>
      </c>
      <c r="J90" s="91">
        <f t="shared" si="98"/>
        <v>1.5094528089499138E-2</v>
      </c>
      <c r="K90" s="91">
        <f t="shared" si="98"/>
        <v>1.4763667297128535E-2</v>
      </c>
      <c r="L90" s="91">
        <f t="shared" si="98"/>
        <v>1.4412495439904425E-2</v>
      </c>
      <c r="M90" s="91">
        <f t="shared" si="98"/>
        <v>1.4403449842743481E-2</v>
      </c>
      <c r="N90" s="91">
        <f t="shared" si="98"/>
        <v>1.3491676534094867E-2</v>
      </c>
      <c r="O90" s="91">
        <f t="shared" si="98"/>
        <v>1.3214370435854069E-2</v>
      </c>
      <c r="P90" s="91">
        <f t="shared" si="98"/>
        <v>1.3196321969927972E-2</v>
      </c>
      <c r="Q90" s="91">
        <f t="shared" si="98"/>
        <v>1.2712582821478271E-2</v>
      </c>
      <c r="R90" s="91">
        <f t="shared" si="98"/>
        <v>1.2985810513645519E-2</v>
      </c>
      <c r="S90" s="91">
        <f t="shared" si="98"/>
        <v>1.2634596954102137E-2</v>
      </c>
      <c r="T90" s="91">
        <f t="shared" ref="T90:Y90" si="99">T62/T$23</f>
        <v>1.2677529519992944E-2</v>
      </c>
      <c r="U90" s="91">
        <f t="shared" si="99"/>
        <v>1.2459830160558433E-2</v>
      </c>
      <c r="V90" s="91">
        <f t="shared" si="99"/>
        <v>1.1950068723362479E-2</v>
      </c>
      <c r="W90" s="91">
        <f t="shared" si="99"/>
        <v>1.166960935775767E-2</v>
      </c>
      <c r="X90" s="91">
        <f t="shared" si="99"/>
        <v>1.2028837644512335E-2</v>
      </c>
      <c r="Y90" s="91">
        <f t="shared" si="99"/>
        <v>1.1398365648930856E-2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2.3274690963143163E-2</v>
      </c>
      <c r="F93" s="92">
        <f t="shared" ref="F93:F94" si="101">IF(E16=0,"",F16/E16-1)</f>
        <v>2.1694072758486893E-3</v>
      </c>
      <c r="G93" s="92">
        <f t="shared" ref="G93:G94" si="102">IF(F16=0,"",G16/F16-1)</f>
        <v>1.5605961003144486E-3</v>
      </c>
      <c r="H93" s="92">
        <f t="shared" ref="H93:H94" si="103">IF(G16=0,"",H16/G16-1)</f>
        <v>1.9840339448903066E-2</v>
      </c>
      <c r="I93" s="92">
        <f t="shared" ref="I93:I94" si="104">IF(H16=0,"",I16/H16-1)</f>
        <v>2.0514534574528565E-2</v>
      </c>
      <c r="J93" s="92">
        <f t="shared" ref="J93:J94" si="105">IF(I16=0,"",J16/I16-1)</f>
        <v>3.4608228361688198E-2</v>
      </c>
      <c r="K93" s="92">
        <f t="shared" ref="K93:K94" si="106">IF(J16=0,"",K16/J16-1)</f>
        <v>3.7729321159444495E-2</v>
      </c>
      <c r="L93" s="92">
        <f t="shared" ref="L93:L94" si="107">IF(K16=0,"",L16/K16-1)</f>
        <v>2.1699686586162281E-2</v>
      </c>
      <c r="M93" s="92">
        <f t="shared" ref="M93:M94" si="108">IF(L16=0,"",M16/L16-1)</f>
        <v>-3.6661049677054858E-2</v>
      </c>
      <c r="N93" s="92">
        <f t="shared" ref="N93:N94" si="109">IF(M16=0,"",N16/M16-1)</f>
        <v>1.3425290710229909E-2</v>
      </c>
      <c r="O93" s="92">
        <f t="shared" ref="O93:O94" si="110">IF(N16=0,"",O16/N16-1)</f>
        <v>1.5514005088605343E-2</v>
      </c>
      <c r="P93" s="92">
        <f t="shared" ref="P93:P94" si="111">IF(O16=0,"",P16/O16-1)</f>
        <v>-1.0312116828990914E-2</v>
      </c>
      <c r="Q93" s="92">
        <f t="shared" ref="Q93:Q94" si="112">IF(P16=0,"",Q16/P16-1)</f>
        <v>-1.3021872629893627E-3</v>
      </c>
      <c r="R93" s="92">
        <f t="shared" ref="R93:R94" si="113">IF(Q16=0,"",R16/Q16-1)</f>
        <v>1.4240197112866504E-2</v>
      </c>
      <c r="S93" s="92">
        <f t="shared" ref="S93:S94" si="114">IF(R16=0,"",S16/R16-1)</f>
        <v>1.9589669783787178E-2</v>
      </c>
      <c r="T93" s="92">
        <f t="shared" ref="T93:T94" si="115">IF(S16=0,"",T16/S16-1)</f>
        <v>2.1913752559649113E-2</v>
      </c>
      <c r="U93" s="92">
        <f t="shared" ref="U93:U94" si="116">IF(T16=0,"",U16/T16-1)</f>
        <v>2.9113510752839078E-2</v>
      </c>
      <c r="V93" s="92">
        <f t="shared" ref="V93:V94" si="117">IF(U16=0,"",V16/U16-1)</f>
        <v>2.3609475879218467E-2</v>
      </c>
      <c r="W93" s="92">
        <f t="shared" ref="W93:W94" si="118">IF(V16=0,"",W16/V16-1)</f>
        <v>1.9556915600871028E-2</v>
      </c>
      <c r="X93" s="92">
        <f t="shared" ref="X93:X94" si="119">IF(W16=0,"",X16/W16-1)</f>
        <v>-3.8865099697583894E-2</v>
      </c>
      <c r="Y93" s="92">
        <f t="shared" ref="Y93:Y94" si="120">IF(X16=0,"",Y16/X16-1)</f>
        <v>6.1921633167874468E-2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2.0438501173728474E-2</v>
      </c>
      <c r="F94" s="93">
        <f t="shared" si="101"/>
        <v>1.1641962171659692E-2</v>
      </c>
      <c r="G94" s="93">
        <f t="shared" si="102"/>
        <v>-1.3031605344089314E-3</v>
      </c>
      <c r="H94" s="93">
        <f t="shared" si="103"/>
        <v>7.6037740464529602E-3</v>
      </c>
      <c r="I94" s="93">
        <f t="shared" si="104"/>
        <v>9.0904749502436211E-3</v>
      </c>
      <c r="J94" s="93">
        <f t="shared" si="105"/>
        <v>-1.5499664958075199E-3</v>
      </c>
      <c r="K94" s="93">
        <f t="shared" si="106"/>
        <v>1.8742577929599102E-2</v>
      </c>
      <c r="L94" s="93">
        <f t="shared" si="107"/>
        <v>8.9017046155643875E-3</v>
      </c>
      <c r="M94" s="93">
        <f t="shared" si="108"/>
        <v>-1.8852320012870072E-2</v>
      </c>
      <c r="N94" s="93">
        <f t="shared" si="109"/>
        <v>1.0510873092677286E-3</v>
      </c>
      <c r="O94" s="93">
        <f t="shared" si="110"/>
        <v>6.8887484731816606E-4</v>
      </c>
      <c r="P94" s="93">
        <f t="shared" si="111"/>
        <v>-1.14092381480837E-2</v>
      </c>
      <c r="Q94" s="93">
        <f t="shared" si="112"/>
        <v>-9.6337762309859354E-3</v>
      </c>
      <c r="R94" s="93">
        <f t="shared" si="113"/>
        <v>3.7408331431934005E-3</v>
      </c>
      <c r="S94" s="93">
        <f t="shared" si="114"/>
        <v>1.977241740182234E-2</v>
      </c>
      <c r="T94" s="93">
        <f t="shared" si="115"/>
        <v>1.1198437572942366E-2</v>
      </c>
      <c r="U94" s="93">
        <f t="shared" si="116"/>
        <v>2.1312732893616015E-2</v>
      </c>
      <c r="V94" s="93">
        <f t="shared" si="117"/>
        <v>2.1637246191631654E-2</v>
      </c>
      <c r="W94" s="93">
        <f t="shared" si="118"/>
        <v>8.8169748771123047E-3</v>
      </c>
      <c r="X94" s="93">
        <f t="shared" si="119"/>
        <v>-6.360397526865802E-2</v>
      </c>
      <c r="Y94" s="93">
        <f t="shared" si="120"/>
        <v>4.3387901946135621E-2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1.5393906246436995E-2</v>
      </c>
      <c r="F95" s="92">
        <f t="shared" ref="F95:F96" si="122">IF(E20=0,"",F20/E20-1)</f>
        <v>-5.1863424444498207E-3</v>
      </c>
      <c r="G95" s="92">
        <f t="shared" ref="G95:G96" si="123">IF(F20=0,"",G20/F20-1)</f>
        <v>-3.8383744740827508E-3</v>
      </c>
      <c r="H95" s="92">
        <f t="shared" ref="H95:H96" si="124">IF(G20=0,"",H20/G20-1)</f>
        <v>1.5734138365012917E-2</v>
      </c>
      <c r="I95" s="92">
        <f t="shared" ref="I95:I96" si="125">IF(H20=0,"",I20/H20-1)</f>
        <v>1.754202591058962E-2</v>
      </c>
      <c r="J95" s="92">
        <f t="shared" ref="J95:J96" si="126">IF(I20=0,"",J20/I20-1)</f>
        <v>3.2791384913346988E-2</v>
      </c>
      <c r="K95" s="92">
        <f t="shared" ref="K95:K96" si="127">IF(J20=0,"",K20/J20-1)</f>
        <v>3.6220622615282583E-2</v>
      </c>
      <c r="L95" s="92">
        <f t="shared" ref="L95:L96" si="128">IF(K20=0,"",L20/K20-1)</f>
        <v>1.8747261165604767E-2</v>
      </c>
      <c r="M95" s="92">
        <f t="shared" ref="M95:M96" si="129">IF(L20=0,"",M20/L20-1)</f>
        <v>-4.1358483383953981E-2</v>
      </c>
      <c r="N95" s="92">
        <f t="shared" ref="N95:N96" si="130">IF(M20=0,"",N20/M20-1)</f>
        <v>7.9713164854546825E-3</v>
      </c>
      <c r="O95" s="92">
        <f t="shared" ref="O95:O96" si="131">IF(N20=0,"",O20/N20-1)</f>
        <v>1.0586971161790304E-2</v>
      </c>
      <c r="P95" s="92">
        <f t="shared" ref="P95:P96" si="132">IF(O20=0,"",P20/O20-1)</f>
        <v>-1.4722081403697573E-2</v>
      </c>
      <c r="Q95" s="92">
        <f t="shared" ref="Q95:Q96" si="133">IF(P20=0,"",Q20/P20-1)</f>
        <v>-4.2321123193512777E-3</v>
      </c>
      <c r="R95" s="92">
        <f t="shared" ref="R95:R96" si="134">IF(Q20=0,"",R20/Q20-1)</f>
        <v>1.1244114678292449E-2</v>
      </c>
      <c r="S95" s="92">
        <f t="shared" ref="S95:S96" si="135">IF(R20=0,"",S20/R20-1)</f>
        <v>1.5280007155072495E-2</v>
      </c>
      <c r="T95" s="92">
        <f t="shared" ref="T95:T96" si="136">IF(S20=0,"",T20/S20-1)</f>
        <v>1.7195492324833639E-2</v>
      </c>
      <c r="U95" s="92">
        <f t="shared" ref="U95:U96" si="137">IF(T20=0,"",U20/T20-1)</f>
        <v>2.2944977436343494E-2</v>
      </c>
      <c r="V95" s="92">
        <f t="shared" ref="V95:V96" si="138">IF(U20=0,"",V20/U20-1)</f>
        <v>1.7676907201967129E-2</v>
      </c>
      <c r="W95" s="92">
        <f t="shared" ref="W95:W96" si="139">IF(V20=0,"",W20/V20-1)</f>
        <v>1.3593785090412425E-2</v>
      </c>
      <c r="X95" s="92">
        <f t="shared" ref="X95:X96" si="140">IF(W20=0,"",X20/W20-1)</f>
        <v>-4.5790095983152979E-2</v>
      </c>
      <c r="Y95" s="92">
        <f t="shared" ref="Y95:Y96" si="141">IF(X20=0,"",Y20/X20-1)</f>
        <v>5.7799834379246295E-2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1.2579559468819168E-2</v>
      </c>
      <c r="F96" s="93">
        <f t="shared" si="122"/>
        <v>4.2166855405216808E-3</v>
      </c>
      <c r="G96" s="93">
        <f t="shared" si="123"/>
        <v>-6.6866938623096894E-3</v>
      </c>
      <c r="H96" s="93">
        <f t="shared" si="124"/>
        <v>3.5468412609178657E-3</v>
      </c>
      <c r="I96" s="93">
        <f t="shared" si="125"/>
        <v>6.15124177142512E-3</v>
      </c>
      <c r="J96" s="93">
        <f t="shared" si="126"/>
        <v>-3.3033136586662071E-3</v>
      </c>
      <c r="K96" s="93">
        <f t="shared" si="127"/>
        <v>1.7261483184699111E-2</v>
      </c>
      <c r="L96" s="93">
        <f t="shared" si="128"/>
        <v>5.986261771979251E-3</v>
      </c>
      <c r="M96" s="93">
        <f t="shared" si="129"/>
        <v>-2.3636592653224264E-2</v>
      </c>
      <c r="N96" s="93">
        <f t="shared" si="130"/>
        <v>-4.3362923801041342E-3</v>
      </c>
      <c r="O96" s="93">
        <f t="shared" si="131"/>
        <v>-4.1662310516188406E-3</v>
      </c>
      <c r="P96" s="93">
        <f t="shared" si="132"/>
        <v>-1.5814314044012345E-2</v>
      </c>
      <c r="Q96" s="93">
        <f t="shared" si="133"/>
        <v>-1.2539258527020092E-2</v>
      </c>
      <c r="R96" s="93">
        <f t="shared" si="134"/>
        <v>7.7576600465389944E-4</v>
      </c>
      <c r="S96" s="93">
        <f t="shared" si="135"/>
        <v>1.5461982324540324E-2</v>
      </c>
      <c r="T96" s="93">
        <f t="shared" si="136"/>
        <v>6.5296508328114289E-3</v>
      </c>
      <c r="U96" s="93">
        <f t="shared" si="137"/>
        <v>1.5190957643763658E-2</v>
      </c>
      <c r="V96" s="93">
        <f t="shared" si="138"/>
        <v>1.5716108033874576E-2</v>
      </c>
      <c r="W96" s="93">
        <f t="shared" si="139"/>
        <v>2.9166595633633996E-3</v>
      </c>
      <c r="X96" s="93">
        <f t="shared" si="140"/>
        <v>-7.0350727458226681E-2</v>
      </c>
      <c r="Y96" s="93">
        <f t="shared" si="141"/>
        <v>3.9338040962061172E-2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2.3550648080717274E-2</v>
      </c>
      <c r="F97" s="89">
        <f t="shared" ref="F97:F106" si="143">IF(E23=0,"",F23/E23-1)</f>
        <v>2.021979514538863E-3</v>
      </c>
      <c r="G97" s="89">
        <f t="shared" ref="G97:G106" si="144">IF(F23=0,"",G23/F23-1)</f>
        <v>1.2386936177428698E-3</v>
      </c>
      <c r="H97" s="89">
        <f t="shared" ref="H97:H106" si="145">IF(G23=0,"",H23/G23-1)</f>
        <v>2.0644902134502097E-2</v>
      </c>
      <c r="I97" s="89">
        <f t="shared" ref="I97:I106" si="146">IF(H23=0,"",I23/H23-1)</f>
        <v>2.0739986863423487E-2</v>
      </c>
      <c r="J97" s="89">
        <f t="shared" ref="J97:J106" si="147">IF(I23=0,"",J23/I23-1)</f>
        <v>3.3494528927753064E-2</v>
      </c>
      <c r="K97" s="89">
        <f t="shared" ref="K97:K106" si="148">IF(J23=0,"",K23/J23-1)</f>
        <v>3.853171569798608E-2</v>
      </c>
      <c r="L97" s="89">
        <f t="shared" ref="L97:L106" si="149">IF(K23=0,"",L23/K23-1)</f>
        <v>2.4888635616248989E-2</v>
      </c>
      <c r="M97" s="89">
        <f t="shared" ref="M97:M106" si="150">IF(L23=0,"",M23/L23-1)</f>
        <v>-3.302876751009276E-2</v>
      </c>
      <c r="N97" s="89">
        <f t="shared" ref="N97:N106" si="151">IF(M23=0,"",N23/M23-1)</f>
        <v>1.5101226134389689E-2</v>
      </c>
      <c r="O97" s="89">
        <f t="shared" ref="O97:O106" si="152">IF(N23=0,"",O23/N23-1)</f>
        <v>1.8714481659761306E-2</v>
      </c>
      <c r="P97" s="89">
        <f t="shared" ref="P97:P106" si="153">IF(O23=0,"",P23/O23-1)</f>
        <v>-7.9491739720325416E-3</v>
      </c>
      <c r="Q97" s="89">
        <f t="shared" ref="Q97:Q106" si="154">IF(P23=0,"",Q23/P23-1)</f>
        <v>2.6421339502322727E-3</v>
      </c>
      <c r="R97" s="89">
        <f t="shared" ref="R97:R106" si="155">IF(Q23=0,"",R23/Q23-1)</f>
        <v>1.4382562021187484E-2</v>
      </c>
      <c r="S97" s="89">
        <f t="shared" ref="S97:S106" si="156">IF(R23=0,"",S23/R23-1)</f>
        <v>1.704543545618975E-2</v>
      </c>
      <c r="T97" s="89">
        <f t="shared" ref="T97:T106" si="157">IF(S23=0,"",T23/S23-1)</f>
        <v>1.9667291869425396E-2</v>
      </c>
      <c r="U97" s="89">
        <f t="shared" ref="U97:U106" si="158">IF(T23=0,"",U23/T23-1)</f>
        <v>2.93050653570186E-2</v>
      </c>
      <c r="V97" s="89">
        <f t="shared" ref="V97:V106" si="159">IF(U23=0,"",V23/U23-1)</f>
        <v>2.3194920908482963E-2</v>
      </c>
      <c r="W97" s="89">
        <f t="shared" ref="W97:W106" si="160">IF(V23=0,"",W23/V23-1)</f>
        <v>2.0179785486619695E-2</v>
      </c>
      <c r="X97" s="89">
        <f t="shared" ref="X97:X106" si="161">IF(W23=0,"",X23/W23-1)</f>
        <v>-4.0529717865266601E-2</v>
      </c>
      <c r="Y97" s="89">
        <f t="shared" ref="Y97:Y106" si="162">IF(X23=0,"",Y23/X23-1)</f>
        <v>6.5849316343054909E-2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-4.2403388354940175E-3</v>
      </c>
      <c r="F98" s="83">
        <f t="shared" si="143"/>
        <v>-6.5805804814915048E-2</v>
      </c>
      <c r="G98" s="83">
        <f t="shared" si="144"/>
        <v>-6.8808970981502071E-3</v>
      </c>
      <c r="H98" s="83">
        <f t="shared" si="145"/>
        <v>-7.3741695129136198E-2</v>
      </c>
      <c r="I98" s="83">
        <f t="shared" si="146"/>
        <v>1.7132670388640525E-2</v>
      </c>
      <c r="J98" s="83">
        <f t="shared" si="147"/>
        <v>8.4199256371558118E-2</v>
      </c>
      <c r="K98" s="83">
        <f t="shared" si="148"/>
        <v>-3.2132837981861839E-2</v>
      </c>
      <c r="L98" s="83">
        <f t="shared" si="149"/>
        <v>-7.9187938081901388E-2</v>
      </c>
      <c r="M98" s="83">
        <f t="shared" si="150"/>
        <v>-8.5983984911227163E-2</v>
      </c>
      <c r="N98" s="83">
        <f t="shared" si="151"/>
        <v>0.16193073596408691</v>
      </c>
      <c r="O98" s="83">
        <f t="shared" si="152"/>
        <v>-9.8101886551193118E-2</v>
      </c>
      <c r="P98" s="83">
        <f t="shared" si="153"/>
        <v>3.9089588142115606E-2</v>
      </c>
      <c r="Q98" s="83">
        <f t="shared" si="154"/>
        <v>8.4522742287663988E-2</v>
      </c>
      <c r="R98" s="83">
        <f t="shared" si="155"/>
        <v>-1.3896559882880632E-2</v>
      </c>
      <c r="S98" s="83">
        <f t="shared" si="156"/>
        <v>9.8114099708754843E-3</v>
      </c>
      <c r="T98" s="83">
        <f t="shared" si="157"/>
        <v>4.8742393430687647E-2</v>
      </c>
      <c r="U98" s="83">
        <f t="shared" si="158"/>
        <v>8.1155796533606495E-2</v>
      </c>
      <c r="V98" s="83">
        <f t="shared" si="159"/>
        <v>-8.8412318078018193E-2</v>
      </c>
      <c r="W98" s="83">
        <f t="shared" si="160"/>
        <v>1.4663315964257295E-2</v>
      </c>
      <c r="X98" s="83">
        <f t="shared" si="161"/>
        <v>-6.1292393104908083E-2</v>
      </c>
      <c r="Y98" s="83">
        <f t="shared" si="162"/>
        <v>1.2537131412807323E-2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0.21379987879094919</v>
      </c>
      <c r="F99" s="83">
        <f t="shared" si="143"/>
        <v>-0.11836525390741159</v>
      </c>
      <c r="G99" s="83">
        <f t="shared" si="144"/>
        <v>2.3443996628446095E-2</v>
      </c>
      <c r="H99" s="83">
        <f t="shared" si="145"/>
        <v>4.9972027789106699E-2</v>
      </c>
      <c r="I99" s="83">
        <f t="shared" si="146"/>
        <v>7.8974348211362067E-2</v>
      </c>
      <c r="J99" s="83">
        <f t="shared" si="147"/>
        <v>0.23814884963100602</v>
      </c>
      <c r="K99" s="83">
        <f t="shared" si="148"/>
        <v>-5.5458000258132634E-2</v>
      </c>
      <c r="L99" s="83">
        <f t="shared" si="149"/>
        <v>0.3686394667974795</v>
      </c>
      <c r="M99" s="83">
        <f t="shared" si="150"/>
        <v>-0.27625494954419183</v>
      </c>
      <c r="N99" s="83">
        <f t="shared" si="151"/>
        <v>8.3330856419693511E-2</v>
      </c>
      <c r="O99" s="83">
        <f t="shared" si="152"/>
        <v>7.7670841859671436E-2</v>
      </c>
      <c r="P99" s="83">
        <f t="shared" si="153"/>
        <v>0.11599358365054324</v>
      </c>
      <c r="Q99" s="83">
        <f t="shared" si="154"/>
        <v>3.510679766405822E-2</v>
      </c>
      <c r="R99" s="83">
        <f t="shared" si="155"/>
        <v>-0.24998290989809713</v>
      </c>
      <c r="S99" s="83">
        <f t="shared" si="156"/>
        <v>-0.25611581148079565</v>
      </c>
      <c r="T99" s="83">
        <f t="shared" si="157"/>
        <v>-0.37140593877818018</v>
      </c>
      <c r="U99" s="83">
        <f t="shared" si="158"/>
        <v>-7.4757520052996074E-2</v>
      </c>
      <c r="V99" s="83">
        <f t="shared" si="159"/>
        <v>-5.6538363475239883E-2</v>
      </c>
      <c r="W99" s="83">
        <f t="shared" si="160"/>
        <v>-0.24555272908388881</v>
      </c>
      <c r="X99" s="83">
        <f t="shared" si="161"/>
        <v>-0.5056580908306938</v>
      </c>
      <c r="Y99" s="83">
        <f t="shared" si="162"/>
        <v>1.1011958355350457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2.0958118221538147E-2</v>
      </c>
      <c r="F100" s="83">
        <f t="shared" si="143"/>
        <v>1.6138419275905314E-2</v>
      </c>
      <c r="G100" s="83">
        <f t="shared" si="144"/>
        <v>6.7205420280305184E-3</v>
      </c>
      <c r="H100" s="83">
        <f t="shared" si="145"/>
        <v>2.3493474324231656E-2</v>
      </c>
      <c r="I100" s="83">
        <f t="shared" si="146"/>
        <v>1.5633247457970567E-2</v>
      </c>
      <c r="J100" s="83">
        <f t="shared" si="147"/>
        <v>2.849591415137831E-2</v>
      </c>
      <c r="K100" s="83">
        <f t="shared" si="148"/>
        <v>4.1656220465549287E-2</v>
      </c>
      <c r="L100" s="83">
        <f t="shared" si="149"/>
        <v>2.3058631644933714E-2</v>
      </c>
      <c r="M100" s="83">
        <f t="shared" si="150"/>
        <v>-1.3217039892466032E-2</v>
      </c>
      <c r="N100" s="83">
        <f t="shared" si="151"/>
        <v>2.0959792296003865E-2</v>
      </c>
      <c r="O100" s="83">
        <f t="shared" si="152"/>
        <v>1.790912314279236E-2</v>
      </c>
      <c r="P100" s="83">
        <f t="shared" si="153"/>
        <v>-6.9408294526674963E-3</v>
      </c>
      <c r="Q100" s="83">
        <f t="shared" si="154"/>
        <v>9.5397147603970556E-3</v>
      </c>
      <c r="R100" s="83">
        <f t="shared" si="155"/>
        <v>2.8375069010862397E-2</v>
      </c>
      <c r="S100" s="83">
        <f t="shared" si="156"/>
        <v>2.0174651173036073E-2</v>
      </c>
      <c r="T100" s="83">
        <f t="shared" si="157"/>
        <v>2.5533027224519556E-2</v>
      </c>
      <c r="U100" s="83">
        <f t="shared" si="158"/>
        <v>2.7239646697728714E-2</v>
      </c>
      <c r="V100" s="83">
        <f t="shared" si="159"/>
        <v>2.446657591045609E-2</v>
      </c>
      <c r="W100" s="83">
        <f t="shared" si="160"/>
        <v>2.2078160969713823E-2</v>
      </c>
      <c r="X100" s="83">
        <f t="shared" si="161"/>
        <v>-4.3939329986654285E-2</v>
      </c>
      <c r="Y100" s="83">
        <f t="shared" si="162"/>
        <v>6.1985093894219467E-2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4.1210414245866689E-2</v>
      </c>
      <c r="F101" s="84">
        <f t="shared" si="143"/>
        <v>4.082130891264879E-2</v>
      </c>
      <c r="G101" s="84">
        <f t="shared" si="144"/>
        <v>2.395599942765525E-2</v>
      </c>
      <c r="H101" s="84">
        <f t="shared" si="145"/>
        <v>2.4265017476782891E-2</v>
      </c>
      <c r="I101" s="84">
        <f t="shared" si="146"/>
        <v>1.2950136237176002E-2</v>
      </c>
      <c r="J101" s="84">
        <f t="shared" si="147"/>
        <v>1.5821216309610531E-2</v>
      </c>
      <c r="K101" s="84">
        <f t="shared" si="148"/>
        <v>2.2575409290110038E-2</v>
      </c>
      <c r="L101" s="84">
        <f t="shared" si="149"/>
        <v>2.8562989590470655E-2</v>
      </c>
      <c r="M101" s="84">
        <f t="shared" si="150"/>
        <v>2.6822141579122771E-2</v>
      </c>
      <c r="N101" s="84">
        <f t="shared" si="151"/>
        <v>2.4466967667247541E-2</v>
      </c>
      <c r="O101" s="84">
        <f t="shared" si="152"/>
        <v>1.4734843851835988E-2</v>
      </c>
      <c r="P101" s="84">
        <f t="shared" si="153"/>
        <v>5.0208804710898391E-3</v>
      </c>
      <c r="Q101" s="84">
        <f t="shared" si="154"/>
        <v>1.0506843402233734E-2</v>
      </c>
      <c r="R101" s="84">
        <f t="shared" si="155"/>
        <v>2.2869833409111973E-2</v>
      </c>
      <c r="S101" s="84">
        <f t="shared" si="156"/>
        <v>1.3354651287462715E-2</v>
      </c>
      <c r="T101" s="84">
        <f t="shared" si="157"/>
        <v>2.6325429492519925E-2</v>
      </c>
      <c r="U101" s="84">
        <f t="shared" si="158"/>
        <v>1.9340650393184111E-2</v>
      </c>
      <c r="V101" s="84">
        <f t="shared" si="159"/>
        <v>1.8940368658692863E-2</v>
      </c>
      <c r="W101" s="84">
        <f t="shared" si="160"/>
        <v>2.4063678408646094E-2</v>
      </c>
      <c r="X101" s="84">
        <f t="shared" si="161"/>
        <v>-7.4265863170006607E-2</v>
      </c>
      <c r="Y101" s="84">
        <f t="shared" si="162"/>
        <v>6.6990783407034904E-2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5.5768163529079651E-4</v>
      </c>
      <c r="F102" s="84">
        <f t="shared" si="143"/>
        <v>-1.1958472469076886E-3</v>
      </c>
      <c r="G102" s="84">
        <f t="shared" si="144"/>
        <v>1.340297590507733E-2</v>
      </c>
      <c r="H102" s="84">
        <f t="shared" si="145"/>
        <v>2.4899880810010933E-2</v>
      </c>
      <c r="I102" s="84">
        <f t="shared" si="146"/>
        <v>2.2091512328748175E-2</v>
      </c>
      <c r="J102" s="84">
        <f t="shared" si="147"/>
        <v>4.4968644452565876E-2</v>
      </c>
      <c r="K102" s="84">
        <f t="shared" si="148"/>
        <v>5.6945298581651427E-2</v>
      </c>
      <c r="L102" s="84">
        <f t="shared" si="149"/>
        <v>2.2682213813982166E-2</v>
      </c>
      <c r="M102" s="84">
        <f t="shared" si="150"/>
        <v>-3.018652043370107E-2</v>
      </c>
      <c r="N102" s="84">
        <f t="shared" si="151"/>
        <v>2.0443236962247591E-2</v>
      </c>
      <c r="O102" s="84">
        <f t="shared" si="152"/>
        <v>1.4037466662877307E-2</v>
      </c>
      <c r="P102" s="84">
        <f t="shared" si="153"/>
        <v>-1.9980460117177912E-2</v>
      </c>
      <c r="Q102" s="84">
        <f t="shared" si="154"/>
        <v>8.8762870383440884E-4</v>
      </c>
      <c r="R102" s="84">
        <f t="shared" si="155"/>
        <v>3.8766113006319936E-2</v>
      </c>
      <c r="S102" s="84">
        <f t="shared" si="156"/>
        <v>2.028390080776199E-2</v>
      </c>
      <c r="T102" s="84">
        <f t="shared" si="157"/>
        <v>2.2032836782991172E-2</v>
      </c>
      <c r="U102" s="84">
        <f t="shared" si="158"/>
        <v>3.1291677449623911E-2</v>
      </c>
      <c r="V102" s="84">
        <f t="shared" si="159"/>
        <v>2.8158398732135659E-2</v>
      </c>
      <c r="W102" s="84">
        <f t="shared" si="160"/>
        <v>1.4507266744360647E-2</v>
      </c>
      <c r="X102" s="84">
        <f t="shared" si="161"/>
        <v>-3.4039827774618225E-2</v>
      </c>
      <c r="Y102" s="84">
        <f t="shared" si="162"/>
        <v>3.8098056940361946E-2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3.2898529777361407E-2</v>
      </c>
      <c r="F103" s="84">
        <f t="shared" si="143"/>
        <v>1.1871766656982752E-2</v>
      </c>
      <c r="G103" s="84">
        <f t="shared" si="144"/>
        <v>-3.8580353261375877E-2</v>
      </c>
      <c r="H103" s="84">
        <f t="shared" si="145"/>
        <v>1.878612174281602E-2</v>
      </c>
      <c r="I103" s="84">
        <f t="shared" si="146"/>
        <v>5.7560423400278005E-3</v>
      </c>
      <c r="J103" s="84">
        <f t="shared" si="147"/>
        <v>1.396631787427749E-2</v>
      </c>
      <c r="K103" s="84">
        <f t="shared" si="148"/>
        <v>4.1178030157321466E-2</v>
      </c>
      <c r="L103" s="84">
        <f t="shared" si="149"/>
        <v>1.3592934543462443E-2</v>
      </c>
      <c r="M103" s="84">
        <f t="shared" si="150"/>
        <v>-4.7693347567334121E-2</v>
      </c>
      <c r="N103" s="84">
        <f t="shared" si="151"/>
        <v>1.5022822536931768E-2</v>
      </c>
      <c r="O103" s="84">
        <f t="shared" si="152"/>
        <v>3.4398578617087505E-2</v>
      </c>
      <c r="P103" s="84">
        <f t="shared" si="153"/>
        <v>1.1732854302457518E-3</v>
      </c>
      <c r="Q103" s="84">
        <f t="shared" si="154"/>
        <v>2.8718183281687404E-2</v>
      </c>
      <c r="R103" s="84">
        <f t="shared" si="155"/>
        <v>1.4750242686316639E-2</v>
      </c>
      <c r="S103" s="84">
        <f t="shared" si="156"/>
        <v>3.3776923518274327E-2</v>
      </c>
      <c r="T103" s="84">
        <f t="shared" si="157"/>
        <v>3.2369868275314628E-2</v>
      </c>
      <c r="U103" s="84">
        <f t="shared" si="158"/>
        <v>3.3246999424089152E-2</v>
      </c>
      <c r="V103" s="84">
        <f t="shared" si="159"/>
        <v>2.6498588083497143E-2</v>
      </c>
      <c r="W103" s="84">
        <f t="shared" si="160"/>
        <v>3.6242324989395502E-2</v>
      </c>
      <c r="X103" s="84">
        <f t="shared" si="161"/>
        <v>-8.8444087403736216E-3</v>
      </c>
      <c r="Y103" s="84">
        <f t="shared" si="162"/>
        <v>0.10725826597810384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7.8659717476820212E-2</v>
      </c>
      <c r="F104" s="83">
        <f t="shared" si="143"/>
        <v>-3.5128478280628816E-2</v>
      </c>
      <c r="G104" s="83">
        <f t="shared" si="144"/>
        <v>4.6150304871902748E-2</v>
      </c>
      <c r="H104" s="83">
        <f t="shared" si="145"/>
        <v>-1.5354885331137269E-2</v>
      </c>
      <c r="I104" s="83">
        <f t="shared" si="146"/>
        <v>0.21298468880573895</v>
      </c>
      <c r="J104" s="83">
        <f t="shared" si="147"/>
        <v>2.7227925596986502E-2</v>
      </c>
      <c r="K104" s="83">
        <f t="shared" si="148"/>
        <v>3.0995603270650207E-2</v>
      </c>
      <c r="L104" s="83">
        <f t="shared" si="149"/>
        <v>-2.8157682526862793E-2</v>
      </c>
      <c r="M104" s="83">
        <f t="shared" si="150"/>
        <v>0.15566871879940081</v>
      </c>
      <c r="N104" s="83">
        <f t="shared" si="151"/>
        <v>-0.13461851201958652</v>
      </c>
      <c r="O104" s="83">
        <f t="shared" si="152"/>
        <v>3.3343451567862115E-2</v>
      </c>
      <c r="P104" s="83">
        <f t="shared" si="153"/>
        <v>3.4866328887985354E-2</v>
      </c>
      <c r="Q104" s="83">
        <f t="shared" si="154"/>
        <v>-7.6247039319334409E-2</v>
      </c>
      <c r="R104" s="83">
        <f t="shared" si="155"/>
        <v>-0.16764350957977103</v>
      </c>
      <c r="S104" s="83">
        <f t="shared" si="156"/>
        <v>0.3131304990757855</v>
      </c>
      <c r="T104" s="83">
        <f t="shared" si="157"/>
        <v>-1.1895766116823525E-2</v>
      </c>
      <c r="U104" s="83">
        <f t="shared" si="158"/>
        <v>-4.5025435223923549E-2</v>
      </c>
      <c r="V104" s="83">
        <f t="shared" si="159"/>
        <v>1.6919892539971837E-2</v>
      </c>
      <c r="W104" s="83">
        <f t="shared" si="160"/>
        <v>0.136016075135728</v>
      </c>
      <c r="X104" s="83">
        <f t="shared" si="161"/>
        <v>-3.0660648987477335E-2</v>
      </c>
      <c r="Y104" s="83">
        <f t="shared" si="162"/>
        <v>1.6880933207372051E-2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5.3054297694056674E-2</v>
      </c>
      <c r="F105" s="83">
        <f t="shared" si="143"/>
        <v>1.3250680616423205E-2</v>
      </c>
      <c r="G105" s="83">
        <f t="shared" si="144"/>
        <v>-1.4784165250470993E-2</v>
      </c>
      <c r="H105" s="83">
        <f t="shared" si="145"/>
        <v>1.5633116155318039E-3</v>
      </c>
      <c r="I105" s="83">
        <f t="shared" si="146"/>
        <v>3.4948692330614595E-2</v>
      </c>
      <c r="J105" s="83">
        <f t="shared" si="147"/>
        <v>4.2289359525186976E-2</v>
      </c>
      <c r="K105" s="83">
        <f t="shared" si="148"/>
        <v>6.4317645616188912E-2</v>
      </c>
      <c r="L105" s="83">
        <f t="shared" si="149"/>
        <v>5.1782835104067448E-2</v>
      </c>
      <c r="M105" s="83">
        <f t="shared" si="150"/>
        <v>1.9930683148792205E-3</v>
      </c>
      <c r="N105" s="83">
        <f t="shared" si="151"/>
        <v>-0.10660174308821402</v>
      </c>
      <c r="O105" s="83">
        <f t="shared" si="152"/>
        <v>-1.4545367804812526E-2</v>
      </c>
      <c r="P105" s="83">
        <f t="shared" si="153"/>
        <v>-9.9230673777436218E-2</v>
      </c>
      <c r="Q105" s="83">
        <f t="shared" si="154"/>
        <v>-6.5566097426660419E-2</v>
      </c>
      <c r="R105" s="83">
        <f t="shared" si="155"/>
        <v>8.856599315449909E-3</v>
      </c>
      <c r="S105" s="83">
        <f t="shared" si="156"/>
        <v>1.0400092728537258E-2</v>
      </c>
      <c r="T105" s="83">
        <f t="shared" si="157"/>
        <v>6.4977406667532378E-2</v>
      </c>
      <c r="U105" s="83">
        <f t="shared" si="158"/>
        <v>5.0138909172420476E-2</v>
      </c>
      <c r="V105" s="83">
        <f t="shared" si="159"/>
        <v>6.1238968831760943E-2</v>
      </c>
      <c r="W105" s="83">
        <f t="shared" si="160"/>
        <v>7.822365239671214E-2</v>
      </c>
      <c r="X105" s="83">
        <f t="shared" si="161"/>
        <v>4.1188842643199663E-2</v>
      </c>
      <c r="Y105" s="83">
        <f t="shared" si="162"/>
        <v>3.881249751400051E-2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-4.0810741410983731E-3</v>
      </c>
      <c r="F106" s="83">
        <f t="shared" si="143"/>
        <v>-3.9076345133458368E-2</v>
      </c>
      <c r="G106" s="83">
        <f t="shared" si="144"/>
        <v>-3.0002606284430744E-2</v>
      </c>
      <c r="H106" s="83">
        <f t="shared" si="145"/>
        <v>2.7129387291660478E-2</v>
      </c>
      <c r="I106" s="83">
        <f t="shared" si="146"/>
        <v>1.5144738478632291E-2</v>
      </c>
      <c r="J106" s="83">
        <f t="shared" si="147"/>
        <v>9.9174005196063231E-3</v>
      </c>
      <c r="K106" s="83">
        <f t="shared" si="148"/>
        <v>4.5300116048013095E-2</v>
      </c>
      <c r="L106" s="83">
        <f t="shared" si="149"/>
        <v>-3.0741801156910609E-2</v>
      </c>
      <c r="M106" s="83">
        <f t="shared" si="150"/>
        <v>-0.11133370822805166</v>
      </c>
      <c r="N106" s="83">
        <f t="shared" si="151"/>
        <v>2.2724786519700668E-2</v>
      </c>
      <c r="O106" s="83">
        <f t="shared" si="152"/>
        <v>4.2858710635542918E-2</v>
      </c>
      <c r="P106" s="83">
        <f t="shared" si="153"/>
        <v>-2.1953617240915824E-2</v>
      </c>
      <c r="Q106" s="83">
        <f t="shared" si="154"/>
        <v>-2.9962428017591636E-2</v>
      </c>
      <c r="R106" s="83">
        <f t="shared" si="155"/>
        <v>3.656242671628096E-2</v>
      </c>
      <c r="S106" s="83">
        <f t="shared" si="156"/>
        <v>3.5835689590660635E-2</v>
      </c>
      <c r="T106" s="83">
        <f t="shared" si="157"/>
        <v>3.0960299845243178E-2</v>
      </c>
      <c r="U106" s="83">
        <f t="shared" si="158"/>
        <v>4.7547939623583613E-2</v>
      </c>
      <c r="V106" s="83">
        <f t="shared" si="159"/>
        <v>2.8009463964097314E-2</v>
      </c>
      <c r="W106" s="83">
        <f t="shared" si="160"/>
        <v>-5.085295433199577E-3</v>
      </c>
      <c r="X106" s="83">
        <f t="shared" si="161"/>
        <v>-1.895346035586376E-2</v>
      </c>
      <c r="Y106" s="83">
        <f t="shared" si="162"/>
        <v>8.4272975327953414E-2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-0.16034225376425648</v>
      </c>
      <c r="F107" s="87">
        <f t="shared" ref="F107:F108" si="164">IF(E33=0,"",F33/E33-1)</f>
        <v>-8.400278194958144E-3</v>
      </c>
      <c r="G107" s="87">
        <f t="shared" ref="G107:G108" si="165">IF(F33=0,"",G33/F33-1)</f>
        <v>3.4876850085407529E-2</v>
      </c>
      <c r="H107" s="87">
        <f t="shared" ref="H107:H108" si="166">IF(G33=0,"",H33/G33-1)</f>
        <v>0.27286972136790566</v>
      </c>
      <c r="I107" s="87">
        <f t="shared" ref="I107:I108" si="167">IF(H33=0,"",I33/H33-1)</f>
        <v>7.8860697775833266E-2</v>
      </c>
      <c r="J107" s="87">
        <f t="shared" ref="J107:J108" si="168">IF(I33=0,"",J33/I33-1)</f>
        <v>7.2114327305356829E-2</v>
      </c>
      <c r="K107" s="87">
        <f t="shared" ref="K107:K108" si="169">IF(J33=0,"",K33/J33-1)</f>
        <v>3.2591220287839562E-2</v>
      </c>
      <c r="L107" s="87">
        <f t="shared" ref="L107:L108" si="170">IF(K33=0,"",L33/K33-1)</f>
        <v>-0.11956185975544731</v>
      </c>
      <c r="M107" s="87">
        <f t="shared" ref="M107:M108" si="171">IF(L33=0,"",M33/L33-1)</f>
        <v>-0.3658932738482803</v>
      </c>
      <c r="N107" s="87">
        <f t="shared" ref="N107:N108" si="172">IF(M33=0,"",N33/M33-1)</f>
        <v>1.970139189758835E-2</v>
      </c>
      <c r="O107" s="87">
        <f t="shared" ref="O107:O108" si="173">IF(N33=0,"",O33/N33-1)</f>
        <v>-1.5163679150262621E-2</v>
      </c>
      <c r="P107" s="87">
        <f t="shared" ref="P107:P108" si="174">IF(O33=0,"",P33/O33-1)</f>
        <v>5.0366529408774285E-2</v>
      </c>
      <c r="Q107" s="87">
        <f t="shared" ref="Q107:Q108" si="175">IF(P33=0,"",Q33/P33-1)</f>
        <v>-2.4100622855974363E-2</v>
      </c>
      <c r="R107" s="87">
        <f t="shared" ref="R107:R108" si="176">IF(Q33=0,"",R33/Q33-1)</f>
        <v>0.16133733696137198</v>
      </c>
      <c r="S107" s="87">
        <f t="shared" ref="S107:S108" si="177">IF(R33=0,"",S33/R33-1)</f>
        <v>-0.127029919773478</v>
      </c>
      <c r="T107" s="87">
        <f t="shared" ref="T107:T108" si="178">IF(S33=0,"",T33/S33-1)</f>
        <v>0.12859084504946017</v>
      </c>
      <c r="U107" s="87">
        <f t="shared" ref="U107:U108" si="179">IF(T33=0,"",U33/T33-1)</f>
        <v>1.1070158053620549E-2</v>
      </c>
      <c r="V107" s="87">
        <f t="shared" ref="V107:V108" si="180">IF(U33=0,"",V33/U33-1)</f>
        <v>9.8392199672480807E-2</v>
      </c>
      <c r="W107" s="87">
        <f t="shared" ref="W107:W108" si="181">IF(V33=0,"",W33/V33-1)</f>
        <v>-0.1796751044108329</v>
      </c>
      <c r="X107" s="87">
        <f t="shared" ref="X107:X108" si="182">IF(W33=0,"",X33/W33-1)</f>
        <v>-0.16208684363772496</v>
      </c>
      <c r="Y107" s="87">
        <f t="shared" ref="Y107:Y108" si="183">IF(X33=0,"",Y33/X33-1)</f>
        <v>0.46123722561701341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-0.16034225376425648</v>
      </c>
      <c r="F108" s="89">
        <f t="shared" si="164"/>
        <v>-8.400278194958255E-3</v>
      </c>
      <c r="G108" s="89">
        <f t="shared" si="165"/>
        <v>3.4876850085407751E-2</v>
      </c>
      <c r="H108" s="89">
        <f t="shared" si="166"/>
        <v>0.27286972136790544</v>
      </c>
      <c r="I108" s="89">
        <f t="shared" si="167"/>
        <v>7.8860697775833488E-2</v>
      </c>
      <c r="J108" s="89">
        <f t="shared" si="168"/>
        <v>7.2114327305357051E-2</v>
      </c>
      <c r="K108" s="89">
        <f t="shared" si="169"/>
        <v>3.2591220287839562E-2</v>
      </c>
      <c r="L108" s="89">
        <f t="shared" si="170"/>
        <v>-0.11956185975544742</v>
      </c>
      <c r="M108" s="89">
        <f t="shared" si="171"/>
        <v>-0.39543103185099926</v>
      </c>
      <c r="N108" s="89">
        <f t="shared" si="172"/>
        <v>0.14769358109342279</v>
      </c>
      <c r="O108" s="89">
        <f t="shared" si="173"/>
        <v>8.8037642122874571E-2</v>
      </c>
      <c r="P108" s="89">
        <f t="shared" si="174"/>
        <v>0.1598610465044632</v>
      </c>
      <c r="Q108" s="89">
        <f t="shared" si="175"/>
        <v>-1.8409707229973926E-2</v>
      </c>
      <c r="R108" s="89">
        <f t="shared" si="176"/>
        <v>0.12252600839865591</v>
      </c>
      <c r="S108" s="89">
        <f t="shared" si="177"/>
        <v>-9.9807091918080681E-2</v>
      </c>
      <c r="T108" s="89">
        <f t="shared" si="178"/>
        <v>9.7978142174129479E-2</v>
      </c>
      <c r="U108" s="89">
        <f t="shared" si="179"/>
        <v>8.6699341699369992E-3</v>
      </c>
      <c r="V108" s="89">
        <f t="shared" si="180"/>
        <v>0.10548617643233693</v>
      </c>
      <c r="W108" s="89">
        <f t="shared" si="181"/>
        <v>-0.16569666226750634</v>
      </c>
      <c r="X108" s="89">
        <f t="shared" si="182"/>
        <v>-0.26751927809372567</v>
      </c>
      <c r="Y108" s="89">
        <f t="shared" si="183"/>
        <v>0.6001692497736395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-0.16034225376425648</v>
      </c>
      <c r="F109" s="89">
        <f t="shared" ref="F109" si="185">IF(E37=0,"",F37/E37-1)</f>
        <v>-8.400278194958366E-3</v>
      </c>
      <c r="G109" s="89">
        <f t="shared" ref="G109" si="186">IF(F37=0,"",G37/F37-1)</f>
        <v>3.4876850085407529E-2</v>
      </c>
      <c r="H109" s="89">
        <f t="shared" ref="H109" si="187">IF(G37=0,"",H37/G37-1)</f>
        <v>0.27286972136790566</v>
      </c>
      <c r="I109" s="89">
        <f t="shared" ref="I109" si="188">IF(H37=0,"",I37/H37-1)</f>
        <v>7.8860697775833266E-2</v>
      </c>
      <c r="J109" s="89">
        <f t="shared" ref="J109" si="189">IF(I37=0,"",J37/I37-1)</f>
        <v>7.2114327305356829E-2</v>
      </c>
      <c r="K109" s="89">
        <f t="shared" ref="K109" si="190">IF(J37=0,"",K37/J37-1)</f>
        <v>3.2591220287839562E-2</v>
      </c>
      <c r="L109" s="89">
        <f t="shared" ref="L109" si="191">IF(K37=0,"",L37/K37-1)</f>
        <v>-0.1195618597554472</v>
      </c>
      <c r="M109" s="89">
        <f t="shared" ref="M109" si="192">IF(L37=0,"",M37/L37-1)</f>
        <v>-0.32158663684420163</v>
      </c>
      <c r="N109" s="89">
        <f t="shared" ref="N109" si="193">IF(M37=0,"",N37/M37-1)</f>
        <v>-0.15138922178071312</v>
      </c>
      <c r="O109" s="89">
        <f t="shared" ref="O109" si="194">IF(N37=0,"",O37/N37-1)</f>
        <v>-0.2017352136448719</v>
      </c>
      <c r="P109" s="89">
        <f t="shared" ref="P109" si="195">IF(O37=0,"",P37/O37-1)</f>
        <v>-0.21943813116467814</v>
      </c>
      <c r="Q109" s="89">
        <f t="shared" ref="Q109" si="196">IF(P37=0,"",Q37/P37-1)</f>
        <v>-4.4937750534085996E-2</v>
      </c>
      <c r="R109" s="89">
        <f t="shared" ref="R109" si="197">IF(Q37=0,"",R37/Q37-1)</f>
        <v>0.3073911135642875</v>
      </c>
      <c r="S109" s="89">
        <f t="shared" ref="S109" si="198">IF(R37=0,"",S37/R37-1)</f>
        <v>-0.21498853879637414</v>
      </c>
      <c r="T109" s="89">
        <f t="shared" ref="T109" si="199">IF(S37=0,"",T37/S37-1)</f>
        <v>0.24201522954369237</v>
      </c>
      <c r="U109" s="89">
        <f t="shared" ref="U109" si="200">IF(T37=0,"",U37/T37-1)</f>
        <v>1.8931981402725118E-2</v>
      </c>
      <c r="V109" s="89">
        <f t="shared" ref="V109" si="201">IF(U37=0,"",V37/U37-1)</f>
        <v>7.5390222305947496E-2</v>
      </c>
      <c r="W109" s="89">
        <f t="shared" ref="W109" si="202">IF(V37=0,"",W37/V37-1)</f>
        <v>-0.22626818402522209</v>
      </c>
      <c r="X109" s="89">
        <f t="shared" ref="X109" si="203">IF(W37=0,"",X37/W37-1)</f>
        <v>0.21685311501140614</v>
      </c>
      <c r="Y109" s="89">
        <f t="shared" ref="Y109" si="204">IF(X37=0,"",Y37/X37-1)</f>
        <v>0.16065965305046315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8.2826378664444977E-2</v>
      </c>
      <c r="F110" s="89">
        <f t="shared" ref="F110:F111" si="206">IF(E43=0,"",F43/E43-1)</f>
        <v>6.6587239734098524E-2</v>
      </c>
      <c r="G110" s="89">
        <f t="shared" ref="G110:G111" si="207">IF(F43=0,"",G43/F43-1)</f>
        <v>-4.3476858988281353E-2</v>
      </c>
      <c r="H110" s="89">
        <f t="shared" ref="H110:H111" si="208">IF(G43=0,"",H43/G43-1)</f>
        <v>3.4312784460113654E-2</v>
      </c>
      <c r="I110" s="89">
        <f t="shared" ref="I110:I111" si="209">IF(H43=0,"",I43/H43-1)</f>
        <v>-1.2341496573635702E-2</v>
      </c>
      <c r="J110" s="89">
        <f t="shared" ref="J110:J111" si="210">IF(I43=0,"",J43/I43-1)</f>
        <v>5.8991873733743372E-2</v>
      </c>
      <c r="K110" s="89">
        <f t="shared" ref="K110:K111" si="211">IF(J43=0,"",K43/J43-1)</f>
        <v>3.8809175878168789E-2</v>
      </c>
      <c r="L110" s="89">
        <f t="shared" ref="L110:L111" si="212">IF(K43=0,"",L43/K43-1)</f>
        <v>-5.4578360768988032E-2</v>
      </c>
      <c r="M110" s="89">
        <f t="shared" ref="M110:M111" si="213">IF(L43=0,"",M43/L43-1)</f>
        <v>-0.18824107346253416</v>
      </c>
      <c r="N110" s="89">
        <f t="shared" ref="N110:N111" si="214">IF(M43=0,"",N43/M43-1)</f>
        <v>6.1658277840744624E-2</v>
      </c>
      <c r="O110" s="89">
        <f t="shared" ref="O110:O111" si="215">IF(N43=0,"",O43/N43-1)</f>
        <v>6.7417529960107414E-2</v>
      </c>
      <c r="P110" s="89">
        <f t="shared" ref="P110:P111" si="216">IF(O43=0,"",P43/O43-1)</f>
        <v>-3.0944007259703366E-4</v>
      </c>
      <c r="Q110" s="89">
        <f t="shared" ref="Q110:Q111" si="217">IF(P43=0,"",Q43/P43-1)</f>
        <v>-0.15631755596411823</v>
      </c>
      <c r="R110" s="89">
        <f t="shared" ref="R110:R111" si="218">IF(Q43=0,"",R43/Q43-1)</f>
        <v>2.4589371294638784E-3</v>
      </c>
      <c r="S110" s="89">
        <f t="shared" ref="S110:S111" si="219">IF(R43=0,"",S43/R43-1)</f>
        <v>0.15980909358735151</v>
      </c>
      <c r="T110" s="89">
        <f t="shared" ref="T110:T111" si="220">IF(S43=0,"",T43/S43-1)</f>
        <v>8.6878756599994222E-2</v>
      </c>
      <c r="U110" s="89">
        <f t="shared" ref="U110:U111" si="221">IF(T43=0,"",U43/T43-1)</f>
        <v>6.4482022651947579E-2</v>
      </c>
      <c r="V110" s="89">
        <f t="shared" ref="V110:V111" si="222">IF(U43=0,"",V43/U43-1)</f>
        <v>2.1135214715866546E-2</v>
      </c>
      <c r="W110" s="89">
        <f t="shared" ref="W110:W111" si="223">IF(V43=0,"",W43/V43-1)</f>
        <v>-8.9203865925998826E-2</v>
      </c>
      <c r="X110" s="89">
        <f t="shared" ref="X110:X111" si="224">IF(W43=0,"",X43/W43-1)</f>
        <v>-9.1140446665109343E-2</v>
      </c>
      <c r="Y110" s="89">
        <f t="shared" ref="Y110:Y111" si="225">IF(X43=0,"",Y43/X43-1)</f>
        <v>0.27349556660852437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7.8613332113185885E-2</v>
      </c>
      <c r="F111" s="89">
        <f t="shared" si="206"/>
        <v>5.0093282647317716E-2</v>
      </c>
      <c r="G111" s="89">
        <f t="shared" si="207"/>
        <v>-1.6596381776060265E-2</v>
      </c>
      <c r="H111" s="89">
        <f t="shared" si="208"/>
        <v>7.1735940790963459E-2</v>
      </c>
      <c r="I111" s="89">
        <f t="shared" si="209"/>
        <v>1.6221690926058852E-2</v>
      </c>
      <c r="J111" s="89">
        <f t="shared" si="210"/>
        <v>9.0304095023768127E-2</v>
      </c>
      <c r="K111" s="89">
        <f t="shared" si="211"/>
        <v>2.7510444704444525E-2</v>
      </c>
      <c r="L111" s="89">
        <f t="shared" si="212"/>
        <v>-6.9524336114933138E-2</v>
      </c>
      <c r="M111" s="89">
        <f t="shared" si="213"/>
        <v>-0.25218774521971055</v>
      </c>
      <c r="N111" s="89">
        <f t="shared" si="214"/>
        <v>9.173918966795247E-2</v>
      </c>
      <c r="O111" s="89">
        <f t="shared" si="215"/>
        <v>9.0410654454110784E-2</v>
      </c>
      <c r="P111" s="89">
        <f t="shared" si="216"/>
        <v>-3.6409356287930406E-2</v>
      </c>
      <c r="Q111" s="89">
        <f t="shared" si="217"/>
        <v>-7.3729482936594648E-2</v>
      </c>
      <c r="R111" s="89">
        <f t="shared" si="218"/>
        <v>3.7868995671397343E-3</v>
      </c>
      <c r="S111" s="89">
        <f t="shared" si="219"/>
        <v>0.15328197082975836</v>
      </c>
      <c r="T111" s="89">
        <f t="shared" si="220"/>
        <v>7.9308934040234647E-2</v>
      </c>
      <c r="U111" s="89">
        <f t="shared" si="221"/>
        <v>8.3210623927304717E-2</v>
      </c>
      <c r="V111" s="89">
        <f t="shared" si="222"/>
        <v>4.1629494572412051E-2</v>
      </c>
      <c r="W111" s="89">
        <f t="shared" si="223"/>
        <v>-0.11900940629422163</v>
      </c>
      <c r="X111" s="89">
        <f t="shared" si="224"/>
        <v>-0.11592431855303176</v>
      </c>
      <c r="Y111" s="89">
        <f t="shared" si="225"/>
        <v>0.33939205351877177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9.3945578100507632E-2</v>
      </c>
      <c r="F112" s="89">
        <f t="shared" ref="F112:F113" si="227">IF(E47=0,"",F47/E47-1)</f>
        <v>0.10950847271678743</v>
      </c>
      <c r="G112" s="89">
        <f t="shared" ref="G112:G113" si="228">IF(F47=0,"",G47/F47-1)</f>
        <v>-0.10968045209724064</v>
      </c>
      <c r="H112" s="89">
        <f t="shared" ref="H112:H113" si="229">IF(G47=0,"",H47/G47-1)</f>
        <v>-6.7492633933037727E-2</v>
      </c>
      <c r="I112" s="89">
        <f t="shared" ref="I112:I113" si="230">IF(H47=0,"",I47/H47-1)</f>
        <v>-0.1016458589538074</v>
      </c>
      <c r="J112" s="89">
        <f t="shared" ref="J112:J113" si="231">IF(I47=0,"",J47/I47-1)</f>
        <v>-5.1752269429897302E-2</v>
      </c>
      <c r="K112" s="89">
        <f t="shared" ref="K112:K113" si="232">IF(J47=0,"",K47/J47-1)</f>
        <v>8.4756729869999825E-2</v>
      </c>
      <c r="L112" s="89">
        <f t="shared" ref="L112:L113" si="233">IF(K47=0,"",L47/K47-1)</f>
        <v>2.9935806136680565E-3</v>
      </c>
      <c r="M112" s="89">
        <f t="shared" ref="M112:M113" si="234">IF(L47=0,"",M47/L47-1)</f>
        <v>4.0272195995586735E-2</v>
      </c>
      <c r="N112" s="89">
        <f t="shared" ref="N112:N113" si="235">IF(M47=0,"",N47/M47-1)</f>
        <v>-1.5615129371292058E-2</v>
      </c>
      <c r="O112" s="89">
        <f t="shared" ref="O112:O113" si="236">IF(N47=0,"",O47/N47-1)</f>
        <v>1.9100298725081011E-3</v>
      </c>
      <c r="P112" s="89">
        <f t="shared" ref="P112:P113" si="237">IF(O47=0,"",P47/O47-1)</f>
        <v>0.11162419076993135</v>
      </c>
      <c r="Q112" s="89">
        <f t="shared" ref="Q112:Q113" si="238">IF(P47=0,"",Q47/P47-1)</f>
        <v>-0.37829370657897754</v>
      </c>
      <c r="R112" s="89">
        <f t="shared" ref="R112:R113" si="239">IF(Q47=0,"",R47/Q47-1)</f>
        <v>-2.8588059456666759E-3</v>
      </c>
      <c r="S112" s="89">
        <f t="shared" ref="S112:S113" si="240">IF(R47=0,"",S47/R47-1)</f>
        <v>0.1861207509881424</v>
      </c>
      <c r="T112" s="89">
        <f t="shared" ref="T112:T113" si="241">IF(S47=0,"",T47/S47-1)</f>
        <v>0.11654883701684771</v>
      </c>
      <c r="U112" s="89">
        <f t="shared" ref="U112:U113" si="242">IF(T47=0,"",U47/T47-1)</f>
        <v>-6.4768024528799595E-3</v>
      </c>
      <c r="V112" s="89">
        <f t="shared" ref="V112:V113" si="243">IF(U47=0,"",V47/U47-1)</f>
        <v>-6.3522907974802978E-2</v>
      </c>
      <c r="W112" s="89">
        <f t="shared" ref="W112:W113" si="244">IF(V47=0,"",W47/V47-1)</f>
        <v>4.7742048997211795E-2</v>
      </c>
      <c r="X112" s="89">
        <f t="shared" ref="X112:X113" si="245">IF(W47=0,"",X47/W47-1)</f>
        <v>4.609410575315831E-3</v>
      </c>
      <c r="Y112" s="89">
        <f t="shared" ref="Y112:Y113" si="246">IF(X47=0,"",Y47/X47-1)</f>
        <v>4.9456660226756544E-2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-1.1804713180732285E-2</v>
      </c>
      <c r="F113" s="89">
        <f t="shared" si="227"/>
        <v>-5.3152928003819544E-2</v>
      </c>
      <c r="G113" s="89">
        <f t="shared" si="228"/>
        <v>-9.2844696604854282E-2</v>
      </c>
      <c r="H113" s="89">
        <f t="shared" si="229"/>
        <v>-4.9994493302408793E-3</v>
      </c>
      <c r="I113" s="89">
        <f t="shared" si="230"/>
        <v>-3.7255298622354549E-2</v>
      </c>
      <c r="J113" s="89">
        <f t="shared" si="231"/>
        <v>8.8818774866910033E-2</v>
      </c>
      <c r="K113" s="89">
        <f t="shared" si="232"/>
        <v>0.10009131180063147</v>
      </c>
      <c r="L113" s="89">
        <f t="shared" si="233"/>
        <v>-2.9437302792899578E-3</v>
      </c>
      <c r="M113" s="89">
        <f t="shared" si="234"/>
        <v>-3.6728744135115732E-2</v>
      </c>
      <c r="N113" s="89">
        <f t="shared" si="235"/>
        <v>-0.12589236748085164</v>
      </c>
      <c r="O113" s="89">
        <f t="shared" si="236"/>
        <v>5.1414976583879612E-2</v>
      </c>
      <c r="P113" s="89">
        <f t="shared" si="237"/>
        <v>-0.13588955659305224</v>
      </c>
      <c r="Q113" s="89">
        <f t="shared" si="238"/>
        <v>-4.1817424289335214E-2</v>
      </c>
      <c r="R113" s="89">
        <f t="shared" si="239"/>
        <v>-3.8377179641745474E-2</v>
      </c>
      <c r="S113" s="89">
        <f t="shared" si="240"/>
        <v>-3.2178217819200938E-6</v>
      </c>
      <c r="T113" s="89">
        <f t="shared" si="241"/>
        <v>0.13415208842551563</v>
      </c>
      <c r="U113" s="89">
        <f t="shared" si="242"/>
        <v>3.5618885499300257E-2</v>
      </c>
      <c r="V113" s="89">
        <f t="shared" si="243"/>
        <v>7.0761739852726491E-2</v>
      </c>
      <c r="W113" s="89">
        <f t="shared" si="244"/>
        <v>1.9510822046502563E-2</v>
      </c>
      <c r="X113" s="89">
        <f t="shared" si="245"/>
        <v>3.2090666217189145E-2</v>
      </c>
      <c r="Y113" s="89">
        <f t="shared" si="246"/>
        <v>-1.7180831868549018E-2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1.1223367549801022E-2</v>
      </c>
      <c r="F114" s="89">
        <f t="shared" ref="F114:F115" si="248">IF(E52=0,"",F52/E52-1)</f>
        <v>-5.6125914752844119E-2</v>
      </c>
      <c r="G114" s="89">
        <f t="shared" ref="G114:G115" si="249">IF(F52=0,"",G52/F52-1)</f>
        <v>-7.5999191356097673E-2</v>
      </c>
      <c r="H114" s="89">
        <f t="shared" ref="H114:H115" si="250">IF(G52=0,"",H52/G52-1)</f>
        <v>5.1458517114930657E-3</v>
      </c>
      <c r="I114" s="89">
        <f t="shared" ref="I114:I115" si="251">IF(H52=0,"",I52/H52-1)</f>
        <v>-6.9937723225093062E-3</v>
      </c>
      <c r="J114" s="89">
        <f t="shared" ref="J114:J115" si="252">IF(I52=0,"",J52/I52-1)</f>
        <v>-3.0034860392795903E-2</v>
      </c>
      <c r="K114" s="89">
        <f t="shared" ref="K114:K115" si="253">IF(J52=0,"",K52/J52-1)</f>
        <v>2.9649896989269564E-2</v>
      </c>
      <c r="L114" s="89">
        <f t="shared" ref="L114:L115" si="254">IF(K52=0,"",L52/K52-1)</f>
        <v>-5.2600184326777599E-2</v>
      </c>
      <c r="M114" s="89">
        <f t="shared" ref="M114:M115" si="255">IF(L52=0,"",M52/L52-1)</f>
        <v>-6.6502059354532239E-2</v>
      </c>
      <c r="N114" s="89">
        <f t="shared" ref="N114:N115" si="256">IF(M52=0,"",N52/M52-1)</f>
        <v>-8.6289368554950618E-2</v>
      </c>
      <c r="O114" s="89">
        <f t="shared" ref="O114:O115" si="257">IF(N52=0,"",O52/N52-1)</f>
        <v>-1.4929872911339959E-2</v>
      </c>
      <c r="P114" s="89">
        <f t="shared" ref="P114:P115" si="258">IF(O52=0,"",P52/O52-1)</f>
        <v>-9.0526602050090887E-2</v>
      </c>
      <c r="Q114" s="89">
        <f t="shared" ref="Q114:Q115" si="259">IF(P52=0,"",Q52/P52-1)</f>
        <v>-1.2018432720334982E-2</v>
      </c>
      <c r="R114" s="89">
        <f t="shared" ref="R114:R115" si="260">IF(Q52=0,"",R52/Q52-1)</f>
        <v>3.8172220535679369E-3</v>
      </c>
      <c r="S114" s="89">
        <f t="shared" ref="S114:S115" si="261">IF(R52=0,"",S52/R52-1)</f>
        <v>-5.347637500000002E-2</v>
      </c>
      <c r="T114" s="89">
        <f t="shared" ref="T114:T115" si="262">IF(S52=0,"",T52/S52-1)</f>
        <v>7.9625222702224274E-3</v>
      </c>
      <c r="U114" s="89">
        <f t="shared" ref="U114:U115" si="263">IF(T52=0,"",U52/T52-1)</f>
        <v>4.8395471614415264E-4</v>
      </c>
      <c r="V114" s="89">
        <f t="shared" ref="V114:V115" si="264">IF(U52=0,"",V52/U52-1)</f>
        <v>3.600307581179818E-2</v>
      </c>
      <c r="W114" s="89">
        <f t="shared" ref="W114:W115" si="265">IF(V52=0,"",W52/V52-1)</f>
        <v>9.0567248262691802E-3</v>
      </c>
      <c r="X114" s="89">
        <f t="shared" ref="X114:X115" si="266">IF(W52=0,"",X52/W52-1)</f>
        <v>-4.1201457068528291E-2</v>
      </c>
      <c r="Y114" s="89">
        <f t="shared" ref="Y114:Y115" si="267">IF(X52=0,"",Y52/X52-1)</f>
        <v>-0.12950884290508369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9.5619249800901196E-2</v>
      </c>
      <c r="F115" s="89">
        <f t="shared" si="248"/>
        <v>1.0674055286808537E-2</v>
      </c>
      <c r="G115" s="89">
        <f t="shared" si="249"/>
        <v>-4.0352437520727369E-2</v>
      </c>
      <c r="H115" s="89">
        <f t="shared" si="250"/>
        <v>2.3044798826482582E-2</v>
      </c>
      <c r="I115" s="89">
        <f t="shared" si="251"/>
        <v>-5.652391193404871E-2</v>
      </c>
      <c r="J115" s="89">
        <f t="shared" si="252"/>
        <v>1.4419137113000025E-2</v>
      </c>
      <c r="K115" s="89">
        <f t="shared" si="253"/>
        <v>5.4116800962356715E-2</v>
      </c>
      <c r="L115" s="89">
        <f t="shared" si="254"/>
        <v>-7.2416771565560145E-2</v>
      </c>
      <c r="M115" s="89">
        <f t="shared" si="255"/>
        <v>-8.4568021810698224E-2</v>
      </c>
      <c r="N115" s="89">
        <f t="shared" si="256"/>
        <v>-2.2394610885194455E-2</v>
      </c>
      <c r="O115" s="89">
        <f t="shared" si="257"/>
        <v>5.428963766609618E-3</v>
      </c>
      <c r="P115" s="89">
        <f t="shared" si="258"/>
        <v>-0.11512610580938565</v>
      </c>
      <c r="Q115" s="89">
        <f t="shared" si="259"/>
        <v>5.1020948423864398E-2</v>
      </c>
      <c r="R115" s="89">
        <f t="shared" si="260"/>
        <v>0.10102123536536123</v>
      </c>
      <c r="S115" s="89">
        <f t="shared" si="261"/>
        <v>-3.677217180883241E-2</v>
      </c>
      <c r="T115" s="89">
        <f t="shared" si="262"/>
        <v>4.684058083034337E-2</v>
      </c>
      <c r="U115" s="89">
        <f t="shared" si="263"/>
        <v>3.0437974158388004E-2</v>
      </c>
      <c r="V115" s="89">
        <f t="shared" si="264"/>
        <v>8.6693723047897686E-2</v>
      </c>
      <c r="W115" s="89">
        <f t="shared" si="265"/>
        <v>8.4756524945188705E-2</v>
      </c>
      <c r="X115" s="89">
        <f t="shared" si="266"/>
        <v>-1.8899611778808056E-2</v>
      </c>
      <c r="Y115" s="89">
        <f t="shared" si="267"/>
        <v>-0.20529867659765644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-3.3794177842300543E-2</v>
      </c>
      <c r="F116" s="89">
        <f t="shared" ref="F116:F122" si="269">IF(E56=0,"",F56/E56-1)</f>
        <v>-9.6530143881871866E-2</v>
      </c>
      <c r="G116" s="89">
        <f t="shared" ref="G116:G122" si="270">IF(F56=0,"",G56/F56-1)</f>
        <v>-0.10011867437106758</v>
      </c>
      <c r="H116" s="89">
        <f t="shared" ref="H116:H122" si="271">IF(G56=0,"",H56/G56-1)</f>
        <v>-7.7693745115755553E-3</v>
      </c>
      <c r="I116" s="89">
        <f t="shared" ref="I116:I122" si="272">IF(H56=0,"",I56/H56-1)</f>
        <v>2.985526183828946E-2</v>
      </c>
      <c r="J116" s="89">
        <f t="shared" ref="J116:J122" si="273">IF(I56=0,"",J56/I56-1)</f>
        <v>-6.033342701709743E-2</v>
      </c>
      <c r="K116" s="89">
        <f t="shared" ref="K116:K122" si="274">IF(J56=0,"",K56/J56-1)</f>
        <v>1.1647350725340955E-2</v>
      </c>
      <c r="L116" s="89">
        <f t="shared" ref="L116:L122" si="275">IF(K56=0,"",L56/K56-1)</f>
        <v>-3.7407190249876487E-2</v>
      </c>
      <c r="M116" s="89">
        <f t="shared" ref="M116:M122" si="276">IF(L56=0,"",M56/L56-1)</f>
        <v>-5.3154991061052259E-2</v>
      </c>
      <c r="N116" s="89">
        <f t="shared" ref="N116:N122" si="277">IF(M56=0,"",N56/M56-1)</f>
        <v>-0.13192848117620504</v>
      </c>
      <c r="O116" s="89">
        <f t="shared" ref="O116:O122" si="278">IF(N56=0,"",O56/N56-1)</f>
        <v>-3.1306822128150502E-2</v>
      </c>
      <c r="P116" s="89">
        <f t="shared" ref="P116:P122" si="279">IF(O56=0,"",P56/O56-1)</f>
        <v>-6.99879687526479E-2</v>
      </c>
      <c r="Q116" s="89">
        <f t="shared" ref="Q116:Q122" si="280">IF(P56=0,"",Q56/P56-1)</f>
        <v>-6.2096775836567253E-2</v>
      </c>
      <c r="R116" s="89">
        <f t="shared" ref="R116:R122" si="281">IF(Q56=0,"",R56/Q56-1)</f>
        <v>-8.2714540538532999E-2</v>
      </c>
      <c r="S116" s="89">
        <f t="shared" ref="S116:S122" si="282">IF(R56=0,"",S56/R56-1)</f>
        <v>-7.1325145442792448E-2</v>
      </c>
      <c r="T116" s="89">
        <f t="shared" ref="T116:T122" si="283">IF(S56=0,"",T56/S56-1)</f>
        <v>-3.5125091596063474E-2</v>
      </c>
      <c r="U116" s="89">
        <f t="shared" ref="U116:U122" si="284">IF(T56=0,"",U56/T56-1)</f>
        <v>-3.5533458540495388E-2</v>
      </c>
      <c r="V116" s="89">
        <f t="shared" ref="V116:V122" si="285">IF(U56=0,"",V56/U56-1)</f>
        <v>-2.9117755673993773E-2</v>
      </c>
      <c r="W116" s="89">
        <f t="shared" ref="W116:W122" si="286">IF(V56=0,"",W56/V56-1)</f>
        <v>-9.9793024499759575E-2</v>
      </c>
      <c r="X116" s="89">
        <f t="shared" ref="X116:X122" si="287">IF(W56=0,"",X56/W56-1)</f>
        <v>-7.9843795207757196E-2</v>
      </c>
      <c r="Y116" s="89">
        <f t="shared" ref="Y116:Y122" si="288">IF(X56=0,"",Y56/X56-1)</f>
        <v>1.0509663408313275E-2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2.2765497294259252E-2</v>
      </c>
      <c r="F117" s="89">
        <f t="shared" si="269"/>
        <v>6.8828703349803622E-3</v>
      </c>
      <c r="G117" s="89">
        <f t="shared" si="270"/>
        <v>8.9242817642016803E-3</v>
      </c>
      <c r="H117" s="89">
        <f t="shared" si="271"/>
        <v>6.9006309052765946E-3</v>
      </c>
      <c r="I117" s="89">
        <f t="shared" si="272"/>
        <v>6.9242731997711804E-3</v>
      </c>
      <c r="J117" s="89">
        <f t="shared" si="273"/>
        <v>-0.11165593408527907</v>
      </c>
      <c r="K117" s="89">
        <f t="shared" si="274"/>
        <v>9.5293509942706578E-3</v>
      </c>
      <c r="L117" s="89">
        <f t="shared" si="275"/>
        <v>-5.6211835497223195E-2</v>
      </c>
      <c r="M117" s="89">
        <f t="shared" si="276"/>
        <v>4.7451101271048568E-2</v>
      </c>
      <c r="N117" s="89">
        <f t="shared" si="277"/>
        <v>-2.9868242235870368E-2</v>
      </c>
      <c r="O117" s="89">
        <f t="shared" si="278"/>
        <v>3.5997575673447191E-2</v>
      </c>
      <c r="P117" s="89">
        <f t="shared" si="279"/>
        <v>8.5391668055497805E-2</v>
      </c>
      <c r="Q117" s="89">
        <f t="shared" si="280"/>
        <v>2.2078714767269192E-2</v>
      </c>
      <c r="R117" s="89">
        <f t="shared" si="281"/>
        <v>5.7533335852167022E-2</v>
      </c>
      <c r="S117" s="89">
        <f t="shared" si="282"/>
        <v>9.7413550745011346E-3</v>
      </c>
      <c r="T117" s="89">
        <f t="shared" si="283"/>
        <v>4.3550382047137237E-2</v>
      </c>
      <c r="U117" s="89">
        <f t="shared" si="284"/>
        <v>2.362871786459575E-2</v>
      </c>
      <c r="V117" s="89">
        <f t="shared" si="285"/>
        <v>8.064575956039377E-3</v>
      </c>
      <c r="W117" s="89">
        <f t="shared" si="286"/>
        <v>-4.9655755420063841E-4</v>
      </c>
      <c r="X117" s="89">
        <f t="shared" si="287"/>
        <v>1.9740659155319973E-2</v>
      </c>
      <c r="Y117" s="89">
        <f t="shared" si="288"/>
        <v>1.5212305258311964E-3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0.10262017598251982</v>
      </c>
      <c r="F118" s="89">
        <f t="shared" si="269"/>
        <v>-3.269378540190071E-2</v>
      </c>
      <c r="G118" s="89">
        <f t="shared" si="270"/>
        <v>-2.0246240525120252E-2</v>
      </c>
      <c r="H118" s="89">
        <f t="shared" si="271"/>
        <v>4.4848534951146046E-2</v>
      </c>
      <c r="I118" s="89">
        <f t="shared" si="272"/>
        <v>-5.0198339627465671E-2</v>
      </c>
      <c r="J118" s="89">
        <f t="shared" si="273"/>
        <v>-1.9321682128397799E-2</v>
      </c>
      <c r="K118" s="89">
        <f t="shared" si="274"/>
        <v>0.15740611489272194</v>
      </c>
      <c r="L118" s="89">
        <f t="shared" si="275"/>
        <v>4.0643360154636543E-2</v>
      </c>
      <c r="M118" s="89">
        <f t="shared" si="276"/>
        <v>-0.31876338478100674</v>
      </c>
      <c r="N118" s="89">
        <f t="shared" si="277"/>
        <v>0.15807575139075247</v>
      </c>
      <c r="O118" s="89">
        <f t="shared" si="278"/>
        <v>8.8957002889533676E-4</v>
      </c>
      <c r="P118" s="89">
        <f t="shared" si="279"/>
        <v>-0.12271504405362954</v>
      </c>
      <c r="Q118" s="89">
        <f t="shared" si="280"/>
        <v>1.5576425756238299E-2</v>
      </c>
      <c r="R118" s="89">
        <f t="shared" si="281"/>
        <v>-2.6452441328372656E-2</v>
      </c>
      <c r="S118" s="89">
        <f t="shared" si="282"/>
        <v>7.6197961075069598E-2</v>
      </c>
      <c r="T118" s="89">
        <f t="shared" si="283"/>
        <v>7.1244739710309979E-3</v>
      </c>
      <c r="U118" s="89">
        <f t="shared" si="284"/>
        <v>0.14540728210117115</v>
      </c>
      <c r="V118" s="89">
        <f t="shared" si="285"/>
        <v>2.3580766023887589E-2</v>
      </c>
      <c r="W118" s="89">
        <f t="shared" si="286"/>
        <v>1.3557077545690355E-2</v>
      </c>
      <c r="X118" s="89">
        <f t="shared" si="287"/>
        <v>-7.4437401543751447E-2</v>
      </c>
      <c r="Y118" s="89">
        <f t="shared" si="288"/>
        <v>1.9433806962882993E-3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-6.4081044688225286E-2</v>
      </c>
      <c r="F119" s="89">
        <f t="shared" si="269"/>
        <v>-0.12613665652949269</v>
      </c>
      <c r="G119" s="89">
        <f t="shared" si="270"/>
        <v>-4.6355625425173574E-2</v>
      </c>
      <c r="H119" s="89">
        <f t="shared" si="271"/>
        <v>5.0056111836913386E-2</v>
      </c>
      <c r="I119" s="89">
        <f t="shared" si="272"/>
        <v>6.7470812809581782E-2</v>
      </c>
      <c r="J119" s="89">
        <f t="shared" si="273"/>
        <v>6.738159230555274E-2</v>
      </c>
      <c r="K119" s="89">
        <f t="shared" si="274"/>
        <v>5.9344371454995049E-2</v>
      </c>
      <c r="L119" s="89">
        <f t="shared" si="275"/>
        <v>-1.8764935686411244E-2</v>
      </c>
      <c r="M119" s="89">
        <f t="shared" si="276"/>
        <v>-0.11868745917108769</v>
      </c>
      <c r="N119" s="89">
        <f t="shared" si="277"/>
        <v>9.3269799654501329E-2</v>
      </c>
      <c r="O119" s="89">
        <f t="shared" si="278"/>
        <v>7.0240426182505367E-2</v>
      </c>
      <c r="P119" s="89">
        <f t="shared" si="279"/>
        <v>-5.8863951649120394E-2</v>
      </c>
      <c r="Q119" s="89">
        <f t="shared" si="280"/>
        <v>2.8045643919374363E-3</v>
      </c>
      <c r="R119" s="89">
        <f t="shared" si="281"/>
        <v>5.0764376141375633E-2</v>
      </c>
      <c r="S119" s="89">
        <f t="shared" si="282"/>
        <v>3.5734737400999972E-2</v>
      </c>
      <c r="T119" s="89">
        <f t="shared" si="283"/>
        <v>-1.4071567842133259E-2</v>
      </c>
      <c r="U119" s="89">
        <f t="shared" si="284"/>
        <v>6.2159305533847409E-2</v>
      </c>
      <c r="V119" s="89">
        <f t="shared" si="285"/>
        <v>4.9744247786199791E-2</v>
      </c>
      <c r="W119" s="89">
        <f t="shared" si="286"/>
        <v>4.3177461994993394E-2</v>
      </c>
      <c r="X119" s="89">
        <f t="shared" si="287"/>
        <v>6.1325984363718167E-3</v>
      </c>
      <c r="Y119" s="89">
        <f t="shared" si="288"/>
        <v>9.188782734462575E-2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-7.7092381662896892E-2</v>
      </c>
      <c r="F120" s="89">
        <f t="shared" si="269"/>
        <v>-4.4686522470932299E-2</v>
      </c>
      <c r="G120" s="89">
        <f t="shared" si="270"/>
        <v>-3.8603177627694163E-2</v>
      </c>
      <c r="H120" s="89">
        <f t="shared" si="271"/>
        <v>-0.13418049688215405</v>
      </c>
      <c r="I120" s="89">
        <f t="shared" si="272"/>
        <v>-1.4445911370957409E-2</v>
      </c>
      <c r="J120" s="89">
        <f t="shared" si="273"/>
        <v>-4.1954909699060128E-3</v>
      </c>
      <c r="K120" s="89">
        <f t="shared" si="274"/>
        <v>6.1975166730319886E-2</v>
      </c>
      <c r="L120" s="89">
        <f t="shared" si="275"/>
        <v>-3.670803246400034E-2</v>
      </c>
      <c r="M120" s="89">
        <f t="shared" si="276"/>
        <v>-9.9251045424158302E-2</v>
      </c>
      <c r="N120" s="89">
        <f t="shared" si="277"/>
        <v>1.9137969265037302E-3</v>
      </c>
      <c r="O120" s="89">
        <f t="shared" si="278"/>
        <v>6.9877784464074333E-2</v>
      </c>
      <c r="P120" s="89">
        <f t="shared" si="279"/>
        <v>-3.6291145182406503E-2</v>
      </c>
      <c r="Q120" s="89">
        <f t="shared" si="280"/>
        <v>1.5225798321966799E-2</v>
      </c>
      <c r="R120" s="89">
        <f t="shared" si="281"/>
        <v>5.5995679734075487E-3</v>
      </c>
      <c r="S120" s="89">
        <f t="shared" si="282"/>
        <v>3.5845161290322114E-3</v>
      </c>
      <c r="T120" s="89">
        <f t="shared" si="283"/>
        <v>3.4399978462703595E-2</v>
      </c>
      <c r="U120" s="89">
        <f t="shared" si="284"/>
        <v>1.5606483953407579E-3</v>
      </c>
      <c r="V120" s="89">
        <f t="shared" si="285"/>
        <v>-1.0861677228124811E-2</v>
      </c>
      <c r="W120" s="89">
        <f t="shared" si="286"/>
        <v>-1.2816904322355271E-2</v>
      </c>
      <c r="X120" s="89">
        <f t="shared" si="287"/>
        <v>-1.8145357386748384E-2</v>
      </c>
      <c r="Y120" s="89">
        <f t="shared" si="288"/>
        <v>0.15346417113334443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9.1169788179469524E-2</v>
      </c>
      <c r="F121" s="89">
        <f t="shared" si="269"/>
        <v>-0.17570540656690381</v>
      </c>
      <c r="G121" s="89">
        <f t="shared" si="270"/>
        <v>4.8149938603812448E-2</v>
      </c>
      <c r="H121" s="89">
        <f t="shared" si="271"/>
        <v>-6.4428323723724201E-3</v>
      </c>
      <c r="I121" s="89">
        <f t="shared" si="272"/>
        <v>-3.9553825762066785E-2</v>
      </c>
      <c r="J121" s="89">
        <f t="shared" si="273"/>
        <v>-2.2407343785568301E-2</v>
      </c>
      <c r="K121" s="89">
        <f t="shared" si="274"/>
        <v>5.0409809832859587E-2</v>
      </c>
      <c r="L121" s="89">
        <f t="shared" si="275"/>
        <v>6.132960691492606E-2</v>
      </c>
      <c r="M121" s="89">
        <f t="shared" si="276"/>
        <v>-0.12290972764642349</v>
      </c>
      <c r="N121" s="89">
        <f t="shared" si="277"/>
        <v>-0.17980818329448534</v>
      </c>
      <c r="O121" s="89">
        <f t="shared" si="278"/>
        <v>4.6671063825279191E-2</v>
      </c>
      <c r="P121" s="89">
        <f t="shared" si="279"/>
        <v>-0.11887470881821571</v>
      </c>
      <c r="Q121" s="89">
        <f t="shared" si="280"/>
        <v>-0.13374770126734825</v>
      </c>
      <c r="R121" s="89">
        <f t="shared" si="281"/>
        <v>4.7553614465201344E-2</v>
      </c>
      <c r="S121" s="89">
        <f t="shared" si="282"/>
        <v>0.13397919075144493</v>
      </c>
      <c r="T121" s="89">
        <f t="shared" si="283"/>
        <v>0.12688396111975853</v>
      </c>
      <c r="U121" s="89">
        <f t="shared" si="284"/>
        <v>9.2537692852430631E-2</v>
      </c>
      <c r="V121" s="89">
        <f t="shared" si="285"/>
        <v>7.9968598661806611E-2</v>
      </c>
      <c r="W121" s="89">
        <f t="shared" si="286"/>
        <v>8.338164740741516E-2</v>
      </c>
      <c r="X121" s="89">
        <f t="shared" si="287"/>
        <v>2.6147185002620921E-2</v>
      </c>
      <c r="Y121" s="89">
        <f t="shared" si="288"/>
        <v>8.8581140980824369E-2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-8.4849982287312775E-3</v>
      </c>
      <c r="F122" s="91">
        <f t="shared" si="269"/>
        <v>-1.8375661938798804E-2</v>
      </c>
      <c r="G122" s="91">
        <f t="shared" si="270"/>
        <v>-2.0948688453188202E-2</v>
      </c>
      <c r="H122" s="91">
        <f t="shared" si="271"/>
        <v>-1.8777268125853896E-2</v>
      </c>
      <c r="I122" s="91">
        <f t="shared" si="272"/>
        <v>2.0270068629142379E-3</v>
      </c>
      <c r="J122" s="91">
        <f t="shared" si="273"/>
        <v>-9.3815547343334416E-4</v>
      </c>
      <c r="K122" s="91">
        <f t="shared" si="274"/>
        <v>1.5767875429479883E-2</v>
      </c>
      <c r="L122" s="91">
        <f t="shared" si="275"/>
        <v>5.1040774279620393E-4</v>
      </c>
      <c r="M122" s="91">
        <f t="shared" si="276"/>
        <v>-3.3635659791293793E-2</v>
      </c>
      <c r="N122" s="91">
        <f t="shared" si="277"/>
        <v>-4.9157143469480635E-2</v>
      </c>
      <c r="O122" s="91">
        <f t="shared" si="278"/>
        <v>-2.224038280037588E-3</v>
      </c>
      <c r="P122" s="91">
        <f t="shared" si="279"/>
        <v>-9.304137919610489E-3</v>
      </c>
      <c r="Q122" s="91">
        <f t="shared" si="280"/>
        <v>-3.4111838344634715E-2</v>
      </c>
      <c r="R122" s="91">
        <f t="shared" si="281"/>
        <v>3.618437918830808E-2</v>
      </c>
      <c r="S122" s="91">
        <f t="shared" si="282"/>
        <v>-1.0461522790934596E-2</v>
      </c>
      <c r="T122" s="91">
        <f t="shared" si="283"/>
        <v>2.3132137907167172E-2</v>
      </c>
      <c r="U122" s="91">
        <f t="shared" si="284"/>
        <v>1.162977199347015E-2</v>
      </c>
      <c r="V122" s="91">
        <f t="shared" si="285"/>
        <v>-1.8666429261841588E-2</v>
      </c>
      <c r="W122" s="91">
        <f t="shared" si="286"/>
        <v>-3.7630873172047608E-3</v>
      </c>
      <c r="X122" s="91">
        <f t="shared" si="287"/>
        <v>-1.0994122021679265E-2</v>
      </c>
      <c r="Y122" s="91">
        <f t="shared" si="288"/>
        <v>9.9845548986663424E-3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2024-05-20T16:54:04Z</dcterms:created>
  <dcterms:modified xsi:type="dcterms:W3CDTF">2024-05-20T16:54:04Z</dcterms:modified>
</cp:coreProperties>
</file>