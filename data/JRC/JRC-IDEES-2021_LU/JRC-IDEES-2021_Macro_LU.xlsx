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LU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15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X12" i="59" l="1"/>
  <c r="P12" i="59"/>
  <c r="H12" i="59"/>
  <c r="O12" i="59"/>
  <c r="M12" i="59"/>
  <c r="J12" i="59"/>
  <c r="W12" i="59"/>
  <c r="W13" i="59" s="1"/>
  <c r="G12" i="59"/>
  <c r="Y12" i="59"/>
  <c r="V12" i="59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X21" i="59"/>
  <c r="W21" i="59"/>
  <c r="Y20" i="59"/>
  <c r="W20" i="59"/>
  <c r="V20" i="59"/>
  <c r="X122" i="59"/>
  <c r="T90" i="59"/>
  <c r="Y89" i="59"/>
  <c r="U121" i="59"/>
  <c r="T119" i="59"/>
  <c r="Y118" i="59"/>
  <c r="W84" i="59"/>
  <c r="U116" i="59"/>
  <c r="U113" i="59"/>
  <c r="Y80" i="59"/>
  <c r="X112" i="59"/>
  <c r="Y111" i="59"/>
  <c r="W111" i="59"/>
  <c r="Y75" i="59"/>
  <c r="Y107" i="59"/>
  <c r="W75" i="59"/>
  <c r="O106" i="59"/>
  <c r="M106" i="59"/>
  <c r="G106" i="59"/>
  <c r="Y73" i="59"/>
  <c r="W72" i="59"/>
  <c r="W104" i="59"/>
  <c r="U104" i="59"/>
  <c r="Y71" i="59"/>
  <c r="V103" i="59"/>
  <c r="T71" i="59"/>
  <c r="V101" i="59"/>
  <c r="U101" i="59"/>
  <c r="U100" i="59"/>
  <c r="Y84" i="59"/>
  <c r="W74" i="59"/>
  <c r="U115" i="59"/>
  <c r="V113" i="59"/>
  <c r="T112" i="59"/>
  <c r="V111" i="59"/>
  <c r="X110" i="59"/>
  <c r="Y93" i="59"/>
  <c r="T80" i="59"/>
  <c r="W78" i="59"/>
  <c r="Y122" i="59"/>
  <c r="W122" i="59"/>
  <c r="Y120" i="59"/>
  <c r="W87" i="59"/>
  <c r="T118" i="59"/>
  <c r="W85" i="59"/>
  <c r="V115" i="59"/>
  <c r="T83" i="59"/>
  <c r="Y114" i="59"/>
  <c r="W81" i="59"/>
  <c r="W113" i="59"/>
  <c r="W110" i="59"/>
  <c r="Y77" i="59"/>
  <c r="U109" i="59"/>
  <c r="U108" i="59"/>
  <c r="W73" i="59"/>
  <c r="W105" i="59"/>
  <c r="Y102" i="59"/>
  <c r="W69" i="59"/>
  <c r="W101" i="59"/>
  <c r="Y99" i="59"/>
  <c r="W67" i="59"/>
  <c r="W98" i="59"/>
  <c r="U94" i="59"/>
  <c r="X20" i="59"/>
  <c r="U20" i="59"/>
  <c r="X13" i="59"/>
  <c r="Y13" i="59"/>
  <c r="V13" i="59"/>
  <c r="W5" i="59"/>
  <c r="T5" i="59"/>
  <c r="Y5" i="59"/>
  <c r="U5" i="59"/>
  <c r="Y70" i="59" l="1"/>
  <c r="Y82" i="59"/>
  <c r="Y67" i="59"/>
  <c r="W80" i="59"/>
  <c r="U103" i="59"/>
  <c r="U71" i="59"/>
  <c r="Y69" i="59"/>
  <c r="V94" i="59"/>
  <c r="W90" i="59"/>
  <c r="W65" i="59"/>
  <c r="E106" i="59"/>
  <c r="V74" i="59"/>
  <c r="Y66" i="59"/>
  <c r="T67" i="59"/>
  <c r="X100" i="59"/>
  <c r="Y103" i="59"/>
  <c r="J106" i="59"/>
  <c r="R106" i="59"/>
  <c r="Y74" i="59"/>
  <c r="U107" i="59"/>
  <c r="W112" i="59"/>
  <c r="Y115" i="59"/>
  <c r="U117" i="59"/>
  <c r="U93" i="59"/>
  <c r="Y65" i="59"/>
  <c r="Y72" i="59"/>
  <c r="Y97" i="59"/>
  <c r="T98" i="59"/>
  <c r="Y68" i="59"/>
  <c r="X102" i="59"/>
  <c r="Y105" i="59"/>
  <c r="L106" i="59"/>
  <c r="T106" i="59"/>
  <c r="U110" i="59"/>
  <c r="W117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V96" i="59" s="1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U96" i="59" l="1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6" i="4"/>
  <c r="B5" i="4"/>
  <c r="B4" i="4"/>
  <c r="B7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I96" i="59" s="1"/>
  <c r="Q94" i="59"/>
  <c r="F94" i="59" l="1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5" i="59" s="1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F95" i="59" l="1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S54" i="55"/>
  <c r="N16" i="57"/>
  <c r="N16" i="55"/>
  <c r="Q54" i="57"/>
  <c r="Q54" i="55"/>
  <c r="G54" i="57"/>
  <c r="G54" i="55"/>
  <c r="R16" i="57"/>
  <c r="R16" i="55"/>
  <c r="U54" i="57"/>
  <c r="U54" i="55"/>
  <c r="X54" i="57"/>
  <c r="X54" i="55"/>
  <c r="L16" i="57"/>
  <c r="L16" i="55"/>
  <c r="O16" i="57"/>
  <c r="O16" i="55"/>
  <c r="N54" i="57"/>
  <c r="N54" i="55"/>
  <c r="L54" i="57"/>
  <c r="L54" i="55"/>
  <c r="E54" i="57"/>
  <c r="E54" i="55"/>
  <c r="H54" i="57"/>
  <c r="H54" i="55"/>
  <c r="W54" i="57"/>
  <c r="W54" i="55"/>
  <c r="I54" i="57"/>
  <c r="I54" i="55"/>
  <c r="E16" i="57"/>
  <c r="E16" i="55"/>
  <c r="Y16" i="57"/>
  <c r="Y16" i="55"/>
  <c r="Y54" i="57"/>
  <c r="Y54" i="55"/>
  <c r="O54" i="57"/>
  <c r="O54" i="55"/>
  <c r="K16" i="57"/>
  <c r="K16" i="55"/>
  <c r="P16" i="57"/>
  <c r="P16" i="55"/>
  <c r="M16" i="57"/>
  <c r="M16" i="55"/>
  <c r="M54" i="57"/>
  <c r="M54" i="55"/>
  <c r="P54" i="57"/>
  <c r="P54" i="55"/>
  <c r="Q16" i="57"/>
  <c r="Q16" i="55"/>
  <c r="R54" i="57"/>
  <c r="R54" i="55"/>
  <c r="W16" i="57"/>
  <c r="W16" i="55"/>
  <c r="K54" i="57"/>
  <c r="K54" i="55"/>
  <c r="J54" i="57"/>
  <c r="J54" i="55"/>
  <c r="V16" i="57"/>
  <c r="V16" i="55"/>
  <c r="U16" i="57"/>
  <c r="U16" i="55"/>
  <c r="T16" i="57"/>
  <c r="T16" i="55"/>
  <c r="D16" i="57"/>
  <c r="D16" i="55"/>
  <c r="V54" i="57"/>
  <c r="V54" i="55"/>
  <c r="J16" i="57"/>
  <c r="J16" i="55"/>
  <c r="G16" i="57"/>
  <c r="G16" i="55"/>
  <c r="F16" i="57"/>
  <c r="F16" i="55"/>
  <c r="I16" i="57"/>
  <c r="I16" i="55"/>
  <c r="S16" i="57"/>
  <c r="S16" i="55"/>
  <c r="F54" i="57"/>
  <c r="F54" i="55"/>
  <c r="T54" i="57"/>
  <c r="T54" i="55"/>
  <c r="D54" i="57"/>
  <c r="D54" i="55"/>
  <c r="X16" i="57"/>
  <c r="X16" i="55"/>
  <c r="H16" i="57"/>
  <c r="H16" i="55"/>
  <c r="V75" i="57" l="1"/>
  <c r="V75" i="55"/>
  <c r="T39" i="57"/>
  <c r="T39" i="55"/>
  <c r="G75" i="57"/>
  <c r="G75" i="55"/>
  <c r="S39" i="57"/>
  <c r="S39" i="55"/>
  <c r="R75" i="57"/>
  <c r="R75" i="55"/>
  <c r="P75" i="57"/>
  <c r="P75" i="55"/>
  <c r="Y75" i="57"/>
  <c r="Y75" i="55"/>
  <c r="D39" i="57"/>
  <c r="D39" i="55"/>
  <c r="L75" i="57"/>
  <c r="L75" i="55"/>
  <c r="H75" i="57"/>
  <c r="H75" i="55"/>
  <c r="M75" i="57"/>
  <c r="M75" i="55"/>
  <c r="O39" i="57"/>
  <c r="O39" i="55"/>
  <c r="X39" i="57"/>
  <c r="X39" i="55"/>
  <c r="J39" i="57"/>
  <c r="J39" i="55"/>
  <c r="H39" i="57"/>
  <c r="H39" i="55"/>
  <c r="K75" i="57"/>
  <c r="K75" i="55"/>
  <c r="K39" i="57"/>
  <c r="K39" i="55"/>
  <c r="Q39" i="57"/>
  <c r="Q39" i="55"/>
  <c r="N75" i="57"/>
  <c r="N75" i="55"/>
  <c r="E75" i="57"/>
  <c r="E75" i="55"/>
  <c r="G39" i="57"/>
  <c r="G39" i="55"/>
  <c r="W75" i="57"/>
  <c r="W75" i="55"/>
  <c r="D75" i="57"/>
  <c r="D75" i="55"/>
  <c r="U75" i="57"/>
  <c r="U75" i="55"/>
  <c r="X75" i="57"/>
  <c r="X75" i="55"/>
  <c r="R39" i="57"/>
  <c r="R39" i="55"/>
  <c r="I75" i="57"/>
  <c r="I75" i="55"/>
  <c r="M39" i="57"/>
  <c r="M39" i="55"/>
  <c r="U39" i="57"/>
  <c r="U39" i="55"/>
  <c r="V39" i="57"/>
  <c r="V39" i="55"/>
  <c r="F75" i="57"/>
  <c r="F75" i="55"/>
  <c r="Q75" i="57"/>
  <c r="Q75" i="55"/>
  <c r="J75" i="57"/>
  <c r="J75" i="55"/>
  <c r="L39" i="57"/>
  <c r="L39" i="55"/>
  <c r="S75" i="57"/>
  <c r="S75" i="55"/>
  <c r="W39" i="57"/>
  <c r="W39" i="55"/>
  <c r="P39" i="57"/>
  <c r="P39" i="55"/>
  <c r="N39" i="57"/>
  <c r="N39" i="55"/>
  <c r="T75" i="57"/>
  <c r="T75" i="55"/>
  <c r="O75" i="57"/>
  <c r="O75" i="55"/>
  <c r="F39" i="57"/>
  <c r="F39" i="55"/>
  <c r="I39" i="57"/>
  <c r="I39" i="55"/>
  <c r="Y39" i="57"/>
  <c r="Y39" i="55"/>
  <c r="E39" i="57"/>
  <c r="E39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<sst xmlns="http://schemas.openxmlformats.org/spreadsheetml/2006/main" count="722" uniqueCount="281">
  <si>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</si>
  <si>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</si>
  <si>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</si>
  <si>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</si>
  <si>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</si>
  <si>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</si>
  <si>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</si>
  <si>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</si>
  <si>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</si>
  <si>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</si>
  <si>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</si>
  <si>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</si>
  <si>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</si>
  <si>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</si>
  <si>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</si>
  <si>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</si>
  <si>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</si>
  <si>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</si>
  <si>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</si>
  <si>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</si>
  <si>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</si>
  <si>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</si>
  <si>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</si>
  <si>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</si>
  <si>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</si>
  <si>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</si>
  <si>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</si>
  <si>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</si>
  <si>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</si>
  <si>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</si>
  <si>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</si>
  <si>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</si>
  <si>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</si>
  <si>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</si>
  <si>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</si>
  <si>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</si>
  <si>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</si>
  <si>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</si>
  <si>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</si>
  <si>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</si>
  <si>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</si>
  <si>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</si>
  <si>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</si>
  <si>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</si>
  <si>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</si>
  <si>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</si>
  <si>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</si>
  <si>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</si>
  <si>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</si>
  <si>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</si>
  <si>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</si>
  <si>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</si>
  <si>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</si>
  <si>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</si>
  <si>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</si>
  <si>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</si>
  <si>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</si>
  <si>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</si>
  <si>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</si>
  <si>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</si>
  <si>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</si>
  <si>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</si>
  <si>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</si>
  <si>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</si>
  <si>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</si>
  <si>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</si>
  <si>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</si>
  <si>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</si>
  <si>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</si>
  <si>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</si>
  <si>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</si>
  <si>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</si>
  <si>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</si>
  <si>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</si>
  <si>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</si>
  <si>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</si>
  <si>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</si>
  <si>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</si>
  <si>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</si>
  <si>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</si>
  <si>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</si>
  <si>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</si>
  <si>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</si>
  <si>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</si>
  <si>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</si>
  <si>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</si>
  <si>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</si>
  <si>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</si>
  <si>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</si>
  <si>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</si>
  <si>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</si>
  <si>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</si>
  <si>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</si>
  <si>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</si>
  <si>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</si>
  <si>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</si>
  <si>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</si>
  <si>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</si>
  <si>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</si>
  <si>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</si>
  <si>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</si>
  <si>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</si>
  <si>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</si>
  <si>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</si>
  <si>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</si>
  <si>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</si>
  <si>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</si>
  <si>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</si>
  <si>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</si>
  <si>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</si>
  <si>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</si>
  <si>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</si>
  <si>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</si>
  <si>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</si>
  <si>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</si>
  <si>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</si>
  <si>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</si>
  <si>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</si>
  <si>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</si>
  <si>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</si>
  <si>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</si>
  <si>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</si>
  <si>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</si>
  <si>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</si>
  <si>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</si>
  <si>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</si>
  <si>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</si>
  <si>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</si>
  <si>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</si>
  <si>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</si>
  <si>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</si>
  <si>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</si>
  <si>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</si>
  <si>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</si>
  <si>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</si>
  <si>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</si>
  <si>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</si>
  <si>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</si>
  <si>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</si>
  <si>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</si>
  <si>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</si>
  <si>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</si>
  <si>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</si>
  <si>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</si>
  <si>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</si>
  <si>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</si>
  <si>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</si>
  <si>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</si>
  <si>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</si>
  <si>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</si>
  <si>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</si>
  <si>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</si>
  <si>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</si>
  <si>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</si>
  <si>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</si>
  <si>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</si>
  <si>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</si>
  <si>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</si>
  <si>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</si>
  <si>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</si>
  <si>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</si>
  <si>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</si>
  <si>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</si>
  <si>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</si>
  <si>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</si>
  <si>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</si>
  <si>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</si>
  <si>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</si>
  <si>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</si>
  <si>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</si>
  <si>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</si>
  <si>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</si>
  <si>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</si>
  <si>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</si>
  <si>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</si>
  <si>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</si>
  <si>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</si>
  <si>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</si>
  <si>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</si>
  <si>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</si>
  <si>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</si>
  <si>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</si>
  <si>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</si>
  <si>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</si>
  <si>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</si>
  <si>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</si>
  <si>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</si>
  <si>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</si>
  <si>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</si>
  <si>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</si>
  <si>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</si>
  <si>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</si>
  <si>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</si>
  <si>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</si>
  <si>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</si>
  <si>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</si>
  <si>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</si>
  <si>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</si>
  <si>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</si>
  <si>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</si>
  <si>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</si>
  <si>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</si>
  <si>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</si>
  <si>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</si>
  <si>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</si>
  <si>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</si>
  <si>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</si>
  <si>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</si>
  <si>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</si>
  <si>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</si>
  <si>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</si>
  <si>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</si>
  <si>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</si>
  <si>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</si>
  <si>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</si>
  <si>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</si>
  <si>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</si>
  <si>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</si>
  <si>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</si>
  <si>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</si>
  <si>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</si>
  <si>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</si>
  <si>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</si>
  <si>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</si>
  <si>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</si>
  <si>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</si>
  <si>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</si>
  <si>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</si>
  <si>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</si>
  <si>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</si>
  <si>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</si>
  <si>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</si>
  <si>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</si>
  <si>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</si>
  <si>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</si>
  <si>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</si>
  <si>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</si>
  <si>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</si>
  <si>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</si>
  <si>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</si>
  <si>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</si>
  <si>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</si>
  <si>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</si>
  <si>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</si>
  <si>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</si>
  <si>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</si>
  <si>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</si>
  <si>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</si>
  <si>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</si>
  <si>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</si>
  <si>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</si>
  <si>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</si>
  <si>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</si>
  <si>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</si>
  <si>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</si>
  <si>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JRC-IDEES-2021 - Integrated Database of the European Energy System</t>
  </si>
  <si>
    <t>v2021-1.00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</si>
  <si>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</si>
  <si>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</si>
  <si>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</si>
  <si>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</si>
  <si>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</si>
  <si>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</si>
  <si>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Macro-economic data at 2015 prices - NACE structure</t>
  </si>
  <si>
    <t>Demographic and macro-economic data at 2015 prices - JRC-IDEES structure</t>
  </si>
  <si>
    <t>ESA2010 [million euro, 2015 prices]</t>
  </si>
  <si>
    <t>ESA2010 [euro, 2015 prices per capita]</t>
  </si>
  <si>
    <t>Gross value added [million euro, 2015 prices]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</si>
  <si>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</si>
  <si>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</si>
  <si>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</si>
  <si>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</si>
  <si>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</si>
  <si>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</si>
  <si>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</si>
  <si>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</si>
  <si>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</si>
  <si>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</si>
  <si>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</si>
  <si>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LU</t>
  </si>
  <si>
    <t>Luxembourg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</si>
</sst>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</row>
    <row r="6" spans="1:23" ht="31.5" x14ac:dyDescent="0.25">
      <c r="A6" s="136"/>
      <c r="B6" s="137" t="s">
        <v>255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260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45432.786724537036</v>
      </c>
      <c r="M30" s="149"/>
      <c r="N30" s="149"/>
      <c r="O30" s="149"/>
      <c r="V30" s="134"/>
    </row>
    <row r="31" spans="12:32" ht="15" customHeight="1" x14ac:dyDescent="0.25">
      <c r="L31" s="140" t="s">
        <v>256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257</v>
      </c>
    </row>
    <row r="39" spans="2:32" ht="15" customHeight="1" x14ac:dyDescent="0.25">
      <c r="B39" s="142" t="s">
        <v>258</v>
      </c>
    </row>
    <row r="40" spans="2:32" ht="15" customHeight="1" x14ac:dyDescent="0.25">
      <c r="B40" s="143" t="s">
        <v>259</v>
      </c>
      <c r="AA40" s="141"/>
      <c r="AB40" s="141"/>
      <c r="AC40" s="141"/>
      <c r="AD40" s="141"/>
      <c r="AE40" s="141"/>
      <c r="AF40" s="14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HYPERLINK("#"&amp;CELL("address",Macro_euro2015!D$2),MID(CELL("filename",Macro_euro2015!D$2),FIND("]",CELL("filename",Macro_euro2015!D$2))+1,256))</f>
        <v>Macro_euro2015</v>
      </c>
      <c r="C5" s="9"/>
      <c r="D5" s="147" t="s">
        <v>263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264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5" width="8.7109375" style="10" customWidth="1"/>
    <col min="26" max="16384" width="9.140625" style="10"/>
  </cols>
  <sheetData>
    <row r="1" spans="1:25" ht="12.75" customHeight="1" x14ac:dyDescent="0.2">
      <c r="A1" s="13"/>
      <c r="B1" s="14" t="s">
        <v>279</v>
      </c>
      <c r="C1" s="15" t="s">
        <v>268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26389.837496438409</v>
      </c>
      <c r="E2" s="19">
        <v>27416.148913982375</v>
      </c>
      <c r="F2" s="19">
        <v>28714.412116521686</v>
      </c>
      <c r="G2" s="19">
        <v>30111.060259323214</v>
      </c>
      <c r="H2" s="19">
        <v>32363.398942358548</v>
      </c>
      <c r="I2" s="19">
        <v>34764.905066218205</v>
      </c>
      <c r="J2" s="19">
        <v>39235.496833901612</v>
      </c>
      <c r="K2" s="19">
        <v>43215.793924986108</v>
      </c>
      <c r="L2" s="19">
        <v>45933.823387262921</v>
      </c>
      <c r="M2" s="19">
        <v>44833.260733122675</v>
      </c>
      <c r="N2" s="19">
        <v>48681.660581846576</v>
      </c>
      <c r="O2" s="19">
        <v>50886.410062481278</v>
      </c>
      <c r="P2" s="19">
        <v>53415.377685115534</v>
      </c>
      <c r="Q2" s="19">
        <v>56364.75952798764</v>
      </c>
      <c r="R2" s="19">
        <v>59460.281302067895</v>
      </c>
      <c r="S2" s="19">
        <v>62159.691784000002</v>
      </c>
      <c r="T2" s="19">
        <v>64531.436735024072</v>
      </c>
      <c r="U2" s="19">
        <v>66781.942414762598</v>
      </c>
      <c r="V2" s="19">
        <v>69024.201714108436</v>
      </c>
      <c r="W2" s="19">
        <v>71676.278631345311</v>
      </c>
      <c r="X2" s="19">
        <v>74078.413992630129</v>
      </c>
      <c r="Y2" s="19">
        <v>83076.479706840386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9990.672290116896</v>
      </c>
      <c r="E3" s="23">
        <v>10573.779987291873</v>
      </c>
      <c r="F3" s="23">
        <v>11281.795594325155</v>
      </c>
      <c r="G3" s="23">
        <v>11836.210290998028</v>
      </c>
      <c r="H3" s="23">
        <v>12255.158107827952</v>
      </c>
      <c r="I3" s="23">
        <v>12592.50818375059</v>
      </c>
      <c r="J3" s="23">
        <v>13428.765003632003</v>
      </c>
      <c r="K3" s="23">
        <v>14042.06709863861</v>
      </c>
      <c r="L3" s="23">
        <v>14823.685622324643</v>
      </c>
      <c r="M3" s="23">
        <v>15003.584660845316</v>
      </c>
      <c r="N3" s="23">
        <v>15815.199704944353</v>
      </c>
      <c r="O3" s="23">
        <v>16550.645751014174</v>
      </c>
      <c r="P3" s="23">
        <v>17314.827432450558</v>
      </c>
      <c r="Q3" s="23">
        <v>17718.874897650276</v>
      </c>
      <c r="R3" s="23">
        <v>18381.818805608797</v>
      </c>
      <c r="S3" s="23">
        <v>19108.115073000001</v>
      </c>
      <c r="T3" s="23">
        <v>19897.72249131514</v>
      </c>
      <c r="U3" s="23">
        <v>20942.734918816033</v>
      </c>
      <c r="V3" s="23">
        <v>21895.473997311547</v>
      </c>
      <c r="W3" s="23">
        <v>22750.482213148684</v>
      </c>
      <c r="X3" s="23">
        <v>21147.296524509988</v>
      </c>
      <c r="Y3" s="23">
        <v>23850.056450830991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20502.099999999999</v>
      </c>
      <c r="E4" s="27">
        <v>21424.2</v>
      </c>
      <c r="F4" s="27">
        <v>22423.9</v>
      </c>
      <c r="G4" s="27">
        <v>23474.6</v>
      </c>
      <c r="H4" s="27">
        <v>25053.3</v>
      </c>
      <c r="I4" s="27">
        <v>26894</v>
      </c>
      <c r="J4" s="27">
        <v>30683.9</v>
      </c>
      <c r="K4" s="27">
        <v>33658.400000000001</v>
      </c>
      <c r="L4" s="27">
        <v>35998.300000000003</v>
      </c>
      <c r="M4" s="27">
        <v>35116.9</v>
      </c>
      <c r="N4" s="27">
        <v>38235.9</v>
      </c>
      <c r="O4" s="27">
        <v>39801.1</v>
      </c>
      <c r="P4" s="27">
        <v>41682.699999999997</v>
      </c>
      <c r="Q4" s="27">
        <v>44019.4</v>
      </c>
      <c r="R4" s="27">
        <v>46255</v>
      </c>
      <c r="S4" s="27">
        <v>49537.3</v>
      </c>
      <c r="T4" s="27">
        <v>51386.2</v>
      </c>
      <c r="U4" s="27">
        <v>53011.5</v>
      </c>
      <c r="V4" s="27">
        <v>54631.8</v>
      </c>
      <c r="W4" s="27">
        <v>56771</v>
      </c>
      <c r="X4" s="27">
        <v>58889.4</v>
      </c>
      <c r="Y4" s="27">
        <v>65870.399999999994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137.19999999999999</v>
      </c>
      <c r="E6" s="19">
        <v>133.80000000000001</v>
      </c>
      <c r="F6" s="19">
        <v>172.7</v>
      </c>
      <c r="G6" s="19">
        <v>121.8</v>
      </c>
      <c r="H6" s="19">
        <v>150.9</v>
      </c>
      <c r="I6" s="19">
        <v>108</v>
      </c>
      <c r="J6" s="19">
        <v>106.5</v>
      </c>
      <c r="K6" s="19">
        <v>136.69999999999999</v>
      </c>
      <c r="L6" s="19">
        <v>123.1</v>
      </c>
      <c r="M6" s="19">
        <v>91.1</v>
      </c>
      <c r="N6" s="19">
        <v>113.80000000000001</v>
      </c>
      <c r="O6" s="19">
        <v>111.3</v>
      </c>
      <c r="P6" s="19">
        <v>134.00000000000003</v>
      </c>
      <c r="Q6" s="19">
        <v>128.6</v>
      </c>
      <c r="R6" s="19">
        <v>149.99999999999997</v>
      </c>
      <c r="S6" s="19">
        <v>121.1</v>
      </c>
      <c r="T6" s="19">
        <v>120.4</v>
      </c>
      <c r="U6" s="19">
        <v>136.4</v>
      </c>
      <c r="V6" s="19">
        <v>141.1</v>
      </c>
      <c r="W6" s="19">
        <v>134.50000000000003</v>
      </c>
      <c r="X6" s="19">
        <v>128.5</v>
      </c>
      <c r="Y6" s="19">
        <v>138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2571.1999999999957</v>
      </c>
      <c r="E7" s="23">
        <v>2557.4999999999968</v>
      </c>
      <c r="F7" s="23">
        <v>2582.8000000000047</v>
      </c>
      <c r="G7" s="23">
        <v>2769.4999999999945</v>
      </c>
      <c r="H7" s="23">
        <v>2804.299999999997</v>
      </c>
      <c r="I7" s="23">
        <v>2856.5000000000018</v>
      </c>
      <c r="J7" s="23">
        <v>2946.3000000000034</v>
      </c>
      <c r="K7" s="23">
        <v>3528.3000000000029</v>
      </c>
      <c r="L7" s="23">
        <v>3169.3000000000029</v>
      </c>
      <c r="M7" s="23">
        <v>2381.1000000000035</v>
      </c>
      <c r="N7" s="23">
        <v>2656.5999999999995</v>
      </c>
      <c r="O7" s="23">
        <v>2700.6999999999944</v>
      </c>
      <c r="P7" s="23">
        <v>2652.3999999999915</v>
      </c>
      <c r="Q7" s="23">
        <v>2837.1999999999975</v>
      </c>
      <c r="R7" s="23">
        <v>3121.6</v>
      </c>
      <c r="S7" s="23">
        <v>3663.400000000001</v>
      </c>
      <c r="T7" s="23">
        <v>4001.1000000000081</v>
      </c>
      <c r="U7" s="23">
        <v>3486.5000000000091</v>
      </c>
      <c r="V7" s="23">
        <v>3703.299999999997</v>
      </c>
      <c r="W7" s="23">
        <v>3912.9</v>
      </c>
      <c r="X7" s="23">
        <v>3974.900000000001</v>
      </c>
      <c r="Y7" s="23">
        <v>4199.0999999999885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1257</v>
      </c>
      <c r="E8" s="23">
        <v>1338.2</v>
      </c>
      <c r="F8" s="23">
        <v>1446</v>
      </c>
      <c r="G8" s="23">
        <v>1487.4</v>
      </c>
      <c r="H8" s="23">
        <v>1548</v>
      </c>
      <c r="I8" s="23">
        <v>1524</v>
      </c>
      <c r="J8" s="23">
        <v>1674.5</v>
      </c>
      <c r="K8" s="23">
        <v>1920.7</v>
      </c>
      <c r="L8" s="23">
        <v>1954.2</v>
      </c>
      <c r="M8" s="23">
        <v>1917.1000000000004</v>
      </c>
      <c r="N8" s="23">
        <v>2006.8999999999996</v>
      </c>
      <c r="O8" s="23">
        <v>2045.7</v>
      </c>
      <c r="P8" s="23">
        <v>2198.8000000000002</v>
      </c>
      <c r="Q8" s="23">
        <v>2289.8000000000002</v>
      </c>
      <c r="R8" s="23">
        <v>2477.4999999999995</v>
      </c>
      <c r="S8" s="23">
        <v>2584.5</v>
      </c>
      <c r="T8" s="23">
        <v>2797.6</v>
      </c>
      <c r="U8" s="23">
        <v>2806.3</v>
      </c>
      <c r="V8" s="23">
        <v>2898.3</v>
      </c>
      <c r="W8" s="23">
        <v>3328.4</v>
      </c>
      <c r="X8" s="23">
        <v>3324.1</v>
      </c>
      <c r="Y8" s="23">
        <v>3558.6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3524.2</v>
      </c>
      <c r="E9" s="23">
        <v>3855.1</v>
      </c>
      <c r="F9" s="23">
        <v>4029.3</v>
      </c>
      <c r="G9" s="23">
        <v>4118.1000000000004</v>
      </c>
      <c r="H9" s="23">
        <v>4150.7</v>
      </c>
      <c r="I9" s="23">
        <v>4235.7</v>
      </c>
      <c r="J9" s="23">
        <v>4707.1000000000004</v>
      </c>
      <c r="K9" s="23">
        <v>4757.3</v>
      </c>
      <c r="L9" s="23">
        <v>5742.9</v>
      </c>
      <c r="M9" s="23">
        <v>5446.1</v>
      </c>
      <c r="N9" s="23">
        <v>6112.4</v>
      </c>
      <c r="O9" s="23">
        <v>7191.2</v>
      </c>
      <c r="P9" s="23">
        <v>6930.2</v>
      </c>
      <c r="Q9" s="23">
        <v>7302.7</v>
      </c>
      <c r="R9" s="23">
        <v>7559</v>
      </c>
      <c r="S9" s="23">
        <v>7612.6</v>
      </c>
      <c r="T9" s="23">
        <v>7903.3</v>
      </c>
      <c r="U9" s="23">
        <v>8418.2000000000007</v>
      </c>
      <c r="V9" s="23">
        <v>8593.2000000000025</v>
      </c>
      <c r="W9" s="23">
        <v>8789.4</v>
      </c>
      <c r="X9" s="23">
        <v>9068.2999999999975</v>
      </c>
      <c r="Y9" s="23">
        <v>10448.200000000001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1283.2</v>
      </c>
      <c r="E10" s="23">
        <v>1388</v>
      </c>
      <c r="F10" s="23">
        <v>1341</v>
      </c>
      <c r="G10" s="23">
        <v>1385.1</v>
      </c>
      <c r="H10" s="23">
        <v>1449.2</v>
      </c>
      <c r="I10" s="23">
        <v>1608.3</v>
      </c>
      <c r="J10" s="23">
        <v>1746.7</v>
      </c>
      <c r="K10" s="23">
        <v>2000.1</v>
      </c>
      <c r="L10" s="23">
        <v>2134.6</v>
      </c>
      <c r="M10" s="23">
        <v>2399.6</v>
      </c>
      <c r="N10" s="23">
        <v>2504.5</v>
      </c>
      <c r="O10" s="23">
        <v>2632.9</v>
      </c>
      <c r="P10" s="23">
        <v>2825.2</v>
      </c>
      <c r="Q10" s="23">
        <v>2650.6</v>
      </c>
      <c r="R10" s="23">
        <v>2795.4</v>
      </c>
      <c r="S10" s="23">
        <v>3049.6</v>
      </c>
      <c r="T10" s="23">
        <v>2885.2</v>
      </c>
      <c r="U10" s="23">
        <v>2988.1</v>
      </c>
      <c r="V10" s="23">
        <v>3139.8</v>
      </c>
      <c r="W10" s="23">
        <v>3282.7</v>
      </c>
      <c r="X10" s="23">
        <v>3227.3</v>
      </c>
      <c r="Y10" s="23">
        <v>3454.7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5202.7</v>
      </c>
      <c r="E11" s="23">
        <v>4932.1000000000004</v>
      </c>
      <c r="F11" s="23">
        <v>5022.1000000000004</v>
      </c>
      <c r="G11" s="23">
        <v>5293.3</v>
      </c>
      <c r="H11" s="23">
        <v>6010.7</v>
      </c>
      <c r="I11" s="23">
        <v>6968.5</v>
      </c>
      <c r="J11" s="23">
        <v>9148.7999999999993</v>
      </c>
      <c r="K11" s="23">
        <v>10018.1</v>
      </c>
      <c r="L11" s="23">
        <v>10629.6</v>
      </c>
      <c r="M11" s="23">
        <v>10022.5</v>
      </c>
      <c r="N11" s="23">
        <v>11358</v>
      </c>
      <c r="O11" s="23">
        <v>10799.2</v>
      </c>
      <c r="P11" s="23">
        <v>11972.8</v>
      </c>
      <c r="Q11" s="23">
        <v>12579.9</v>
      </c>
      <c r="R11" s="23">
        <v>13448</v>
      </c>
      <c r="S11" s="23">
        <v>14405.7</v>
      </c>
      <c r="T11" s="23">
        <v>13937.2</v>
      </c>
      <c r="U11" s="23">
        <v>14339.5</v>
      </c>
      <c r="V11" s="23">
        <v>14173.5</v>
      </c>
      <c r="W11" s="23">
        <v>14199.2</v>
      </c>
      <c r="X11" s="23">
        <v>14791.4</v>
      </c>
      <c r="Y11" s="23">
        <v>16718.5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1908</v>
      </c>
      <c r="E12" s="23">
        <v>2139.3000000000002</v>
      </c>
      <c r="F12" s="23">
        <v>2234.3000000000002</v>
      </c>
      <c r="G12" s="23">
        <v>2363.8000000000002</v>
      </c>
      <c r="H12" s="23">
        <v>2358.5</v>
      </c>
      <c r="I12" s="23">
        <v>2618.4</v>
      </c>
      <c r="J12" s="23">
        <v>2740.3</v>
      </c>
      <c r="K12" s="23">
        <v>2926.5</v>
      </c>
      <c r="L12" s="23">
        <v>3031.8</v>
      </c>
      <c r="M12" s="23">
        <v>3058.4</v>
      </c>
      <c r="N12" s="23">
        <v>3229.5</v>
      </c>
      <c r="O12" s="23">
        <v>3352.4</v>
      </c>
      <c r="P12" s="23">
        <v>3431</v>
      </c>
      <c r="Q12" s="23">
        <v>3856.1</v>
      </c>
      <c r="R12" s="23">
        <v>4024.4</v>
      </c>
      <c r="S12" s="23">
        <v>4189.5</v>
      </c>
      <c r="T12" s="23">
        <v>4391.1000000000004</v>
      </c>
      <c r="U12" s="23">
        <v>4613.1000000000013</v>
      </c>
      <c r="V12" s="23">
        <v>4712.1000000000004</v>
      </c>
      <c r="W12" s="23">
        <v>4844.8</v>
      </c>
      <c r="X12" s="23">
        <v>4729.1000000000004</v>
      </c>
      <c r="Y12" s="23">
        <v>5014.5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1482</v>
      </c>
      <c r="E13" s="23">
        <v>1682.6</v>
      </c>
      <c r="F13" s="23">
        <v>1874.8</v>
      </c>
      <c r="G13" s="23">
        <v>1919.9</v>
      </c>
      <c r="H13" s="23">
        <v>2179.6</v>
      </c>
      <c r="I13" s="23">
        <v>2292.3000000000002</v>
      </c>
      <c r="J13" s="23">
        <v>2647.7</v>
      </c>
      <c r="K13" s="23">
        <v>3137.5</v>
      </c>
      <c r="L13" s="23">
        <v>3646</v>
      </c>
      <c r="M13" s="23">
        <v>3764.5</v>
      </c>
      <c r="N13" s="23">
        <v>3857.4</v>
      </c>
      <c r="O13" s="23">
        <v>4180</v>
      </c>
      <c r="P13" s="23">
        <v>4324.0000000000009</v>
      </c>
      <c r="Q13" s="23">
        <v>4705.6000000000004</v>
      </c>
      <c r="R13" s="23">
        <v>4678.2</v>
      </c>
      <c r="S13" s="23">
        <v>5576.4</v>
      </c>
      <c r="T13" s="23">
        <v>6785.3</v>
      </c>
      <c r="U13" s="23">
        <v>7054.5</v>
      </c>
      <c r="V13" s="23">
        <v>7418.5</v>
      </c>
      <c r="W13" s="23">
        <v>7674.9</v>
      </c>
      <c r="X13" s="23">
        <v>8347.2000000000007</v>
      </c>
      <c r="Y13" s="23">
        <v>9878.0000000000018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2767.4</v>
      </c>
      <c r="E14" s="23">
        <v>3013.6</v>
      </c>
      <c r="F14" s="23">
        <v>3312.3</v>
      </c>
      <c r="G14" s="23">
        <v>3582.6</v>
      </c>
      <c r="H14" s="23">
        <v>3931.2</v>
      </c>
      <c r="I14" s="23">
        <v>4158.1000000000004</v>
      </c>
      <c r="J14" s="23">
        <v>4399.8</v>
      </c>
      <c r="K14" s="23">
        <v>4648.8999999999996</v>
      </c>
      <c r="L14" s="23">
        <v>4948.8999999999996</v>
      </c>
      <c r="M14" s="23">
        <v>5357.1</v>
      </c>
      <c r="N14" s="23">
        <v>5692.6</v>
      </c>
      <c r="O14" s="23">
        <v>6054.4</v>
      </c>
      <c r="P14" s="23">
        <v>6449</v>
      </c>
      <c r="Q14" s="23">
        <v>6862.4</v>
      </c>
      <c r="R14" s="23">
        <v>7186.1</v>
      </c>
      <c r="S14" s="23">
        <v>7483.3</v>
      </c>
      <c r="T14" s="23">
        <v>7698.2</v>
      </c>
      <c r="U14" s="23">
        <v>8256.9</v>
      </c>
      <c r="V14" s="23">
        <v>8914.1</v>
      </c>
      <c r="W14" s="23">
        <v>9586.7000000000007</v>
      </c>
      <c r="X14" s="23">
        <v>10314.200000000001</v>
      </c>
      <c r="Y14" s="23">
        <v>11315.5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369.2</v>
      </c>
      <c r="E15" s="23">
        <v>384</v>
      </c>
      <c r="F15" s="23">
        <v>408.6</v>
      </c>
      <c r="G15" s="23">
        <v>433.1</v>
      </c>
      <c r="H15" s="23">
        <v>470.2</v>
      </c>
      <c r="I15" s="23">
        <v>524.20000000000005</v>
      </c>
      <c r="J15" s="23">
        <v>566.20000000000005</v>
      </c>
      <c r="K15" s="23">
        <v>584.29999999999995</v>
      </c>
      <c r="L15" s="23">
        <v>617.9</v>
      </c>
      <c r="M15" s="23">
        <v>679.4</v>
      </c>
      <c r="N15" s="23">
        <v>704.2</v>
      </c>
      <c r="O15" s="23">
        <v>733.3</v>
      </c>
      <c r="P15" s="23">
        <v>765.3</v>
      </c>
      <c r="Q15" s="23">
        <v>806.5</v>
      </c>
      <c r="R15" s="23">
        <v>814.8</v>
      </c>
      <c r="S15" s="23">
        <v>851.2</v>
      </c>
      <c r="T15" s="23">
        <v>866.8</v>
      </c>
      <c r="U15" s="23">
        <v>912</v>
      </c>
      <c r="V15" s="23">
        <v>937.9</v>
      </c>
      <c r="W15" s="23">
        <v>1017.5</v>
      </c>
      <c r="X15" s="23">
        <v>984.4</v>
      </c>
      <c r="Y15" s="23">
        <v>1145.3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20502.099999999999</v>
      </c>
      <c r="E16" s="30">
        <f t="shared" ref="E16:S16" si="0">SUM(E6:E15)</f>
        <v>21424.199999999993</v>
      </c>
      <c r="F16" s="30">
        <f t="shared" si="0"/>
        <v>22423.9</v>
      </c>
      <c r="G16" s="30">
        <f t="shared" si="0"/>
        <v>23474.599999999995</v>
      </c>
      <c r="H16" s="30">
        <f t="shared" si="0"/>
        <v>25053.3</v>
      </c>
      <c r="I16" s="30">
        <f t="shared" si="0"/>
        <v>26894.000000000004</v>
      </c>
      <c r="J16" s="30">
        <f t="shared" si="0"/>
        <v>30683.9</v>
      </c>
      <c r="K16" s="30">
        <f t="shared" si="0"/>
        <v>33658.400000000009</v>
      </c>
      <c r="L16" s="30">
        <f t="shared" si="0"/>
        <v>35998.300000000003</v>
      </c>
      <c r="M16" s="30">
        <f t="shared" si="0"/>
        <v>35116.900000000009</v>
      </c>
      <c r="N16" s="30">
        <f t="shared" si="0"/>
        <v>38235.899999999994</v>
      </c>
      <c r="O16" s="30">
        <f t="shared" si="0"/>
        <v>39801.1</v>
      </c>
      <c r="P16" s="30">
        <f t="shared" si="0"/>
        <v>41682.699999999997</v>
      </c>
      <c r="Q16" s="30">
        <f t="shared" si="0"/>
        <v>44019.399999999994</v>
      </c>
      <c r="R16" s="30">
        <f t="shared" si="0"/>
        <v>46255</v>
      </c>
      <c r="S16" s="30">
        <f t="shared" si="0"/>
        <v>49537.3</v>
      </c>
      <c r="T16" s="30">
        <f t="shared" ref="T16:Y16" si="1">SUM(T6:T15)</f>
        <v>51386.200000000012</v>
      </c>
      <c r="U16" s="30">
        <f t="shared" si="1"/>
        <v>53011.500000000015</v>
      </c>
      <c r="V16" s="30">
        <f t="shared" si="1"/>
        <v>54631.8</v>
      </c>
      <c r="W16" s="30">
        <f t="shared" si="1"/>
        <v>56771.000000000015</v>
      </c>
      <c r="X16" s="30">
        <f t="shared" si="1"/>
        <v>58889.4</v>
      </c>
      <c r="Y16" s="30">
        <f t="shared" si="1"/>
        <v>65870.399999999994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137.19999999999999</v>
      </c>
      <c r="E18" s="19">
        <v>133.80000000000001</v>
      </c>
      <c r="F18" s="19">
        <v>172.7</v>
      </c>
      <c r="G18" s="19">
        <v>121.8</v>
      </c>
      <c r="H18" s="19">
        <v>150.9</v>
      </c>
      <c r="I18" s="19">
        <v>108</v>
      </c>
      <c r="J18" s="19">
        <v>106.5</v>
      </c>
      <c r="K18" s="19">
        <v>136.69999999999999</v>
      </c>
      <c r="L18" s="19">
        <v>123.1</v>
      </c>
      <c r="M18" s="19">
        <v>91.1</v>
      </c>
      <c r="N18" s="19">
        <v>113.80000000000001</v>
      </c>
      <c r="O18" s="19">
        <v>111.3</v>
      </c>
      <c r="P18" s="19">
        <v>134.00000000000003</v>
      </c>
      <c r="Q18" s="19">
        <v>128.6</v>
      </c>
      <c r="R18" s="19">
        <v>149.99999999999997</v>
      </c>
      <c r="S18" s="19">
        <v>121.1</v>
      </c>
      <c r="T18" s="19">
        <v>120.4</v>
      </c>
      <c r="U18" s="19">
        <v>136.4</v>
      </c>
      <c r="V18" s="19">
        <v>141.1</v>
      </c>
      <c r="W18" s="19">
        <v>134.50000000000003</v>
      </c>
      <c r="X18" s="19">
        <v>128.5</v>
      </c>
      <c r="Y18" s="19">
        <v>138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28</v>
      </c>
      <c r="E19" s="23">
        <v>23.4</v>
      </c>
      <c r="F19" s="23">
        <v>28.1</v>
      </c>
      <c r="G19" s="23">
        <v>29.6</v>
      </c>
      <c r="H19" s="23">
        <v>29.7</v>
      </c>
      <c r="I19" s="23">
        <v>27.9</v>
      </c>
      <c r="J19" s="23">
        <v>31.500000000000004</v>
      </c>
      <c r="K19" s="23">
        <v>35.4</v>
      </c>
      <c r="L19" s="23">
        <v>31.199999999999996</v>
      </c>
      <c r="M19" s="23">
        <v>30.9</v>
      </c>
      <c r="N19" s="23">
        <v>31.799999999999997</v>
      </c>
      <c r="O19" s="23">
        <v>34.9</v>
      </c>
      <c r="P19" s="23">
        <v>31.3</v>
      </c>
      <c r="Q19" s="23">
        <v>30.900000000000006</v>
      </c>
      <c r="R19" s="23">
        <v>31.9</v>
      </c>
      <c r="S19" s="23">
        <v>29.5</v>
      </c>
      <c r="T19" s="23">
        <v>29.5</v>
      </c>
      <c r="U19" s="23">
        <v>34.799999999999997</v>
      </c>
      <c r="V19" s="23">
        <v>34.700000000000003</v>
      </c>
      <c r="W19" s="23">
        <v>38.1</v>
      </c>
      <c r="X19" s="23">
        <v>39.5</v>
      </c>
      <c r="Y19" s="23">
        <v>37.5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2216.399999999996</v>
      </c>
      <c r="E20" s="23">
        <v>2180.4999999999968</v>
      </c>
      <c r="F20" s="23">
        <v>2180.6000000000045</v>
      </c>
      <c r="G20" s="23">
        <v>2318.3999999999951</v>
      </c>
      <c r="H20" s="23">
        <v>2338.3999999999974</v>
      </c>
      <c r="I20" s="23">
        <v>2371.6000000000017</v>
      </c>
      <c r="J20" s="23">
        <v>2420.4000000000033</v>
      </c>
      <c r="K20" s="23">
        <v>2998.5000000000027</v>
      </c>
      <c r="L20" s="23">
        <v>2674.6000000000031</v>
      </c>
      <c r="M20" s="23">
        <v>1816.8000000000038</v>
      </c>
      <c r="N20" s="23">
        <v>2105.8000000000002</v>
      </c>
      <c r="O20" s="23">
        <v>2158.3999999999942</v>
      </c>
      <c r="P20" s="23">
        <v>2120.0999999999908</v>
      </c>
      <c r="Q20" s="23">
        <v>2235.9999999999982</v>
      </c>
      <c r="R20" s="23">
        <v>2448.6999999999998</v>
      </c>
      <c r="S20" s="23">
        <v>2967.0000000000014</v>
      </c>
      <c r="T20" s="23">
        <v>3257.1000000000076</v>
      </c>
      <c r="U20" s="23">
        <v>2778.00000000001</v>
      </c>
      <c r="V20" s="23">
        <v>2982.8999999999969</v>
      </c>
      <c r="W20" s="23">
        <v>3148.0000000000005</v>
      </c>
      <c r="X20" s="23">
        <v>3189.1000000000013</v>
      </c>
      <c r="Y20" s="23">
        <v>3393.9999999999891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203.5</v>
      </c>
      <c r="E21" s="23">
        <v>227.7</v>
      </c>
      <c r="F21" s="23">
        <v>240.5</v>
      </c>
      <c r="G21" s="23">
        <v>285.5</v>
      </c>
      <c r="H21" s="23">
        <v>295.2</v>
      </c>
      <c r="I21" s="23">
        <v>302.2</v>
      </c>
      <c r="J21" s="23">
        <v>329.7</v>
      </c>
      <c r="K21" s="23">
        <v>347.6</v>
      </c>
      <c r="L21" s="23">
        <v>310.2</v>
      </c>
      <c r="M21" s="23">
        <v>368.1</v>
      </c>
      <c r="N21" s="23">
        <v>333.9</v>
      </c>
      <c r="O21" s="23">
        <v>311.8</v>
      </c>
      <c r="P21" s="23">
        <v>300.60000000000008</v>
      </c>
      <c r="Q21" s="23">
        <v>345.5</v>
      </c>
      <c r="R21" s="23">
        <v>400.9</v>
      </c>
      <c r="S21" s="23">
        <v>421</v>
      </c>
      <c r="T21" s="23">
        <v>459.3</v>
      </c>
      <c r="U21" s="23">
        <v>422.9</v>
      </c>
      <c r="V21" s="23">
        <v>411.7</v>
      </c>
      <c r="W21" s="23">
        <v>445.2</v>
      </c>
      <c r="X21" s="23">
        <v>452.2</v>
      </c>
      <c r="Y21" s="23">
        <v>477.6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123.3</v>
      </c>
      <c r="E22" s="23">
        <v>125.9</v>
      </c>
      <c r="F22" s="23">
        <v>133.6</v>
      </c>
      <c r="G22" s="23">
        <v>136</v>
      </c>
      <c r="H22" s="23">
        <v>141</v>
      </c>
      <c r="I22" s="23">
        <v>154.80000000000001</v>
      </c>
      <c r="J22" s="23">
        <v>164.7</v>
      </c>
      <c r="K22" s="23">
        <v>146.80000000000001</v>
      </c>
      <c r="L22" s="23">
        <v>153.30000000000001</v>
      </c>
      <c r="M22" s="23">
        <v>165.3</v>
      </c>
      <c r="N22" s="23">
        <v>185.1</v>
      </c>
      <c r="O22" s="23">
        <v>195.6</v>
      </c>
      <c r="P22" s="23">
        <v>200.4</v>
      </c>
      <c r="Q22" s="23">
        <v>224.8</v>
      </c>
      <c r="R22" s="23">
        <v>240.1</v>
      </c>
      <c r="S22" s="23">
        <v>245.9</v>
      </c>
      <c r="T22" s="23">
        <v>255.2</v>
      </c>
      <c r="U22" s="23">
        <v>250.8</v>
      </c>
      <c r="V22" s="23">
        <v>274</v>
      </c>
      <c r="W22" s="23">
        <v>281.60000000000002</v>
      </c>
      <c r="X22" s="23">
        <v>294.10000000000008</v>
      </c>
      <c r="Y22" s="23">
        <v>290.00000000000006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1257</v>
      </c>
      <c r="E23" s="23">
        <v>1338.2</v>
      </c>
      <c r="F23" s="23">
        <v>1446</v>
      </c>
      <c r="G23" s="23">
        <v>1487.4</v>
      </c>
      <c r="H23" s="23">
        <v>1548</v>
      </c>
      <c r="I23" s="23">
        <v>1524</v>
      </c>
      <c r="J23" s="23">
        <v>1674.5</v>
      </c>
      <c r="K23" s="23">
        <v>1920.7</v>
      </c>
      <c r="L23" s="23">
        <v>1954.2</v>
      </c>
      <c r="M23" s="23">
        <v>1917.1000000000004</v>
      </c>
      <c r="N23" s="23">
        <v>2006.8999999999996</v>
      </c>
      <c r="O23" s="23">
        <v>2045.7</v>
      </c>
      <c r="P23" s="23">
        <v>2198.8000000000002</v>
      </c>
      <c r="Q23" s="23">
        <v>2289.8000000000002</v>
      </c>
      <c r="R23" s="23">
        <v>2477.4999999999995</v>
      </c>
      <c r="S23" s="23">
        <v>2584.5</v>
      </c>
      <c r="T23" s="23">
        <v>2797.6</v>
      </c>
      <c r="U23" s="23">
        <v>2806.3</v>
      </c>
      <c r="V23" s="23">
        <v>2898.3</v>
      </c>
      <c r="W23" s="23">
        <v>3328.4</v>
      </c>
      <c r="X23" s="23">
        <v>3324.1</v>
      </c>
      <c r="Y23" s="23">
        <v>3558.6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1794.6</v>
      </c>
      <c r="E24" s="23">
        <v>1985.5</v>
      </c>
      <c r="F24" s="23">
        <v>2070.8000000000002</v>
      </c>
      <c r="G24" s="23">
        <v>2119.3000000000011</v>
      </c>
      <c r="H24" s="23">
        <v>2192.5</v>
      </c>
      <c r="I24" s="23">
        <v>2180.7999999999997</v>
      </c>
      <c r="J24" s="23">
        <v>2582.6999999999998</v>
      </c>
      <c r="K24" s="23">
        <v>2549.6</v>
      </c>
      <c r="L24" s="23">
        <v>3467.5000000000005</v>
      </c>
      <c r="M24" s="23">
        <v>3248.9999999999995</v>
      </c>
      <c r="N24" s="23">
        <v>3695.6</v>
      </c>
      <c r="O24" s="23">
        <v>4725.7000000000007</v>
      </c>
      <c r="P24" s="23">
        <v>4434.7999999999993</v>
      </c>
      <c r="Q24" s="23">
        <v>4696.1000000000004</v>
      </c>
      <c r="R24" s="23">
        <v>4725.1000000000013</v>
      </c>
      <c r="S24" s="23">
        <v>4595.8999999999996</v>
      </c>
      <c r="T24" s="23">
        <v>4860.7</v>
      </c>
      <c r="U24" s="23">
        <v>5029.7000000000007</v>
      </c>
      <c r="V24" s="23">
        <v>4962.1000000000022</v>
      </c>
      <c r="W24" s="23">
        <v>5180</v>
      </c>
      <c r="X24" s="23">
        <v>5132.6999999999989</v>
      </c>
      <c r="Y24" s="23">
        <v>5646.9000000000015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1141.5</v>
      </c>
      <c r="E25" s="23">
        <v>1252.5999999999999</v>
      </c>
      <c r="F25" s="23">
        <v>1318.1</v>
      </c>
      <c r="G25" s="23">
        <v>1349.4</v>
      </c>
      <c r="H25" s="23">
        <v>1425.3</v>
      </c>
      <c r="I25" s="23">
        <v>1518.9</v>
      </c>
      <c r="J25" s="23">
        <v>1562.2</v>
      </c>
      <c r="K25" s="23">
        <v>1624.2</v>
      </c>
      <c r="L25" s="23">
        <v>1663</v>
      </c>
      <c r="M25" s="23">
        <v>1564.4</v>
      </c>
      <c r="N25" s="23">
        <v>1752.6</v>
      </c>
      <c r="O25" s="23">
        <v>1757.5</v>
      </c>
      <c r="P25" s="23">
        <v>1750.3</v>
      </c>
      <c r="Q25" s="23">
        <v>1835.3</v>
      </c>
      <c r="R25" s="23">
        <v>1995.6</v>
      </c>
      <c r="S25" s="23">
        <v>2131.6</v>
      </c>
      <c r="T25" s="23">
        <v>2122.3000000000002</v>
      </c>
      <c r="U25" s="23">
        <v>2429.9</v>
      </c>
      <c r="V25" s="23">
        <v>2640.7</v>
      </c>
      <c r="W25" s="23">
        <v>2540</v>
      </c>
      <c r="X25" s="23">
        <v>3292.5</v>
      </c>
      <c r="Y25" s="23">
        <v>4105.1000000000004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588.1</v>
      </c>
      <c r="E26" s="23">
        <v>617</v>
      </c>
      <c r="F26" s="23">
        <v>640.4</v>
      </c>
      <c r="G26" s="23">
        <v>649.4</v>
      </c>
      <c r="H26" s="23">
        <v>532.9</v>
      </c>
      <c r="I26" s="23">
        <v>536</v>
      </c>
      <c r="J26" s="23">
        <v>562.20000000000005</v>
      </c>
      <c r="K26" s="23">
        <v>583.5</v>
      </c>
      <c r="L26" s="23">
        <v>612.4</v>
      </c>
      <c r="M26" s="23">
        <v>632.70000000000005</v>
      </c>
      <c r="N26" s="23">
        <v>664.2</v>
      </c>
      <c r="O26" s="23">
        <v>708</v>
      </c>
      <c r="P26" s="23">
        <v>745.1</v>
      </c>
      <c r="Q26" s="23">
        <v>771.3</v>
      </c>
      <c r="R26" s="23">
        <v>838.3</v>
      </c>
      <c r="S26" s="23">
        <v>885.1</v>
      </c>
      <c r="T26" s="23">
        <v>920.3</v>
      </c>
      <c r="U26" s="23">
        <v>958.6</v>
      </c>
      <c r="V26" s="23">
        <v>990.4</v>
      </c>
      <c r="W26" s="23">
        <v>1069.4000000000001</v>
      </c>
      <c r="X26" s="23">
        <v>643.1</v>
      </c>
      <c r="Y26" s="23">
        <v>696.2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1283.2</v>
      </c>
      <c r="E27" s="23">
        <v>1388</v>
      </c>
      <c r="F27" s="23">
        <v>1341</v>
      </c>
      <c r="G27" s="23">
        <v>1385.1</v>
      </c>
      <c r="H27" s="23">
        <v>1449.2</v>
      </c>
      <c r="I27" s="23">
        <v>1608.3</v>
      </c>
      <c r="J27" s="23">
        <v>1746.7</v>
      </c>
      <c r="K27" s="23">
        <v>2000.1</v>
      </c>
      <c r="L27" s="23">
        <v>2134.6</v>
      </c>
      <c r="M27" s="23">
        <v>2399.6</v>
      </c>
      <c r="N27" s="23">
        <v>2504.5</v>
      </c>
      <c r="O27" s="23">
        <v>2632.9</v>
      </c>
      <c r="P27" s="23">
        <v>2825.2</v>
      </c>
      <c r="Q27" s="23">
        <v>2650.6</v>
      </c>
      <c r="R27" s="23">
        <v>2795.4</v>
      </c>
      <c r="S27" s="23">
        <v>3049.6</v>
      </c>
      <c r="T27" s="23">
        <v>2885.2</v>
      </c>
      <c r="U27" s="23">
        <v>2988.1</v>
      </c>
      <c r="V27" s="23">
        <v>3139.8</v>
      </c>
      <c r="W27" s="23">
        <v>3282.7</v>
      </c>
      <c r="X27" s="23">
        <v>3227.3</v>
      </c>
      <c r="Y27" s="23">
        <v>3454.7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5202.7</v>
      </c>
      <c r="E28" s="23">
        <v>4932.1000000000004</v>
      </c>
      <c r="F28" s="23">
        <v>5022.1000000000004</v>
      </c>
      <c r="G28" s="23">
        <v>5293.3</v>
      </c>
      <c r="H28" s="23">
        <v>6010.7</v>
      </c>
      <c r="I28" s="23">
        <v>6968.5</v>
      </c>
      <c r="J28" s="23">
        <v>9148.7999999999993</v>
      </c>
      <c r="K28" s="23">
        <v>10018.1</v>
      </c>
      <c r="L28" s="23">
        <v>10629.6</v>
      </c>
      <c r="M28" s="23">
        <v>10022.5</v>
      </c>
      <c r="N28" s="23">
        <v>11358</v>
      </c>
      <c r="O28" s="23">
        <v>10799.2</v>
      </c>
      <c r="P28" s="23">
        <v>11972.8</v>
      </c>
      <c r="Q28" s="23">
        <v>12579.9</v>
      </c>
      <c r="R28" s="23">
        <v>13448</v>
      </c>
      <c r="S28" s="23">
        <v>14405.7</v>
      </c>
      <c r="T28" s="23">
        <v>13937.2</v>
      </c>
      <c r="U28" s="23">
        <v>14339.5</v>
      </c>
      <c r="V28" s="23">
        <v>14173.5</v>
      </c>
      <c r="W28" s="23">
        <v>14199.2</v>
      </c>
      <c r="X28" s="23">
        <v>14791.4</v>
      </c>
      <c r="Y28" s="23">
        <v>16718.5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1908</v>
      </c>
      <c r="E29" s="23">
        <v>2139.3000000000002</v>
      </c>
      <c r="F29" s="23">
        <v>2234.3000000000002</v>
      </c>
      <c r="G29" s="23">
        <v>2363.8000000000002</v>
      </c>
      <c r="H29" s="23">
        <v>2358.5</v>
      </c>
      <c r="I29" s="23">
        <v>2618.4</v>
      </c>
      <c r="J29" s="23">
        <v>2740.3</v>
      </c>
      <c r="K29" s="23">
        <v>2926.5</v>
      </c>
      <c r="L29" s="23">
        <v>3031.8</v>
      </c>
      <c r="M29" s="23">
        <v>3058.4</v>
      </c>
      <c r="N29" s="23">
        <v>3229.5</v>
      </c>
      <c r="O29" s="23">
        <v>3352.4</v>
      </c>
      <c r="P29" s="23">
        <v>3431</v>
      </c>
      <c r="Q29" s="23">
        <v>3856.1</v>
      </c>
      <c r="R29" s="23">
        <v>4024.4</v>
      </c>
      <c r="S29" s="23">
        <v>4189.5</v>
      </c>
      <c r="T29" s="23">
        <v>4391.1000000000004</v>
      </c>
      <c r="U29" s="23">
        <v>4613.1000000000013</v>
      </c>
      <c r="V29" s="23">
        <v>4712.1000000000004</v>
      </c>
      <c r="W29" s="23">
        <v>4844.8</v>
      </c>
      <c r="X29" s="23">
        <v>4729.1000000000004</v>
      </c>
      <c r="Y29" s="23">
        <v>5014.5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991.2</v>
      </c>
      <c r="E30" s="23">
        <v>1117.5</v>
      </c>
      <c r="F30" s="23">
        <v>1292.9000000000001</v>
      </c>
      <c r="G30" s="23">
        <v>1280.9000000000001</v>
      </c>
      <c r="H30" s="23">
        <v>1448.5</v>
      </c>
      <c r="I30" s="23">
        <v>1425.9000000000003</v>
      </c>
      <c r="J30" s="23">
        <v>1724.8999999999996</v>
      </c>
      <c r="K30" s="23">
        <v>2048.8000000000002</v>
      </c>
      <c r="L30" s="23">
        <v>2423.9</v>
      </c>
      <c r="M30" s="23">
        <v>2588.1999999999998</v>
      </c>
      <c r="N30" s="23">
        <v>2701.4</v>
      </c>
      <c r="O30" s="23">
        <v>3039.7</v>
      </c>
      <c r="P30" s="23">
        <v>3116.0000000000005</v>
      </c>
      <c r="Q30" s="23">
        <v>3415.4000000000005</v>
      </c>
      <c r="R30" s="23">
        <v>3201.8</v>
      </c>
      <c r="S30" s="23">
        <v>3850.8999999999996</v>
      </c>
      <c r="T30" s="23">
        <v>4923.8999999999996</v>
      </c>
      <c r="U30" s="23">
        <v>5008.1000000000004</v>
      </c>
      <c r="V30" s="23">
        <v>5177.7</v>
      </c>
      <c r="W30" s="23">
        <v>5362.8</v>
      </c>
      <c r="X30" s="23">
        <v>6163.8000000000011</v>
      </c>
      <c r="Y30" s="23">
        <v>7320.0000000000009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490.8</v>
      </c>
      <c r="E31" s="23">
        <v>565.1</v>
      </c>
      <c r="F31" s="23">
        <v>581.9</v>
      </c>
      <c r="G31" s="23">
        <v>639</v>
      </c>
      <c r="H31" s="23">
        <v>731.1</v>
      </c>
      <c r="I31" s="23">
        <v>866.4</v>
      </c>
      <c r="J31" s="23">
        <v>922.8</v>
      </c>
      <c r="K31" s="23">
        <v>1088.7</v>
      </c>
      <c r="L31" s="23">
        <v>1222.0999999999999</v>
      </c>
      <c r="M31" s="23">
        <v>1176.3</v>
      </c>
      <c r="N31" s="23">
        <v>1156</v>
      </c>
      <c r="O31" s="23">
        <v>1140.3</v>
      </c>
      <c r="P31" s="23">
        <v>1208</v>
      </c>
      <c r="Q31" s="23">
        <v>1290.2</v>
      </c>
      <c r="R31" s="23">
        <v>1476.4</v>
      </c>
      <c r="S31" s="23">
        <v>1725.5</v>
      </c>
      <c r="T31" s="23">
        <v>1861.4</v>
      </c>
      <c r="U31" s="23">
        <v>2046.4</v>
      </c>
      <c r="V31" s="23">
        <v>2240.8000000000002</v>
      </c>
      <c r="W31" s="23">
        <v>2312.1</v>
      </c>
      <c r="X31" s="23">
        <v>2183.4</v>
      </c>
      <c r="Y31" s="23">
        <v>2557.9999999999995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1093.5999999999999</v>
      </c>
      <c r="E32" s="23">
        <v>1179.5999999999999</v>
      </c>
      <c r="F32" s="23">
        <v>1295.8000000000002</v>
      </c>
      <c r="G32" s="23">
        <v>1391.3</v>
      </c>
      <c r="H32" s="23">
        <v>1519.1000000000004</v>
      </c>
      <c r="I32" s="23">
        <v>1632.5000000000007</v>
      </c>
      <c r="J32" s="23">
        <v>1690.9</v>
      </c>
      <c r="K32" s="23">
        <v>1783.6999999999998</v>
      </c>
      <c r="L32" s="23">
        <v>1871.1999999999991</v>
      </c>
      <c r="M32" s="23">
        <v>2000.8</v>
      </c>
      <c r="N32" s="23">
        <v>2091.6</v>
      </c>
      <c r="O32" s="23">
        <v>2249.6</v>
      </c>
      <c r="P32" s="23">
        <v>2367.1999999999998</v>
      </c>
      <c r="Q32" s="23">
        <v>2486.1000000000004</v>
      </c>
      <c r="R32" s="23">
        <v>2623.8000000000006</v>
      </c>
      <c r="S32" s="23">
        <v>2767.1000000000004</v>
      </c>
      <c r="T32" s="23">
        <v>2843.1</v>
      </c>
      <c r="U32" s="23">
        <v>3041.6</v>
      </c>
      <c r="V32" s="23">
        <v>3267.3999999999996</v>
      </c>
      <c r="W32" s="23">
        <v>3490.3000000000015</v>
      </c>
      <c r="X32" s="23">
        <v>3806.3</v>
      </c>
      <c r="Y32" s="23">
        <v>4085.8000000000006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773.1</v>
      </c>
      <c r="E33" s="23">
        <v>827.8</v>
      </c>
      <c r="F33" s="23">
        <v>878.3</v>
      </c>
      <c r="G33" s="23">
        <v>944.5</v>
      </c>
      <c r="H33" s="23">
        <v>989.1</v>
      </c>
      <c r="I33" s="23">
        <v>1052</v>
      </c>
      <c r="J33" s="23">
        <v>1140.8</v>
      </c>
      <c r="K33" s="23">
        <v>1210.4999999999998</v>
      </c>
      <c r="L33" s="23">
        <v>1293.3000000000002</v>
      </c>
      <c r="M33" s="23">
        <v>1388.1</v>
      </c>
      <c r="N33" s="23">
        <v>1518.5</v>
      </c>
      <c r="O33" s="23">
        <v>1601.7</v>
      </c>
      <c r="P33" s="23">
        <v>1715</v>
      </c>
      <c r="Q33" s="23">
        <v>1779.8</v>
      </c>
      <c r="R33" s="23">
        <v>1872.5</v>
      </c>
      <c r="S33" s="23">
        <v>1951.2</v>
      </c>
      <c r="T33" s="23">
        <v>2003.8</v>
      </c>
      <c r="U33" s="23">
        <v>2115.5</v>
      </c>
      <c r="V33" s="23">
        <v>2275.8000000000002</v>
      </c>
      <c r="W33" s="23">
        <v>2424.1999999999998</v>
      </c>
      <c r="X33" s="23">
        <v>2626.5</v>
      </c>
      <c r="Y33" s="23">
        <v>2788.9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900.7</v>
      </c>
      <c r="E34" s="23">
        <v>1006.2</v>
      </c>
      <c r="F34" s="23">
        <v>1138.2</v>
      </c>
      <c r="G34" s="23">
        <v>1246.8</v>
      </c>
      <c r="H34" s="23">
        <v>1423</v>
      </c>
      <c r="I34" s="23">
        <v>1473.6</v>
      </c>
      <c r="J34" s="23">
        <v>1568.1</v>
      </c>
      <c r="K34" s="23">
        <v>1654.7</v>
      </c>
      <c r="L34" s="23">
        <v>1784.4</v>
      </c>
      <c r="M34" s="23">
        <v>1968.2</v>
      </c>
      <c r="N34" s="23">
        <v>2082.5</v>
      </c>
      <c r="O34" s="23">
        <v>2203.1</v>
      </c>
      <c r="P34" s="23">
        <v>2366.8000000000002</v>
      </c>
      <c r="Q34" s="23">
        <v>2596.4999999999995</v>
      </c>
      <c r="R34" s="23">
        <v>2689.8</v>
      </c>
      <c r="S34" s="23">
        <v>2765</v>
      </c>
      <c r="T34" s="23">
        <v>2851.3</v>
      </c>
      <c r="U34" s="23">
        <v>3099.8</v>
      </c>
      <c r="V34" s="23">
        <v>3370.9</v>
      </c>
      <c r="W34" s="23">
        <v>3672.2</v>
      </c>
      <c r="X34" s="23">
        <v>3881.4</v>
      </c>
      <c r="Y34" s="23">
        <v>4440.8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115.80000000000001</v>
      </c>
      <c r="E35" s="23">
        <v>122.8</v>
      </c>
      <c r="F35" s="23">
        <v>134.4</v>
      </c>
      <c r="G35" s="23">
        <v>144.1</v>
      </c>
      <c r="H35" s="23">
        <v>154.70000000000005</v>
      </c>
      <c r="I35" s="23">
        <v>179.90000000000003</v>
      </c>
      <c r="J35" s="23">
        <v>200.3000000000001</v>
      </c>
      <c r="K35" s="23">
        <v>211.79999999999995</v>
      </c>
      <c r="L35" s="23">
        <v>223.90000000000003</v>
      </c>
      <c r="M35" s="23">
        <v>250</v>
      </c>
      <c r="N35" s="23">
        <v>261.8</v>
      </c>
      <c r="O35" s="23">
        <v>268.09999999999991</v>
      </c>
      <c r="P35" s="23">
        <v>288.8</v>
      </c>
      <c r="Q35" s="23">
        <v>310.20000000000005</v>
      </c>
      <c r="R35" s="23">
        <v>310.59999999999991</v>
      </c>
      <c r="S35" s="23">
        <v>329.5</v>
      </c>
      <c r="T35" s="23">
        <v>321.09999999999997</v>
      </c>
      <c r="U35" s="23">
        <v>344.50000000000006</v>
      </c>
      <c r="V35" s="23">
        <v>350.59999999999991</v>
      </c>
      <c r="W35" s="23">
        <v>396.29999999999995</v>
      </c>
      <c r="X35" s="23">
        <v>382.69999999999993</v>
      </c>
      <c r="Y35" s="23">
        <v>417.29999999999995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175.2</v>
      </c>
      <c r="E36" s="23">
        <v>179</v>
      </c>
      <c r="F36" s="23">
        <v>188</v>
      </c>
      <c r="G36" s="23">
        <v>198.3</v>
      </c>
      <c r="H36" s="23">
        <v>220.6</v>
      </c>
      <c r="I36" s="23">
        <v>244.8</v>
      </c>
      <c r="J36" s="23">
        <v>254.6</v>
      </c>
      <c r="K36" s="23">
        <v>264.8</v>
      </c>
      <c r="L36" s="23">
        <v>283.39999999999998</v>
      </c>
      <c r="M36" s="23">
        <v>314.50000000000006</v>
      </c>
      <c r="N36" s="23">
        <v>328.6</v>
      </c>
      <c r="O36" s="23">
        <v>342.9</v>
      </c>
      <c r="P36" s="23">
        <v>356.4</v>
      </c>
      <c r="Q36" s="23">
        <v>367.8</v>
      </c>
      <c r="R36" s="23">
        <v>375.3</v>
      </c>
      <c r="S36" s="23">
        <v>389.8</v>
      </c>
      <c r="T36" s="23">
        <v>409.4</v>
      </c>
      <c r="U36" s="23">
        <v>423.5</v>
      </c>
      <c r="V36" s="23">
        <v>439.1</v>
      </c>
      <c r="W36" s="23">
        <v>466.5</v>
      </c>
      <c r="X36" s="23">
        <v>447.8</v>
      </c>
      <c r="Y36" s="23">
        <v>568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78.2</v>
      </c>
      <c r="E37" s="23">
        <v>82.2</v>
      </c>
      <c r="F37" s="23">
        <v>86.2</v>
      </c>
      <c r="G37" s="23">
        <v>90.7</v>
      </c>
      <c r="H37" s="23">
        <v>94.9</v>
      </c>
      <c r="I37" s="23">
        <v>99.5</v>
      </c>
      <c r="J37" s="23">
        <v>111.3</v>
      </c>
      <c r="K37" s="23">
        <v>107.7</v>
      </c>
      <c r="L37" s="23">
        <v>110.6</v>
      </c>
      <c r="M37" s="23">
        <v>114.9</v>
      </c>
      <c r="N37" s="23">
        <v>113.80000000000001</v>
      </c>
      <c r="O37" s="23">
        <v>122.3</v>
      </c>
      <c r="P37" s="23">
        <v>120.1</v>
      </c>
      <c r="Q37" s="23">
        <v>128.5</v>
      </c>
      <c r="R37" s="23">
        <v>128.9</v>
      </c>
      <c r="S37" s="23">
        <v>131.9</v>
      </c>
      <c r="T37" s="23">
        <v>136.30000000000001</v>
      </c>
      <c r="U37" s="23">
        <v>143.99999999999997</v>
      </c>
      <c r="V37" s="23">
        <v>148.19999999999999</v>
      </c>
      <c r="W37" s="23">
        <v>154.69999999999996</v>
      </c>
      <c r="X37" s="23">
        <v>153.89999999999998</v>
      </c>
      <c r="Y37" s="23">
        <v>160.00000000000003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20502.099999999995</v>
      </c>
      <c r="E39" s="30">
        <f t="shared" ref="E39:S39" si="2">SUM(E18:E38)</f>
        <v>21424.199999999993</v>
      </c>
      <c r="F39" s="30">
        <f t="shared" si="2"/>
        <v>22423.900000000009</v>
      </c>
      <c r="G39" s="30">
        <f t="shared" si="2"/>
        <v>23474.599999999995</v>
      </c>
      <c r="H39" s="30">
        <f t="shared" si="2"/>
        <v>25053.3</v>
      </c>
      <c r="I39" s="30">
        <f t="shared" si="2"/>
        <v>26894.000000000004</v>
      </c>
      <c r="J39" s="30">
        <f t="shared" si="2"/>
        <v>30683.899999999994</v>
      </c>
      <c r="K39" s="30">
        <f t="shared" si="2"/>
        <v>33658.400000000009</v>
      </c>
      <c r="L39" s="30">
        <f t="shared" si="2"/>
        <v>35998.30000000001</v>
      </c>
      <c r="M39" s="30">
        <f t="shared" si="2"/>
        <v>35116.900000000009</v>
      </c>
      <c r="N39" s="30">
        <f t="shared" si="2"/>
        <v>38235.900000000009</v>
      </c>
      <c r="O39" s="30">
        <f t="shared" si="2"/>
        <v>39801.099999999991</v>
      </c>
      <c r="P39" s="30">
        <f t="shared" si="2"/>
        <v>41682.699999999997</v>
      </c>
      <c r="Q39" s="30">
        <f t="shared" si="2"/>
        <v>44019.399999999994</v>
      </c>
      <c r="R39" s="30">
        <f t="shared" si="2"/>
        <v>46255.000000000015</v>
      </c>
      <c r="S39" s="30">
        <f t="shared" si="2"/>
        <v>49537.3</v>
      </c>
      <c r="T39" s="30">
        <f t="shared" ref="T39:Y39" si="3">SUM(T18:T38)</f>
        <v>51386.200000000019</v>
      </c>
      <c r="U39" s="30">
        <f t="shared" si="3"/>
        <v>53011.500000000015</v>
      </c>
      <c r="V39" s="30">
        <f t="shared" si="3"/>
        <v>54631.8</v>
      </c>
      <c r="W39" s="30">
        <f t="shared" si="3"/>
        <v>56771</v>
      </c>
      <c r="X39" s="30">
        <f t="shared" si="3"/>
        <v>58889.400000000009</v>
      </c>
      <c r="Y39" s="30">
        <f t="shared" si="3"/>
        <v>65870.399999999994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195</v>
      </c>
      <c r="E41" s="19">
        <v>196</v>
      </c>
      <c r="F41" s="19">
        <v>205.1</v>
      </c>
      <c r="G41" s="19">
        <v>222.3</v>
      </c>
      <c r="H41" s="19">
        <v>235.80000000000004</v>
      </c>
      <c r="I41" s="19">
        <v>256.60000000000002</v>
      </c>
      <c r="J41" s="19">
        <v>243.3</v>
      </c>
      <c r="K41" s="19">
        <v>254.3</v>
      </c>
      <c r="L41" s="19">
        <v>228.6</v>
      </c>
      <c r="M41" s="19">
        <v>272.8</v>
      </c>
      <c r="N41" s="19">
        <v>284.10000000000002</v>
      </c>
      <c r="O41" s="19">
        <v>249.6</v>
      </c>
      <c r="P41" s="19">
        <v>258.39999999999998</v>
      </c>
      <c r="Q41" s="19">
        <v>263.2</v>
      </c>
      <c r="R41" s="19">
        <v>272.10000000000002</v>
      </c>
      <c r="S41" s="19">
        <v>285.60000000000002</v>
      </c>
      <c r="T41" s="19">
        <v>288.39999999999998</v>
      </c>
      <c r="U41" s="19">
        <v>277.39999999999998</v>
      </c>
      <c r="V41" s="19">
        <v>281.89999999999998</v>
      </c>
      <c r="W41" s="19">
        <v>297.5023097552799</v>
      </c>
      <c r="X41" s="19">
        <v>301.36744887696949</v>
      </c>
      <c r="Y41" s="19">
        <v>320.74984579282602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159.30000000000001</v>
      </c>
      <c r="E42" s="23">
        <v>158.6</v>
      </c>
      <c r="F42" s="23">
        <v>164.6</v>
      </c>
      <c r="G42" s="23">
        <v>176.4</v>
      </c>
      <c r="H42" s="23">
        <v>207.1</v>
      </c>
      <c r="I42" s="23">
        <v>194.8</v>
      </c>
      <c r="J42" s="23">
        <v>189.5</v>
      </c>
      <c r="K42" s="23">
        <v>197.59999999999997</v>
      </c>
      <c r="L42" s="23">
        <v>129.9</v>
      </c>
      <c r="M42" s="23">
        <v>112.2</v>
      </c>
      <c r="N42" s="23">
        <v>173.6</v>
      </c>
      <c r="O42" s="23">
        <v>168.9</v>
      </c>
      <c r="P42" s="23">
        <v>141.30000000000001</v>
      </c>
      <c r="Q42" s="23">
        <v>145.19999999999999</v>
      </c>
      <c r="R42" s="23">
        <v>138.5</v>
      </c>
      <c r="S42" s="23">
        <v>185</v>
      </c>
      <c r="T42" s="23">
        <v>224.1</v>
      </c>
      <c r="U42" s="23">
        <v>235.8</v>
      </c>
      <c r="V42" s="23">
        <v>234.2</v>
      </c>
      <c r="W42" s="23">
        <v>263.8</v>
      </c>
      <c r="X42" s="23">
        <v>290.2</v>
      </c>
      <c r="Y42" s="23">
        <v>291.10000000000002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137.69999999999999</v>
      </c>
      <c r="E43" s="23">
        <v>135.19999999999999</v>
      </c>
      <c r="F43" s="23">
        <v>156.1</v>
      </c>
      <c r="G43" s="23">
        <v>167.5</v>
      </c>
      <c r="H43" s="23">
        <v>169.7</v>
      </c>
      <c r="I43" s="23">
        <v>159.5</v>
      </c>
      <c r="J43" s="23">
        <v>148.19999999999999</v>
      </c>
      <c r="K43" s="23">
        <v>138.69999999999999</v>
      </c>
      <c r="L43" s="23">
        <v>127.6</v>
      </c>
      <c r="M43" s="23">
        <v>122</v>
      </c>
      <c r="N43" s="23">
        <v>129.5</v>
      </c>
      <c r="O43" s="23">
        <v>120.5</v>
      </c>
      <c r="P43" s="23">
        <v>115.9</v>
      </c>
      <c r="Q43" s="23">
        <v>105.6</v>
      </c>
      <c r="R43" s="23">
        <v>113.9</v>
      </c>
      <c r="S43" s="23">
        <v>108.3</v>
      </c>
      <c r="T43" s="23">
        <v>107.1</v>
      </c>
      <c r="U43" s="23">
        <v>113.4</v>
      </c>
      <c r="V43" s="23">
        <v>110.3</v>
      </c>
      <c r="W43" s="23">
        <v>116.40477036540395</v>
      </c>
      <c r="X43" s="23">
        <v>117.91709688233323</v>
      </c>
      <c r="Y43" s="23">
        <v>125.5009151860543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74.900000000000006</v>
      </c>
      <c r="E45" s="23">
        <v>74.099999999999994</v>
      </c>
      <c r="F45" s="23">
        <v>90.1</v>
      </c>
      <c r="G45" s="23">
        <v>102.5</v>
      </c>
      <c r="H45" s="23">
        <v>103.6</v>
      </c>
      <c r="I45" s="23">
        <v>82.7</v>
      </c>
      <c r="J45" s="23">
        <v>78.599999999999994</v>
      </c>
      <c r="K45" s="23">
        <v>65.2</v>
      </c>
      <c r="L45" s="23">
        <v>98.9</v>
      </c>
      <c r="M45" s="23">
        <v>76.400000000000006</v>
      </c>
      <c r="N45" s="23">
        <v>80.40000000000002</v>
      </c>
      <c r="O45" s="23">
        <v>88.4</v>
      </c>
      <c r="P45" s="23">
        <v>73.099999999999994</v>
      </c>
      <c r="Q45" s="23">
        <v>86.6</v>
      </c>
      <c r="R45" s="23">
        <v>101.2</v>
      </c>
      <c r="S45" s="23">
        <v>104.4</v>
      </c>
      <c r="T45" s="23">
        <v>103.5</v>
      </c>
      <c r="U45" s="23">
        <v>109.9</v>
      </c>
      <c r="V45" s="23">
        <v>103.7</v>
      </c>
      <c r="W45" s="23">
        <v>99.5</v>
      </c>
      <c r="X45" s="23">
        <v>140.6</v>
      </c>
      <c r="Y45" s="23">
        <v>171.7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76.688935883014651</v>
      </c>
      <c r="E46" s="23">
        <v>76.508771929824562</v>
      </c>
      <c r="F46" s="23">
        <v>94.795531687357609</v>
      </c>
      <c r="G46" s="23">
        <v>106.64395747450639</v>
      </c>
      <c r="H46" s="23">
        <v>105.50732957674873</v>
      </c>
      <c r="I46" s="23">
        <v>84.095050836064203</v>
      </c>
      <c r="J46" s="23">
        <v>79.176660593009785</v>
      </c>
      <c r="K46" s="23">
        <v>80.541300963799543</v>
      </c>
      <c r="L46" s="23">
        <v>99.264850999622837</v>
      </c>
      <c r="M46" s="23">
        <v>77.087576374745424</v>
      </c>
      <c r="N46" s="23">
        <v>78.592535612535613</v>
      </c>
      <c r="O46" s="23">
        <v>86.71244198584219</v>
      </c>
      <c r="P46" s="23">
        <v>72.394178635974498</v>
      </c>
      <c r="Q46" s="23">
        <v>83.762644715411369</v>
      </c>
      <c r="R46" s="23">
        <v>125.45515105356694</v>
      </c>
      <c r="S46" s="23">
        <v>130.20477414007462</v>
      </c>
      <c r="T46" s="23">
        <v>117.24580047994516</v>
      </c>
      <c r="U46" s="23">
        <v>107.01900108959262</v>
      </c>
      <c r="V46" s="23">
        <v>119.36635586635587</v>
      </c>
      <c r="W46" s="23">
        <v>125.97292152292154</v>
      </c>
      <c r="X46" s="23">
        <v>127.60955710955713</v>
      </c>
      <c r="Y46" s="23">
        <v>135.81674436674436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592.5</v>
      </c>
      <c r="E47" s="23">
        <v>550</v>
      </c>
      <c r="F47" s="23">
        <v>564.70000000000005</v>
      </c>
      <c r="G47" s="23">
        <v>557.9</v>
      </c>
      <c r="H47" s="23">
        <v>511</v>
      </c>
      <c r="I47" s="23">
        <v>510.1</v>
      </c>
      <c r="J47" s="23">
        <v>547.6</v>
      </c>
      <c r="K47" s="23">
        <v>601.79999999999995</v>
      </c>
      <c r="L47" s="23">
        <v>520.5</v>
      </c>
      <c r="M47" s="23">
        <v>432.7</v>
      </c>
      <c r="N47" s="23">
        <v>489.2</v>
      </c>
      <c r="O47" s="23">
        <v>456.1</v>
      </c>
      <c r="P47" s="23">
        <v>407.9</v>
      </c>
      <c r="Q47" s="23">
        <v>564.9</v>
      </c>
      <c r="R47" s="23">
        <v>619.70000000000005</v>
      </c>
      <c r="S47" s="23">
        <v>698.6</v>
      </c>
      <c r="T47" s="23">
        <v>741.2</v>
      </c>
      <c r="U47" s="23">
        <v>569.70000000000005</v>
      </c>
      <c r="V47" s="23">
        <v>660.2</v>
      </c>
      <c r="W47" s="23">
        <v>696.74006704659735</v>
      </c>
      <c r="X47" s="23">
        <v>705.79208850150872</v>
      </c>
      <c r="Y47" s="23">
        <v>751.18498826684549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660.9</v>
      </c>
      <c r="E48" s="23">
        <v>641.5</v>
      </c>
      <c r="F48" s="23">
        <v>562.29999999999995</v>
      </c>
      <c r="G48" s="23">
        <v>658.9</v>
      </c>
      <c r="H48" s="23">
        <v>689.4</v>
      </c>
      <c r="I48" s="23">
        <v>717.8</v>
      </c>
      <c r="J48" s="23">
        <v>675.1</v>
      </c>
      <c r="K48" s="23">
        <v>1162.4000000000001</v>
      </c>
      <c r="L48" s="23">
        <v>1037.0999999999999</v>
      </c>
      <c r="M48" s="23">
        <v>311</v>
      </c>
      <c r="N48" s="23">
        <v>430.8</v>
      </c>
      <c r="O48" s="23">
        <v>510.89999999999992</v>
      </c>
      <c r="P48" s="23">
        <v>546.09999999999991</v>
      </c>
      <c r="Q48" s="23">
        <v>519.59999999999991</v>
      </c>
      <c r="R48" s="23">
        <v>140.30000000000001</v>
      </c>
      <c r="S48" s="23">
        <v>416.3</v>
      </c>
      <c r="T48" s="23">
        <v>840.3</v>
      </c>
      <c r="U48" s="23">
        <v>880.8</v>
      </c>
      <c r="V48" s="23">
        <v>1017.3</v>
      </c>
      <c r="W48" s="23">
        <v>1073.6044686557157</v>
      </c>
      <c r="X48" s="23">
        <v>1087.5526986255447</v>
      </c>
      <c r="Y48" s="23">
        <v>1157.4984679852496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273.71106411698531</v>
      </c>
      <c r="E49" s="23">
        <v>296.29122807017529</v>
      </c>
      <c r="F49" s="23">
        <v>294.80446831264248</v>
      </c>
      <c r="G49" s="23">
        <v>273.75604252549346</v>
      </c>
      <c r="H49" s="23">
        <v>255.79267042325139</v>
      </c>
      <c r="I49" s="23">
        <v>280.00494916393575</v>
      </c>
      <c r="J49" s="23">
        <v>364.72333940699025</v>
      </c>
      <c r="K49" s="23">
        <v>354.05869903620021</v>
      </c>
      <c r="L49" s="23">
        <v>305.53514900037788</v>
      </c>
      <c r="M49" s="23">
        <v>321.8124236252545</v>
      </c>
      <c r="N49" s="23">
        <v>334.50746438746444</v>
      </c>
      <c r="O49" s="23">
        <v>372.58755801415782</v>
      </c>
      <c r="P49" s="23">
        <v>398.30582136402563</v>
      </c>
      <c r="Q49" s="23">
        <v>358.93735528458853</v>
      </c>
      <c r="R49" s="23">
        <v>814.84484894643322</v>
      </c>
      <c r="S49" s="23">
        <v>923.69522585992536</v>
      </c>
      <c r="T49" s="23">
        <v>704.35419952005429</v>
      </c>
      <c r="U49" s="23">
        <v>344.38099891040673</v>
      </c>
      <c r="V49" s="23">
        <v>319.03364413364454</v>
      </c>
      <c r="W49" s="23">
        <v>329.99292829269984</v>
      </c>
      <c r="X49" s="23">
        <v>271.500164647063</v>
      </c>
      <c r="Y49" s="23">
        <v>284.66848191552145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10.199999999999999</v>
      </c>
      <c r="E52" s="23">
        <v>10.4</v>
      </c>
      <c r="F52" s="23">
        <v>10.5</v>
      </c>
      <c r="G52" s="23">
        <v>16.7</v>
      </c>
      <c r="H52" s="23">
        <v>20.5</v>
      </c>
      <c r="I52" s="23">
        <v>24.4</v>
      </c>
      <c r="J52" s="23">
        <v>27.2</v>
      </c>
      <c r="K52" s="23">
        <v>50.8</v>
      </c>
      <c r="L52" s="23">
        <v>48.2</v>
      </c>
      <c r="M52" s="23">
        <v>24.7</v>
      </c>
      <c r="N52" s="23">
        <v>32.200000000000003</v>
      </c>
      <c r="O52" s="23">
        <v>36.4</v>
      </c>
      <c r="P52" s="23">
        <v>38.5</v>
      </c>
      <c r="Q52" s="23">
        <v>40.000000000000007</v>
      </c>
      <c r="R52" s="23">
        <v>40.200000000000003</v>
      </c>
      <c r="S52" s="23">
        <v>39.4</v>
      </c>
      <c r="T52" s="23">
        <v>43.7</v>
      </c>
      <c r="U52" s="23">
        <v>44.4</v>
      </c>
      <c r="V52" s="23">
        <v>40.9</v>
      </c>
      <c r="W52" s="23">
        <v>43.163690915186052</v>
      </c>
      <c r="X52" s="23">
        <v>43.724472008045595</v>
      </c>
      <c r="Y52" s="23">
        <v>46.536604089842427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35.499999999996106</v>
      </c>
      <c r="E53" s="23">
        <v>41.899999999996723</v>
      </c>
      <c r="F53" s="23">
        <v>37.600000000004577</v>
      </c>
      <c r="G53" s="23">
        <v>35.799999999995087</v>
      </c>
      <c r="H53" s="23">
        <v>39.999999999997222</v>
      </c>
      <c r="I53" s="23">
        <v>61.600000000001721</v>
      </c>
      <c r="J53" s="23">
        <v>67.000000000003567</v>
      </c>
      <c r="K53" s="23">
        <v>93.100000000003149</v>
      </c>
      <c r="L53" s="23">
        <v>79.000000000002103</v>
      </c>
      <c r="M53" s="23">
        <v>66.10000000000376</v>
      </c>
      <c r="N53" s="23">
        <v>72.899999999999821</v>
      </c>
      <c r="O53" s="23">
        <v>68.2999999999941</v>
      </c>
      <c r="P53" s="23">
        <v>68.199999999990609</v>
      </c>
      <c r="Q53" s="23">
        <v>68.199999999997914</v>
      </c>
      <c r="R53" s="23">
        <v>82.499999999999801</v>
      </c>
      <c r="S53" s="23">
        <v>75.500000000001364</v>
      </c>
      <c r="T53" s="23">
        <v>87.200000000008131</v>
      </c>
      <c r="U53" s="23">
        <v>95.200000000010462</v>
      </c>
      <c r="V53" s="23">
        <v>95.999999999996604</v>
      </c>
      <c r="W53" s="23">
        <v>101.31884344619624</v>
      </c>
      <c r="X53" s="23">
        <v>102.83647334897964</v>
      </c>
      <c r="Y53" s="23">
        <v>109.24395239690529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2216.3999999999955</v>
      </c>
      <c r="E54" s="30">
        <f t="shared" ref="E54:S54" si="4">SUM(E41:E53)</f>
        <v>2180.4999999999968</v>
      </c>
      <c r="F54" s="30">
        <f t="shared" si="4"/>
        <v>2180.6000000000045</v>
      </c>
      <c r="G54" s="30">
        <f t="shared" si="4"/>
        <v>2318.3999999999946</v>
      </c>
      <c r="H54" s="30">
        <f t="shared" si="4"/>
        <v>2338.3999999999974</v>
      </c>
      <c r="I54" s="30">
        <f t="shared" si="4"/>
        <v>2371.6000000000017</v>
      </c>
      <c r="J54" s="30">
        <f t="shared" si="4"/>
        <v>2420.4000000000037</v>
      </c>
      <c r="K54" s="30">
        <f t="shared" si="4"/>
        <v>2998.5000000000032</v>
      </c>
      <c r="L54" s="30">
        <f t="shared" si="4"/>
        <v>2674.6000000000026</v>
      </c>
      <c r="M54" s="30">
        <f t="shared" si="4"/>
        <v>1816.8000000000038</v>
      </c>
      <c r="N54" s="30">
        <f t="shared" si="4"/>
        <v>2105.7999999999997</v>
      </c>
      <c r="O54" s="30">
        <f t="shared" si="4"/>
        <v>2158.3999999999942</v>
      </c>
      <c r="P54" s="30">
        <f t="shared" si="4"/>
        <v>2120.0999999999908</v>
      </c>
      <c r="Q54" s="30">
        <f t="shared" si="4"/>
        <v>2235.9999999999977</v>
      </c>
      <c r="R54" s="30">
        <f t="shared" si="4"/>
        <v>2448.7000000000003</v>
      </c>
      <c r="S54" s="30">
        <f t="shared" si="4"/>
        <v>2967.0000000000014</v>
      </c>
      <c r="T54" s="30">
        <f t="shared" ref="T54:Y54" si="5">SUM(T41:T53)</f>
        <v>3257.1000000000072</v>
      </c>
      <c r="U54" s="30">
        <f t="shared" si="5"/>
        <v>2778.0000000000095</v>
      </c>
      <c r="V54" s="30">
        <f t="shared" si="5"/>
        <v>2982.8999999999974</v>
      </c>
      <c r="W54" s="30">
        <f t="shared" si="5"/>
        <v>3148.0000000000005</v>
      </c>
      <c r="X54" s="30">
        <f t="shared" si="5"/>
        <v>3189.1000000000017</v>
      </c>
      <c r="Y54" s="30">
        <f t="shared" si="5"/>
        <v>3393.9999999999891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195</v>
      </c>
      <c r="E56" s="19">
        <v>196</v>
      </c>
      <c r="F56" s="19">
        <v>205.1</v>
      </c>
      <c r="G56" s="19">
        <v>222.3</v>
      </c>
      <c r="H56" s="19">
        <v>235.80000000000004</v>
      </c>
      <c r="I56" s="19">
        <v>256.60000000000002</v>
      </c>
      <c r="J56" s="19">
        <v>243.3</v>
      </c>
      <c r="K56" s="19">
        <v>254.3</v>
      </c>
      <c r="L56" s="19">
        <v>228.6</v>
      </c>
      <c r="M56" s="19">
        <v>272.8</v>
      </c>
      <c r="N56" s="19">
        <v>284.10000000000002</v>
      </c>
      <c r="O56" s="19">
        <v>249.6</v>
      </c>
      <c r="P56" s="19">
        <v>258.39999999999998</v>
      </c>
      <c r="Q56" s="19">
        <v>263.2</v>
      </c>
      <c r="R56" s="19">
        <v>272.10000000000002</v>
      </c>
      <c r="S56" s="19">
        <v>285.60000000000002</v>
      </c>
      <c r="T56" s="19">
        <v>288.39999999999998</v>
      </c>
      <c r="U56" s="19">
        <v>277.39999999999998</v>
      </c>
      <c r="V56" s="19">
        <v>281.89999999999998</v>
      </c>
      <c r="W56" s="19">
        <v>297.5023097552799</v>
      </c>
      <c r="X56" s="19">
        <v>301.36744887696949</v>
      </c>
      <c r="Y56" s="19">
        <v>320.74984579282602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159.30000000000001</v>
      </c>
      <c r="E57" s="23">
        <v>158.6</v>
      </c>
      <c r="F57" s="23">
        <v>164.6</v>
      </c>
      <c r="G57" s="23">
        <v>176.4</v>
      </c>
      <c r="H57" s="23">
        <v>207.1</v>
      </c>
      <c r="I57" s="23">
        <v>194.8</v>
      </c>
      <c r="J57" s="23">
        <v>189.5</v>
      </c>
      <c r="K57" s="23">
        <v>197.59999999999997</v>
      </c>
      <c r="L57" s="23">
        <v>129.9</v>
      </c>
      <c r="M57" s="23">
        <v>112.2</v>
      </c>
      <c r="N57" s="23">
        <v>173.6</v>
      </c>
      <c r="O57" s="23">
        <v>168.9</v>
      </c>
      <c r="P57" s="23">
        <v>141.30000000000001</v>
      </c>
      <c r="Q57" s="23">
        <v>145.19999999999999</v>
      </c>
      <c r="R57" s="23">
        <v>138.5</v>
      </c>
      <c r="S57" s="23">
        <v>185</v>
      </c>
      <c r="T57" s="23">
        <v>224.1</v>
      </c>
      <c r="U57" s="23">
        <v>235.8</v>
      </c>
      <c r="V57" s="23">
        <v>234.2</v>
      </c>
      <c r="W57" s="23">
        <v>263.8</v>
      </c>
      <c r="X57" s="23">
        <v>290.2</v>
      </c>
      <c r="Y57" s="23">
        <v>291.10000000000002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37.6</v>
      </c>
      <c r="E58" s="23">
        <v>33.700000000000003</v>
      </c>
      <c r="F58" s="23">
        <v>39.4</v>
      </c>
      <c r="G58" s="23">
        <v>38.6</v>
      </c>
      <c r="H58" s="23">
        <v>48.3</v>
      </c>
      <c r="I58" s="23">
        <v>44.8</v>
      </c>
      <c r="J58" s="23">
        <v>41.6</v>
      </c>
      <c r="K58" s="23">
        <v>41.7</v>
      </c>
      <c r="L58" s="23">
        <v>37.9</v>
      </c>
      <c r="M58" s="23">
        <v>33.4</v>
      </c>
      <c r="N58" s="23">
        <v>48.3</v>
      </c>
      <c r="O58" s="23">
        <v>45.1</v>
      </c>
      <c r="P58" s="23">
        <v>43.4</v>
      </c>
      <c r="Q58" s="23">
        <v>39.9</v>
      </c>
      <c r="R58" s="23">
        <v>37.799999999999997</v>
      </c>
      <c r="S58" s="23">
        <v>32.4</v>
      </c>
      <c r="T58" s="23">
        <v>32.040997229916897</v>
      </c>
      <c r="U58" s="23">
        <v>33.925761772853178</v>
      </c>
      <c r="V58" s="23">
        <v>32.998337950138513</v>
      </c>
      <c r="W58" s="23">
        <v>34.824695843389549</v>
      </c>
      <c r="X58" s="23">
        <v>35.277137017429332</v>
      </c>
      <c r="Y58" s="23">
        <v>37.545980166465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100.09999999999998</v>
      </c>
      <c r="E60" s="23">
        <v>101.49999999999999</v>
      </c>
      <c r="F60" s="23">
        <v>116.70000000000002</v>
      </c>
      <c r="G60" s="23">
        <v>128.89999999999998</v>
      </c>
      <c r="H60" s="23">
        <v>121.4</v>
      </c>
      <c r="I60" s="23">
        <v>114.7</v>
      </c>
      <c r="J60" s="23">
        <v>106.6</v>
      </c>
      <c r="K60" s="23">
        <v>96.999999999999957</v>
      </c>
      <c r="L60" s="23">
        <v>89.7</v>
      </c>
      <c r="M60" s="23">
        <v>88.6</v>
      </c>
      <c r="N60" s="23">
        <v>81.199999999999989</v>
      </c>
      <c r="O60" s="23">
        <v>75.399999999999991</v>
      </c>
      <c r="P60" s="23">
        <v>72.500000000000014</v>
      </c>
      <c r="Q60" s="23">
        <v>65.7</v>
      </c>
      <c r="R60" s="23">
        <v>76.100000000000009</v>
      </c>
      <c r="S60" s="23">
        <v>75.900000000000006</v>
      </c>
      <c r="T60" s="23">
        <v>75.059002770083111</v>
      </c>
      <c r="U60" s="23">
        <v>79.474238227146827</v>
      </c>
      <c r="V60" s="23">
        <v>77.301662049861491</v>
      </c>
      <c r="W60" s="23">
        <v>81.580074522014399</v>
      </c>
      <c r="X60" s="23">
        <v>82.639959864903886</v>
      </c>
      <c r="Y60" s="23">
        <v>87.9549350195893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74.900000000000006</v>
      </c>
      <c r="E62" s="23">
        <v>74.099999999999994</v>
      </c>
      <c r="F62" s="23">
        <v>90.1</v>
      </c>
      <c r="G62" s="23">
        <v>102.5</v>
      </c>
      <c r="H62" s="23">
        <v>103.6</v>
      </c>
      <c r="I62" s="23">
        <v>82.7</v>
      </c>
      <c r="J62" s="23">
        <v>78.599999999999994</v>
      </c>
      <c r="K62" s="23">
        <v>65.2</v>
      </c>
      <c r="L62" s="23">
        <v>98.9</v>
      </c>
      <c r="M62" s="23">
        <v>76.400000000000006</v>
      </c>
      <c r="N62" s="23">
        <v>80.40000000000002</v>
      </c>
      <c r="O62" s="23">
        <v>88.4</v>
      </c>
      <c r="P62" s="23">
        <v>73.099999999999994</v>
      </c>
      <c r="Q62" s="23">
        <v>86.6</v>
      </c>
      <c r="R62" s="23">
        <v>101.2</v>
      </c>
      <c r="S62" s="23">
        <v>104.4</v>
      </c>
      <c r="T62" s="23">
        <v>103.5</v>
      </c>
      <c r="U62" s="23">
        <v>109.9</v>
      </c>
      <c r="V62" s="23">
        <v>103.7</v>
      </c>
      <c r="W62" s="23">
        <v>99.5</v>
      </c>
      <c r="X62" s="23">
        <v>140.6</v>
      </c>
      <c r="Y62" s="23">
        <v>171.7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76.688935883014651</v>
      </c>
      <c r="E63" s="23">
        <v>76.508771929824562</v>
      </c>
      <c r="F63" s="23">
        <v>94.795531687357609</v>
      </c>
      <c r="G63" s="23">
        <v>106.64395747450639</v>
      </c>
      <c r="H63" s="23">
        <v>105.50732957674873</v>
      </c>
      <c r="I63" s="23">
        <v>84.095050836064203</v>
      </c>
      <c r="J63" s="23">
        <v>79.176660593009785</v>
      </c>
      <c r="K63" s="23">
        <v>80.541300963799543</v>
      </c>
      <c r="L63" s="23">
        <v>99.264850999622837</v>
      </c>
      <c r="M63" s="23">
        <v>77.087576374745424</v>
      </c>
      <c r="N63" s="23">
        <v>78.592535612535613</v>
      </c>
      <c r="O63" s="23">
        <v>86.71244198584219</v>
      </c>
      <c r="P63" s="23">
        <v>72.394178635974498</v>
      </c>
      <c r="Q63" s="23">
        <v>83.762644715411369</v>
      </c>
      <c r="R63" s="23">
        <v>125.45515105356694</v>
      </c>
      <c r="S63" s="23">
        <v>130.20477414007462</v>
      </c>
      <c r="T63" s="23">
        <v>117.24580047994516</v>
      </c>
      <c r="U63" s="23">
        <v>107.01900108959262</v>
      </c>
      <c r="V63" s="23">
        <v>119.36635586635587</v>
      </c>
      <c r="W63" s="23">
        <v>125.97292152292154</v>
      </c>
      <c r="X63" s="23">
        <v>127.60955710955713</v>
      </c>
      <c r="Y63" s="23">
        <v>135.81674436674436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23">
        <v>0</v>
      </c>
      <c r="X64" s="23">
        <v>0</v>
      </c>
      <c r="Y64" s="23">
        <v>0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592.5</v>
      </c>
      <c r="E65" s="23">
        <v>550</v>
      </c>
      <c r="F65" s="23">
        <v>564.70000000000005</v>
      </c>
      <c r="G65" s="23">
        <v>557.9</v>
      </c>
      <c r="H65" s="23">
        <v>511</v>
      </c>
      <c r="I65" s="23">
        <v>510.1</v>
      </c>
      <c r="J65" s="23">
        <v>547.6</v>
      </c>
      <c r="K65" s="23">
        <v>601.79999999999995</v>
      </c>
      <c r="L65" s="23">
        <v>520.5</v>
      </c>
      <c r="M65" s="23">
        <v>432.7</v>
      </c>
      <c r="N65" s="23">
        <v>489.2</v>
      </c>
      <c r="O65" s="23">
        <v>456.1</v>
      </c>
      <c r="P65" s="23">
        <v>407.9</v>
      </c>
      <c r="Q65" s="23">
        <v>564.9</v>
      </c>
      <c r="R65" s="23">
        <v>619.70000000000005</v>
      </c>
      <c r="S65" s="23">
        <v>698.6</v>
      </c>
      <c r="T65" s="23">
        <v>741.2</v>
      </c>
      <c r="U65" s="23">
        <v>569.70000000000005</v>
      </c>
      <c r="V65" s="23">
        <v>660.2</v>
      </c>
      <c r="W65" s="23">
        <v>696.74006704659735</v>
      </c>
      <c r="X65" s="23">
        <v>705.79208850150872</v>
      </c>
      <c r="Y65" s="23">
        <v>751.18498826684549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660.9</v>
      </c>
      <c r="E66" s="23">
        <v>641.5</v>
      </c>
      <c r="F66" s="23">
        <v>562.29999999999995</v>
      </c>
      <c r="G66" s="23">
        <v>658.9</v>
      </c>
      <c r="H66" s="23">
        <v>689.4</v>
      </c>
      <c r="I66" s="23">
        <v>717.8</v>
      </c>
      <c r="J66" s="23">
        <v>675.1</v>
      </c>
      <c r="K66" s="23">
        <v>1162.4000000000001</v>
      </c>
      <c r="L66" s="23">
        <v>1037.0999999999999</v>
      </c>
      <c r="M66" s="23">
        <v>311</v>
      </c>
      <c r="N66" s="23">
        <v>430.8</v>
      </c>
      <c r="O66" s="23">
        <v>510.89999999999992</v>
      </c>
      <c r="P66" s="23">
        <v>546.09999999999991</v>
      </c>
      <c r="Q66" s="23">
        <v>519.59999999999991</v>
      </c>
      <c r="R66" s="23">
        <v>140.30000000000001</v>
      </c>
      <c r="S66" s="23">
        <v>416.3</v>
      </c>
      <c r="T66" s="23">
        <v>840.3</v>
      </c>
      <c r="U66" s="23">
        <v>880.8</v>
      </c>
      <c r="V66" s="23">
        <v>1017.3</v>
      </c>
      <c r="W66" s="23">
        <v>1073.6044686557157</v>
      </c>
      <c r="X66" s="23">
        <v>1087.5526986255447</v>
      </c>
      <c r="Y66" s="23">
        <v>1157.4984679852496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273.71106411698531</v>
      </c>
      <c r="E68" s="23">
        <v>296.29122807017529</v>
      </c>
      <c r="F68" s="23">
        <v>294.80446831264248</v>
      </c>
      <c r="G68" s="23">
        <v>273.75604252549346</v>
      </c>
      <c r="H68" s="23">
        <v>255.79267042325139</v>
      </c>
      <c r="I68" s="23">
        <v>280.00494916393575</v>
      </c>
      <c r="J68" s="23">
        <v>364.72333940699025</v>
      </c>
      <c r="K68" s="23">
        <v>354.05869903620021</v>
      </c>
      <c r="L68" s="23">
        <v>305.53514900037788</v>
      </c>
      <c r="M68" s="23">
        <v>321.8124236252545</v>
      </c>
      <c r="N68" s="23">
        <v>334.50746438746444</v>
      </c>
      <c r="O68" s="23">
        <v>372.58755801415782</v>
      </c>
      <c r="P68" s="23">
        <v>398.30582136402563</v>
      </c>
      <c r="Q68" s="23">
        <v>358.93735528458853</v>
      </c>
      <c r="R68" s="23">
        <v>814.84484894643322</v>
      </c>
      <c r="S68" s="23">
        <v>923.69522585992536</v>
      </c>
      <c r="T68" s="23">
        <v>704.35419952005429</v>
      </c>
      <c r="U68" s="23">
        <v>344.38099891040673</v>
      </c>
      <c r="V68" s="23">
        <v>319.03364413364454</v>
      </c>
      <c r="W68" s="23">
        <v>329.99292829269984</v>
      </c>
      <c r="X68" s="23">
        <v>271.500164647063</v>
      </c>
      <c r="Y68" s="23">
        <v>284.66848191552145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  <c r="X69" s="23">
        <v>0</v>
      </c>
      <c r="Y69" s="23">
        <v>0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10.199999999999999</v>
      </c>
      <c r="E72" s="23">
        <v>10.4</v>
      </c>
      <c r="F72" s="23">
        <v>10.5</v>
      </c>
      <c r="G72" s="23">
        <v>16.7</v>
      </c>
      <c r="H72" s="23">
        <v>20.5</v>
      </c>
      <c r="I72" s="23">
        <v>24.4</v>
      </c>
      <c r="J72" s="23">
        <v>27.2</v>
      </c>
      <c r="K72" s="23">
        <v>50.8</v>
      </c>
      <c r="L72" s="23">
        <v>48.2</v>
      </c>
      <c r="M72" s="23">
        <v>24.7</v>
      </c>
      <c r="N72" s="23">
        <v>32.200000000000003</v>
      </c>
      <c r="O72" s="23">
        <v>36.4</v>
      </c>
      <c r="P72" s="23">
        <v>38.5</v>
      </c>
      <c r="Q72" s="23">
        <v>40.000000000000007</v>
      </c>
      <c r="R72" s="23">
        <v>40.200000000000003</v>
      </c>
      <c r="S72" s="23">
        <v>39.4</v>
      </c>
      <c r="T72" s="23">
        <v>43.7</v>
      </c>
      <c r="U72" s="23">
        <v>44.4</v>
      </c>
      <c r="V72" s="23">
        <v>40.9</v>
      </c>
      <c r="W72" s="23">
        <v>43.163690915186052</v>
      </c>
      <c r="X72" s="23">
        <v>43.724472008045595</v>
      </c>
      <c r="Y72" s="23">
        <v>46.536604089842427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31.711462450592887</v>
      </c>
      <c r="E73" s="23">
        <v>35.742652329749106</v>
      </c>
      <c r="F73" s="23">
        <v>30.535714285714285</v>
      </c>
      <c r="G73" s="23">
        <v>26.161943319838056</v>
      </c>
      <c r="H73" s="23">
        <v>31.141463414634142</v>
      </c>
      <c r="I73" s="23">
        <v>48.178770949720672</v>
      </c>
      <c r="J73" s="23">
        <v>51.451697127937329</v>
      </c>
      <c r="K73" s="23">
        <v>65.294966442953012</v>
      </c>
      <c r="L73" s="23">
        <v>52.003180212014144</v>
      </c>
      <c r="M73" s="23">
        <v>24.446319569120288</v>
      </c>
      <c r="N73" s="23">
        <v>23.494297082228119</v>
      </c>
      <c r="O73" s="23">
        <v>26.145187601957588</v>
      </c>
      <c r="P73" s="23">
        <v>26.106851549755302</v>
      </c>
      <c r="Q73" s="23">
        <v>26.145187601957591</v>
      </c>
      <c r="R73" s="23">
        <v>31.66557911908647</v>
      </c>
      <c r="S73" s="23">
        <v>28.867047308319744</v>
      </c>
      <c r="T73" s="23">
        <v>33.467373572593807</v>
      </c>
      <c r="U73" s="23">
        <v>36.534257748776511</v>
      </c>
      <c r="V73" s="23">
        <v>36.840946166394779</v>
      </c>
      <c r="W73" s="23">
        <v>38.879980766485886</v>
      </c>
      <c r="X73" s="23">
        <v>39.385108053849464</v>
      </c>
      <c r="Y73" s="23">
        <v>41.918154670922057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3.788537549403225</v>
      </c>
      <c r="E74" s="23">
        <v>6.157347670247618</v>
      </c>
      <c r="F74" s="23">
        <v>7.0642857142902979</v>
      </c>
      <c r="G74" s="23">
        <v>9.6380566801570335</v>
      </c>
      <c r="H74" s="23">
        <v>8.8585365853630815</v>
      </c>
      <c r="I74" s="23">
        <v>13.421229050281051</v>
      </c>
      <c r="J74" s="23">
        <v>15.548302872066236</v>
      </c>
      <c r="K74" s="23">
        <v>27.805033557050127</v>
      </c>
      <c r="L74" s="23">
        <v>26.996819787987967</v>
      </c>
      <c r="M74" s="23">
        <v>41.653680430883476</v>
      </c>
      <c r="N74" s="23">
        <v>49.405702917771706</v>
      </c>
      <c r="O74" s="23">
        <v>42.154812398036512</v>
      </c>
      <c r="P74" s="23">
        <v>42.093148450235311</v>
      </c>
      <c r="Q74" s="23">
        <v>42.054812398040319</v>
      </c>
      <c r="R74" s="23">
        <v>50.834420880913342</v>
      </c>
      <c r="S74" s="23">
        <v>46.632952691681623</v>
      </c>
      <c r="T74" s="23">
        <v>53.732626427414331</v>
      </c>
      <c r="U74" s="23">
        <v>58.665742251233958</v>
      </c>
      <c r="V74" s="23">
        <v>59.159053833601831</v>
      </c>
      <c r="W74" s="23">
        <v>62.438862679710354</v>
      </c>
      <c r="X74" s="23">
        <v>63.451365295130181</v>
      </c>
      <c r="Y74" s="23">
        <v>67.325797725983236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2216.399999999996</v>
      </c>
      <c r="E75" s="30">
        <f t="shared" ref="E75:S75" si="6">SUM(E56:E74)</f>
        <v>2180.4999999999964</v>
      </c>
      <c r="F75" s="30">
        <f t="shared" si="6"/>
        <v>2180.6000000000045</v>
      </c>
      <c r="G75" s="30">
        <f t="shared" si="6"/>
        <v>2318.3999999999946</v>
      </c>
      <c r="H75" s="30">
        <f t="shared" si="6"/>
        <v>2338.3999999999974</v>
      </c>
      <c r="I75" s="30">
        <f t="shared" si="6"/>
        <v>2371.6000000000017</v>
      </c>
      <c r="J75" s="30">
        <f t="shared" si="6"/>
        <v>2420.4000000000037</v>
      </c>
      <c r="K75" s="30">
        <f t="shared" si="6"/>
        <v>2998.5000000000032</v>
      </c>
      <c r="L75" s="30">
        <f t="shared" si="6"/>
        <v>2674.6000000000026</v>
      </c>
      <c r="M75" s="30">
        <f t="shared" si="6"/>
        <v>1816.8000000000038</v>
      </c>
      <c r="N75" s="30">
        <f t="shared" si="6"/>
        <v>2105.7999999999997</v>
      </c>
      <c r="O75" s="30">
        <f t="shared" si="6"/>
        <v>2158.3999999999942</v>
      </c>
      <c r="P75" s="30">
        <f t="shared" si="6"/>
        <v>2120.0999999999908</v>
      </c>
      <c r="Q75" s="30">
        <f t="shared" si="6"/>
        <v>2235.9999999999977</v>
      </c>
      <c r="R75" s="30">
        <f t="shared" si="6"/>
        <v>2448.7000000000003</v>
      </c>
      <c r="S75" s="30">
        <f t="shared" si="6"/>
        <v>2967.0000000000014</v>
      </c>
      <c r="T75" s="30">
        <f t="shared" ref="T75:Y75" si="7">SUM(T56:T74)</f>
        <v>3257.1000000000072</v>
      </c>
      <c r="U75" s="30">
        <f t="shared" si="7"/>
        <v>2778.00000000001</v>
      </c>
      <c r="V75" s="30">
        <f t="shared" si="7"/>
        <v>2982.8999999999969</v>
      </c>
      <c r="W75" s="30">
        <f t="shared" si="7"/>
        <v>3148.0000000000005</v>
      </c>
      <c r="X75" s="30">
        <f t="shared" si="7"/>
        <v>3189.1000000000013</v>
      </c>
      <c r="Y75" s="30">
        <f t="shared" si="7"/>
        <v>3393.9999999999891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19" width="8.7109375" style="10" customWidth="1"/>
    <col min="20" max="16384" width="9.140625" style="10"/>
  </cols>
  <sheetData>
    <row r="1" spans="1:25" ht="12.75" customHeight="1" x14ac:dyDescent="0.2">
      <c r="A1" s="13"/>
      <c r="B1" s="14" t="s">
        <v>279</v>
      </c>
      <c r="C1" s="15" t="s">
        <v>265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36385.221768449046</v>
      </c>
      <c r="E2" s="19">
        <v>37503.96557410519</v>
      </c>
      <c r="F2" s="19">
        <v>38713.277404575427</v>
      </c>
      <c r="G2" s="19">
        <v>39727.498560998516</v>
      </c>
      <c r="H2" s="19">
        <v>41408.719666255369</v>
      </c>
      <c r="I2" s="19">
        <v>42437.110223530231</v>
      </c>
      <c r="J2" s="19">
        <v>44990.192335540611</v>
      </c>
      <c r="K2" s="19">
        <v>48633.574077184458</v>
      </c>
      <c r="L2" s="19">
        <v>48487.66890868327</v>
      </c>
      <c r="M2" s="19">
        <v>46917.32846347001</v>
      </c>
      <c r="N2" s="19">
        <v>48681.660581846569</v>
      </c>
      <c r="O2" s="19">
        <v>49189.852064767445</v>
      </c>
      <c r="P2" s="19">
        <v>50001.2896292316</v>
      </c>
      <c r="Q2" s="19">
        <v>51587.735244359916</v>
      </c>
      <c r="R2" s="19">
        <v>52940.641323125048</v>
      </c>
      <c r="S2" s="19">
        <v>54142.3</v>
      </c>
      <c r="T2" s="19">
        <v>56837.863527889014</v>
      </c>
      <c r="U2" s="19">
        <v>57586.029382647605</v>
      </c>
      <c r="V2" s="19">
        <v>58288.60622042969</v>
      </c>
      <c r="W2" s="19">
        <v>59988.181372690327</v>
      </c>
      <c r="X2" s="19">
        <v>59442.008291110091</v>
      </c>
      <c r="Y2" s="19">
        <v>63703.583061889243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12234.32518597237</v>
      </c>
      <c r="E3" s="23">
        <v>12640.048757715649</v>
      </c>
      <c r="F3" s="23">
        <v>13292.561349693253</v>
      </c>
      <c r="G3" s="23">
        <v>13615.638024407896</v>
      </c>
      <c r="H3" s="23">
        <v>13777.271008890135</v>
      </c>
      <c r="I3" s="23">
        <v>13708.667926310816</v>
      </c>
      <c r="J3" s="23">
        <v>14273.772325289119</v>
      </c>
      <c r="K3" s="23">
        <v>14612.692750547491</v>
      </c>
      <c r="L3" s="23">
        <v>14960.423896740855</v>
      </c>
      <c r="M3" s="23">
        <v>15307.281118231018</v>
      </c>
      <c r="N3" s="23">
        <v>15815.199704944351</v>
      </c>
      <c r="O3" s="23">
        <v>16076.392181655339</v>
      </c>
      <c r="P3" s="23">
        <v>16467.414292936068</v>
      </c>
      <c r="Q3" s="23">
        <v>16593.6588884261</v>
      </c>
      <c r="R3" s="23">
        <v>17094.118833854536</v>
      </c>
      <c r="S3" s="23">
        <v>17614.900000000001</v>
      </c>
      <c r="T3" s="23">
        <v>18206.352357320102</v>
      </c>
      <c r="U3" s="23">
        <v>18748.252019888128</v>
      </c>
      <c r="V3" s="23">
        <v>19242.847473139296</v>
      </c>
      <c r="W3" s="23">
        <v>19731.212132615812</v>
      </c>
      <c r="X3" s="23">
        <v>18058.097743525141</v>
      </c>
      <c r="Y3" s="23">
        <v>20110.677142883276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33080.174903593266</v>
      </c>
      <c r="E4" s="27">
        <v>34283.108237854445</v>
      </c>
      <c r="F4" s="27">
        <v>35343.284052580151</v>
      </c>
      <c r="G4" s="27">
        <v>36232.385127104906</v>
      </c>
      <c r="H4" s="27">
        <v>37564.548535100606</v>
      </c>
      <c r="I4" s="27">
        <v>38375.593955565702</v>
      </c>
      <c r="J4" s="27">
        <v>40993.306702649264</v>
      </c>
      <c r="K4" s="27">
        <v>44328.780834727178</v>
      </c>
      <c r="L4" s="27">
        <v>44127.460835029058</v>
      </c>
      <c r="M4" s="27">
        <v>42669.380315917377</v>
      </c>
      <c r="N4" s="27">
        <v>44227.895248230234</v>
      </c>
      <c r="O4" s="27">
        <v>44392.629688702502</v>
      </c>
      <c r="P4" s="27">
        <v>45003.508923462279</v>
      </c>
      <c r="Q4" s="27">
        <v>46399.704859281119</v>
      </c>
      <c r="R4" s="27">
        <v>47349.725657194329</v>
      </c>
      <c r="S4" s="27">
        <v>49537.3</v>
      </c>
      <c r="T4" s="27">
        <v>52052.471636953</v>
      </c>
      <c r="U4" s="27">
        <v>52525.117412757863</v>
      </c>
      <c r="V4" s="27">
        <v>53046.247657516818</v>
      </c>
      <c r="W4" s="27">
        <v>54710.071602725337</v>
      </c>
      <c r="X4" s="27">
        <v>54110.371949426641</v>
      </c>
      <c r="Y4" s="27">
        <v>58191.455528463899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221.37244461655129</v>
      </c>
      <c r="E6" s="19">
        <v>214.10740574793579</v>
      </c>
      <c r="F6" s="19">
        <v>272.19998108627811</v>
      </c>
      <c r="G6" s="19">
        <v>187.99487567333961</v>
      </c>
      <c r="H6" s="19">
        <v>226.25723453384111</v>
      </c>
      <c r="I6" s="19">
        <v>154.10739002011957</v>
      </c>
      <c r="J6" s="19">
        <v>142.28266823422533</v>
      </c>
      <c r="K6" s="19">
        <v>180.03661315176018</v>
      </c>
      <c r="L6" s="19">
        <v>150.89852656353429</v>
      </c>
      <c r="M6" s="19">
        <v>110.69258809234508</v>
      </c>
      <c r="N6" s="19">
        <v>131.63373895340769</v>
      </c>
      <c r="O6" s="19">
        <v>124.13977715069655</v>
      </c>
      <c r="P6" s="19">
        <v>144.67561352177154</v>
      </c>
      <c r="Q6" s="19">
        <v>135.5539158848951</v>
      </c>
      <c r="R6" s="19">
        <v>153.55007779870607</v>
      </c>
      <c r="S6" s="19">
        <v>121.1</v>
      </c>
      <c r="T6" s="19">
        <v>121.96110210696921</v>
      </c>
      <c r="U6" s="19">
        <v>135.14852466163327</v>
      </c>
      <c r="V6" s="19">
        <v>137.00492285583897</v>
      </c>
      <c r="W6" s="19">
        <v>129.61731571694278</v>
      </c>
      <c r="X6" s="19">
        <v>118.07189062040577</v>
      </c>
      <c r="Y6" s="19">
        <v>121.91243506837698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4148.635784242535</v>
      </c>
      <c r="E7" s="23">
        <v>4092.5238430519057</v>
      </c>
      <c r="F7" s="23">
        <v>4070.8634114049819</v>
      </c>
      <c r="G7" s="23">
        <v>4274.6453873342616</v>
      </c>
      <c r="H7" s="23">
        <v>4204.7260623144466</v>
      </c>
      <c r="I7" s="23">
        <v>4075.9977740043687</v>
      </c>
      <c r="J7" s="23">
        <v>3936.2199569812074</v>
      </c>
      <c r="K7" s="23">
        <v>4646.841127895801</v>
      </c>
      <c r="L7" s="23">
        <v>3884.9935031503628</v>
      </c>
      <c r="M7" s="23">
        <v>2893.1956257594211</v>
      </c>
      <c r="N7" s="23">
        <v>3072.9190764817467</v>
      </c>
      <c r="O7" s="23">
        <v>3012.2578270519807</v>
      </c>
      <c r="P7" s="23">
        <v>2863.7134127249665</v>
      </c>
      <c r="Q7" s="23">
        <v>2990.6187414356464</v>
      </c>
      <c r="R7" s="23">
        <v>3195.4794857096058</v>
      </c>
      <c r="S7" s="23">
        <v>3663.4000000000015</v>
      </c>
      <c r="T7" s="23">
        <v>4052.9781199351783</v>
      </c>
      <c r="U7" s="23">
        <v>3454.5112260468159</v>
      </c>
      <c r="V7" s="23">
        <v>3595.8209129130264</v>
      </c>
      <c r="W7" s="23">
        <v>3770.8520049726794</v>
      </c>
      <c r="X7" s="23">
        <v>3652.3265216112923</v>
      </c>
      <c r="Y7" s="23">
        <v>3709.5833775044957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2028.1717411297741</v>
      </c>
      <c r="E8" s="23">
        <v>2141.3940984446008</v>
      </c>
      <c r="F8" s="23">
        <v>2279.1034895816915</v>
      </c>
      <c r="G8" s="23">
        <v>2295.760082730093</v>
      </c>
      <c r="H8" s="23">
        <v>2321.048370168231</v>
      </c>
      <c r="I8" s="23">
        <v>2174.6265036172426</v>
      </c>
      <c r="J8" s="23">
        <v>2237.1110606404723</v>
      </c>
      <c r="K8" s="23">
        <v>2529.6000210723173</v>
      </c>
      <c r="L8" s="23">
        <v>2395.4987864375198</v>
      </c>
      <c r="M8" s="23">
        <v>2329.4046172539493</v>
      </c>
      <c r="N8" s="23">
        <v>2321.4037847591726</v>
      </c>
      <c r="O8" s="23">
        <v>2281.6957962010774</v>
      </c>
      <c r="P8" s="23">
        <v>2373.9756642662037</v>
      </c>
      <c r="Q8" s="23">
        <v>2413.6186360282495</v>
      </c>
      <c r="R8" s="23">
        <v>2536.1354516419619</v>
      </c>
      <c r="S8" s="23">
        <v>2584.5</v>
      </c>
      <c r="T8" s="23">
        <v>2833.8735818476498</v>
      </c>
      <c r="U8" s="23">
        <v>2780.5520876681926</v>
      </c>
      <c r="V8" s="23">
        <v>2814.1840390721336</v>
      </c>
      <c r="W8" s="23">
        <v>3207.570807674887</v>
      </c>
      <c r="X8" s="23">
        <v>3054.3406351073218</v>
      </c>
      <c r="Y8" s="23">
        <v>3143.7506625675819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5686.302983364797</v>
      </c>
      <c r="E9" s="23">
        <v>6168.9496255520708</v>
      </c>
      <c r="F9" s="23">
        <v>6350.7549727327178</v>
      </c>
      <c r="G9" s="23">
        <v>6356.1715723348107</v>
      </c>
      <c r="H9" s="23">
        <v>6223.4983656700751</v>
      </c>
      <c r="I9" s="23">
        <v>6044.0062213724113</v>
      </c>
      <c r="J9" s="23">
        <v>6288.6267384537286</v>
      </c>
      <c r="K9" s="23">
        <v>6265.4585204599034</v>
      </c>
      <c r="L9" s="23">
        <v>7039.7656230846551</v>
      </c>
      <c r="M9" s="23">
        <v>6617.3754556500608</v>
      </c>
      <c r="N9" s="23">
        <v>7070.2817748577245</v>
      </c>
      <c r="O9" s="23">
        <v>8020.7903454275747</v>
      </c>
      <c r="P9" s="23">
        <v>7482.3204240938885</v>
      </c>
      <c r="Q9" s="23">
        <v>7697.5861705491725</v>
      </c>
      <c r="R9" s="23">
        <v>7737.9002538694622</v>
      </c>
      <c r="S9" s="23">
        <v>7612.6</v>
      </c>
      <c r="T9" s="23">
        <v>8005.7739059967589</v>
      </c>
      <c r="U9" s="23">
        <v>8340.9626855319748</v>
      </c>
      <c r="V9" s="23">
        <v>8343.8037071920317</v>
      </c>
      <c r="W9" s="23">
        <v>8470.3229350371512</v>
      </c>
      <c r="X9" s="23">
        <v>8332.3838576889138</v>
      </c>
      <c r="Y9" s="23">
        <v>9230.1848121841776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2070.4454878422644</v>
      </c>
      <c r="E10" s="23">
        <v>2221.0842987902452</v>
      </c>
      <c r="F10" s="23">
        <v>2113.6084229108219</v>
      </c>
      <c r="G10" s="23">
        <v>2137.8629088271155</v>
      </c>
      <c r="H10" s="23">
        <v>2172.9091072660208</v>
      </c>
      <c r="I10" s="23">
        <v>2294.915883049614</v>
      </c>
      <c r="J10" s="23">
        <v>2333.569357790811</v>
      </c>
      <c r="K10" s="23">
        <v>2634.1713969629523</v>
      </c>
      <c r="L10" s="23">
        <v>2616.6368383632839</v>
      </c>
      <c r="M10" s="23">
        <v>2915.6743620899151</v>
      </c>
      <c r="N10" s="23">
        <v>2896.9832970897146</v>
      </c>
      <c r="O10" s="23">
        <v>2936.6362916448243</v>
      </c>
      <c r="P10" s="23">
        <v>3050.2801740426039</v>
      </c>
      <c r="Q10" s="23">
        <v>2793.9285337830715</v>
      </c>
      <c r="R10" s="23">
        <v>2861.5592498566866</v>
      </c>
      <c r="S10" s="23">
        <v>3049.6</v>
      </c>
      <c r="T10" s="23">
        <v>2922.6094003241492</v>
      </c>
      <c r="U10" s="23">
        <v>2960.6840655529795</v>
      </c>
      <c r="V10" s="23">
        <v>3048.6751012244026</v>
      </c>
      <c r="W10" s="23">
        <v>3163.5298312565651</v>
      </c>
      <c r="X10" s="23">
        <v>2965.396206997942</v>
      </c>
      <c r="Y10" s="23">
        <v>3051.9629668892894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8394.5657259951277</v>
      </c>
      <c r="E11" s="23">
        <v>7892.3702233885952</v>
      </c>
      <c r="F11" s="23">
        <v>7915.5502316930942</v>
      </c>
      <c r="G11" s="23">
        <v>8170.059732361975</v>
      </c>
      <c r="H11" s="23">
        <v>9012.3549344768635</v>
      </c>
      <c r="I11" s="23">
        <v>9943.4939569926228</v>
      </c>
      <c r="J11" s="23">
        <v>12222.682395692775</v>
      </c>
      <c r="K11" s="23">
        <v>13194.03653413057</v>
      </c>
      <c r="L11" s="23">
        <v>13029.983574002794</v>
      </c>
      <c r="M11" s="23">
        <v>12178.007290400972</v>
      </c>
      <c r="N11" s="23">
        <v>13137.926248091428</v>
      </c>
      <c r="O11" s="23">
        <v>12045.016005442967</v>
      </c>
      <c r="P11" s="23">
        <v>12926.658101294524</v>
      </c>
      <c r="Q11" s="23">
        <v>13260.145462211447</v>
      </c>
      <c r="R11" s="23">
        <v>13766.276308246663</v>
      </c>
      <c r="S11" s="23">
        <v>14405.7</v>
      </c>
      <c r="T11" s="23">
        <v>14117.909238249595</v>
      </c>
      <c r="U11" s="23">
        <v>14207.934526286586</v>
      </c>
      <c r="V11" s="23">
        <v>13762.149355756439</v>
      </c>
      <c r="W11" s="23">
        <v>13683.733749650661</v>
      </c>
      <c r="X11" s="23">
        <v>13591.03940017642</v>
      </c>
      <c r="Y11" s="23">
        <v>14769.514823845366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3078.5614018103493</v>
      </c>
      <c r="E12" s="23">
        <v>3423.3181847276455</v>
      </c>
      <c r="F12" s="23">
        <v>3521.5774044068976</v>
      </c>
      <c r="G12" s="23">
        <v>3648.4588433221693</v>
      </c>
      <c r="H12" s="23">
        <v>3536.3001169520494</v>
      </c>
      <c r="I12" s="23">
        <v>3736.2480558211209</v>
      </c>
      <c r="J12" s="23">
        <v>3661.0065329788513</v>
      </c>
      <c r="K12" s="23">
        <v>3854.2585836768558</v>
      </c>
      <c r="L12" s="23">
        <v>3716.4431586947462</v>
      </c>
      <c r="M12" s="23">
        <v>3716.1603888213854</v>
      </c>
      <c r="N12" s="23">
        <v>3735.5989450793504</v>
      </c>
      <c r="O12" s="23">
        <v>3739.1391637016632</v>
      </c>
      <c r="P12" s="23">
        <v>3704.3435074119261</v>
      </c>
      <c r="Q12" s="23">
        <v>4064.6147359544639</v>
      </c>
      <c r="R12" s="23">
        <v>4119.6462206207516</v>
      </c>
      <c r="S12" s="23">
        <v>4189.5</v>
      </c>
      <c r="T12" s="23">
        <v>4448.0348460291743</v>
      </c>
      <c r="U12" s="23">
        <v>4570.7746269544032</v>
      </c>
      <c r="V12" s="23">
        <v>4575.3429977958813</v>
      </c>
      <c r="W12" s="23">
        <v>4668.9217188508874</v>
      </c>
      <c r="X12" s="23">
        <v>4345.3212290502797</v>
      </c>
      <c r="Y12" s="23">
        <v>4429.9268525389589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2391.2096422866548</v>
      </c>
      <c r="E13" s="23">
        <v>2692.5046405939961</v>
      </c>
      <c r="F13" s="23">
        <v>2954.9538189956816</v>
      </c>
      <c r="G13" s="23">
        <v>2963.3116732778713</v>
      </c>
      <c r="H13" s="23">
        <v>3268.0600953609019</v>
      </c>
      <c r="I13" s="23">
        <v>3270.9293531770381</v>
      </c>
      <c r="J13" s="23">
        <v>3537.2940909273088</v>
      </c>
      <c r="K13" s="23">
        <v>4132.1497714970565</v>
      </c>
      <c r="L13" s="23">
        <v>4469.3422246193823</v>
      </c>
      <c r="M13" s="23">
        <v>4574.1190765492101</v>
      </c>
      <c r="N13" s="23">
        <v>4461.8979318003057</v>
      </c>
      <c r="O13" s="23">
        <v>4662.2126548958813</v>
      </c>
      <c r="P13" s="23">
        <v>4668.4877079711951</v>
      </c>
      <c r="Q13" s="23">
        <v>4960.0505955518083</v>
      </c>
      <c r="R13" s="23">
        <v>4788.9198263860453</v>
      </c>
      <c r="S13" s="23">
        <v>5576.4</v>
      </c>
      <c r="T13" s="23">
        <v>6873.277957860616</v>
      </c>
      <c r="U13" s="23">
        <v>6989.7746864039</v>
      </c>
      <c r="V13" s="23">
        <v>7203.1964578741417</v>
      </c>
      <c r="W13" s="23">
        <v>7396.2820549885801</v>
      </c>
      <c r="X13" s="23">
        <v>7669.8029991179083</v>
      </c>
      <c r="Y13" s="23">
        <v>8726.4567652567239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4465.204834051342</v>
      </c>
      <c r="E14" s="23">
        <v>4822.3772642898293</v>
      </c>
      <c r="F14" s="23">
        <v>5220.6600888944931</v>
      </c>
      <c r="G14" s="23">
        <v>5529.6423775640924</v>
      </c>
      <c r="H14" s="23">
        <v>5894.383302845833</v>
      </c>
      <c r="I14" s="23">
        <v>5933.2772078024009</v>
      </c>
      <c r="J14" s="23">
        <v>5878.0777811919679</v>
      </c>
      <c r="K14" s="23">
        <v>6122.6935689920838</v>
      </c>
      <c r="L14" s="23">
        <v>6066.4639976464232</v>
      </c>
      <c r="M14" s="23">
        <v>6509.2345078979342</v>
      </c>
      <c r="N14" s="23">
        <v>6584.6943968907599</v>
      </c>
      <c r="O14" s="23">
        <v>6752.8469611965602</v>
      </c>
      <c r="P14" s="23">
        <v>6962.783817924661</v>
      </c>
      <c r="Q14" s="23">
        <v>7233.4773901127855</v>
      </c>
      <c r="R14" s="23">
        <v>7356.1747604618786</v>
      </c>
      <c r="S14" s="23">
        <v>7483.3</v>
      </c>
      <c r="T14" s="23">
        <v>7798.0145867098863</v>
      </c>
      <c r="U14" s="23">
        <v>8181.142619344866</v>
      </c>
      <c r="V14" s="23">
        <v>8655.3903814970527</v>
      </c>
      <c r="W14" s="23">
        <v>9238.6789634469551</v>
      </c>
      <c r="X14" s="23">
        <v>9477.1758306380489</v>
      </c>
      <c r="Y14" s="23">
        <v>9996.3779638856504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595.70485825386845</v>
      </c>
      <c r="E15" s="23">
        <v>614.47865326761826</v>
      </c>
      <c r="F15" s="23">
        <v>644.01223087349877</v>
      </c>
      <c r="G15" s="23">
        <v>668.4776736791739</v>
      </c>
      <c r="H15" s="23">
        <v>705.01094551233996</v>
      </c>
      <c r="I15" s="23">
        <v>747.99160970876562</v>
      </c>
      <c r="J15" s="23">
        <v>756.43611975791919</v>
      </c>
      <c r="K15" s="23">
        <v>769.53469688788198</v>
      </c>
      <c r="L15" s="23">
        <v>757.43460246635118</v>
      </c>
      <c r="M15" s="23">
        <v>825.51640340218717</v>
      </c>
      <c r="N15" s="23">
        <v>814.5560542266229</v>
      </c>
      <c r="O15" s="23">
        <v>817.89486598927022</v>
      </c>
      <c r="P15" s="23">
        <v>826.27050021053549</v>
      </c>
      <c r="Q15" s="23">
        <v>850.11067776957941</v>
      </c>
      <c r="R15" s="23">
        <v>834.08402260257139</v>
      </c>
      <c r="S15" s="23">
        <v>851.2</v>
      </c>
      <c r="T15" s="23">
        <v>878.03889789303082</v>
      </c>
      <c r="U15" s="23">
        <v>903.63236430652159</v>
      </c>
      <c r="V15" s="23">
        <v>910.67978133587076</v>
      </c>
      <c r="W15" s="23">
        <v>980.56222113003173</v>
      </c>
      <c r="X15" s="23">
        <v>904.51337841811232</v>
      </c>
      <c r="Y15" s="23">
        <v>1011.7848687232764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33080.174903593266</v>
      </c>
      <c r="E16" s="30">
        <f t="shared" ref="E16:S16" si="0">SUM(E6:E15)</f>
        <v>34283.108237854445</v>
      </c>
      <c r="F16" s="30">
        <f t="shared" si="0"/>
        <v>35343.284052580158</v>
      </c>
      <c r="G16" s="30">
        <f t="shared" si="0"/>
        <v>36232.385127104906</v>
      </c>
      <c r="H16" s="30">
        <f t="shared" si="0"/>
        <v>37564.548535100606</v>
      </c>
      <c r="I16" s="30">
        <f t="shared" si="0"/>
        <v>38375.593955565702</v>
      </c>
      <c r="J16" s="30">
        <f t="shared" si="0"/>
        <v>40993.306702649264</v>
      </c>
      <c r="K16" s="30">
        <f t="shared" si="0"/>
        <v>44328.780834727186</v>
      </c>
      <c r="L16" s="30">
        <f t="shared" si="0"/>
        <v>44127.460835029051</v>
      </c>
      <c r="M16" s="30">
        <f t="shared" si="0"/>
        <v>42669.380315917377</v>
      </c>
      <c r="N16" s="30">
        <f t="shared" si="0"/>
        <v>44227.895248230234</v>
      </c>
      <c r="O16" s="30">
        <f t="shared" si="0"/>
        <v>44392.629688702502</v>
      </c>
      <c r="P16" s="30">
        <f t="shared" si="0"/>
        <v>45003.508923462272</v>
      </c>
      <c r="Q16" s="30">
        <f t="shared" si="0"/>
        <v>46399.704859281119</v>
      </c>
      <c r="R16" s="30">
        <f t="shared" si="0"/>
        <v>47349.725657194329</v>
      </c>
      <c r="S16" s="30">
        <f t="shared" si="0"/>
        <v>49537.3</v>
      </c>
      <c r="T16" s="30">
        <f t="shared" ref="T16:Y16" si="1">SUM(T6:T15)</f>
        <v>52052.471636953</v>
      </c>
      <c r="U16" s="30">
        <f t="shared" si="1"/>
        <v>52525.117412757871</v>
      </c>
      <c r="V16" s="30">
        <f t="shared" si="1"/>
        <v>53046.247657516818</v>
      </c>
      <c r="W16" s="30">
        <f t="shared" si="1"/>
        <v>54710.071602725337</v>
      </c>
      <c r="X16" s="30">
        <f t="shared" si="1"/>
        <v>54110.371949426641</v>
      </c>
      <c r="Y16" s="30">
        <f t="shared" si="1"/>
        <v>58191.455528463892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221.37244461655129</v>
      </c>
      <c r="E18" s="19">
        <v>214.10740574793579</v>
      </c>
      <c r="F18" s="19">
        <v>272.19998108627811</v>
      </c>
      <c r="G18" s="19">
        <v>187.99487567333961</v>
      </c>
      <c r="H18" s="19">
        <v>226.25723453384111</v>
      </c>
      <c r="I18" s="19">
        <v>154.10739002011957</v>
      </c>
      <c r="J18" s="19">
        <v>142.28266823422533</v>
      </c>
      <c r="K18" s="19">
        <v>180.03661315176018</v>
      </c>
      <c r="L18" s="19">
        <v>150.89852656353429</v>
      </c>
      <c r="M18" s="19">
        <v>110.69258809234508</v>
      </c>
      <c r="N18" s="19">
        <v>131.63373895340769</v>
      </c>
      <c r="O18" s="19">
        <v>124.13977715069655</v>
      </c>
      <c r="P18" s="19">
        <v>144.67561352177154</v>
      </c>
      <c r="Q18" s="19">
        <v>135.5539158848951</v>
      </c>
      <c r="R18" s="19">
        <v>153.55007779870607</v>
      </c>
      <c r="S18" s="19">
        <v>121.1</v>
      </c>
      <c r="T18" s="19">
        <v>121.96110210696921</v>
      </c>
      <c r="U18" s="19">
        <v>135.14852466163327</v>
      </c>
      <c r="V18" s="19">
        <v>137.00492285583897</v>
      </c>
      <c r="W18" s="19">
        <v>129.61731571694278</v>
      </c>
      <c r="X18" s="19">
        <v>118.07189062040577</v>
      </c>
      <c r="Y18" s="19">
        <v>121.91243506837698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45.178049921745163</v>
      </c>
      <c r="E19" s="23">
        <v>37.444792933495492</v>
      </c>
      <c r="F19" s="23">
        <v>44.289632128108941</v>
      </c>
      <c r="G19" s="23">
        <v>45.686767815524242</v>
      </c>
      <c r="H19" s="23">
        <v>44.531741985785828</v>
      </c>
      <c r="I19" s="23">
        <v>39.811075755197557</v>
      </c>
      <c r="J19" s="23">
        <v>42.083606097446932</v>
      </c>
      <c r="K19" s="23">
        <v>46.622502601114199</v>
      </c>
      <c r="L19" s="23">
        <v>38.24560543283728</v>
      </c>
      <c r="M19" s="23">
        <v>37.545565006075336</v>
      </c>
      <c r="N19" s="23">
        <v>36.783417387683336</v>
      </c>
      <c r="O19" s="23">
        <v>38.926129582743123</v>
      </c>
      <c r="P19" s="23">
        <v>33.793632113667528</v>
      </c>
      <c r="Q19" s="23">
        <v>32.570886476230633</v>
      </c>
      <c r="R19" s="23">
        <v>32.654983211858159</v>
      </c>
      <c r="S19" s="23">
        <v>29.5</v>
      </c>
      <c r="T19" s="23">
        <v>29.882495948136143</v>
      </c>
      <c r="U19" s="23">
        <v>34.480708638012004</v>
      </c>
      <c r="V19" s="23">
        <v>33.692918661216247</v>
      </c>
      <c r="W19" s="23">
        <v>36.716875307178583</v>
      </c>
      <c r="X19" s="23">
        <v>36.294472214054693</v>
      </c>
      <c r="Y19" s="23">
        <v>33.128379094667658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3576.1653516627075</v>
      </c>
      <c r="E20" s="23">
        <v>3489.2466235678116</v>
      </c>
      <c r="F20" s="23">
        <v>3436.9384988809456</v>
      </c>
      <c r="G20" s="23">
        <v>3578.3852197132151</v>
      </c>
      <c r="H20" s="23">
        <v>3506.1624733859076</v>
      </c>
      <c r="I20" s="23">
        <v>3384.0841312195912</v>
      </c>
      <c r="J20" s="23">
        <v>3233.6241332781174</v>
      </c>
      <c r="K20" s="23">
        <v>3949.0840126960748</v>
      </c>
      <c r="L20" s="23">
        <v>3278.5800093162406</v>
      </c>
      <c r="M20" s="23">
        <v>2207.5334143377931</v>
      </c>
      <c r="N20" s="23">
        <v>2435.8025262573451</v>
      </c>
      <c r="O20" s="23">
        <v>2407.3970799825938</v>
      </c>
      <c r="P20" s="23">
        <v>2289.0057330410932</v>
      </c>
      <c r="Q20" s="23">
        <v>2356.9094550437417</v>
      </c>
      <c r="R20" s="23">
        <v>2506.6538367046105</v>
      </c>
      <c r="S20" s="23">
        <v>2967.0000000000014</v>
      </c>
      <c r="T20" s="23">
        <v>3299.331442463541</v>
      </c>
      <c r="U20" s="23">
        <v>2752.5117412757959</v>
      </c>
      <c r="V20" s="23">
        <v>2896.3287341366522</v>
      </c>
      <c r="W20" s="23">
        <v>3033.719776036698</v>
      </c>
      <c r="X20" s="23">
        <v>2930.29623640106</v>
      </c>
      <c r="Y20" s="23">
        <v>2998.3391639280444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328.34761282411216</v>
      </c>
      <c r="E21" s="23">
        <v>364.36663892978305</v>
      </c>
      <c r="F21" s="23">
        <v>379.06250985089684</v>
      </c>
      <c r="G21" s="23">
        <v>440.66122335581656</v>
      </c>
      <c r="H21" s="23">
        <v>442.61852640417425</v>
      </c>
      <c r="I21" s="23">
        <v>431.21530800074197</v>
      </c>
      <c r="J21" s="23">
        <v>440.47507715327782</v>
      </c>
      <c r="K21" s="23">
        <v>457.79609898721174</v>
      </c>
      <c r="L21" s="23">
        <v>380.24957709186299</v>
      </c>
      <c r="M21" s="23">
        <v>447.26609963547997</v>
      </c>
      <c r="N21" s="23">
        <v>386.22588257067508</v>
      </c>
      <c r="O21" s="23">
        <v>347.76983392261621</v>
      </c>
      <c r="P21" s="23">
        <v>324.54842854212336</v>
      </c>
      <c r="Q21" s="23">
        <v>364.18256561610622</v>
      </c>
      <c r="R21" s="23">
        <v>410.38817459667513</v>
      </c>
      <c r="S21" s="23">
        <v>421</v>
      </c>
      <c r="T21" s="23">
        <v>465.25526742301457</v>
      </c>
      <c r="U21" s="23">
        <v>419.01987594871491</v>
      </c>
      <c r="V21" s="23">
        <v>399.75142976434375</v>
      </c>
      <c r="W21" s="23">
        <v>429.03813351065367</v>
      </c>
      <c r="X21" s="23">
        <v>415.50279329608941</v>
      </c>
      <c r="Y21" s="23">
        <v>421.92303614968728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198.94476983397067</v>
      </c>
      <c r="E22" s="23">
        <v>201.46578762081546</v>
      </c>
      <c r="F22" s="23">
        <v>210.57277054503044</v>
      </c>
      <c r="G22" s="23">
        <v>209.91217644970595</v>
      </c>
      <c r="H22" s="23">
        <v>211.41332053857917</v>
      </c>
      <c r="I22" s="23">
        <v>220.88725902883809</v>
      </c>
      <c r="J22" s="23">
        <v>220.03714045236538</v>
      </c>
      <c r="K22" s="23">
        <v>193.33851361140015</v>
      </c>
      <c r="L22" s="23">
        <v>187.91831130942168</v>
      </c>
      <c r="M22" s="23">
        <v>200.8505467800729</v>
      </c>
      <c r="N22" s="23">
        <v>214.10725026604359</v>
      </c>
      <c r="O22" s="23">
        <v>218.16478356402735</v>
      </c>
      <c r="P22" s="23">
        <v>216.36561902808219</v>
      </c>
      <c r="Q22" s="23">
        <v>236.95583429956781</v>
      </c>
      <c r="R22" s="23">
        <v>245.78249119646219</v>
      </c>
      <c r="S22" s="23">
        <v>245.9</v>
      </c>
      <c r="T22" s="23">
        <v>258.50891410048621</v>
      </c>
      <c r="U22" s="23">
        <v>248.49890018429343</v>
      </c>
      <c r="V22" s="23">
        <v>266.04783035081414</v>
      </c>
      <c r="W22" s="23">
        <v>271.37722011814935</v>
      </c>
      <c r="X22" s="23">
        <v>270.23301970008828</v>
      </c>
      <c r="Y22" s="23">
        <v>256.19279833209657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2028.1717411297741</v>
      </c>
      <c r="E23" s="23">
        <v>2141.3940984446008</v>
      </c>
      <c r="F23" s="23">
        <v>2279.1034895816915</v>
      </c>
      <c r="G23" s="23">
        <v>2295.760082730093</v>
      </c>
      <c r="H23" s="23">
        <v>2321.048370168231</v>
      </c>
      <c r="I23" s="23">
        <v>2174.6265036172426</v>
      </c>
      <c r="J23" s="23">
        <v>2237.1110606404723</v>
      </c>
      <c r="K23" s="23">
        <v>2529.6000210723173</v>
      </c>
      <c r="L23" s="23">
        <v>2395.4987864375198</v>
      </c>
      <c r="M23" s="23">
        <v>2329.4046172539493</v>
      </c>
      <c r="N23" s="23">
        <v>2321.4037847591726</v>
      </c>
      <c r="O23" s="23">
        <v>2281.6957962010774</v>
      </c>
      <c r="P23" s="23">
        <v>2373.9756642662037</v>
      </c>
      <c r="Q23" s="23">
        <v>2413.6186360282495</v>
      </c>
      <c r="R23" s="23">
        <v>2536.1354516419619</v>
      </c>
      <c r="S23" s="23">
        <v>2584.5</v>
      </c>
      <c r="T23" s="23">
        <v>2833.8735818476498</v>
      </c>
      <c r="U23" s="23">
        <v>2780.5520876681926</v>
      </c>
      <c r="V23" s="23">
        <v>2814.1840390721336</v>
      </c>
      <c r="W23" s="23">
        <v>3207.570807674887</v>
      </c>
      <c r="X23" s="23">
        <v>3054.3406351073218</v>
      </c>
      <c r="Y23" s="23">
        <v>3143.7506625675819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2895.5902996272812</v>
      </c>
      <c r="E24" s="23">
        <v>3177.2066824553544</v>
      </c>
      <c r="F24" s="23">
        <v>3263.877943447972</v>
      </c>
      <c r="G24" s="23">
        <v>3271.0799672783974</v>
      </c>
      <c r="H24" s="23">
        <v>3287.4021651123039</v>
      </c>
      <c r="I24" s="23">
        <v>3111.8277421840435</v>
      </c>
      <c r="J24" s="23">
        <v>3450.4549037421011</v>
      </c>
      <c r="K24" s="23">
        <v>3357.8738031582134</v>
      </c>
      <c r="L24" s="23">
        <v>4250.5332319988238</v>
      </c>
      <c r="M24" s="23">
        <v>3947.7521263669496</v>
      </c>
      <c r="N24" s="23">
        <v>4274.7420533937911</v>
      </c>
      <c r="O24" s="23">
        <v>5270.8656323544183</v>
      </c>
      <c r="P24" s="23">
        <v>4788.1150063160621</v>
      </c>
      <c r="Q24" s="23">
        <v>4950.0368925898601</v>
      </c>
      <c r="R24" s="23">
        <v>4836.9298173777752</v>
      </c>
      <c r="S24" s="23">
        <v>4595.8999999999996</v>
      </c>
      <c r="T24" s="23">
        <v>4923.7236628849269</v>
      </c>
      <c r="U24" s="23">
        <v>4983.552305649685</v>
      </c>
      <c r="V24" s="23">
        <v>4818.0873685539245</v>
      </c>
      <c r="W24" s="23">
        <v>4991.9531257528888</v>
      </c>
      <c r="X24" s="23">
        <v>4716.1680388121131</v>
      </c>
      <c r="Y24" s="23">
        <v>4988.603837591435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1841.8122852025751</v>
      </c>
      <c r="E25" s="23">
        <v>2004.4165653203609</v>
      </c>
      <c r="F25" s="23">
        <v>2077.5147369416513</v>
      </c>
      <c r="G25" s="23">
        <v>2082.7609625090677</v>
      </c>
      <c r="H25" s="23">
        <v>2137.0737997421056</v>
      </c>
      <c r="I25" s="23">
        <v>2167.3492101996262</v>
      </c>
      <c r="J25" s="23">
        <v>2087.0796649343361</v>
      </c>
      <c r="K25" s="23">
        <v>2139.1036362917989</v>
      </c>
      <c r="L25" s="23">
        <v>2038.5398023977052</v>
      </c>
      <c r="M25" s="23">
        <v>1900.850546780073</v>
      </c>
      <c r="N25" s="23">
        <v>2027.2521167815667</v>
      </c>
      <c r="O25" s="23">
        <v>1960.2485026266772</v>
      </c>
      <c r="P25" s="23">
        <v>1889.7442264713186</v>
      </c>
      <c r="Q25" s="23">
        <v>1934.5420048487404</v>
      </c>
      <c r="R25" s="23">
        <v>2042.8302350339857</v>
      </c>
      <c r="S25" s="23">
        <v>2131.6</v>
      </c>
      <c r="T25" s="23">
        <v>2149.8176661264183</v>
      </c>
      <c r="U25" s="23">
        <v>2407.6055723995801</v>
      </c>
      <c r="V25" s="23">
        <v>2564.0602394430471</v>
      </c>
      <c r="W25" s="23">
        <v>2447.7916871452389</v>
      </c>
      <c r="X25" s="23">
        <v>3025.3050573360779</v>
      </c>
      <c r="Y25" s="23">
        <v>3626.5415739072059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948.90039853494045</v>
      </c>
      <c r="E26" s="23">
        <v>987.32637777635546</v>
      </c>
      <c r="F26" s="23">
        <v>1009.362292343095</v>
      </c>
      <c r="G26" s="23">
        <v>1002.330642547346</v>
      </c>
      <c r="H26" s="23">
        <v>799.02240081566549</v>
      </c>
      <c r="I26" s="23">
        <v>764.82926898874155</v>
      </c>
      <c r="J26" s="23">
        <v>751.09216977729102</v>
      </c>
      <c r="K26" s="23">
        <v>768.48108100989077</v>
      </c>
      <c r="L26" s="23">
        <v>750.69258868812665</v>
      </c>
      <c r="M26" s="23">
        <v>768.77278250303777</v>
      </c>
      <c r="N26" s="23">
        <v>768.28760468236715</v>
      </c>
      <c r="O26" s="23">
        <v>789.67621044647944</v>
      </c>
      <c r="P26" s="23">
        <v>804.4611913065072</v>
      </c>
      <c r="Q26" s="23">
        <v>813.00727311057233</v>
      </c>
      <c r="R26" s="23">
        <v>858.14020145770201</v>
      </c>
      <c r="S26" s="23">
        <v>885.1</v>
      </c>
      <c r="T26" s="23">
        <v>932.23257698541329</v>
      </c>
      <c r="U26" s="23">
        <v>949.80480748271009</v>
      </c>
      <c r="V26" s="23">
        <v>961.6560991950596</v>
      </c>
      <c r="W26" s="23">
        <v>1030.5781221390232</v>
      </c>
      <c r="X26" s="23">
        <v>590.91076154072334</v>
      </c>
      <c r="Y26" s="23">
        <v>615.03940068553663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2070.4454878422644</v>
      </c>
      <c r="E27" s="23">
        <v>2221.0842987902452</v>
      </c>
      <c r="F27" s="23">
        <v>2113.6084229108219</v>
      </c>
      <c r="G27" s="23">
        <v>2137.8629088271155</v>
      </c>
      <c r="H27" s="23">
        <v>2172.9091072660208</v>
      </c>
      <c r="I27" s="23">
        <v>2294.915883049614</v>
      </c>
      <c r="J27" s="23">
        <v>2333.569357790811</v>
      </c>
      <c r="K27" s="23">
        <v>2634.1713969629523</v>
      </c>
      <c r="L27" s="23">
        <v>2616.6368383632839</v>
      </c>
      <c r="M27" s="23">
        <v>2915.6743620899151</v>
      </c>
      <c r="N27" s="23">
        <v>2896.9832970897146</v>
      </c>
      <c r="O27" s="23">
        <v>2936.6362916448243</v>
      </c>
      <c r="P27" s="23">
        <v>3050.2801740426039</v>
      </c>
      <c r="Q27" s="23">
        <v>2793.9285337830715</v>
      </c>
      <c r="R27" s="23">
        <v>2861.5592498566866</v>
      </c>
      <c r="S27" s="23">
        <v>3049.6</v>
      </c>
      <c r="T27" s="23">
        <v>2922.6094003241492</v>
      </c>
      <c r="U27" s="23">
        <v>2960.6840655529795</v>
      </c>
      <c r="V27" s="23">
        <v>3048.6751012244026</v>
      </c>
      <c r="W27" s="23">
        <v>3163.5298312565651</v>
      </c>
      <c r="X27" s="23">
        <v>2965.396206997942</v>
      </c>
      <c r="Y27" s="23">
        <v>3051.9629668892894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8394.5657259951277</v>
      </c>
      <c r="E28" s="23">
        <v>7892.3702233885952</v>
      </c>
      <c r="F28" s="23">
        <v>7915.5502316930942</v>
      </c>
      <c r="G28" s="23">
        <v>8170.059732361975</v>
      </c>
      <c r="H28" s="23">
        <v>9012.3549344768635</v>
      </c>
      <c r="I28" s="23">
        <v>9943.4939569926228</v>
      </c>
      <c r="J28" s="23">
        <v>12222.682395692775</v>
      </c>
      <c r="K28" s="23">
        <v>13194.03653413057</v>
      </c>
      <c r="L28" s="23">
        <v>13029.983574002794</v>
      </c>
      <c r="M28" s="23">
        <v>12178.007290400972</v>
      </c>
      <c r="N28" s="23">
        <v>13137.926248091428</v>
      </c>
      <c r="O28" s="23">
        <v>12045.016005442967</v>
      </c>
      <c r="P28" s="23">
        <v>12926.658101294524</v>
      </c>
      <c r="Q28" s="23">
        <v>13260.145462211447</v>
      </c>
      <c r="R28" s="23">
        <v>13766.276308246663</v>
      </c>
      <c r="S28" s="23">
        <v>14405.7</v>
      </c>
      <c r="T28" s="23">
        <v>14117.909238249595</v>
      </c>
      <c r="U28" s="23">
        <v>14207.934526286586</v>
      </c>
      <c r="V28" s="23">
        <v>13762.149355756439</v>
      </c>
      <c r="W28" s="23">
        <v>13683.733749650661</v>
      </c>
      <c r="X28" s="23">
        <v>13591.03940017642</v>
      </c>
      <c r="Y28" s="23">
        <v>14769.514823845366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3078.5614018103493</v>
      </c>
      <c r="E29" s="23">
        <v>3423.3181847276455</v>
      </c>
      <c r="F29" s="23">
        <v>3521.5774044068976</v>
      </c>
      <c r="G29" s="23">
        <v>3648.4588433221693</v>
      </c>
      <c r="H29" s="23">
        <v>3536.3001169520494</v>
      </c>
      <c r="I29" s="23">
        <v>3736.2480558211209</v>
      </c>
      <c r="J29" s="23">
        <v>3661.0065329788513</v>
      </c>
      <c r="K29" s="23">
        <v>3854.2585836768558</v>
      </c>
      <c r="L29" s="23">
        <v>3716.4431586947462</v>
      </c>
      <c r="M29" s="23">
        <v>3716.1603888213854</v>
      </c>
      <c r="N29" s="23">
        <v>3735.5989450793504</v>
      </c>
      <c r="O29" s="23">
        <v>3739.1391637016632</v>
      </c>
      <c r="P29" s="23">
        <v>3704.3435074119261</v>
      </c>
      <c r="Q29" s="23">
        <v>4064.6147359544639</v>
      </c>
      <c r="R29" s="23">
        <v>4119.6462206207516</v>
      </c>
      <c r="S29" s="23">
        <v>4189.5</v>
      </c>
      <c r="T29" s="23">
        <v>4448.0348460291743</v>
      </c>
      <c r="U29" s="23">
        <v>4570.7746269544032</v>
      </c>
      <c r="V29" s="23">
        <v>4575.3429977958813</v>
      </c>
      <c r="W29" s="23">
        <v>4668.9217188508874</v>
      </c>
      <c r="X29" s="23">
        <v>4345.3212290502797</v>
      </c>
      <c r="Y29" s="23">
        <v>4429.9268525389589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1599.3029672297789</v>
      </c>
      <c r="E30" s="23">
        <v>1788.2288932983422</v>
      </c>
      <c r="F30" s="23">
        <v>2037.7959209406426</v>
      </c>
      <c r="G30" s="23">
        <v>1977.033138341385</v>
      </c>
      <c r="H30" s="23">
        <v>2171.8595375895884</v>
      </c>
      <c r="I30" s="23">
        <v>2034.6456243489679</v>
      </c>
      <c r="J30" s="23">
        <v>2304.4448303963873</v>
      </c>
      <c r="K30" s="23">
        <v>2698.3102635356718</v>
      </c>
      <c r="L30" s="23">
        <v>2971.266763097894</v>
      </c>
      <c r="M30" s="23">
        <v>3144.835965978129</v>
      </c>
      <c r="N30" s="23">
        <v>3124.7397399713136</v>
      </c>
      <c r="O30" s="23">
        <v>3390.3655040878016</v>
      </c>
      <c r="P30" s="23">
        <v>3364.247848760001</v>
      </c>
      <c r="Q30" s="23">
        <v>3600.0843259196799</v>
      </c>
      <c r="R30" s="23">
        <v>3277.5775939726473</v>
      </c>
      <c r="S30" s="23">
        <v>3850.8999999999996</v>
      </c>
      <c r="T30" s="23">
        <v>4987.7431118314425</v>
      </c>
      <c r="U30" s="23">
        <v>4962.1504864950557</v>
      </c>
      <c r="V30" s="23">
        <v>5027.430113895658</v>
      </c>
      <c r="W30" s="23">
        <v>5168.1170314261763</v>
      </c>
      <c r="X30" s="23">
        <v>5663.5915907086164</v>
      </c>
      <c r="Y30" s="23">
        <v>6466.6595992791281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791.906675056876</v>
      </c>
      <c r="E31" s="23">
        <v>904.2757472956539</v>
      </c>
      <c r="F31" s="23">
        <v>917.15789805503891</v>
      </c>
      <c r="G31" s="23">
        <v>986.27853493648615</v>
      </c>
      <c r="H31" s="23">
        <v>1096.2005577713137</v>
      </c>
      <c r="I31" s="23">
        <v>1236.2837288280703</v>
      </c>
      <c r="J31" s="23">
        <v>1232.8492605309214</v>
      </c>
      <c r="K31" s="23">
        <v>1433.8395079613849</v>
      </c>
      <c r="L31" s="23">
        <v>1498.0754615214885</v>
      </c>
      <c r="M31" s="23">
        <v>1429.2831105710814</v>
      </c>
      <c r="N31" s="23">
        <v>1337.1581918289919</v>
      </c>
      <c r="O31" s="23">
        <v>1271.8471508080797</v>
      </c>
      <c r="P31" s="23">
        <v>1304.239859211194</v>
      </c>
      <c r="Q31" s="23">
        <v>1359.9662696321282</v>
      </c>
      <c r="R31" s="23">
        <v>1511.3422324133978</v>
      </c>
      <c r="S31" s="23">
        <v>1725.5</v>
      </c>
      <c r="T31" s="23">
        <v>1885.5348460291734</v>
      </c>
      <c r="U31" s="23">
        <v>2027.624199908844</v>
      </c>
      <c r="V31" s="23">
        <v>2175.7663439784833</v>
      </c>
      <c r="W31" s="23">
        <v>2228.1650235624043</v>
      </c>
      <c r="X31" s="23">
        <v>2006.2114084092916</v>
      </c>
      <c r="Y31" s="23">
        <v>2259.7971659775963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1764.5255498007327</v>
      </c>
      <c r="E32" s="23">
        <v>1887.6016130064647</v>
      </c>
      <c r="F32" s="23">
        <v>2042.3667370677431</v>
      </c>
      <c r="G32" s="23">
        <v>2147.4324345182054</v>
      </c>
      <c r="H32" s="23">
        <v>2277.7161363840828</v>
      </c>
      <c r="I32" s="23">
        <v>2329.4473537763452</v>
      </c>
      <c r="J32" s="23">
        <v>2259.0212555610478</v>
      </c>
      <c r="K32" s="23">
        <v>2349.1683019663101</v>
      </c>
      <c r="L32" s="23">
        <v>2293.755669420676</v>
      </c>
      <c r="M32" s="23">
        <v>2431.1057108140949</v>
      </c>
      <c r="N32" s="23">
        <v>2419.3772266691344</v>
      </c>
      <c r="O32" s="23">
        <v>2509.1180833621465</v>
      </c>
      <c r="P32" s="23">
        <v>2555.7918830502804</v>
      </c>
      <c r="Q32" s="23">
        <v>2620.5333614419733</v>
      </c>
      <c r="R32" s="23">
        <v>2685.8979608549671</v>
      </c>
      <c r="S32" s="23">
        <v>2767.1000000000004</v>
      </c>
      <c r="T32" s="23">
        <v>2879.9635332252838</v>
      </c>
      <c r="U32" s="23">
        <v>3013.6932009591187</v>
      </c>
      <c r="V32" s="23">
        <v>3172.5718280593064</v>
      </c>
      <c r="W32" s="23">
        <v>3363.5934352925319</v>
      </c>
      <c r="X32" s="23">
        <v>3497.4088503381363</v>
      </c>
      <c r="Y32" s="23">
        <v>3609.4915014664834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1247.3982283750424</v>
      </c>
      <c r="E33" s="23">
        <v>1324.6495551430585</v>
      </c>
      <c r="F33" s="23">
        <v>1384.3268291145225</v>
      </c>
      <c r="G33" s="23">
        <v>1457.8091960054946</v>
      </c>
      <c r="H33" s="23">
        <v>1483.0419527993522</v>
      </c>
      <c r="I33" s="23">
        <v>1501.1201324182018</v>
      </c>
      <c r="J33" s="23">
        <v>1524.0945344751574</v>
      </c>
      <c r="K33" s="23">
        <v>1594.2525253855574</v>
      </c>
      <c r="L33" s="23">
        <v>1585.3538944323225</v>
      </c>
      <c r="M33" s="23">
        <v>1686.6342648845687</v>
      </c>
      <c r="N33" s="23">
        <v>1756.4660158238098</v>
      </c>
      <c r="O33" s="23">
        <v>1786.4751218532854</v>
      </c>
      <c r="P33" s="23">
        <v>1851.6319193271506</v>
      </c>
      <c r="Q33" s="23">
        <v>1876.0408980710445</v>
      </c>
      <c r="R33" s="23">
        <v>1916.8168045205143</v>
      </c>
      <c r="S33" s="23">
        <v>1951.2</v>
      </c>
      <c r="T33" s="23">
        <v>2029.7811993517018</v>
      </c>
      <c r="U33" s="23">
        <v>2096.0902047044369</v>
      </c>
      <c r="V33" s="23">
        <v>2209.7505558846092</v>
      </c>
      <c r="W33" s="23">
        <v>2336.1955149517667</v>
      </c>
      <c r="X33" s="23">
        <v>2413.3526903851812</v>
      </c>
      <c r="Y33" s="23">
        <v>2463.7796388564966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1453.2810558755668</v>
      </c>
      <c r="E34" s="23">
        <v>1610.1260961403061</v>
      </c>
      <c r="F34" s="23">
        <v>1793.9665227122277</v>
      </c>
      <c r="G34" s="23">
        <v>1924.4007470403926</v>
      </c>
      <c r="H34" s="23">
        <v>2133.6252136623984</v>
      </c>
      <c r="I34" s="23">
        <v>2102.7097216078537</v>
      </c>
      <c r="J34" s="23">
        <v>2094.9619911557629</v>
      </c>
      <c r="K34" s="23">
        <v>2179.2727416402163</v>
      </c>
      <c r="L34" s="23">
        <v>2187.3544337934245</v>
      </c>
      <c r="M34" s="23">
        <v>2391.4945321992709</v>
      </c>
      <c r="N34" s="23">
        <v>2408.8511543978161</v>
      </c>
      <c r="O34" s="23">
        <v>2457.2537559811281</v>
      </c>
      <c r="P34" s="23">
        <v>2555.3600155472304</v>
      </c>
      <c r="Q34" s="23">
        <v>2736.9031305997678</v>
      </c>
      <c r="R34" s="23">
        <v>2753.4599950863976</v>
      </c>
      <c r="S34" s="23">
        <v>2765</v>
      </c>
      <c r="T34" s="23">
        <v>2888.2698541329009</v>
      </c>
      <c r="U34" s="23">
        <v>3071.3592136813108</v>
      </c>
      <c r="V34" s="23">
        <v>3273.0679975531366</v>
      </c>
      <c r="W34" s="23">
        <v>3538.8900132026561</v>
      </c>
      <c r="X34" s="23">
        <v>3566.4142899147309</v>
      </c>
      <c r="Y34" s="23">
        <v>3923.1068235626703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186.84350646207469</v>
      </c>
      <c r="E35" s="23">
        <v>196.50515265954044</v>
      </c>
      <c r="F35" s="23">
        <v>211.83368533871325</v>
      </c>
      <c r="G35" s="23">
        <v>222.41429872354874</v>
      </c>
      <c r="H35" s="23">
        <v>231.95489849161848</v>
      </c>
      <c r="I35" s="23">
        <v>256.70295800573626</v>
      </c>
      <c r="J35" s="23">
        <v>267.59829527995635</v>
      </c>
      <c r="K35" s="23">
        <v>278.94480369819166</v>
      </c>
      <c r="L35" s="23">
        <v>274.46125180808554</v>
      </c>
      <c r="M35" s="23">
        <v>303.7667071688943</v>
      </c>
      <c r="N35" s="23">
        <v>302.82700226715406</v>
      </c>
      <c r="O35" s="23">
        <v>299.02851980325011</v>
      </c>
      <c r="P35" s="23">
        <v>311.80833720214645</v>
      </c>
      <c r="Q35" s="23">
        <v>326.97375355749978</v>
      </c>
      <c r="R35" s="23">
        <v>317.95102776185399</v>
      </c>
      <c r="S35" s="23">
        <v>329.5</v>
      </c>
      <c r="T35" s="23">
        <v>325.26337115072931</v>
      </c>
      <c r="U35" s="23">
        <v>341.33919901710169</v>
      </c>
      <c r="V35" s="23">
        <v>340.4247055510782</v>
      </c>
      <c r="W35" s="23">
        <v>381.91332504553463</v>
      </c>
      <c r="X35" s="23">
        <v>351.64289914730955</v>
      </c>
      <c r="Y35" s="23">
        <v>368.65260256546162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282.68551236749119</v>
      </c>
      <c r="E36" s="23">
        <v>286.43666389297829</v>
      </c>
      <c r="F36" s="23">
        <v>296.31497651546198</v>
      </c>
      <c r="G36" s="23">
        <v>306.0704749262992</v>
      </c>
      <c r="H36" s="23">
        <v>330.76438660149336</v>
      </c>
      <c r="I36" s="23">
        <v>349.31008404560436</v>
      </c>
      <c r="J36" s="23">
        <v>340.14241626698373</v>
      </c>
      <c r="K36" s="23">
        <v>348.7468556151141</v>
      </c>
      <c r="L36" s="23">
        <v>347.39758268160529</v>
      </c>
      <c r="M36" s="23">
        <v>382.13851761846905</v>
      </c>
      <c r="N36" s="23">
        <v>380.09531300606119</v>
      </c>
      <c r="O36" s="23">
        <v>382.4575883645449</v>
      </c>
      <c r="P36" s="23">
        <v>384.79394521760725</v>
      </c>
      <c r="Q36" s="23">
        <v>387.688415726784</v>
      </c>
      <c r="R36" s="23">
        <v>384.1822946523626</v>
      </c>
      <c r="S36" s="23">
        <v>389.8</v>
      </c>
      <c r="T36" s="23">
        <v>414.70826580226907</v>
      </c>
      <c r="U36" s="23">
        <v>419.61437092523232</v>
      </c>
      <c r="V36" s="23">
        <v>426.35621279942518</v>
      </c>
      <c r="W36" s="23">
        <v>449.56489057214725</v>
      </c>
      <c r="X36" s="23">
        <v>411.45986474566308</v>
      </c>
      <c r="Y36" s="23">
        <v>501.78451535389945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126.17583942430257</v>
      </c>
      <c r="E37" s="23">
        <v>131.53683671509953</v>
      </c>
      <c r="F37" s="23">
        <v>135.86356901932353</v>
      </c>
      <c r="G37" s="23">
        <v>139.99290002932597</v>
      </c>
      <c r="H37" s="23">
        <v>142.29166041922812</v>
      </c>
      <c r="I37" s="23">
        <v>141.97856765742497</v>
      </c>
      <c r="J37" s="23">
        <v>148.69540821097914</v>
      </c>
      <c r="K37" s="23">
        <v>141.84303757457624</v>
      </c>
      <c r="L37" s="23">
        <v>135.57576797666036</v>
      </c>
      <c r="M37" s="23">
        <v>139.61117861482381</v>
      </c>
      <c r="N37" s="23">
        <v>131.63373895340769</v>
      </c>
      <c r="O37" s="23">
        <v>136.40875782147518</v>
      </c>
      <c r="P37" s="23">
        <v>129.6682177907818</v>
      </c>
      <c r="Q37" s="23">
        <v>135.44850848529566</v>
      </c>
      <c r="R37" s="23">
        <v>131.95070018835477</v>
      </c>
      <c r="S37" s="23">
        <v>131.9</v>
      </c>
      <c r="T37" s="23">
        <v>138.06726094003244</v>
      </c>
      <c r="U37" s="23">
        <v>142.67879436418761</v>
      </c>
      <c r="V37" s="23">
        <v>143.89886298536734</v>
      </c>
      <c r="W37" s="23">
        <v>149.08400551234976</v>
      </c>
      <c r="X37" s="23">
        <v>141.41061452513966</v>
      </c>
      <c r="Y37" s="23">
        <v>141.34775080391535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33080.174903593259</v>
      </c>
      <c r="E39" s="30">
        <f t="shared" ref="E39:S39" si="2">SUM(E18:E38)</f>
        <v>34283.108237854452</v>
      </c>
      <c r="F39" s="30">
        <f t="shared" si="2"/>
        <v>35343.284052580158</v>
      </c>
      <c r="G39" s="30">
        <f t="shared" si="2"/>
        <v>36232.385127104906</v>
      </c>
      <c r="H39" s="30">
        <f t="shared" si="2"/>
        <v>37564.548535100599</v>
      </c>
      <c r="I39" s="30">
        <f t="shared" si="2"/>
        <v>38375.59395556571</v>
      </c>
      <c r="J39" s="30">
        <f t="shared" si="2"/>
        <v>40993.306702649264</v>
      </c>
      <c r="K39" s="30">
        <f t="shared" si="2"/>
        <v>44328.780834727178</v>
      </c>
      <c r="L39" s="30">
        <f t="shared" si="2"/>
        <v>44127.460835029051</v>
      </c>
      <c r="M39" s="30">
        <f t="shared" si="2"/>
        <v>42669.380315917377</v>
      </c>
      <c r="N39" s="30">
        <f t="shared" si="2"/>
        <v>44227.895248230241</v>
      </c>
      <c r="O39" s="30">
        <f t="shared" si="2"/>
        <v>44392.629688702487</v>
      </c>
      <c r="P39" s="30">
        <f t="shared" si="2"/>
        <v>45003.508923462265</v>
      </c>
      <c r="Q39" s="30">
        <f t="shared" si="2"/>
        <v>46399.704859281104</v>
      </c>
      <c r="R39" s="30">
        <f t="shared" si="2"/>
        <v>47349.725657194336</v>
      </c>
      <c r="S39" s="30">
        <f t="shared" si="2"/>
        <v>49537.3</v>
      </c>
      <c r="T39" s="30">
        <f t="shared" ref="T39:Y39" si="3">SUM(T18:T38)</f>
        <v>52052.471636953007</v>
      </c>
      <c r="U39" s="30">
        <f t="shared" si="3"/>
        <v>52525.117412757878</v>
      </c>
      <c r="V39" s="30">
        <f t="shared" si="3"/>
        <v>53046.247657516818</v>
      </c>
      <c r="W39" s="30">
        <f t="shared" si="3"/>
        <v>54710.071602725337</v>
      </c>
      <c r="X39" s="30">
        <f t="shared" si="3"/>
        <v>54110.371949426648</v>
      </c>
      <c r="Y39" s="30">
        <f t="shared" si="3"/>
        <v>58191.455528463892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314.63284766929667</v>
      </c>
      <c r="E41" s="19">
        <v>313.64014593868018</v>
      </c>
      <c r="F41" s="19">
        <v>323.26703023043217</v>
      </c>
      <c r="G41" s="19">
        <v>343.11380018212969</v>
      </c>
      <c r="H41" s="19">
        <v>353.55504243260265</v>
      </c>
      <c r="I41" s="19">
        <v>366.14774332558045</v>
      </c>
      <c r="J41" s="19">
        <v>325.04575757170915</v>
      </c>
      <c r="K41" s="19">
        <v>334.91814721647853</v>
      </c>
      <c r="L41" s="19">
        <v>280.2226090367501</v>
      </c>
      <c r="M41" s="19">
        <v>331.47023086269746</v>
      </c>
      <c r="N41" s="19">
        <v>328.62166288807668</v>
      </c>
      <c r="O41" s="19">
        <v>278.39432503875884</v>
      </c>
      <c r="P41" s="19">
        <v>278.98640697034148</v>
      </c>
      <c r="Q41" s="19">
        <v>277.43227574575735</v>
      </c>
      <c r="R41" s="19">
        <v>278.53984112685288</v>
      </c>
      <c r="S41" s="19">
        <v>285.60000000000002</v>
      </c>
      <c r="T41" s="19">
        <v>292.13938411669363</v>
      </c>
      <c r="U41" s="19">
        <v>274.85484414323361</v>
      </c>
      <c r="V41" s="19">
        <v>273.71855246676824</v>
      </c>
      <c r="W41" s="19">
        <v>286.70223650609529</v>
      </c>
      <c r="X41" s="19">
        <v>276.91069618951184</v>
      </c>
      <c r="Y41" s="19">
        <v>283.35793295949151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257.03083401907162</v>
      </c>
      <c r="E42" s="23">
        <v>253.79248543813608</v>
      </c>
      <c r="F42" s="23">
        <v>259.43321880023956</v>
      </c>
      <c r="G42" s="23">
        <v>272.26844063035389</v>
      </c>
      <c r="H42" s="23">
        <v>310.52268569886343</v>
      </c>
      <c r="I42" s="23">
        <v>277.96407014740083</v>
      </c>
      <c r="J42" s="23">
        <v>253.16963033226008</v>
      </c>
      <c r="K42" s="23">
        <v>260.24312186384645</v>
      </c>
      <c r="L42" s="23">
        <v>159.2341072347937</v>
      </c>
      <c r="M42" s="23">
        <v>136.33049817739976</v>
      </c>
      <c r="N42" s="23">
        <v>200.80507102207005</v>
      </c>
      <c r="O42" s="23">
        <v>188.38462139041013</v>
      </c>
      <c r="P42" s="23">
        <v>152.55719545243522</v>
      </c>
      <c r="Q42" s="23">
        <v>153.0515442184041</v>
      </c>
      <c r="R42" s="23">
        <v>141.77790516747194</v>
      </c>
      <c r="S42" s="23">
        <v>185</v>
      </c>
      <c r="T42" s="23">
        <v>227.00567260940034</v>
      </c>
      <c r="U42" s="23">
        <v>233.63652577135721</v>
      </c>
      <c r="V42" s="23">
        <v>227.40292652613385</v>
      </c>
      <c r="W42" s="23">
        <v>254.22340435784017</v>
      </c>
      <c r="X42" s="23">
        <v>266.64951484857397</v>
      </c>
      <c r="Y42" s="23">
        <v>257.1645641188735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222.17919550801102</v>
      </c>
      <c r="E43" s="23">
        <v>216.34769250464058</v>
      </c>
      <c r="F43" s="23">
        <v>246.03599911735967</v>
      </c>
      <c r="G43" s="23">
        <v>258.53154084798342</v>
      </c>
      <c r="H43" s="23">
        <v>254.44567727231833</v>
      </c>
      <c r="I43" s="23">
        <v>227.59378433526919</v>
      </c>
      <c r="J43" s="23">
        <v>197.9933467822741</v>
      </c>
      <c r="K43" s="23">
        <v>182.67065284673836</v>
      </c>
      <c r="L43" s="23">
        <v>156.41471965480889</v>
      </c>
      <c r="M43" s="23">
        <v>148.23815309842041</v>
      </c>
      <c r="N43" s="23">
        <v>149.79410539952806</v>
      </c>
      <c r="O43" s="23">
        <v>134.40110643898413</v>
      </c>
      <c r="P43" s="23">
        <v>125.13360900875612</v>
      </c>
      <c r="Q43" s="23">
        <v>111.31021397702118</v>
      </c>
      <c r="R43" s="23">
        <v>116.59569240848415</v>
      </c>
      <c r="S43" s="23">
        <v>108.3</v>
      </c>
      <c r="T43" s="23">
        <v>108.48865478119936</v>
      </c>
      <c r="U43" s="23">
        <v>112.35955056179775</v>
      </c>
      <c r="V43" s="23">
        <v>107.09881637844818</v>
      </c>
      <c r="W43" s="23">
        <v>112.17898789153001</v>
      </c>
      <c r="X43" s="23">
        <v>108.34781762931236</v>
      </c>
      <c r="Y43" s="23">
        <v>110.87045053363573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120.85128354066833</v>
      </c>
      <c r="E45" s="23">
        <v>118.57517762273569</v>
      </c>
      <c r="F45" s="23">
        <v>142.01052863852726</v>
      </c>
      <c r="G45" s="23">
        <v>158.20586828010929</v>
      </c>
      <c r="H45" s="23">
        <v>155.33631211203405</v>
      </c>
      <c r="I45" s="23">
        <v>118.00630698762859</v>
      </c>
      <c r="J45" s="23">
        <v>105.00861711934375</v>
      </c>
      <c r="K45" s="23">
        <v>85.869694056289433</v>
      </c>
      <c r="L45" s="23">
        <v>121.23366593934639</v>
      </c>
      <c r="M45" s="23">
        <v>92.831105710814114</v>
      </c>
      <c r="N45" s="23">
        <v>92.99958358395412</v>
      </c>
      <c r="O45" s="23">
        <v>98.597990117893758</v>
      </c>
      <c r="P45" s="23">
        <v>78.92378618239924</v>
      </c>
      <c r="Q45" s="23">
        <v>91.282808053125322</v>
      </c>
      <c r="R45" s="23">
        <v>103.59511915486037</v>
      </c>
      <c r="S45" s="23">
        <v>104.4</v>
      </c>
      <c r="T45" s="23">
        <v>104.8419773095624</v>
      </c>
      <c r="U45" s="23">
        <v>108.8916631987793</v>
      </c>
      <c r="V45" s="23">
        <v>100.69036499043587</v>
      </c>
      <c r="W45" s="23">
        <v>95.887902705098924</v>
      </c>
      <c r="X45" s="23">
        <v>129.18994413407822</v>
      </c>
      <c r="Y45" s="23">
        <v>151.68380508145165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123.73773477744106</v>
      </c>
      <c r="E46" s="23">
        <v>122.42970609009883</v>
      </c>
      <c r="F46" s="23">
        <v>149.41136034952183</v>
      </c>
      <c r="G46" s="23">
        <v>164.60195013737885</v>
      </c>
      <c r="H46" s="23">
        <v>158.19613395020349</v>
      </c>
      <c r="I46" s="23">
        <v>119.99693331439933</v>
      </c>
      <c r="J46" s="23">
        <v>105.77902846055468</v>
      </c>
      <c r="K46" s="23">
        <v>106.07449191191711</v>
      </c>
      <c r="L46" s="23">
        <v>121.68090784233841</v>
      </c>
      <c r="M46" s="23">
        <v>93.666556955948266</v>
      </c>
      <c r="N46" s="23">
        <v>90.908869213593221</v>
      </c>
      <c r="O46" s="23">
        <v>96.715752240028337</v>
      </c>
      <c r="P46" s="23">
        <v>78.161732907196537</v>
      </c>
      <c r="Q46" s="23">
        <v>88.292025630242819</v>
      </c>
      <c r="R46" s="23">
        <v>128.42432136349083</v>
      </c>
      <c r="S46" s="23">
        <v>130.20477414007462</v>
      </c>
      <c r="T46" s="23">
        <v>118.76600534840473</v>
      </c>
      <c r="U46" s="23">
        <v>106.03709756613026</v>
      </c>
      <c r="V46" s="23">
        <v>115.90204377783634</v>
      </c>
      <c r="W46" s="23">
        <v>121.39979138157751</v>
      </c>
      <c r="X46" s="23">
        <v>117.25370948761132</v>
      </c>
      <c r="Y46" s="23">
        <v>119.98369586093533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955.99980637978615</v>
      </c>
      <c r="E47" s="23">
        <v>880.11265441976582</v>
      </c>
      <c r="F47" s="23">
        <v>890.04822999085854</v>
      </c>
      <c r="G47" s="23">
        <v>861.10296500949232</v>
      </c>
      <c r="H47" s="23">
        <v>766.18586379584372</v>
      </c>
      <c r="I47" s="23">
        <v>727.8720337894722</v>
      </c>
      <c r="J47" s="23">
        <v>731.58675234799807</v>
      </c>
      <c r="K47" s="23">
        <v>792.58254421894128</v>
      </c>
      <c r="L47" s="23">
        <v>638.03966755742965</v>
      </c>
      <c r="M47" s="23">
        <v>525.75941676792229</v>
      </c>
      <c r="N47" s="23">
        <v>565.8631379262481</v>
      </c>
      <c r="O47" s="23">
        <v>508.71655308564868</v>
      </c>
      <c r="P47" s="23">
        <v>440.39688623530304</v>
      </c>
      <c r="Q47" s="23">
        <v>595.44640033730366</v>
      </c>
      <c r="R47" s="23">
        <v>634.36655474572115</v>
      </c>
      <c r="S47" s="23">
        <v>698.6</v>
      </c>
      <c r="T47" s="23">
        <v>750.81037277147493</v>
      </c>
      <c r="U47" s="23">
        <v>564.47298020331732</v>
      </c>
      <c r="V47" s="23">
        <v>641.03933429783763</v>
      </c>
      <c r="W47" s="23">
        <v>671.4466709518415</v>
      </c>
      <c r="X47" s="23">
        <v>648.51522392449715</v>
      </c>
      <c r="Y47" s="23">
        <v>663.61442830740089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1066.3633283314778</v>
      </c>
      <c r="E48" s="23">
        <v>1026.5313960186904</v>
      </c>
      <c r="F48" s="23">
        <v>886.26548560980984</v>
      </c>
      <c r="G48" s="23">
        <v>1016.9936254611122</v>
      </c>
      <c r="H48" s="23">
        <v>1033.676192760968</v>
      </c>
      <c r="I48" s="23">
        <v>1024.2433755226095</v>
      </c>
      <c r="J48" s="23">
        <v>901.92515798052136</v>
      </c>
      <c r="K48" s="23">
        <v>1530.9038707213319</v>
      </c>
      <c r="L48" s="23">
        <v>1271.2986344357546</v>
      </c>
      <c r="M48" s="23">
        <v>377.88578371810451</v>
      </c>
      <c r="N48" s="23">
        <v>498.3112015916347</v>
      </c>
      <c r="O48" s="23">
        <v>569.83838406370944</v>
      </c>
      <c r="P48" s="23">
        <v>589.60710853910018</v>
      </c>
      <c r="Q48" s="23">
        <v>547.6968483187519</v>
      </c>
      <c r="R48" s="23">
        <v>143.62050610105643</v>
      </c>
      <c r="S48" s="23">
        <v>416.3</v>
      </c>
      <c r="T48" s="23">
        <v>851.1952998379254</v>
      </c>
      <c r="U48" s="23">
        <v>872.71862552761422</v>
      </c>
      <c r="V48" s="23">
        <v>987.77539348862501</v>
      </c>
      <c r="W48" s="23">
        <v>1034.6299581328512</v>
      </c>
      <c r="X48" s="23">
        <v>999.29496712873492</v>
      </c>
      <c r="Y48" s="23">
        <v>1022.5612813043302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441.63328995754125</v>
      </c>
      <c r="E49" s="23">
        <v>474.12665312388032</v>
      </c>
      <c r="F49" s="23">
        <v>464.65414417401018</v>
      </c>
      <c r="G49" s="23">
        <v>422.53475516753377</v>
      </c>
      <c r="H49" s="23">
        <v>383.53175761425524</v>
      </c>
      <c r="I49" s="23">
        <v>399.54473989231849</v>
      </c>
      <c r="J49" s="23">
        <v>487.26582063965782</v>
      </c>
      <c r="K49" s="23">
        <v>466.30233380684609</v>
      </c>
      <c r="L49" s="23">
        <v>374.53130623498726</v>
      </c>
      <c r="M49" s="23">
        <v>391.02360100273938</v>
      </c>
      <c r="N49" s="23">
        <v>386.92854345470829</v>
      </c>
      <c r="O49" s="23">
        <v>415.56995885893781</v>
      </c>
      <c r="P49" s="23">
        <v>430.03835130696672</v>
      </c>
      <c r="Q49" s="23">
        <v>378.34653239653056</v>
      </c>
      <c r="R49" s="23">
        <v>834.12993299733148</v>
      </c>
      <c r="S49" s="23">
        <v>923.69522585992536</v>
      </c>
      <c r="T49" s="23">
        <v>713.48683095629485</v>
      </c>
      <c r="U49" s="23">
        <v>341.22128976716277</v>
      </c>
      <c r="V49" s="23">
        <v>309.77448478346668</v>
      </c>
      <c r="W49" s="23">
        <v>318.01336483920699</v>
      </c>
      <c r="X49" s="23">
        <v>249.46721979478738</v>
      </c>
      <c r="Y49" s="23">
        <v>251.48281027202503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16.457718185778596</v>
      </c>
      <c r="E52" s="23">
        <v>16.642130192664663</v>
      </c>
      <c r="F52" s="23">
        <v>16.549506667086973</v>
      </c>
      <c r="G52" s="23">
        <v>25.775980490515366</v>
      </c>
      <c r="H52" s="23">
        <v>30.737397666956547</v>
      </c>
      <c r="I52" s="23">
        <v>34.816854782323311</v>
      </c>
      <c r="J52" s="23">
        <v>36.338859868271634</v>
      </c>
      <c r="K52" s="23">
        <v>66.904608252446366</v>
      </c>
      <c r="L52" s="23">
        <v>59.084557110985806</v>
      </c>
      <c r="M52" s="23">
        <v>30.012150668286758</v>
      </c>
      <c r="N52" s="23">
        <v>37.246101883125903</v>
      </c>
      <c r="O52" s="23">
        <v>40.59917240148566</v>
      </c>
      <c r="P52" s="23">
        <v>41.567247168568684</v>
      </c>
      <c r="Q52" s="23">
        <v>42.162959839780754</v>
      </c>
      <c r="R52" s="23">
        <v>41.151420850053235</v>
      </c>
      <c r="S52" s="23">
        <v>39.4</v>
      </c>
      <c r="T52" s="23">
        <v>44.266612641815236</v>
      </c>
      <c r="U52" s="23">
        <v>43.992628262291184</v>
      </c>
      <c r="V52" s="23">
        <v>39.712979056015691</v>
      </c>
      <c r="W52" s="23">
        <v>41.596741656968071</v>
      </c>
      <c r="X52" s="23">
        <v>40.176117325828429</v>
      </c>
      <c r="Y52" s="23">
        <v>41.111526988446968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57.279313293634914</v>
      </c>
      <c r="E53" s="23">
        <v>67.048582218518732</v>
      </c>
      <c r="F53" s="23">
        <v>59.262995303099615</v>
      </c>
      <c r="G53" s="23">
        <v>55.256293506606198</v>
      </c>
      <c r="H53" s="23">
        <v>59.975410081862265</v>
      </c>
      <c r="I53" s="23">
        <v>87.898289122589176</v>
      </c>
      <c r="J53" s="23">
        <v>89.511162175526806</v>
      </c>
      <c r="K53" s="23">
        <v>122.6145478012395</v>
      </c>
      <c r="L53" s="23">
        <v>96.839834269045696</v>
      </c>
      <c r="M53" s="23">
        <v>80.315917375460231</v>
      </c>
      <c r="N53" s="23">
        <v>84.324249294405945</v>
      </c>
      <c r="O53" s="23">
        <v>76.179216346737121</v>
      </c>
      <c r="P53" s="23">
        <v>73.633409270025822</v>
      </c>
      <c r="Q53" s="23">
        <v>71.887846526823978</v>
      </c>
      <c r="R53" s="23">
        <v>84.452542789288145</v>
      </c>
      <c r="S53" s="23">
        <v>75.500000000001364</v>
      </c>
      <c r="T53" s="23">
        <v>88.330632090769996</v>
      </c>
      <c r="U53" s="23">
        <v>94.326536274112186</v>
      </c>
      <c r="V53" s="23">
        <v>93.213838371084876</v>
      </c>
      <c r="W53" s="23">
        <v>97.640717613688594</v>
      </c>
      <c r="X53" s="23">
        <v>94.491025938124494</v>
      </c>
      <c r="Y53" s="23">
        <v>96.508668501453485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3576.1653516627075</v>
      </c>
      <c r="E54" s="30">
        <f t="shared" ref="E54:S54" si="4">SUM(E41:E53)</f>
        <v>3489.2466235678116</v>
      </c>
      <c r="F54" s="30">
        <f t="shared" si="4"/>
        <v>3436.9384988809456</v>
      </c>
      <c r="G54" s="30">
        <f t="shared" si="4"/>
        <v>3578.3852197132151</v>
      </c>
      <c r="H54" s="30">
        <f t="shared" si="4"/>
        <v>3506.1624733859076</v>
      </c>
      <c r="I54" s="30">
        <f t="shared" si="4"/>
        <v>3384.0841312195912</v>
      </c>
      <c r="J54" s="30">
        <f t="shared" si="4"/>
        <v>3233.6241332781174</v>
      </c>
      <c r="K54" s="30">
        <f t="shared" si="4"/>
        <v>3949.0840126960748</v>
      </c>
      <c r="L54" s="30">
        <f t="shared" si="4"/>
        <v>3278.5800093162406</v>
      </c>
      <c r="M54" s="30">
        <f t="shared" si="4"/>
        <v>2207.5334143377931</v>
      </c>
      <c r="N54" s="30">
        <f t="shared" si="4"/>
        <v>2435.8025262573451</v>
      </c>
      <c r="O54" s="30">
        <f t="shared" si="4"/>
        <v>2407.3970799825938</v>
      </c>
      <c r="P54" s="30">
        <f t="shared" si="4"/>
        <v>2289.0057330410932</v>
      </c>
      <c r="Q54" s="30">
        <f t="shared" si="4"/>
        <v>2356.9094550437417</v>
      </c>
      <c r="R54" s="30">
        <f t="shared" si="4"/>
        <v>2506.6538367046105</v>
      </c>
      <c r="S54" s="30">
        <f t="shared" si="4"/>
        <v>2967.0000000000014</v>
      </c>
      <c r="T54" s="30">
        <f t="shared" ref="T54:Y54" si="5">SUM(T41:T53)</f>
        <v>3299.331442463541</v>
      </c>
      <c r="U54" s="30">
        <f t="shared" si="5"/>
        <v>2752.5117412757959</v>
      </c>
      <c r="V54" s="30">
        <f t="shared" si="5"/>
        <v>2896.3287341366522</v>
      </c>
      <c r="W54" s="30">
        <f t="shared" si="5"/>
        <v>3033.719776036698</v>
      </c>
      <c r="X54" s="30">
        <f t="shared" si="5"/>
        <v>2930.29623640106</v>
      </c>
      <c r="Y54" s="30">
        <f t="shared" si="5"/>
        <v>2998.3391639280444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314.63284766929667</v>
      </c>
      <c r="E56" s="19">
        <v>313.64014593868018</v>
      </c>
      <c r="F56" s="19">
        <v>323.26703023043217</v>
      </c>
      <c r="G56" s="19">
        <v>343.11380018212969</v>
      </c>
      <c r="H56" s="19">
        <v>353.55504243260265</v>
      </c>
      <c r="I56" s="19">
        <v>366.14774332558045</v>
      </c>
      <c r="J56" s="19">
        <v>325.04575757170915</v>
      </c>
      <c r="K56" s="19">
        <v>334.91814721647853</v>
      </c>
      <c r="L56" s="19">
        <v>280.2226090367501</v>
      </c>
      <c r="M56" s="19">
        <v>331.47023086269746</v>
      </c>
      <c r="N56" s="19">
        <v>328.62166288807668</v>
      </c>
      <c r="O56" s="19">
        <v>278.39432503875884</v>
      </c>
      <c r="P56" s="19">
        <v>278.98640697034148</v>
      </c>
      <c r="Q56" s="19">
        <v>277.43227574575735</v>
      </c>
      <c r="R56" s="19">
        <v>278.53984112685288</v>
      </c>
      <c r="S56" s="19">
        <v>285.60000000000002</v>
      </c>
      <c r="T56" s="19">
        <v>292.13938411669363</v>
      </c>
      <c r="U56" s="19">
        <v>274.85484414323361</v>
      </c>
      <c r="V56" s="19">
        <v>273.71855246676824</v>
      </c>
      <c r="W56" s="19">
        <v>286.70223650609529</v>
      </c>
      <c r="X56" s="19">
        <v>276.91069618951184</v>
      </c>
      <c r="Y56" s="19">
        <v>283.35793295949151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257.03083401907162</v>
      </c>
      <c r="E57" s="23">
        <v>253.79248543813608</v>
      </c>
      <c r="F57" s="23">
        <v>259.43321880023956</v>
      </c>
      <c r="G57" s="23">
        <v>272.26844063035389</v>
      </c>
      <c r="H57" s="23">
        <v>310.52268569886343</v>
      </c>
      <c r="I57" s="23">
        <v>277.96407014740083</v>
      </c>
      <c r="J57" s="23">
        <v>253.16963033226008</v>
      </c>
      <c r="K57" s="23">
        <v>260.24312186384645</v>
      </c>
      <c r="L57" s="23">
        <v>159.2341072347937</v>
      </c>
      <c r="M57" s="23">
        <v>136.33049817739976</v>
      </c>
      <c r="N57" s="23">
        <v>200.80507102207005</v>
      </c>
      <c r="O57" s="23">
        <v>188.38462139041013</v>
      </c>
      <c r="P57" s="23">
        <v>152.55719545243522</v>
      </c>
      <c r="Q57" s="23">
        <v>153.0515442184041</v>
      </c>
      <c r="R57" s="23">
        <v>141.77790516747194</v>
      </c>
      <c r="S57" s="23">
        <v>185</v>
      </c>
      <c r="T57" s="23">
        <v>227.00567260940034</v>
      </c>
      <c r="U57" s="23">
        <v>233.63652577135721</v>
      </c>
      <c r="V57" s="23">
        <v>227.40292652613385</v>
      </c>
      <c r="W57" s="23">
        <v>254.22340435784017</v>
      </c>
      <c r="X57" s="23">
        <v>266.64951484857397</v>
      </c>
      <c r="Y57" s="23">
        <v>257.1645641188735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60.667667037772077</v>
      </c>
      <c r="E58" s="23">
        <v>53.926902643538384</v>
      </c>
      <c r="F58" s="23">
        <v>62.100053588878737</v>
      </c>
      <c r="G58" s="23">
        <v>59.578014786460663</v>
      </c>
      <c r="H58" s="23">
        <v>72.420307673853713</v>
      </c>
      <c r="I58" s="23">
        <v>63.926028452790341</v>
      </c>
      <c r="J58" s="23">
        <v>55.577079798533084</v>
      </c>
      <c r="K58" s="23">
        <v>54.919727640295541</v>
      </c>
      <c r="L58" s="23">
        <v>46.458604035401699</v>
      </c>
      <c r="M58" s="23">
        <v>40.583232077764279</v>
      </c>
      <c r="N58" s="23">
        <v>55.869152824688847</v>
      </c>
      <c r="O58" s="23">
        <v>50.302820750192403</v>
      </c>
      <c r="P58" s="23">
        <v>46.85762408093197</v>
      </c>
      <c r="Q58" s="23">
        <v>42.057552440181297</v>
      </c>
      <c r="R58" s="23">
        <v>38.694619605273928</v>
      </c>
      <c r="S58" s="23">
        <v>32.4</v>
      </c>
      <c r="T58" s="23">
        <v>32.456439657533323</v>
      </c>
      <c r="U58" s="23">
        <v>33.614491580814835</v>
      </c>
      <c r="V58" s="23">
        <v>32.040643127070375</v>
      </c>
      <c r="W58" s="23">
        <v>33.560472831815076</v>
      </c>
      <c r="X58" s="23">
        <v>32.414305551151621</v>
      </c>
      <c r="Y58" s="23">
        <v>33.168999051614016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161.51152847023894</v>
      </c>
      <c r="E60" s="23">
        <v>162.42078986110221</v>
      </c>
      <c r="F60" s="23">
        <v>183.93594552848094</v>
      </c>
      <c r="G60" s="23">
        <v>198.95352606152275</v>
      </c>
      <c r="H60" s="23">
        <v>182.02536959846464</v>
      </c>
      <c r="I60" s="23">
        <v>163.66775588247884</v>
      </c>
      <c r="J60" s="23">
        <v>142.41626698374102</v>
      </c>
      <c r="K60" s="23">
        <v>127.75092520644282</v>
      </c>
      <c r="L60" s="23">
        <v>109.9561156194072</v>
      </c>
      <c r="M60" s="23">
        <v>107.65492102065613</v>
      </c>
      <c r="N60" s="23">
        <v>93.92495257483921</v>
      </c>
      <c r="O60" s="23">
        <v>84.098285688791719</v>
      </c>
      <c r="P60" s="23">
        <v>78.275984927824155</v>
      </c>
      <c r="Q60" s="23">
        <v>69.252661536839881</v>
      </c>
      <c r="R60" s="23">
        <v>77.901072803210226</v>
      </c>
      <c r="S60" s="23">
        <v>75.900000000000006</v>
      </c>
      <c r="T60" s="23">
        <v>76.032215123666035</v>
      </c>
      <c r="U60" s="23">
        <v>78.745058980982918</v>
      </c>
      <c r="V60" s="23">
        <v>75.058173251377809</v>
      </c>
      <c r="W60" s="23">
        <v>78.618515059714937</v>
      </c>
      <c r="X60" s="23">
        <v>75.933512078160732</v>
      </c>
      <c r="Y60" s="23">
        <v>77.701451482021724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120.85128354066833</v>
      </c>
      <c r="E62" s="23">
        <v>118.57517762273569</v>
      </c>
      <c r="F62" s="23">
        <v>142.01052863852726</v>
      </c>
      <c r="G62" s="23">
        <v>158.20586828010929</v>
      </c>
      <c r="H62" s="23">
        <v>155.33631211203405</v>
      </c>
      <c r="I62" s="23">
        <v>118.00630698762859</v>
      </c>
      <c r="J62" s="23">
        <v>105.00861711934375</v>
      </c>
      <c r="K62" s="23">
        <v>85.869694056289433</v>
      </c>
      <c r="L62" s="23">
        <v>121.23366593934639</v>
      </c>
      <c r="M62" s="23">
        <v>92.831105710814114</v>
      </c>
      <c r="N62" s="23">
        <v>92.99958358395412</v>
      </c>
      <c r="O62" s="23">
        <v>98.597990117893758</v>
      </c>
      <c r="P62" s="23">
        <v>78.92378618239924</v>
      </c>
      <c r="Q62" s="23">
        <v>91.282808053125322</v>
      </c>
      <c r="R62" s="23">
        <v>103.59511915486037</v>
      </c>
      <c r="S62" s="23">
        <v>104.4</v>
      </c>
      <c r="T62" s="23">
        <v>104.8419773095624</v>
      </c>
      <c r="U62" s="23">
        <v>108.8916631987793</v>
      </c>
      <c r="V62" s="23">
        <v>100.69036499043587</v>
      </c>
      <c r="W62" s="23">
        <v>95.887902705098924</v>
      </c>
      <c r="X62" s="23">
        <v>129.18994413407822</v>
      </c>
      <c r="Y62" s="23">
        <v>151.68380508145165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123.73773477744106</v>
      </c>
      <c r="E63" s="23">
        <v>122.42970609009883</v>
      </c>
      <c r="F63" s="23">
        <v>149.41136034952183</v>
      </c>
      <c r="G63" s="23">
        <v>164.60195013737885</v>
      </c>
      <c r="H63" s="23">
        <v>158.19613395020349</v>
      </c>
      <c r="I63" s="23">
        <v>119.99693331439933</v>
      </c>
      <c r="J63" s="23">
        <v>105.77902846055468</v>
      </c>
      <c r="K63" s="23">
        <v>106.07449191191711</v>
      </c>
      <c r="L63" s="23">
        <v>121.68090784233841</v>
      </c>
      <c r="M63" s="23">
        <v>93.666556955948266</v>
      </c>
      <c r="N63" s="23">
        <v>90.908869213593221</v>
      </c>
      <c r="O63" s="23">
        <v>96.715752240028337</v>
      </c>
      <c r="P63" s="23">
        <v>78.161732907196537</v>
      </c>
      <c r="Q63" s="23">
        <v>88.292025630242819</v>
      </c>
      <c r="R63" s="23">
        <v>128.42432136349083</v>
      </c>
      <c r="S63" s="23">
        <v>130.20477414007462</v>
      </c>
      <c r="T63" s="23">
        <v>118.76600534840473</v>
      </c>
      <c r="U63" s="23">
        <v>106.03709756613026</v>
      </c>
      <c r="V63" s="23">
        <v>115.90204377783634</v>
      </c>
      <c r="W63" s="23">
        <v>121.39979138157751</v>
      </c>
      <c r="X63" s="23">
        <v>117.25370948761132</v>
      </c>
      <c r="Y63" s="23">
        <v>119.98369586093533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23">
        <v>0</v>
      </c>
      <c r="X64" s="23">
        <v>0</v>
      </c>
      <c r="Y64" s="23">
        <v>0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955.99980637978615</v>
      </c>
      <c r="E65" s="23">
        <v>880.11265441976582</v>
      </c>
      <c r="F65" s="23">
        <v>890.04822999085854</v>
      </c>
      <c r="G65" s="23">
        <v>861.10296500949232</v>
      </c>
      <c r="H65" s="23">
        <v>766.18586379584372</v>
      </c>
      <c r="I65" s="23">
        <v>727.8720337894722</v>
      </c>
      <c r="J65" s="23">
        <v>731.58675234799807</v>
      </c>
      <c r="K65" s="23">
        <v>792.58254421894128</v>
      </c>
      <c r="L65" s="23">
        <v>638.03966755742965</v>
      </c>
      <c r="M65" s="23">
        <v>525.75941676792229</v>
      </c>
      <c r="N65" s="23">
        <v>565.8631379262481</v>
      </c>
      <c r="O65" s="23">
        <v>508.71655308564868</v>
      </c>
      <c r="P65" s="23">
        <v>440.39688623530304</v>
      </c>
      <c r="Q65" s="23">
        <v>595.44640033730366</v>
      </c>
      <c r="R65" s="23">
        <v>634.36655474572115</v>
      </c>
      <c r="S65" s="23">
        <v>698.6</v>
      </c>
      <c r="T65" s="23">
        <v>750.81037277147493</v>
      </c>
      <c r="U65" s="23">
        <v>564.47298020331732</v>
      </c>
      <c r="V65" s="23">
        <v>641.03933429783763</v>
      </c>
      <c r="W65" s="23">
        <v>671.4466709518415</v>
      </c>
      <c r="X65" s="23">
        <v>648.51522392449715</v>
      </c>
      <c r="Y65" s="23">
        <v>663.61442830740089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1066.3633283314778</v>
      </c>
      <c r="E66" s="23">
        <v>1026.5313960186904</v>
      </c>
      <c r="F66" s="23">
        <v>886.26548560980984</v>
      </c>
      <c r="G66" s="23">
        <v>1016.9936254611122</v>
      </c>
      <c r="H66" s="23">
        <v>1033.676192760968</v>
      </c>
      <c r="I66" s="23">
        <v>1024.2433755226095</v>
      </c>
      <c r="J66" s="23">
        <v>901.92515798052136</v>
      </c>
      <c r="K66" s="23">
        <v>1530.9038707213319</v>
      </c>
      <c r="L66" s="23">
        <v>1271.2986344357546</v>
      </c>
      <c r="M66" s="23">
        <v>377.88578371810451</v>
      </c>
      <c r="N66" s="23">
        <v>498.3112015916347</v>
      </c>
      <c r="O66" s="23">
        <v>569.83838406370944</v>
      </c>
      <c r="P66" s="23">
        <v>589.60710853910018</v>
      </c>
      <c r="Q66" s="23">
        <v>547.6968483187519</v>
      </c>
      <c r="R66" s="23">
        <v>143.62050610105643</v>
      </c>
      <c r="S66" s="23">
        <v>416.3</v>
      </c>
      <c r="T66" s="23">
        <v>851.1952998379254</v>
      </c>
      <c r="U66" s="23">
        <v>872.71862552761422</v>
      </c>
      <c r="V66" s="23">
        <v>987.77539348862501</v>
      </c>
      <c r="W66" s="23">
        <v>1034.6299581328512</v>
      </c>
      <c r="X66" s="23">
        <v>999.29496712873492</v>
      </c>
      <c r="Y66" s="23">
        <v>1022.5612813043302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441.63328995754125</v>
      </c>
      <c r="E68" s="23">
        <v>474.12665312388032</v>
      </c>
      <c r="F68" s="23">
        <v>464.65414417401018</v>
      </c>
      <c r="G68" s="23">
        <v>422.53475516753377</v>
      </c>
      <c r="H68" s="23">
        <v>383.53175761425524</v>
      </c>
      <c r="I68" s="23">
        <v>399.54473989231849</v>
      </c>
      <c r="J68" s="23">
        <v>487.26582063965782</v>
      </c>
      <c r="K68" s="23">
        <v>466.30233380684609</v>
      </c>
      <c r="L68" s="23">
        <v>374.53130623498726</v>
      </c>
      <c r="M68" s="23">
        <v>391.02360100273938</v>
      </c>
      <c r="N68" s="23">
        <v>386.92854345470829</v>
      </c>
      <c r="O68" s="23">
        <v>415.56995885893781</v>
      </c>
      <c r="P68" s="23">
        <v>430.03835130696672</v>
      </c>
      <c r="Q68" s="23">
        <v>378.34653239653056</v>
      </c>
      <c r="R68" s="23">
        <v>834.12993299733148</v>
      </c>
      <c r="S68" s="23">
        <v>923.69522585992536</v>
      </c>
      <c r="T68" s="23">
        <v>713.48683095629485</v>
      </c>
      <c r="U68" s="23">
        <v>341.22128976716277</v>
      </c>
      <c r="V68" s="23">
        <v>309.77448478346668</v>
      </c>
      <c r="W68" s="23">
        <v>318.01336483920699</v>
      </c>
      <c r="X68" s="23">
        <v>249.46721979478738</v>
      </c>
      <c r="Y68" s="23">
        <v>251.48281027202503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  <c r="X69" s="23">
        <v>0</v>
      </c>
      <c r="Y69" s="23">
        <v>0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16.457718185778596</v>
      </c>
      <c r="E72" s="23">
        <v>16.642130192664663</v>
      </c>
      <c r="F72" s="23">
        <v>16.549506667086973</v>
      </c>
      <c r="G72" s="23">
        <v>25.775980490515366</v>
      </c>
      <c r="H72" s="23">
        <v>30.737397666956547</v>
      </c>
      <c r="I72" s="23">
        <v>34.816854782323311</v>
      </c>
      <c r="J72" s="23">
        <v>36.338859868271634</v>
      </c>
      <c r="K72" s="23">
        <v>66.904608252446366</v>
      </c>
      <c r="L72" s="23">
        <v>59.084557110985806</v>
      </c>
      <c r="M72" s="23">
        <v>30.012150668286758</v>
      </c>
      <c r="N72" s="23">
        <v>37.246101883125903</v>
      </c>
      <c r="O72" s="23">
        <v>40.59917240148566</v>
      </c>
      <c r="P72" s="23">
        <v>41.567247168568684</v>
      </c>
      <c r="Q72" s="23">
        <v>42.162959839780754</v>
      </c>
      <c r="R72" s="23">
        <v>41.151420850053235</v>
      </c>
      <c r="S72" s="23">
        <v>39.4</v>
      </c>
      <c r="T72" s="23">
        <v>44.266612641815236</v>
      </c>
      <c r="U72" s="23">
        <v>43.992628262291184</v>
      </c>
      <c r="V72" s="23">
        <v>39.712979056015691</v>
      </c>
      <c r="W72" s="23">
        <v>41.596741656968071</v>
      </c>
      <c r="X72" s="23">
        <v>40.176117325828429</v>
      </c>
      <c r="Y72" s="23">
        <v>41.111526988446968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51.16650120301545</v>
      </c>
      <c r="E73" s="23">
        <v>57.195564759887837</v>
      </c>
      <c r="F73" s="23">
        <v>48.128667348161088</v>
      </c>
      <c r="G73" s="23">
        <v>40.380223988390092</v>
      </c>
      <c r="H73" s="23">
        <v>46.693050971053076</v>
      </c>
      <c r="I73" s="23">
        <v>68.747265235542685</v>
      </c>
      <c r="J73" s="23">
        <v>68.738823967531943</v>
      </c>
      <c r="K73" s="23">
        <v>85.994766746503984</v>
      </c>
      <c r="L73" s="23">
        <v>63.746574091071288</v>
      </c>
      <c r="M73" s="23">
        <v>29.703911991640691</v>
      </c>
      <c r="N73" s="23">
        <v>27.176117478170681</v>
      </c>
      <c r="O73" s="23">
        <v>29.161345574754439</v>
      </c>
      <c r="P73" s="23">
        <v>28.186751978228806</v>
      </c>
      <c r="Q73" s="23">
        <v>27.558962371621789</v>
      </c>
      <c r="R73" s="23">
        <v>32.415014248512065</v>
      </c>
      <c r="S73" s="23">
        <v>28.867047308319744</v>
      </c>
      <c r="T73" s="23">
        <v>33.901310345009932</v>
      </c>
      <c r="U73" s="23">
        <v>36.199054504068833</v>
      </c>
      <c r="V73" s="23">
        <v>35.771729181169619</v>
      </c>
      <c r="W73" s="23">
        <v>37.468540833295641</v>
      </c>
      <c r="X73" s="23">
        <v>36.188904048303314</v>
      </c>
      <c r="Y73" s="23">
        <v>37.031480503659189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6.1128120906194638</v>
      </c>
      <c r="E74" s="23">
        <v>9.8530174586308945</v>
      </c>
      <c r="F74" s="23">
        <v>11.134327954938527</v>
      </c>
      <c r="G74" s="23">
        <v>14.876069518216106</v>
      </c>
      <c r="H74" s="23">
        <v>13.282359110809189</v>
      </c>
      <c r="I74" s="23">
        <v>19.151023887046492</v>
      </c>
      <c r="J74" s="23">
        <v>20.772338207994864</v>
      </c>
      <c r="K74" s="23">
        <v>36.619781054735512</v>
      </c>
      <c r="L74" s="23">
        <v>33.093260177974408</v>
      </c>
      <c r="M74" s="23">
        <v>50.612005383819536</v>
      </c>
      <c r="N74" s="23">
        <v>57.148131816235264</v>
      </c>
      <c r="O74" s="23">
        <v>47.017870771982686</v>
      </c>
      <c r="P74" s="23">
        <v>45.446657291797017</v>
      </c>
      <c r="Q74" s="23">
        <v>44.328884155202189</v>
      </c>
      <c r="R74" s="23">
        <v>52.03752854077608</v>
      </c>
      <c r="S74" s="23">
        <v>46.632952691681623</v>
      </c>
      <c r="T74" s="23">
        <v>54.429321745760063</v>
      </c>
      <c r="U74" s="23">
        <v>58.127481770043353</v>
      </c>
      <c r="V74" s="23">
        <v>57.442109189915257</v>
      </c>
      <c r="W74" s="23">
        <v>60.172176780392952</v>
      </c>
      <c r="X74" s="23">
        <v>58.30212188982118</v>
      </c>
      <c r="Y74" s="23">
        <v>59.477187997794296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3576.1653516627071</v>
      </c>
      <c r="E75" s="30">
        <f t="shared" ref="E75:S75" si="6">SUM(E56:E74)</f>
        <v>3489.2466235678116</v>
      </c>
      <c r="F75" s="30">
        <f t="shared" si="6"/>
        <v>3436.9384988809456</v>
      </c>
      <c r="G75" s="30">
        <f t="shared" si="6"/>
        <v>3578.3852197132151</v>
      </c>
      <c r="H75" s="30">
        <f t="shared" si="6"/>
        <v>3506.1624733859076</v>
      </c>
      <c r="I75" s="30">
        <f t="shared" si="6"/>
        <v>3384.0841312195912</v>
      </c>
      <c r="J75" s="30">
        <f t="shared" si="6"/>
        <v>3233.6241332781174</v>
      </c>
      <c r="K75" s="30">
        <f t="shared" si="6"/>
        <v>3949.0840126960748</v>
      </c>
      <c r="L75" s="30">
        <f t="shared" si="6"/>
        <v>3278.5800093162406</v>
      </c>
      <c r="M75" s="30">
        <f t="shared" si="6"/>
        <v>2207.5334143377931</v>
      </c>
      <c r="N75" s="30">
        <f t="shared" si="6"/>
        <v>2435.8025262573447</v>
      </c>
      <c r="O75" s="30">
        <f t="shared" si="6"/>
        <v>2407.3970799825938</v>
      </c>
      <c r="P75" s="30">
        <f t="shared" si="6"/>
        <v>2289.0057330410932</v>
      </c>
      <c r="Q75" s="30">
        <f t="shared" si="6"/>
        <v>2356.9094550437417</v>
      </c>
      <c r="R75" s="30">
        <f t="shared" si="6"/>
        <v>2506.6538367046105</v>
      </c>
      <c r="S75" s="30">
        <f t="shared" si="6"/>
        <v>2967.0000000000014</v>
      </c>
      <c r="T75" s="30">
        <f t="shared" ref="T75:Y75" si="7">SUM(T56:T74)</f>
        <v>3299.331442463541</v>
      </c>
      <c r="U75" s="30">
        <f t="shared" si="7"/>
        <v>2752.5117412757959</v>
      </c>
      <c r="V75" s="30">
        <f t="shared" si="7"/>
        <v>2896.3287341366522</v>
      </c>
      <c r="W75" s="30">
        <f t="shared" si="7"/>
        <v>3033.719776036698</v>
      </c>
      <c r="X75" s="30">
        <f t="shared" si="7"/>
        <v>2930.2962364010605</v>
      </c>
      <c r="Y75" s="30">
        <f t="shared" si="7"/>
        <v>2998.3391639280444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Y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5" width="9.28515625" style="1" customWidth="1"/>
    <col min="26" max="16384" width="9.140625" style="1"/>
  </cols>
  <sheetData>
    <row r="1" spans="1:25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40" t="s">
        <v>238</v>
      </c>
      <c r="B3" s="41"/>
      <c r="C3" s="41"/>
      <c r="D3" s="42">
        <v>433600</v>
      </c>
      <c r="E3" s="42">
        <v>439000</v>
      </c>
      <c r="F3" s="42">
        <v>444050</v>
      </c>
      <c r="G3" s="42">
        <v>448300</v>
      </c>
      <c r="H3" s="42">
        <v>454960</v>
      </c>
      <c r="I3" s="42">
        <v>461230</v>
      </c>
      <c r="J3" s="42">
        <v>469086</v>
      </c>
      <c r="K3" s="42">
        <v>476187</v>
      </c>
      <c r="L3" s="42">
        <v>483799</v>
      </c>
      <c r="M3" s="42">
        <v>493500</v>
      </c>
      <c r="N3" s="42">
        <v>502066</v>
      </c>
      <c r="O3" s="42">
        <v>511840</v>
      </c>
      <c r="P3" s="42">
        <v>524853</v>
      </c>
      <c r="Q3" s="42">
        <v>537039</v>
      </c>
      <c r="R3" s="42">
        <v>549680</v>
      </c>
      <c r="S3" s="42">
        <v>562958</v>
      </c>
      <c r="T3" s="42">
        <v>576249</v>
      </c>
      <c r="U3" s="42">
        <v>590667</v>
      </c>
      <c r="V3" s="42">
        <v>602005</v>
      </c>
      <c r="W3" s="42">
        <v>613894</v>
      </c>
      <c r="X3" s="42">
        <v>626108</v>
      </c>
      <c r="Y3" s="42">
        <v>634730</v>
      </c>
    </row>
    <row r="4" spans="1:25" x14ac:dyDescent="0.25">
      <c r="A4" s="43" t="s">
        <v>239</v>
      </c>
      <c r="B4" s="44"/>
      <c r="C4" s="44"/>
      <c r="D4" s="45">
        <v>171477</v>
      </c>
      <c r="E4" s="45">
        <v>174270</v>
      </c>
      <c r="F4" s="45">
        <v>176945</v>
      </c>
      <c r="G4" s="45">
        <v>179320</v>
      </c>
      <c r="H4" s="45">
        <v>181839</v>
      </c>
      <c r="I4" s="45">
        <v>184492</v>
      </c>
      <c r="J4" s="45">
        <v>190530</v>
      </c>
      <c r="K4" s="45">
        <v>192944</v>
      </c>
      <c r="L4" s="45">
        <v>196427</v>
      </c>
      <c r="M4" s="45">
        <v>200284</v>
      </c>
      <c r="N4" s="45">
        <v>201390</v>
      </c>
      <c r="O4" s="45">
        <v>205311</v>
      </c>
      <c r="P4" s="45">
        <v>215634</v>
      </c>
      <c r="Q4" s="45">
        <v>219738</v>
      </c>
      <c r="R4" s="45">
        <v>230281</v>
      </c>
      <c r="S4" s="45">
        <v>237035</v>
      </c>
      <c r="T4" s="45">
        <v>247378</v>
      </c>
      <c r="U4" s="45">
        <v>255711</v>
      </c>
      <c r="V4" s="45">
        <v>263806</v>
      </c>
      <c r="W4" s="45">
        <v>269370</v>
      </c>
      <c r="X4" s="45">
        <v>279263</v>
      </c>
      <c r="Y4" s="45">
        <v>282919</v>
      </c>
    </row>
    <row r="5" spans="1:25" x14ac:dyDescent="0.25">
      <c r="A5" s="46" t="s">
        <v>240</v>
      </c>
      <c r="B5" s="47"/>
      <c r="C5" s="47"/>
      <c r="D5" s="48">
        <f>D3/D4</f>
        <v>2.5286189984662668</v>
      </c>
      <c r="E5" s="48">
        <f t="shared" ref="E5:S5" si="0">E3/E4</f>
        <v>2.5190795891432836</v>
      </c>
      <c r="F5" s="48">
        <f t="shared" si="0"/>
        <v>2.5095368617366978</v>
      </c>
      <c r="G5" s="48">
        <f t="shared" si="0"/>
        <v>2.5</v>
      </c>
      <c r="H5" s="48">
        <f t="shared" si="0"/>
        <v>2.5019935217417606</v>
      </c>
      <c r="I5" s="48">
        <f t="shared" si="0"/>
        <v>2.5</v>
      </c>
      <c r="J5" s="48">
        <f t="shared" si="0"/>
        <v>2.462005983309715</v>
      </c>
      <c r="K5" s="48">
        <f t="shared" si="0"/>
        <v>2.4680062608839872</v>
      </c>
      <c r="L5" s="48">
        <f t="shared" si="0"/>
        <v>2.4629964312441772</v>
      </c>
      <c r="M5" s="48">
        <f t="shared" si="0"/>
        <v>2.4640011184118551</v>
      </c>
      <c r="N5" s="48">
        <f t="shared" si="0"/>
        <v>2.4930036248075873</v>
      </c>
      <c r="O5" s="48">
        <f t="shared" si="0"/>
        <v>2.4929984267769383</v>
      </c>
      <c r="P5" s="48">
        <f t="shared" si="0"/>
        <v>2.4339992765519352</v>
      </c>
      <c r="Q5" s="48">
        <f t="shared" si="0"/>
        <v>2.443996941812522</v>
      </c>
      <c r="R5" s="48">
        <f t="shared" si="0"/>
        <v>2.3869967561370675</v>
      </c>
      <c r="S5" s="48">
        <f t="shared" si="0"/>
        <v>2.3749994726517181</v>
      </c>
      <c r="T5" s="48">
        <f t="shared" ref="T5:Y5" si="1">T3/T4</f>
        <v>2.3294270306979601</v>
      </c>
      <c r="U5" s="48">
        <f t="shared" si="1"/>
        <v>2.3099006300080949</v>
      </c>
      <c r="V5" s="48">
        <f t="shared" si="1"/>
        <v>2.2819988931260093</v>
      </c>
      <c r="W5" s="48">
        <f t="shared" si="1"/>
        <v>2.278999146155845</v>
      </c>
      <c r="X5" s="48">
        <f t="shared" si="1"/>
        <v>2.2420012676222774</v>
      </c>
      <c r="Y5" s="48">
        <f t="shared" si="1"/>
        <v>2.2435043245593262</v>
      </c>
    </row>
    <row r="6" spans="1:25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40" t="s">
        <v>249</v>
      </c>
      <c r="B8" s="41"/>
      <c r="C8" s="41"/>
      <c r="D8" s="42">
        <v>2730.74</v>
      </c>
      <c r="E8" s="42">
        <v>2989.14</v>
      </c>
      <c r="F8" s="42">
        <v>2784.61</v>
      </c>
      <c r="G8" s="42">
        <v>2893.41</v>
      </c>
      <c r="H8" s="42">
        <v>3081.54</v>
      </c>
      <c r="I8" s="42">
        <v>2958.31</v>
      </c>
      <c r="J8" s="42">
        <v>2833.89</v>
      </c>
      <c r="K8" s="42">
        <v>2643.84</v>
      </c>
      <c r="L8" s="42">
        <v>2912.21</v>
      </c>
      <c r="M8" s="42">
        <v>2869.92</v>
      </c>
      <c r="N8" s="42">
        <v>3344.46</v>
      </c>
      <c r="O8" s="42">
        <v>2633.71</v>
      </c>
      <c r="P8" s="42">
        <v>2921.04</v>
      </c>
      <c r="Q8" s="42">
        <v>3204.69</v>
      </c>
      <c r="R8" s="42">
        <v>2515.66</v>
      </c>
      <c r="S8" s="42">
        <v>2850.7</v>
      </c>
      <c r="T8" s="42">
        <v>2962.58</v>
      </c>
      <c r="U8" s="42">
        <v>2871.62</v>
      </c>
      <c r="V8" s="42">
        <v>2666.78</v>
      </c>
      <c r="W8" s="42">
        <v>2753.6</v>
      </c>
      <c r="X8" s="42">
        <v>2567.27</v>
      </c>
      <c r="Y8" s="42">
        <v>3173.52</v>
      </c>
    </row>
    <row r="9" spans="1:25" x14ac:dyDescent="0.25">
      <c r="A9" s="43" t="s">
        <v>261</v>
      </c>
      <c r="B9" s="44"/>
      <c r="C9" s="44"/>
      <c r="D9" s="45">
        <f t="shared" ref="D9:W9" si="2">AVERAGE($D8:$X8)</f>
        <v>2856.6533333333332</v>
      </c>
      <c r="E9" s="45">
        <f t="shared" si="2"/>
        <v>2856.6533333333332</v>
      </c>
      <c r="F9" s="45">
        <f t="shared" si="2"/>
        <v>2856.6533333333332</v>
      </c>
      <c r="G9" s="45">
        <f t="shared" si="2"/>
        <v>2856.6533333333332</v>
      </c>
      <c r="H9" s="45">
        <f t="shared" si="2"/>
        <v>2856.6533333333332</v>
      </c>
      <c r="I9" s="45">
        <f t="shared" si="2"/>
        <v>2856.6533333333332</v>
      </c>
      <c r="J9" s="45">
        <f t="shared" si="2"/>
        <v>2856.6533333333332</v>
      </c>
      <c r="K9" s="45">
        <f t="shared" si="2"/>
        <v>2856.6533333333332</v>
      </c>
      <c r="L9" s="45">
        <f t="shared" si="2"/>
        <v>2856.6533333333332</v>
      </c>
      <c r="M9" s="45">
        <f t="shared" si="2"/>
        <v>2856.6533333333332</v>
      </c>
      <c r="N9" s="45">
        <f t="shared" si="2"/>
        <v>2856.6533333333332</v>
      </c>
      <c r="O9" s="45">
        <f t="shared" si="2"/>
        <v>2856.6533333333332</v>
      </c>
      <c r="P9" s="45">
        <f t="shared" si="2"/>
        <v>2856.6533333333332</v>
      </c>
      <c r="Q9" s="45">
        <f t="shared" si="2"/>
        <v>2856.6533333333332</v>
      </c>
      <c r="R9" s="45">
        <f t="shared" si="2"/>
        <v>2856.6533333333332</v>
      </c>
      <c r="S9" s="45">
        <f t="shared" si="2"/>
        <v>2856.6533333333332</v>
      </c>
      <c r="T9" s="45">
        <f t="shared" si="2"/>
        <v>2856.6533333333332</v>
      </c>
      <c r="U9" s="45">
        <f t="shared" si="2"/>
        <v>2856.6533333333332</v>
      </c>
      <c r="V9" s="45">
        <f t="shared" si="2"/>
        <v>2856.6533333333332</v>
      </c>
      <c r="W9" s="45">
        <f t="shared" si="2"/>
        <v>2856.6533333333332</v>
      </c>
      <c r="X9" s="45">
        <f>AVERAGE($D8:$X8)</f>
        <v>2856.6533333333332</v>
      </c>
      <c r="Y9" s="45">
        <f t="shared" ref="Y9" si="3">AVERAGE($D8:$X8)</f>
        <v>2856.6533333333332</v>
      </c>
    </row>
    <row r="10" spans="1:25" x14ac:dyDescent="0.25">
      <c r="A10" s="51" t="s">
        <v>250</v>
      </c>
      <c r="B10" s="52"/>
      <c r="C10" s="52"/>
      <c r="D10" s="53">
        <f t="shared" ref="D10:S10" si="4">IF(D8=0,0,D8/D9)</f>
        <v>0.95592278143655274</v>
      </c>
      <c r="E10" s="53">
        <f t="shared" si="4"/>
        <v>1.0463782794785506</v>
      </c>
      <c r="F10" s="53">
        <f t="shared" si="4"/>
        <v>0.97478051239445695</v>
      </c>
      <c r="G10" s="53">
        <f t="shared" si="4"/>
        <v>1.0128670378858244</v>
      </c>
      <c r="H10" s="53">
        <f t="shared" si="4"/>
        <v>1.0787238213480577</v>
      </c>
      <c r="I10" s="53">
        <f t="shared" si="4"/>
        <v>1.0355859303894068</v>
      </c>
      <c r="J10" s="53">
        <f t="shared" si="4"/>
        <v>0.99203146805819398</v>
      </c>
      <c r="K10" s="53">
        <f t="shared" si="4"/>
        <v>0.9255025694402309</v>
      </c>
      <c r="L10" s="53">
        <f t="shared" si="4"/>
        <v>1.0194481654523475</v>
      </c>
      <c r="M10" s="53">
        <f t="shared" si="4"/>
        <v>1.0046441290274402</v>
      </c>
      <c r="N10" s="53">
        <f t="shared" si="4"/>
        <v>1.1707615904858366</v>
      </c>
      <c r="O10" s="53">
        <f t="shared" si="4"/>
        <v>0.92195646187380109</v>
      </c>
      <c r="P10" s="53">
        <f t="shared" si="4"/>
        <v>1.0225391950487517</v>
      </c>
      <c r="Q10" s="53">
        <f t="shared" si="4"/>
        <v>1.1218337075085532</v>
      </c>
      <c r="R10" s="53">
        <f t="shared" si="4"/>
        <v>0.88063188159571337</v>
      </c>
      <c r="S10" s="53">
        <f t="shared" si="4"/>
        <v>0.99791597627060102</v>
      </c>
      <c r="T10" s="53">
        <f t="shared" ref="T10:Y10" si="5">IF(T8=0,0,T8/T9)</f>
        <v>1.0370806864909521</v>
      </c>
      <c r="U10" s="53">
        <f t="shared" si="5"/>
        <v>1.0052392309882427</v>
      </c>
      <c r="V10" s="53">
        <f t="shared" si="5"/>
        <v>0.93353294531129682</v>
      </c>
      <c r="W10" s="53">
        <f t="shared" si="5"/>
        <v>0.96392515250946331</v>
      </c>
      <c r="X10" s="53">
        <f t="shared" si="5"/>
        <v>0.89869847700572703</v>
      </c>
      <c r="Y10" s="53">
        <f t="shared" si="5"/>
        <v>1.1109223380272488</v>
      </c>
    </row>
    <row r="11" spans="1:25" x14ac:dyDescent="0.25">
      <c r="A11" s="43" t="s">
        <v>251</v>
      </c>
      <c r="B11" s="44"/>
      <c r="C11" s="44"/>
      <c r="D11" s="45">
        <v>3.91</v>
      </c>
      <c r="E11" s="45">
        <v>16.579999999999998</v>
      </c>
      <c r="F11" s="45">
        <v>21.9</v>
      </c>
      <c r="G11" s="45">
        <v>94.84</v>
      </c>
      <c r="H11" s="45">
        <v>8.6</v>
      </c>
      <c r="I11" s="45">
        <v>22.92</v>
      </c>
      <c r="J11" s="45">
        <v>64.44</v>
      </c>
      <c r="K11" s="45">
        <v>9.02</v>
      </c>
      <c r="L11" s="45">
        <v>5.07</v>
      </c>
      <c r="M11" s="45">
        <v>11.67</v>
      </c>
      <c r="N11" s="45">
        <v>35.33</v>
      </c>
      <c r="O11" s="45">
        <v>9.74</v>
      </c>
      <c r="P11" s="45">
        <v>23.5</v>
      </c>
      <c r="Q11" s="45">
        <v>29.17</v>
      </c>
      <c r="R11" s="45">
        <v>13.43</v>
      </c>
      <c r="S11" s="45">
        <v>68.27</v>
      </c>
      <c r="T11" s="45">
        <v>25.03</v>
      </c>
      <c r="U11" s="45">
        <v>23.52</v>
      </c>
      <c r="V11" s="45">
        <v>51.87</v>
      </c>
      <c r="W11" s="45">
        <v>59.42</v>
      </c>
      <c r="X11" s="45">
        <v>55.61</v>
      </c>
      <c r="Y11" s="45">
        <v>1.27</v>
      </c>
    </row>
    <row r="12" spans="1:25" x14ac:dyDescent="0.25">
      <c r="A12" s="43" t="s">
        <v>262</v>
      </c>
      <c r="B12" s="44"/>
      <c r="C12" s="44"/>
      <c r="D12" s="45">
        <f t="shared" ref="D12" si="6">AVERAGE($D11:$X11)</f>
        <v>31.13523809523809</v>
      </c>
      <c r="E12" s="45">
        <f t="shared" ref="E12" si="7">AVERAGE($D11:$X11)</f>
        <v>31.13523809523809</v>
      </c>
      <c r="F12" s="45">
        <f t="shared" ref="F12" si="8">AVERAGE($D11:$X11)</f>
        <v>31.13523809523809</v>
      </c>
      <c r="G12" s="45">
        <f t="shared" ref="G12" si="9">AVERAGE($D11:$X11)</f>
        <v>31.13523809523809</v>
      </c>
      <c r="H12" s="45">
        <f t="shared" ref="H12" si="10">AVERAGE($D11:$X11)</f>
        <v>31.13523809523809</v>
      </c>
      <c r="I12" s="45">
        <f t="shared" ref="I12" si="11">AVERAGE($D11:$X11)</f>
        <v>31.13523809523809</v>
      </c>
      <c r="J12" s="45">
        <f t="shared" ref="J12" si="12">AVERAGE($D11:$X11)</f>
        <v>31.13523809523809</v>
      </c>
      <c r="K12" s="45">
        <f t="shared" ref="K12" si="13">AVERAGE($D11:$X11)</f>
        <v>31.13523809523809</v>
      </c>
      <c r="L12" s="45">
        <f t="shared" ref="L12" si="14">AVERAGE($D11:$X11)</f>
        <v>31.13523809523809</v>
      </c>
      <c r="M12" s="45">
        <f t="shared" ref="M12" si="15">AVERAGE($D11:$X11)</f>
        <v>31.13523809523809</v>
      </c>
      <c r="N12" s="45">
        <f t="shared" ref="N12" si="16">AVERAGE($D11:$X11)</f>
        <v>31.13523809523809</v>
      </c>
      <c r="O12" s="45">
        <f t="shared" ref="O12" si="17">AVERAGE($D11:$X11)</f>
        <v>31.13523809523809</v>
      </c>
      <c r="P12" s="45">
        <f t="shared" ref="P12" si="18">AVERAGE($D11:$X11)</f>
        <v>31.13523809523809</v>
      </c>
      <c r="Q12" s="45">
        <f t="shared" ref="Q12" si="19">AVERAGE($D11:$X11)</f>
        <v>31.13523809523809</v>
      </c>
      <c r="R12" s="45">
        <f t="shared" ref="R12" si="20">AVERAGE($D11:$X11)</f>
        <v>31.13523809523809</v>
      </c>
      <c r="S12" s="45">
        <f t="shared" ref="S12" si="21">AVERAGE($D11:$X11)</f>
        <v>31.13523809523809</v>
      </c>
      <c r="T12" s="45">
        <f t="shared" ref="T12" si="22">AVERAGE($D11:$X11)</f>
        <v>31.13523809523809</v>
      </c>
      <c r="U12" s="45">
        <f t="shared" ref="U12" si="23">AVERAGE($D11:$X11)</f>
        <v>31.13523809523809</v>
      </c>
      <c r="V12" s="45">
        <f t="shared" ref="V12" si="24">AVERAGE($D11:$X11)</f>
        <v>31.13523809523809</v>
      </c>
      <c r="W12" s="45">
        <f t="shared" ref="W12" si="25">AVERAGE($D11:$X11)</f>
        <v>31.13523809523809</v>
      </c>
      <c r="X12" s="45">
        <f>AVERAGE($D11:$X11)</f>
        <v>31.13523809523809</v>
      </c>
      <c r="Y12" s="45">
        <f t="shared" ref="Y12" si="26">AVERAGE($D11:$X11)</f>
        <v>31.13523809523809</v>
      </c>
    </row>
    <row r="13" spans="1:25" x14ac:dyDescent="0.25">
      <c r="A13" s="54" t="s">
        <v>252</v>
      </c>
      <c r="B13" s="47"/>
      <c r="C13" s="47"/>
      <c r="D13" s="55">
        <f t="shared" ref="D13:E13" si="27">IF(D11=0,0,D11/D12)</f>
        <v>0.12558118194053594</v>
      </c>
      <c r="E13" s="55">
        <f t="shared" si="27"/>
        <v>0.53251560014682497</v>
      </c>
      <c r="F13" s="55">
        <f t="shared" ref="F13" si="28">IF(F11=0,0,F11/F12)</f>
        <v>0.70338309066438276</v>
      </c>
      <c r="G13" s="55">
        <f t="shared" ref="G13" si="29">IF(G11=0,0,G11/G12)</f>
        <v>3.0460663159182682</v>
      </c>
      <c r="H13" s="55">
        <f t="shared" ref="H13" si="30">IF(H11=0,0,H11/H12)</f>
        <v>0.27621436437048824</v>
      </c>
      <c r="I13" s="55">
        <f t="shared" ref="I13" si="31">IF(I11=0,0,I11/I12)</f>
        <v>0.73614339899669656</v>
      </c>
      <c r="J13" s="55">
        <f t="shared" ref="J13" si="32">IF(J11=0,0,J11/J12)</f>
        <v>2.0696806558179373</v>
      </c>
      <c r="K13" s="55">
        <f t="shared" ref="K13" si="33">IF(K11=0,0,K11/K12)</f>
        <v>0.2897039030955586</v>
      </c>
      <c r="L13" s="55">
        <f t="shared" ref="L13" si="34">IF(L11=0,0,L11/L12)</f>
        <v>0.16283800318120645</v>
      </c>
      <c r="M13" s="55">
        <f t="shared" ref="M13" si="35">IF(M11=0,0,M11/M12)</f>
        <v>0.37481646886088343</v>
      </c>
      <c r="N13" s="55">
        <f t="shared" ref="N13" si="36">IF(N11=0,0,N11/N12)</f>
        <v>1.1347271503731802</v>
      </c>
      <c r="O13" s="55">
        <f t="shared" ref="O13" si="37">IF(O11=0,0,O11/O12)</f>
        <v>0.31282882662425066</v>
      </c>
      <c r="P13" s="55">
        <f t="shared" ref="P13" si="38">IF(P11=0,0,P11/P12)</f>
        <v>0.75477180961703183</v>
      </c>
      <c r="Q13" s="55">
        <f t="shared" ref="Q13" si="39">IF(Q11=0,0,Q11/Q12)</f>
        <v>0.93688058240548167</v>
      </c>
      <c r="R13" s="55">
        <f t="shared" ref="R13" si="40">IF(R11=0,0,R11/R12)</f>
        <v>0.4313440597087973</v>
      </c>
      <c r="S13" s="55">
        <f t="shared" ref="S13:Y13" si="41">IF(S11=0,0,S11/S12)</f>
        <v>2.1926924018108407</v>
      </c>
      <c r="T13" s="55">
        <f t="shared" si="41"/>
        <v>0.80391227211550242</v>
      </c>
      <c r="U13" s="55">
        <f t="shared" si="41"/>
        <v>0.75541416860393995</v>
      </c>
      <c r="V13" s="55">
        <f t="shared" si="41"/>
        <v>1.6659580325461889</v>
      </c>
      <c r="W13" s="55">
        <f t="shared" si="41"/>
        <v>1.9084485501040014</v>
      </c>
      <c r="X13" s="55">
        <f t="shared" si="41"/>
        <v>1.786079163098006</v>
      </c>
      <c r="Y13" s="55">
        <f t="shared" si="41"/>
        <v>4.0789795668665127E-2</v>
      </c>
    </row>
    <row r="14" spans="1:25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x14ac:dyDescent="0.2">
      <c r="A15" s="49" t="s">
        <v>265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40" t="s">
        <v>139</v>
      </c>
      <c r="B16" s="41"/>
      <c r="C16" s="41"/>
      <c r="D16" s="42">
        <v>36385.221768449046</v>
      </c>
      <c r="E16" s="42">
        <v>37503.96557410519</v>
      </c>
      <c r="F16" s="42">
        <v>38713.277404575427</v>
      </c>
      <c r="G16" s="42">
        <v>39727.498560998516</v>
      </c>
      <c r="H16" s="42">
        <v>41408.719666255369</v>
      </c>
      <c r="I16" s="42">
        <v>42437.110223530231</v>
      </c>
      <c r="J16" s="42">
        <v>44990.192335540611</v>
      </c>
      <c r="K16" s="42">
        <v>48633.574077184458</v>
      </c>
      <c r="L16" s="42">
        <v>48487.66890868327</v>
      </c>
      <c r="M16" s="42">
        <v>46917.32846347001</v>
      </c>
      <c r="N16" s="42">
        <v>48681.660581846569</v>
      </c>
      <c r="O16" s="42">
        <v>49189.852064767445</v>
      </c>
      <c r="P16" s="42">
        <v>50001.2896292316</v>
      </c>
      <c r="Q16" s="42">
        <v>51587.735244359916</v>
      </c>
      <c r="R16" s="42">
        <v>52940.641323125048</v>
      </c>
      <c r="S16" s="42">
        <v>54142.3</v>
      </c>
      <c r="T16" s="42">
        <v>56837.863527889014</v>
      </c>
      <c r="U16" s="42">
        <v>57586.029382647605</v>
      </c>
      <c r="V16" s="42">
        <v>58288.60622042969</v>
      </c>
      <c r="W16" s="42">
        <v>59988.181372690327</v>
      </c>
      <c r="X16" s="42">
        <v>59442.008291110091</v>
      </c>
      <c r="Y16" s="42">
        <v>63703.583061889243</v>
      </c>
    </row>
    <row r="17" spans="1:25" x14ac:dyDescent="0.25">
      <c r="A17" s="46" t="s">
        <v>141</v>
      </c>
      <c r="B17" s="47"/>
      <c r="C17" s="47"/>
      <c r="D17" s="57">
        <v>12234.32518597237</v>
      </c>
      <c r="E17" s="57">
        <v>12640.048757715649</v>
      </c>
      <c r="F17" s="57">
        <v>13292.561349693253</v>
      </c>
      <c r="G17" s="57">
        <v>13615.638024407896</v>
      </c>
      <c r="H17" s="57">
        <v>13777.271008890135</v>
      </c>
      <c r="I17" s="57">
        <v>13708.667926310816</v>
      </c>
      <c r="J17" s="57">
        <v>14273.772325289119</v>
      </c>
      <c r="K17" s="57">
        <v>14612.692750547491</v>
      </c>
      <c r="L17" s="57">
        <v>14960.423896740855</v>
      </c>
      <c r="M17" s="57">
        <v>15307.281118231018</v>
      </c>
      <c r="N17" s="57">
        <v>15815.199704944351</v>
      </c>
      <c r="O17" s="57">
        <v>16076.392181655339</v>
      </c>
      <c r="P17" s="57">
        <v>16467.414292936068</v>
      </c>
      <c r="Q17" s="57">
        <v>16593.6588884261</v>
      </c>
      <c r="R17" s="57">
        <v>17094.118833854536</v>
      </c>
      <c r="S17" s="57">
        <v>17614.900000000001</v>
      </c>
      <c r="T17" s="57">
        <v>18206.352357320102</v>
      </c>
      <c r="U17" s="57">
        <v>18748.252019888128</v>
      </c>
      <c r="V17" s="57">
        <v>19242.847473139296</v>
      </c>
      <c r="W17" s="57">
        <v>19731.212132615812</v>
      </c>
      <c r="X17" s="57">
        <v>18058.097743525141</v>
      </c>
      <c r="Y17" s="57">
        <v>20110.677142883276</v>
      </c>
    </row>
    <row r="18" spans="1:25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49" t="s">
        <v>266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40" t="s">
        <v>139</v>
      </c>
      <c r="B20" s="41"/>
      <c r="C20" s="41"/>
      <c r="D20" s="42">
        <f>1000000*D16/D$3</f>
        <v>83914.256846054064</v>
      </c>
      <c r="E20" s="42">
        <f t="shared" ref="E20:S20" si="42">1000000*E16/E$3</f>
        <v>85430.44549910065</v>
      </c>
      <c r="F20" s="42">
        <f t="shared" si="42"/>
        <v>87182.248405754814</v>
      </c>
      <c r="G20" s="42">
        <f t="shared" si="42"/>
        <v>88618.109660938018</v>
      </c>
      <c r="H20" s="42">
        <f t="shared" si="42"/>
        <v>91016.176512782156</v>
      </c>
      <c r="I20" s="42">
        <f t="shared" si="42"/>
        <v>92008.564541617481</v>
      </c>
      <c r="J20" s="42">
        <f t="shared" si="42"/>
        <v>95910.328459047189</v>
      </c>
      <c r="K20" s="42">
        <f t="shared" si="42"/>
        <v>102131.25112022054</v>
      </c>
      <c r="L20" s="42">
        <f t="shared" si="42"/>
        <v>100222.75554245312</v>
      </c>
      <c r="M20" s="42">
        <f t="shared" si="42"/>
        <v>95070.574394062831</v>
      </c>
      <c r="N20" s="42">
        <f t="shared" si="42"/>
        <v>96962.671405445828</v>
      </c>
      <c r="O20" s="42">
        <f t="shared" si="42"/>
        <v>96103.962302218366</v>
      </c>
      <c r="P20" s="42">
        <f t="shared" si="42"/>
        <v>95267.226498146338</v>
      </c>
      <c r="Q20" s="42">
        <f t="shared" si="42"/>
        <v>96059.569685553404</v>
      </c>
      <c r="R20" s="42">
        <f t="shared" si="42"/>
        <v>96311.747422364002</v>
      </c>
      <c r="S20" s="42">
        <f t="shared" si="42"/>
        <v>96174.670224066445</v>
      </c>
      <c r="T20" s="42">
        <f t="shared" ref="T20:Y20" si="43">1000000*T16/T$3</f>
        <v>98634.207656566898</v>
      </c>
      <c r="U20" s="42">
        <f t="shared" si="43"/>
        <v>97493.222717110664</v>
      </c>
      <c r="V20" s="42">
        <f t="shared" si="43"/>
        <v>96824.123089392422</v>
      </c>
      <c r="W20" s="42">
        <f t="shared" si="43"/>
        <v>97717.490923010046</v>
      </c>
      <c r="X20" s="42">
        <f t="shared" si="43"/>
        <v>94938.905573974611</v>
      </c>
      <c r="Y20" s="42">
        <f t="shared" si="43"/>
        <v>100363.27739651386</v>
      </c>
    </row>
    <row r="21" spans="1:25" x14ac:dyDescent="0.25">
      <c r="A21" s="46" t="s">
        <v>141</v>
      </c>
      <c r="B21" s="47"/>
      <c r="C21" s="47"/>
      <c r="D21" s="57">
        <f>1000000*D17/D$3</f>
        <v>28215.694617094949</v>
      </c>
      <c r="E21" s="57">
        <f t="shared" ref="E21:S21" si="44">1000000*E17/E$3</f>
        <v>28792.821771561841</v>
      </c>
      <c r="F21" s="57">
        <f t="shared" si="44"/>
        <v>29934.830198611086</v>
      </c>
      <c r="G21" s="57">
        <f t="shared" si="44"/>
        <v>30371.710962319645</v>
      </c>
      <c r="H21" s="57">
        <f t="shared" si="44"/>
        <v>30282.37869019284</v>
      </c>
      <c r="I21" s="57">
        <f t="shared" si="44"/>
        <v>29721.978028989477</v>
      </c>
      <c r="J21" s="57">
        <f t="shared" si="44"/>
        <v>30428.902856382669</v>
      </c>
      <c r="K21" s="57">
        <f t="shared" si="44"/>
        <v>30686.878790364903</v>
      </c>
      <c r="L21" s="57">
        <f t="shared" si="44"/>
        <v>30922.808639002673</v>
      </c>
      <c r="M21" s="57">
        <f t="shared" si="44"/>
        <v>31017.793552646439</v>
      </c>
      <c r="N21" s="57">
        <f t="shared" si="44"/>
        <v>31500.240416487773</v>
      </c>
      <c r="O21" s="57">
        <f t="shared" si="44"/>
        <v>31409.018798170015</v>
      </c>
      <c r="P21" s="57">
        <f t="shared" si="44"/>
        <v>31375.288495895169</v>
      </c>
      <c r="Q21" s="57">
        <f t="shared" si="44"/>
        <v>30898.424301449428</v>
      </c>
      <c r="R21" s="57">
        <f t="shared" si="44"/>
        <v>31098.309623516474</v>
      </c>
      <c r="S21" s="57">
        <f t="shared" si="44"/>
        <v>31289.900845178505</v>
      </c>
      <c r="T21" s="57">
        <f t="shared" ref="T21:Y21" si="45">1000000*T17/T$3</f>
        <v>31594.592541280075</v>
      </c>
      <c r="U21" s="57">
        <f t="shared" si="45"/>
        <v>31740.815078357398</v>
      </c>
      <c r="V21" s="57">
        <f t="shared" si="45"/>
        <v>31964.597425501943</v>
      </c>
      <c r="W21" s="57">
        <f t="shared" si="45"/>
        <v>32141.073430618006</v>
      </c>
      <c r="X21" s="57">
        <f t="shared" si="45"/>
        <v>28841.82560121439</v>
      </c>
      <c r="Y21" s="57">
        <f t="shared" si="45"/>
        <v>31683.829569869515</v>
      </c>
    </row>
    <row r="22" spans="1:25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58" t="s">
        <v>267</v>
      </c>
      <c r="B23" s="59"/>
      <c r="C23" s="59"/>
      <c r="D23" s="60">
        <v>33080.174903593266</v>
      </c>
      <c r="E23" s="60">
        <v>34283.108237854445</v>
      </c>
      <c r="F23" s="60">
        <v>35343.284052580151</v>
      </c>
      <c r="G23" s="60">
        <v>36232.385127104906</v>
      </c>
      <c r="H23" s="60">
        <v>37564.548535100606</v>
      </c>
      <c r="I23" s="60">
        <v>38375.593955565702</v>
      </c>
      <c r="J23" s="60">
        <v>40993.306702649264</v>
      </c>
      <c r="K23" s="60">
        <v>44328.780834727178</v>
      </c>
      <c r="L23" s="60">
        <v>44127.460835029058</v>
      </c>
      <c r="M23" s="60">
        <v>42669.380315917377</v>
      </c>
      <c r="N23" s="60">
        <v>44227.895248230234</v>
      </c>
      <c r="O23" s="60">
        <v>44392.629688702502</v>
      </c>
      <c r="P23" s="60">
        <v>45003.508923462279</v>
      </c>
      <c r="Q23" s="60">
        <v>46399.704859281119</v>
      </c>
      <c r="R23" s="60">
        <v>47349.725657194329</v>
      </c>
      <c r="S23" s="60">
        <v>49537.3</v>
      </c>
      <c r="T23" s="60">
        <v>52052.471636953</v>
      </c>
      <c r="U23" s="60">
        <v>52525.117412757863</v>
      </c>
      <c r="V23" s="60">
        <v>53046.247657516818</v>
      </c>
      <c r="W23" s="60">
        <v>54710.071602725337</v>
      </c>
      <c r="X23" s="60">
        <v>54110.371949426641</v>
      </c>
      <c r="Y23" s="60">
        <v>58191.455528463899</v>
      </c>
    </row>
    <row r="24" spans="1:25" x14ac:dyDescent="0.25">
      <c r="A24" s="61" t="s">
        <v>33</v>
      </c>
      <c r="B24" s="62"/>
      <c r="C24" s="62"/>
      <c r="D24" s="63">
        <v>221.37244461655129</v>
      </c>
      <c r="E24" s="63">
        <v>214.10740574793579</v>
      </c>
      <c r="F24" s="63">
        <v>272.19998108627811</v>
      </c>
      <c r="G24" s="63">
        <v>187.99487567333961</v>
      </c>
      <c r="H24" s="63">
        <v>226.25723453384111</v>
      </c>
      <c r="I24" s="63">
        <v>154.10739002011957</v>
      </c>
      <c r="J24" s="63">
        <v>142.28266823422533</v>
      </c>
      <c r="K24" s="63">
        <v>180.03661315176018</v>
      </c>
      <c r="L24" s="63">
        <v>150.89852656353429</v>
      </c>
      <c r="M24" s="63">
        <v>110.69258809234508</v>
      </c>
      <c r="N24" s="63">
        <v>131.63373895340769</v>
      </c>
      <c r="O24" s="63">
        <v>124.13977715069655</v>
      </c>
      <c r="P24" s="63">
        <v>144.67561352177154</v>
      </c>
      <c r="Q24" s="63">
        <v>135.5539158848951</v>
      </c>
      <c r="R24" s="63">
        <v>153.55007779870607</v>
      </c>
      <c r="S24" s="63">
        <v>121.1</v>
      </c>
      <c r="T24" s="63">
        <v>121.96110210696921</v>
      </c>
      <c r="U24" s="63">
        <v>135.14852466163327</v>
      </c>
      <c r="V24" s="63">
        <v>137.00492285583897</v>
      </c>
      <c r="W24" s="63">
        <v>129.61731571694278</v>
      </c>
      <c r="X24" s="63">
        <v>118.07189062040577</v>
      </c>
      <c r="Y24" s="63">
        <v>121.91243506837698</v>
      </c>
    </row>
    <row r="25" spans="1:25" x14ac:dyDescent="0.25">
      <c r="A25" s="64" t="s">
        <v>56</v>
      </c>
      <c r="B25" s="65"/>
      <c r="C25" s="65"/>
      <c r="D25" s="66">
        <v>45.178049921745163</v>
      </c>
      <c r="E25" s="66">
        <v>37.444792933495492</v>
      </c>
      <c r="F25" s="66">
        <v>44.289632128108941</v>
      </c>
      <c r="G25" s="66">
        <v>45.686767815524242</v>
      </c>
      <c r="H25" s="66">
        <v>44.531741985785828</v>
      </c>
      <c r="I25" s="66">
        <v>39.811075755197557</v>
      </c>
      <c r="J25" s="66">
        <v>42.083606097446932</v>
      </c>
      <c r="K25" s="66">
        <v>46.622502601114199</v>
      </c>
      <c r="L25" s="66">
        <v>38.24560543283728</v>
      </c>
      <c r="M25" s="66">
        <v>37.545565006075336</v>
      </c>
      <c r="N25" s="66">
        <v>36.783417387683336</v>
      </c>
      <c r="O25" s="66">
        <v>38.926129582743123</v>
      </c>
      <c r="P25" s="66">
        <v>33.793632113667528</v>
      </c>
      <c r="Q25" s="66">
        <v>32.570886476230633</v>
      </c>
      <c r="R25" s="66">
        <v>32.654983211858159</v>
      </c>
      <c r="S25" s="66">
        <v>29.5</v>
      </c>
      <c r="T25" s="66">
        <v>29.882495948136143</v>
      </c>
      <c r="U25" s="66">
        <v>34.480708638012004</v>
      </c>
      <c r="V25" s="66">
        <v>33.692918661216247</v>
      </c>
      <c r="W25" s="66">
        <v>36.716875307178583</v>
      </c>
      <c r="X25" s="66">
        <v>36.294472214054693</v>
      </c>
      <c r="Y25" s="66">
        <v>33.128379094667658</v>
      </c>
    </row>
    <row r="26" spans="1:25" x14ac:dyDescent="0.25">
      <c r="A26" s="67" t="s">
        <v>146</v>
      </c>
      <c r="B26" s="44"/>
      <c r="C26" s="44"/>
      <c r="D26" s="45">
        <v>26887.052515528998</v>
      </c>
      <c r="E26" s="45">
        <v>28046.401695689448</v>
      </c>
      <c r="F26" s="45">
        <v>28942.824269007171</v>
      </c>
      <c r="G26" s="45">
        <v>29698.773027335134</v>
      </c>
      <c r="H26" s="45">
        <v>31037.212547733474</v>
      </c>
      <c r="I26" s="45">
        <v>32210.900570839858</v>
      </c>
      <c r="J26" s="45">
        <v>34918.502495453722</v>
      </c>
      <c r="K26" s="45">
        <v>37202.261367273444</v>
      </c>
      <c r="L26" s="45">
        <v>37917.081590365029</v>
      </c>
      <c r="M26" s="45">
        <v>37587.550036975554</v>
      </c>
      <c r="N26" s="45">
        <v>38973.194030118182</v>
      </c>
      <c r="O26" s="45">
        <v>39239.718942634747</v>
      </c>
      <c r="P26" s="45">
        <v>39882.956509269214</v>
      </c>
      <c r="Q26" s="45">
        <v>41141.198284387101</v>
      </c>
      <c r="R26" s="45">
        <v>41762.380661781302</v>
      </c>
      <c r="S26" s="45">
        <v>43460.832952691686</v>
      </c>
      <c r="T26" s="45">
        <v>45356.597068909454</v>
      </c>
      <c r="U26" s="45">
        <v>46461.531956335566</v>
      </c>
      <c r="V26" s="45">
        <v>46822.727722216543</v>
      </c>
      <c r="W26" s="45">
        <v>47933.580871259372</v>
      </c>
      <c r="X26" s="45">
        <v>47614.168043677528</v>
      </c>
      <c r="Y26" s="45">
        <v>51531.87903965333</v>
      </c>
    </row>
    <row r="27" spans="1:25" x14ac:dyDescent="0.25">
      <c r="A27" s="68" t="s">
        <v>148</v>
      </c>
      <c r="B27" s="69"/>
      <c r="C27" s="69"/>
      <c r="D27" s="70">
        <v>7442.7610242509318</v>
      </c>
      <c r="E27" s="70">
        <v>8010.6253600460868</v>
      </c>
      <c r="F27" s="70">
        <v>8519.3708035179534</v>
      </c>
      <c r="G27" s="70">
        <v>8837.1482813440543</v>
      </c>
      <c r="H27" s="70">
        <v>9062.4344018952233</v>
      </c>
      <c r="I27" s="70">
        <v>9122.1586449965052</v>
      </c>
      <c r="J27" s="70">
        <v>8983.8479111835513</v>
      </c>
      <c r="K27" s="70">
        <v>9309.223089991965</v>
      </c>
      <c r="L27" s="70">
        <v>9130.1576405403412</v>
      </c>
      <c r="M27" s="70">
        <v>9482.6245443499374</v>
      </c>
      <c r="N27" s="70">
        <v>9683.0611206218491</v>
      </c>
      <c r="O27" s="70">
        <v>9801.8001940729664</v>
      </c>
      <c r="P27" s="70">
        <v>9968.7975729046339</v>
      </c>
      <c r="Q27" s="70">
        <v>10308.000421629598</v>
      </c>
      <c r="R27" s="70">
        <v>10575.09622471542</v>
      </c>
      <c r="S27" s="70">
        <v>10829.5</v>
      </c>
      <c r="T27" s="70">
        <v>11205.328200972446</v>
      </c>
      <c r="U27" s="70">
        <v>11879.892198244259</v>
      </c>
      <c r="V27" s="70">
        <v>12521.531425686238</v>
      </c>
      <c r="W27" s="70">
        <v>13098.962097776752</v>
      </c>
      <c r="X27" s="70">
        <v>13445.034548662161</v>
      </c>
      <c r="Y27" s="70">
        <v>14606.611541043854</v>
      </c>
    </row>
    <row r="28" spans="1:25" x14ac:dyDescent="0.25">
      <c r="A28" s="68" t="s">
        <v>150</v>
      </c>
      <c r="B28" s="71"/>
      <c r="C28" s="71"/>
      <c r="D28" s="70">
        <v>16343.64360972619</v>
      </c>
      <c r="E28" s="70">
        <v>16647.250848108561</v>
      </c>
      <c r="F28" s="70">
        <v>16937.868423541284</v>
      </c>
      <c r="G28" s="70">
        <v>17365.756532744756</v>
      </c>
      <c r="H28" s="70">
        <v>18462.680301076562</v>
      </c>
      <c r="I28" s="70">
        <v>19736.875900743424</v>
      </c>
      <c r="J28" s="70">
        <v>22243.390201867711</v>
      </c>
      <c r="K28" s="70">
        <v>24305.206179457124</v>
      </c>
      <c r="L28" s="70">
        <v>24315.379146338473</v>
      </c>
      <c r="M28" s="70">
        <v>23905.710814094778</v>
      </c>
      <c r="N28" s="70">
        <v>24744.135474020273</v>
      </c>
      <c r="O28" s="70">
        <v>23901.870461871356</v>
      </c>
      <c r="P28" s="70">
        <v>24864.231653728639</v>
      </c>
      <c r="Q28" s="70">
        <v>25601.876251712874</v>
      </c>
      <c r="R28" s="70">
        <v>26052.534599950865</v>
      </c>
      <c r="S28" s="70">
        <v>27742.899999999998</v>
      </c>
      <c r="T28" s="70">
        <v>28914.606969205834</v>
      </c>
      <c r="U28" s="70">
        <v>29291.461070487287</v>
      </c>
      <c r="V28" s="70">
        <v>29159.618988435657</v>
      </c>
      <c r="W28" s="70">
        <v>29511.11625083119</v>
      </c>
      <c r="X28" s="70">
        <v>29124.430314613346</v>
      </c>
      <c r="Y28" s="70">
        <v>31620.99367468815</v>
      </c>
    </row>
    <row r="29" spans="1:25" x14ac:dyDescent="0.25">
      <c r="A29" s="68" t="s">
        <v>152</v>
      </c>
      <c r="B29" s="71"/>
      <c r="C29" s="71"/>
      <c r="D29" s="70">
        <v>3100.6478815518713</v>
      </c>
      <c r="E29" s="70">
        <v>3388.5254875348005</v>
      </c>
      <c r="F29" s="70">
        <v>3485.5850419479411</v>
      </c>
      <c r="G29" s="70">
        <v>3495.8682132463191</v>
      </c>
      <c r="H29" s="70">
        <v>3512.0978447616922</v>
      </c>
      <c r="I29" s="70">
        <v>3351.8660250999278</v>
      </c>
      <c r="J29" s="70">
        <v>3691.2643824024613</v>
      </c>
      <c r="K29" s="70">
        <v>3587.8320978243491</v>
      </c>
      <c r="L29" s="70">
        <v>4471.5448034862193</v>
      </c>
      <c r="M29" s="70">
        <v>4199.2146785308423</v>
      </c>
      <c r="N29" s="70">
        <v>4545.9974354760698</v>
      </c>
      <c r="O29" s="70">
        <v>5536.0482866904276</v>
      </c>
      <c r="P29" s="70">
        <v>5049.927282635942</v>
      </c>
      <c r="Q29" s="70">
        <v>5231.3216110446301</v>
      </c>
      <c r="R29" s="70">
        <v>5134.7498371150141</v>
      </c>
      <c r="S29" s="70">
        <v>4888.4329526916808</v>
      </c>
      <c r="T29" s="70">
        <v>5236.6618987311731</v>
      </c>
      <c r="U29" s="70">
        <v>5290.1786876040214</v>
      </c>
      <c r="V29" s="70">
        <v>5141.5773080946537</v>
      </c>
      <c r="W29" s="70">
        <v>5323.5025226514308</v>
      </c>
      <c r="X29" s="70">
        <v>5044.7031804020226</v>
      </c>
      <c r="Y29" s="70">
        <v>5304.2738239213259</v>
      </c>
    </row>
    <row r="30" spans="1:25" x14ac:dyDescent="0.25">
      <c r="A30" s="64" t="s">
        <v>154</v>
      </c>
      <c r="B30" s="65"/>
      <c r="C30" s="65"/>
      <c r="D30" s="66">
        <v>328.34761282411216</v>
      </c>
      <c r="E30" s="66">
        <v>364.36663892978305</v>
      </c>
      <c r="F30" s="66">
        <v>379.06250985089684</v>
      </c>
      <c r="G30" s="66">
        <v>440.66122335581656</v>
      </c>
      <c r="H30" s="66">
        <v>442.61852640417425</v>
      </c>
      <c r="I30" s="66">
        <v>431.21530800074197</v>
      </c>
      <c r="J30" s="66">
        <v>440.47507715327782</v>
      </c>
      <c r="K30" s="66">
        <v>457.79609898721174</v>
      </c>
      <c r="L30" s="66">
        <v>380.24957709186299</v>
      </c>
      <c r="M30" s="66">
        <v>447.26609963547997</v>
      </c>
      <c r="N30" s="66">
        <v>386.22588257067508</v>
      </c>
      <c r="O30" s="66">
        <v>347.76983392261621</v>
      </c>
      <c r="P30" s="66">
        <v>324.54842854212336</v>
      </c>
      <c r="Q30" s="66">
        <v>364.18256561610622</v>
      </c>
      <c r="R30" s="66">
        <v>410.38817459667513</v>
      </c>
      <c r="S30" s="66">
        <v>421</v>
      </c>
      <c r="T30" s="66">
        <v>465.25526742301457</v>
      </c>
      <c r="U30" s="66">
        <v>419.01987594871491</v>
      </c>
      <c r="V30" s="66">
        <v>399.75142976434375</v>
      </c>
      <c r="W30" s="66">
        <v>429.03813351065367</v>
      </c>
      <c r="X30" s="66">
        <v>415.50279329608941</v>
      </c>
      <c r="Y30" s="66">
        <v>421.92303614968728</v>
      </c>
    </row>
    <row r="31" spans="1:25" x14ac:dyDescent="0.25">
      <c r="A31" s="64" t="s">
        <v>37</v>
      </c>
      <c r="B31" s="65"/>
      <c r="C31" s="65"/>
      <c r="D31" s="66">
        <v>2028.1717411297741</v>
      </c>
      <c r="E31" s="66">
        <v>2141.3940984446008</v>
      </c>
      <c r="F31" s="66">
        <v>2279.1034895816915</v>
      </c>
      <c r="G31" s="66">
        <v>2295.760082730093</v>
      </c>
      <c r="H31" s="66">
        <v>2321.048370168231</v>
      </c>
      <c r="I31" s="66">
        <v>2174.6265036172426</v>
      </c>
      <c r="J31" s="66">
        <v>2237.1110606404723</v>
      </c>
      <c r="K31" s="66">
        <v>2529.6000210723173</v>
      </c>
      <c r="L31" s="66">
        <v>2395.4987864375198</v>
      </c>
      <c r="M31" s="66">
        <v>2329.4046172539493</v>
      </c>
      <c r="N31" s="66">
        <v>2321.4037847591726</v>
      </c>
      <c r="O31" s="66">
        <v>2281.6957962010774</v>
      </c>
      <c r="P31" s="66">
        <v>2373.9756642662037</v>
      </c>
      <c r="Q31" s="66">
        <v>2413.6186360282495</v>
      </c>
      <c r="R31" s="66">
        <v>2536.1354516419619</v>
      </c>
      <c r="S31" s="66">
        <v>2584.5</v>
      </c>
      <c r="T31" s="66">
        <v>2833.8735818476498</v>
      </c>
      <c r="U31" s="66">
        <v>2780.5520876681926</v>
      </c>
      <c r="V31" s="66">
        <v>2814.1840390721336</v>
      </c>
      <c r="W31" s="66">
        <v>3207.570807674887</v>
      </c>
      <c r="X31" s="66">
        <v>3054.3406351073218</v>
      </c>
      <c r="Y31" s="66">
        <v>3143.7506625675819</v>
      </c>
    </row>
    <row r="32" spans="1:25" x14ac:dyDescent="0.25">
      <c r="A32" s="64" t="s">
        <v>58</v>
      </c>
      <c r="B32" s="65"/>
      <c r="C32" s="65"/>
      <c r="D32" s="66">
        <v>3570.0525395720879</v>
      </c>
      <c r="E32" s="66">
        <v>3479.3936061091808</v>
      </c>
      <c r="F32" s="66">
        <v>3425.8041709260069</v>
      </c>
      <c r="G32" s="66">
        <v>3563.5091501949992</v>
      </c>
      <c r="H32" s="66">
        <v>3492.8801142750985</v>
      </c>
      <c r="I32" s="66">
        <v>3364.9331073325448</v>
      </c>
      <c r="J32" s="66">
        <v>3212.8517950701225</v>
      </c>
      <c r="K32" s="66">
        <v>3912.4642316413392</v>
      </c>
      <c r="L32" s="66">
        <v>3245.4867491382661</v>
      </c>
      <c r="M32" s="66">
        <v>2156.9214089539737</v>
      </c>
      <c r="N32" s="66">
        <v>2378.6543944411096</v>
      </c>
      <c r="O32" s="66">
        <v>2360.379209210611</v>
      </c>
      <c r="P32" s="66">
        <v>2243.559075749296</v>
      </c>
      <c r="Q32" s="66">
        <v>2312.5805708885396</v>
      </c>
      <c r="R32" s="66">
        <v>2454.6163081638342</v>
      </c>
      <c r="S32" s="66">
        <v>2920.3670473083198</v>
      </c>
      <c r="T32" s="66">
        <v>3244.9021207177807</v>
      </c>
      <c r="U32" s="66">
        <v>2694.3842595057527</v>
      </c>
      <c r="V32" s="66">
        <v>2838.8866249467369</v>
      </c>
      <c r="W32" s="66">
        <v>2973.5475992563051</v>
      </c>
      <c r="X32" s="66">
        <v>2871.9941145112389</v>
      </c>
      <c r="Y32" s="66">
        <v>2938.8619759302501</v>
      </c>
    </row>
    <row r="33" spans="1:25" x14ac:dyDescent="0.25">
      <c r="A33" s="72" t="s">
        <v>158</v>
      </c>
      <c r="B33" s="65"/>
      <c r="C33" s="65"/>
      <c r="D33" s="66">
        <v>1066.3633283314778</v>
      </c>
      <c r="E33" s="66">
        <v>1026.5313960186904</v>
      </c>
      <c r="F33" s="66">
        <v>886.26548560980984</v>
      </c>
      <c r="G33" s="66">
        <v>1016.9936254611122</v>
      </c>
      <c r="H33" s="66">
        <v>1033.676192760968</v>
      </c>
      <c r="I33" s="66">
        <v>1024.2433755226095</v>
      </c>
      <c r="J33" s="66">
        <v>901.92515798052136</v>
      </c>
      <c r="K33" s="66">
        <v>1530.9038707213319</v>
      </c>
      <c r="L33" s="66">
        <v>1271.2986344357546</v>
      </c>
      <c r="M33" s="66">
        <v>377.88578371810451</v>
      </c>
      <c r="N33" s="66">
        <v>498.3112015916347</v>
      </c>
      <c r="O33" s="66">
        <v>569.83838406370944</v>
      </c>
      <c r="P33" s="66">
        <v>589.60710853910018</v>
      </c>
      <c r="Q33" s="66">
        <v>547.6968483187519</v>
      </c>
      <c r="R33" s="66">
        <v>143.62050610105643</v>
      </c>
      <c r="S33" s="66">
        <v>416.3</v>
      </c>
      <c r="T33" s="66">
        <v>851.1952998379254</v>
      </c>
      <c r="U33" s="66">
        <v>872.71862552761422</v>
      </c>
      <c r="V33" s="66">
        <v>987.77539348862501</v>
      </c>
      <c r="W33" s="66">
        <v>1034.6299581328512</v>
      </c>
      <c r="X33" s="66">
        <v>999.29496712873492</v>
      </c>
      <c r="Y33" s="66">
        <v>1022.5612813043302</v>
      </c>
    </row>
    <row r="34" spans="1:25" x14ac:dyDescent="0.25">
      <c r="A34" s="73" t="s">
        <v>5</v>
      </c>
      <c r="B34" s="65"/>
      <c r="C34" s="65"/>
      <c r="D34" s="66">
        <v>1066.3633283314778</v>
      </c>
      <c r="E34" s="66">
        <v>1026.5313960186904</v>
      </c>
      <c r="F34" s="66">
        <v>886.26548560980984</v>
      </c>
      <c r="G34" s="66">
        <v>1016.9936254611123</v>
      </c>
      <c r="H34" s="66">
        <v>1033.676192760968</v>
      </c>
      <c r="I34" s="66">
        <v>1024.2433755226095</v>
      </c>
      <c r="J34" s="66">
        <v>901.92515798052125</v>
      </c>
      <c r="K34" s="66">
        <v>1530.9038707213319</v>
      </c>
      <c r="L34" s="66">
        <v>1271.2986344357546</v>
      </c>
      <c r="M34" s="66">
        <v>377.88578371810451</v>
      </c>
      <c r="N34" s="66">
        <v>498.3112015916347</v>
      </c>
      <c r="O34" s="66">
        <v>569.83838406370944</v>
      </c>
      <c r="P34" s="66">
        <v>589.60710853910018</v>
      </c>
      <c r="Q34" s="66">
        <v>547.6968483187519</v>
      </c>
      <c r="R34" s="66">
        <v>143.62050610105643</v>
      </c>
      <c r="S34" s="66">
        <v>416.3</v>
      </c>
      <c r="T34" s="66">
        <v>851.1952998379254</v>
      </c>
      <c r="U34" s="66">
        <v>872.71862552761434</v>
      </c>
      <c r="V34" s="66">
        <v>987.77539348862501</v>
      </c>
      <c r="W34" s="66">
        <v>1034.6299581328512</v>
      </c>
      <c r="X34" s="66">
        <v>999.29496712873492</v>
      </c>
      <c r="Y34" s="66">
        <v>1022.5612813043302</v>
      </c>
    </row>
    <row r="35" spans="1:25" x14ac:dyDescent="0.25">
      <c r="A35" s="74" t="s">
        <v>270</v>
      </c>
      <c r="B35" s="44"/>
      <c r="C35" s="44"/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</row>
    <row r="36" spans="1:25" x14ac:dyDescent="0.25">
      <c r="A36" s="74" t="s">
        <v>15</v>
      </c>
      <c r="B36" s="44"/>
      <c r="C36" s="44"/>
      <c r="D36" s="45">
        <v>1066.3633283314778</v>
      </c>
      <c r="E36" s="45">
        <v>1026.5313960186904</v>
      </c>
      <c r="F36" s="45">
        <v>886.26548560980984</v>
      </c>
      <c r="G36" s="45">
        <v>1016.9936254611123</v>
      </c>
      <c r="H36" s="45">
        <v>1033.676192760968</v>
      </c>
      <c r="I36" s="45">
        <v>1024.2433755226095</v>
      </c>
      <c r="J36" s="45">
        <v>901.92515798052125</v>
      </c>
      <c r="K36" s="45">
        <v>1530.9038707213319</v>
      </c>
      <c r="L36" s="45">
        <v>1271.2986344357546</v>
      </c>
      <c r="M36" s="45">
        <v>377.88578371810451</v>
      </c>
      <c r="N36" s="45">
        <v>498.3112015916347</v>
      </c>
      <c r="O36" s="45">
        <v>569.83838406370944</v>
      </c>
      <c r="P36" s="45">
        <v>589.60710853910018</v>
      </c>
      <c r="Q36" s="45">
        <v>547.6968483187519</v>
      </c>
      <c r="R36" s="45">
        <v>143.62050610105643</v>
      </c>
      <c r="S36" s="45">
        <v>416.3</v>
      </c>
      <c r="T36" s="45">
        <v>851.1952998379254</v>
      </c>
      <c r="U36" s="45">
        <v>872.71862552761434</v>
      </c>
      <c r="V36" s="45">
        <v>987.77539348862501</v>
      </c>
      <c r="W36" s="45">
        <v>1034.6299581328512</v>
      </c>
      <c r="X36" s="45">
        <v>999.29496712873492</v>
      </c>
      <c r="Y36" s="45">
        <v>1022.5612813043302</v>
      </c>
    </row>
    <row r="37" spans="1:25" x14ac:dyDescent="0.25">
      <c r="A37" s="73" t="s">
        <v>269</v>
      </c>
      <c r="B37" s="65"/>
      <c r="C37" s="65"/>
      <c r="D37" s="66">
        <v>0</v>
      </c>
      <c r="E37" s="66">
        <v>0</v>
      </c>
      <c r="F37" s="66">
        <v>0</v>
      </c>
      <c r="G37" s="66">
        <v>0</v>
      </c>
      <c r="H37" s="66">
        <v>0</v>
      </c>
      <c r="I37" s="66">
        <v>0</v>
      </c>
      <c r="J37" s="66">
        <v>0</v>
      </c>
      <c r="K37" s="66">
        <v>0</v>
      </c>
      <c r="L37" s="66">
        <v>0</v>
      </c>
      <c r="M37" s="66">
        <v>0</v>
      </c>
      <c r="N37" s="66">
        <v>0</v>
      </c>
      <c r="O37" s="66">
        <v>0</v>
      </c>
      <c r="P37" s="66">
        <v>0</v>
      </c>
      <c r="Q37" s="66">
        <v>0</v>
      </c>
      <c r="R37" s="66">
        <v>0</v>
      </c>
      <c r="S37" s="66">
        <v>0</v>
      </c>
      <c r="T37" s="66">
        <v>0</v>
      </c>
      <c r="U37" s="66">
        <v>0</v>
      </c>
      <c r="V37" s="66">
        <v>0</v>
      </c>
      <c r="W37" s="66">
        <v>0</v>
      </c>
      <c r="X37" s="66">
        <v>0</v>
      </c>
      <c r="Y37" s="66">
        <v>0</v>
      </c>
    </row>
    <row r="38" spans="1:25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</row>
    <row r="39" spans="1:25" x14ac:dyDescent="0.25">
      <c r="A39" s="74" t="s">
        <v>19</v>
      </c>
      <c r="B39" s="44"/>
      <c r="C39" s="44"/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</row>
    <row r="40" spans="1:25" x14ac:dyDescent="0.25">
      <c r="A40" s="75" t="s">
        <v>273</v>
      </c>
      <c r="B40" s="76"/>
      <c r="C40" s="76"/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</row>
    <row r="41" spans="1:25" x14ac:dyDescent="0.25">
      <c r="A41" s="75" t="s">
        <v>274</v>
      </c>
      <c r="B41" s="76"/>
      <c r="C41" s="76"/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</row>
    <row r="42" spans="1:25" x14ac:dyDescent="0.25">
      <c r="A42" s="74" t="s">
        <v>13</v>
      </c>
      <c r="B42" s="44"/>
      <c r="C42" s="44"/>
      <c r="D42" s="45">
        <v>0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0</v>
      </c>
      <c r="M42" s="45">
        <v>0</v>
      </c>
      <c r="N42" s="45">
        <v>0</v>
      </c>
      <c r="O42" s="45">
        <v>0</v>
      </c>
      <c r="P42" s="45">
        <v>0</v>
      </c>
      <c r="Q42" s="45">
        <v>0</v>
      </c>
      <c r="R42" s="45">
        <v>0</v>
      </c>
      <c r="S42" s="45">
        <v>0</v>
      </c>
      <c r="T42" s="45">
        <v>0</v>
      </c>
      <c r="U42" s="45">
        <v>0</v>
      </c>
      <c r="V42" s="45">
        <v>0</v>
      </c>
      <c r="W42" s="45">
        <v>0</v>
      </c>
      <c r="X42" s="45">
        <v>0</v>
      </c>
      <c r="Y42" s="45">
        <v>0</v>
      </c>
    </row>
    <row r="43" spans="1:25" x14ac:dyDescent="0.25">
      <c r="A43" s="72" t="s">
        <v>271</v>
      </c>
      <c r="B43" s="65"/>
      <c r="C43" s="65"/>
      <c r="D43" s="66">
        <v>244.5890183181094</v>
      </c>
      <c r="E43" s="66">
        <v>241.00488371283453</v>
      </c>
      <c r="F43" s="66">
        <v>291.42188898804909</v>
      </c>
      <c r="G43" s="66">
        <v>322.80781841748814</v>
      </c>
      <c r="H43" s="66">
        <v>313.53244606223757</v>
      </c>
      <c r="I43" s="66">
        <v>238.0032403020279</v>
      </c>
      <c r="J43" s="66">
        <v>210.78764557989842</v>
      </c>
      <c r="K43" s="66">
        <v>191.94418596820654</v>
      </c>
      <c r="L43" s="66">
        <v>242.91457378168479</v>
      </c>
      <c r="M43" s="66">
        <v>186.49766266676238</v>
      </c>
      <c r="N43" s="66">
        <v>183.90845279754734</v>
      </c>
      <c r="O43" s="66">
        <v>195.31374235792208</v>
      </c>
      <c r="P43" s="66">
        <v>157.08551908959578</v>
      </c>
      <c r="Q43" s="66">
        <v>179.57483368336813</v>
      </c>
      <c r="R43" s="66">
        <v>232.01944051835119</v>
      </c>
      <c r="S43" s="66">
        <v>234.60477414007462</v>
      </c>
      <c r="T43" s="66">
        <v>223.60798265796711</v>
      </c>
      <c r="U43" s="66">
        <v>214.92876076490955</v>
      </c>
      <c r="V43" s="66">
        <v>216.59240876827221</v>
      </c>
      <c r="W43" s="66">
        <v>217.28769408667642</v>
      </c>
      <c r="X43" s="66">
        <v>246.44365362168952</v>
      </c>
      <c r="Y43" s="66">
        <v>271.66750094238699</v>
      </c>
    </row>
    <row r="44" spans="1:25" x14ac:dyDescent="0.25">
      <c r="A44" s="73" t="s">
        <v>272</v>
      </c>
      <c r="B44" s="65"/>
      <c r="C44" s="65"/>
      <c r="D44" s="66">
        <v>120.85128354066833</v>
      </c>
      <c r="E44" s="66">
        <v>118.57517762273569</v>
      </c>
      <c r="F44" s="66">
        <v>142.01052863852726</v>
      </c>
      <c r="G44" s="66">
        <v>158.20586828010929</v>
      </c>
      <c r="H44" s="66">
        <v>155.33631211203405</v>
      </c>
      <c r="I44" s="66">
        <v>118.00630698762859</v>
      </c>
      <c r="J44" s="66">
        <v>105.00861711934375</v>
      </c>
      <c r="K44" s="66">
        <v>85.869694056289433</v>
      </c>
      <c r="L44" s="66">
        <v>121.23366593934639</v>
      </c>
      <c r="M44" s="66">
        <v>92.831105710814114</v>
      </c>
      <c r="N44" s="66">
        <v>92.99958358395412</v>
      </c>
      <c r="O44" s="66">
        <v>98.597990117893758</v>
      </c>
      <c r="P44" s="66">
        <v>78.92378618239924</v>
      </c>
      <c r="Q44" s="66">
        <v>91.282808053125322</v>
      </c>
      <c r="R44" s="66">
        <v>103.59511915486037</v>
      </c>
      <c r="S44" s="66">
        <v>104.4</v>
      </c>
      <c r="T44" s="66">
        <v>104.8419773095624</v>
      </c>
      <c r="U44" s="66">
        <v>108.8916631987793</v>
      </c>
      <c r="V44" s="66">
        <v>100.69036499043587</v>
      </c>
      <c r="W44" s="66">
        <v>95.887902705098924</v>
      </c>
      <c r="X44" s="66">
        <v>129.18994413407822</v>
      </c>
      <c r="Y44" s="66">
        <v>151.68380508145165</v>
      </c>
    </row>
    <row r="45" spans="1:25" x14ac:dyDescent="0.25">
      <c r="A45" s="74" t="s">
        <v>20</v>
      </c>
      <c r="B45" s="44"/>
      <c r="C45" s="44"/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v>0</v>
      </c>
      <c r="Q45" s="45">
        <v>0</v>
      </c>
      <c r="R45" s="45">
        <v>0</v>
      </c>
      <c r="S45" s="45">
        <v>0</v>
      </c>
      <c r="T45" s="45">
        <v>0</v>
      </c>
      <c r="U45" s="45">
        <v>0</v>
      </c>
      <c r="V45" s="45">
        <v>0</v>
      </c>
      <c r="W45" s="45">
        <v>0</v>
      </c>
      <c r="X45" s="45">
        <v>0</v>
      </c>
      <c r="Y45" s="45">
        <v>0</v>
      </c>
    </row>
    <row r="46" spans="1:25" x14ac:dyDescent="0.25">
      <c r="A46" s="74" t="s">
        <v>12</v>
      </c>
      <c r="B46" s="44"/>
      <c r="C46" s="44"/>
      <c r="D46" s="45">
        <v>120.85128354066833</v>
      </c>
      <c r="E46" s="45">
        <v>118.57517762273569</v>
      </c>
      <c r="F46" s="45">
        <v>142.01052863852726</v>
      </c>
      <c r="G46" s="45">
        <v>158.20586828010929</v>
      </c>
      <c r="H46" s="45">
        <v>155.33631211203405</v>
      </c>
      <c r="I46" s="45">
        <v>118.00630698762859</v>
      </c>
      <c r="J46" s="45">
        <v>105.00861711934375</v>
      </c>
      <c r="K46" s="45">
        <v>85.869694056289433</v>
      </c>
      <c r="L46" s="45">
        <v>121.23366593934639</v>
      </c>
      <c r="M46" s="45">
        <v>92.831105710814114</v>
      </c>
      <c r="N46" s="45">
        <v>92.99958358395412</v>
      </c>
      <c r="O46" s="45">
        <v>98.597990117893758</v>
      </c>
      <c r="P46" s="45">
        <v>78.92378618239924</v>
      </c>
      <c r="Q46" s="45">
        <v>91.282808053125322</v>
      </c>
      <c r="R46" s="45">
        <v>103.59511915486037</v>
      </c>
      <c r="S46" s="45">
        <v>104.4</v>
      </c>
      <c r="T46" s="45">
        <v>104.8419773095624</v>
      </c>
      <c r="U46" s="45">
        <v>108.8916631987793</v>
      </c>
      <c r="V46" s="45">
        <v>100.69036499043587</v>
      </c>
      <c r="W46" s="45">
        <v>95.887902705098924</v>
      </c>
      <c r="X46" s="45">
        <v>129.18994413407822</v>
      </c>
      <c r="Y46" s="45">
        <v>151.68380508145165</v>
      </c>
    </row>
    <row r="47" spans="1:25" x14ac:dyDescent="0.25">
      <c r="A47" s="73" t="s">
        <v>11</v>
      </c>
      <c r="B47" s="65"/>
      <c r="C47" s="65"/>
      <c r="D47" s="66">
        <v>123.73773477744106</v>
      </c>
      <c r="E47" s="66">
        <v>122.42970609009883</v>
      </c>
      <c r="F47" s="66">
        <v>149.41136034952183</v>
      </c>
      <c r="G47" s="66">
        <v>164.60195013737885</v>
      </c>
      <c r="H47" s="66">
        <v>158.19613395020349</v>
      </c>
      <c r="I47" s="66">
        <v>119.99693331439933</v>
      </c>
      <c r="J47" s="66">
        <v>105.77902846055468</v>
      </c>
      <c r="K47" s="66">
        <v>106.07449191191711</v>
      </c>
      <c r="L47" s="66">
        <v>121.68090784233841</v>
      </c>
      <c r="M47" s="66">
        <v>93.666556955948266</v>
      </c>
      <c r="N47" s="66">
        <v>90.908869213593221</v>
      </c>
      <c r="O47" s="66">
        <v>96.715752240028337</v>
      </c>
      <c r="P47" s="66">
        <v>78.161732907196537</v>
      </c>
      <c r="Q47" s="66">
        <v>88.292025630242819</v>
      </c>
      <c r="R47" s="66">
        <v>128.42432136349083</v>
      </c>
      <c r="S47" s="66">
        <v>130.20477414007462</v>
      </c>
      <c r="T47" s="66">
        <v>118.76600534840473</v>
      </c>
      <c r="U47" s="66">
        <v>106.03709756613026</v>
      </c>
      <c r="V47" s="66">
        <v>115.90204377783634</v>
      </c>
      <c r="W47" s="66">
        <v>121.39979138157751</v>
      </c>
      <c r="X47" s="66">
        <v>117.25370948761132</v>
      </c>
      <c r="Y47" s="66">
        <v>119.98369586093533</v>
      </c>
    </row>
    <row r="48" spans="1:25" x14ac:dyDescent="0.25">
      <c r="A48" s="72" t="s">
        <v>4</v>
      </c>
      <c r="B48" s="65"/>
      <c r="C48" s="65"/>
      <c r="D48" s="66">
        <v>955.99980637978615</v>
      </c>
      <c r="E48" s="66">
        <v>880.11265441976582</v>
      </c>
      <c r="F48" s="66">
        <v>890.04822999085854</v>
      </c>
      <c r="G48" s="66">
        <v>861.10296500949232</v>
      </c>
      <c r="H48" s="66">
        <v>766.18586379584372</v>
      </c>
      <c r="I48" s="66">
        <v>727.8720337894722</v>
      </c>
      <c r="J48" s="66">
        <v>731.58675234799807</v>
      </c>
      <c r="K48" s="66">
        <v>792.58254421894128</v>
      </c>
      <c r="L48" s="66">
        <v>638.03966755742965</v>
      </c>
      <c r="M48" s="66">
        <v>525.75941676792229</v>
      </c>
      <c r="N48" s="66">
        <v>565.8631379262481</v>
      </c>
      <c r="O48" s="66">
        <v>508.71655308564868</v>
      </c>
      <c r="P48" s="66">
        <v>440.39688623530304</v>
      </c>
      <c r="Q48" s="66">
        <v>595.44640033730366</v>
      </c>
      <c r="R48" s="66">
        <v>634.36655474572115</v>
      </c>
      <c r="S48" s="66">
        <v>698.6</v>
      </c>
      <c r="T48" s="66">
        <v>750.81037277147493</v>
      </c>
      <c r="U48" s="66">
        <v>564.47298020331732</v>
      </c>
      <c r="V48" s="66">
        <v>641.03933429783763</v>
      </c>
      <c r="W48" s="66">
        <v>671.4466709518415</v>
      </c>
      <c r="X48" s="66">
        <v>648.51522392449715</v>
      </c>
      <c r="Y48" s="66">
        <v>663.61442830740089</v>
      </c>
    </row>
    <row r="49" spans="1:25" x14ac:dyDescent="0.25">
      <c r="A49" s="77" t="s">
        <v>10</v>
      </c>
      <c r="B49" s="44"/>
      <c r="C49" s="44"/>
      <c r="D49" s="45">
        <v>334.06185606542454</v>
      </c>
      <c r="E49" s="45">
        <v>275.2779242100184</v>
      </c>
      <c r="F49" s="45">
        <v>331.46705196783722</v>
      </c>
      <c r="G49" s="45">
        <v>371.86100756648301</v>
      </c>
      <c r="H49" s="45">
        <v>295.03472360005065</v>
      </c>
      <c r="I49" s="45">
        <v>268.2237564999561</v>
      </c>
      <c r="J49" s="45">
        <v>298.56774270148719</v>
      </c>
      <c r="K49" s="45">
        <v>422.95422388828302</v>
      </c>
      <c r="L49" s="45">
        <v>337.74612680347809</v>
      </c>
      <c r="M49" s="45">
        <v>275.30209306835752</v>
      </c>
      <c r="N49" s="45">
        <v>349.62801018463063</v>
      </c>
      <c r="O49" s="45">
        <v>316.38040977506608</v>
      </c>
      <c r="P49" s="45">
        <v>280.16693575708274</v>
      </c>
      <c r="Q49" s="45">
        <v>429.82115355959576</v>
      </c>
      <c r="R49" s="45">
        <v>416.19491388763959</v>
      </c>
      <c r="S49" s="45">
        <v>450.74346065527459</v>
      </c>
      <c r="T49" s="45">
        <v>517.91239386874372</v>
      </c>
      <c r="U49" s="45">
        <v>319.82433915321798</v>
      </c>
      <c r="V49" s="45">
        <v>414.20916788202379</v>
      </c>
      <c r="W49" s="45">
        <v>423.78175464448429</v>
      </c>
      <c r="X49" s="45">
        <v>370.26341773609113</v>
      </c>
      <c r="Y49" s="45">
        <v>411.36613044616621</v>
      </c>
    </row>
    <row r="50" spans="1:25" x14ac:dyDescent="0.25">
      <c r="A50" s="77" t="s">
        <v>18</v>
      </c>
      <c r="B50" s="44"/>
      <c r="C50" s="44"/>
      <c r="D50" s="45">
        <v>369.67175697036527</v>
      </c>
      <c r="E50" s="45">
        <v>312.71425332956477</v>
      </c>
      <c r="F50" s="45">
        <v>375.15541116857821</v>
      </c>
      <c r="G50" s="45">
        <v>432.22737234823137</v>
      </c>
      <c r="H50" s="45">
        <v>313.91583244389159</v>
      </c>
      <c r="I50" s="45">
        <v>298.92435689785844</v>
      </c>
      <c r="J50" s="45">
        <v>281.14270672114407</v>
      </c>
      <c r="K50" s="45">
        <v>337.50410900436924</v>
      </c>
      <c r="L50" s="45">
        <v>265.5</v>
      </c>
      <c r="M50" s="45">
        <v>227</v>
      </c>
      <c r="N50" s="45">
        <v>189</v>
      </c>
      <c r="O50" s="45">
        <v>170</v>
      </c>
      <c r="P50" s="45">
        <v>140</v>
      </c>
      <c r="Q50" s="45">
        <v>140</v>
      </c>
      <c r="R50" s="45">
        <v>199.99999999999997</v>
      </c>
      <c r="S50" s="45">
        <v>220</v>
      </c>
      <c r="T50" s="45">
        <v>220.00000000000003</v>
      </c>
      <c r="U50" s="45">
        <v>220</v>
      </c>
      <c r="V50" s="45">
        <v>220</v>
      </c>
      <c r="W50" s="45">
        <v>220</v>
      </c>
      <c r="X50" s="45">
        <v>180</v>
      </c>
      <c r="Y50" s="45">
        <v>189.99999999999997</v>
      </c>
    </row>
    <row r="51" spans="1:25" x14ac:dyDescent="0.25">
      <c r="A51" s="77" t="s">
        <v>9</v>
      </c>
      <c r="B51" s="44"/>
      <c r="C51" s="44"/>
      <c r="D51" s="45">
        <v>252.26619334399635</v>
      </c>
      <c r="E51" s="45">
        <v>292.12047688018271</v>
      </c>
      <c r="F51" s="45">
        <v>183.42576685444305</v>
      </c>
      <c r="G51" s="45">
        <v>57.014585094777942</v>
      </c>
      <c r="H51" s="45">
        <v>157.23530775190147</v>
      </c>
      <c r="I51" s="45">
        <v>160.72392039165766</v>
      </c>
      <c r="J51" s="45">
        <v>151.87630292536682</v>
      </c>
      <c r="K51" s="45">
        <v>32.124211326289014</v>
      </c>
      <c r="L51" s="45">
        <v>34.793540753951561</v>
      </c>
      <c r="M51" s="45">
        <v>23.457323699564768</v>
      </c>
      <c r="N51" s="45">
        <v>27.235127741617475</v>
      </c>
      <c r="O51" s="45">
        <v>22.336143310582599</v>
      </c>
      <c r="P51" s="45">
        <v>20.229950478220303</v>
      </c>
      <c r="Q51" s="45">
        <v>25.6252467777079</v>
      </c>
      <c r="R51" s="45">
        <v>18.171640858081588</v>
      </c>
      <c r="S51" s="45">
        <v>27.856539344725434</v>
      </c>
      <c r="T51" s="45">
        <v>12.897978902731182</v>
      </c>
      <c r="U51" s="45">
        <v>24.648641050099343</v>
      </c>
      <c r="V51" s="45">
        <v>6.8301664158138351</v>
      </c>
      <c r="W51" s="45">
        <v>27.664916307357203</v>
      </c>
      <c r="X51" s="45">
        <v>98.251806188406022</v>
      </c>
      <c r="Y51" s="45">
        <v>62.248297861234704</v>
      </c>
    </row>
    <row r="52" spans="1:25" x14ac:dyDescent="0.25">
      <c r="A52" s="72" t="s">
        <v>3</v>
      </c>
      <c r="B52" s="65"/>
      <c r="C52" s="65"/>
      <c r="D52" s="66">
        <v>161.51152847023894</v>
      </c>
      <c r="E52" s="66">
        <v>162.42078986110221</v>
      </c>
      <c r="F52" s="66">
        <v>183.93594552848094</v>
      </c>
      <c r="G52" s="66">
        <v>198.95352606152275</v>
      </c>
      <c r="H52" s="66">
        <v>182.02536959846464</v>
      </c>
      <c r="I52" s="66">
        <v>163.66775588247884</v>
      </c>
      <c r="J52" s="66">
        <v>142.41626698374102</v>
      </c>
      <c r="K52" s="66">
        <v>127.75092520644282</v>
      </c>
      <c r="L52" s="66">
        <v>109.9561156194072</v>
      </c>
      <c r="M52" s="66">
        <v>107.65492102065613</v>
      </c>
      <c r="N52" s="66">
        <v>93.92495257483921</v>
      </c>
      <c r="O52" s="66">
        <v>84.098285688791719</v>
      </c>
      <c r="P52" s="66">
        <v>78.275984927824155</v>
      </c>
      <c r="Q52" s="66">
        <v>69.252661536839881</v>
      </c>
      <c r="R52" s="66">
        <v>77.901072803210226</v>
      </c>
      <c r="S52" s="66">
        <v>75.900000000000006</v>
      </c>
      <c r="T52" s="66">
        <v>76.032215123666035</v>
      </c>
      <c r="U52" s="66">
        <v>78.745058980982918</v>
      </c>
      <c r="V52" s="66">
        <v>75.058173251377809</v>
      </c>
      <c r="W52" s="66">
        <v>78.618515059714937</v>
      </c>
      <c r="X52" s="66">
        <v>75.933512078160732</v>
      </c>
      <c r="Y52" s="66">
        <v>77.701451482021724</v>
      </c>
    </row>
    <row r="53" spans="1:25" x14ac:dyDescent="0.25">
      <c r="A53" s="73" t="s">
        <v>21</v>
      </c>
      <c r="B53" s="65"/>
      <c r="C53" s="65"/>
      <c r="D53" s="66">
        <v>0</v>
      </c>
      <c r="E53" s="66">
        <v>0</v>
      </c>
      <c r="F53" s="66">
        <v>0</v>
      </c>
      <c r="G53" s="66">
        <v>0</v>
      </c>
      <c r="H53" s="66">
        <v>0</v>
      </c>
      <c r="I53" s="66">
        <v>0</v>
      </c>
      <c r="J53" s="66">
        <v>0</v>
      </c>
      <c r="K53" s="66">
        <v>0</v>
      </c>
      <c r="L53" s="66">
        <v>0</v>
      </c>
      <c r="M53" s="66">
        <v>0</v>
      </c>
      <c r="N53" s="66">
        <v>0</v>
      </c>
      <c r="O53" s="66">
        <v>0</v>
      </c>
      <c r="P53" s="66">
        <v>0</v>
      </c>
      <c r="Q53" s="66">
        <v>0</v>
      </c>
      <c r="R53" s="66">
        <v>0</v>
      </c>
      <c r="S53" s="66">
        <v>0</v>
      </c>
      <c r="T53" s="66">
        <v>0</v>
      </c>
      <c r="U53" s="66">
        <v>0</v>
      </c>
      <c r="V53" s="66">
        <v>0</v>
      </c>
      <c r="W53" s="66">
        <v>0</v>
      </c>
      <c r="X53" s="66">
        <v>0</v>
      </c>
      <c r="Y53" s="66">
        <v>0</v>
      </c>
    </row>
    <row r="54" spans="1:25" x14ac:dyDescent="0.25">
      <c r="A54" s="74" t="s">
        <v>8</v>
      </c>
      <c r="B54" s="44"/>
      <c r="C54" s="44"/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</row>
    <row r="55" spans="1:25" x14ac:dyDescent="0.25">
      <c r="A55" s="74" t="s">
        <v>17</v>
      </c>
      <c r="B55" s="44"/>
      <c r="C55" s="44"/>
      <c r="D55" s="45">
        <v>0</v>
      </c>
      <c r="E55" s="45">
        <v>0</v>
      </c>
      <c r="F55" s="45">
        <v>0</v>
      </c>
      <c r="G55" s="45">
        <v>0</v>
      </c>
      <c r="H55" s="45">
        <v>0</v>
      </c>
      <c r="I55" s="45">
        <v>0</v>
      </c>
      <c r="J55" s="45">
        <v>0</v>
      </c>
      <c r="K55" s="45">
        <v>0</v>
      </c>
      <c r="L55" s="45">
        <v>0</v>
      </c>
      <c r="M55" s="45">
        <v>0</v>
      </c>
      <c r="N55" s="45">
        <v>0</v>
      </c>
      <c r="O55" s="45">
        <v>0</v>
      </c>
      <c r="P55" s="45">
        <v>0</v>
      </c>
      <c r="Q55" s="45">
        <v>0</v>
      </c>
      <c r="R55" s="45">
        <v>0</v>
      </c>
      <c r="S55" s="45">
        <v>0</v>
      </c>
      <c r="T55" s="45">
        <v>0</v>
      </c>
      <c r="U55" s="45">
        <v>0</v>
      </c>
      <c r="V55" s="45">
        <v>0</v>
      </c>
      <c r="W55" s="45">
        <v>0</v>
      </c>
      <c r="X55" s="45">
        <v>0</v>
      </c>
      <c r="Y55" s="45">
        <v>0</v>
      </c>
    </row>
    <row r="56" spans="1:25" x14ac:dyDescent="0.25">
      <c r="A56" s="73" t="s">
        <v>16</v>
      </c>
      <c r="B56" s="65"/>
      <c r="C56" s="65"/>
      <c r="D56" s="66">
        <v>161.51152847023894</v>
      </c>
      <c r="E56" s="66">
        <v>162.42078986110221</v>
      </c>
      <c r="F56" s="66">
        <v>183.93594552848094</v>
      </c>
      <c r="G56" s="66">
        <v>198.95352606152275</v>
      </c>
      <c r="H56" s="66">
        <v>182.02536959846464</v>
      </c>
      <c r="I56" s="66">
        <v>163.66775588247884</v>
      </c>
      <c r="J56" s="66">
        <v>142.41626698374102</v>
      </c>
      <c r="K56" s="66">
        <v>127.75092520644282</v>
      </c>
      <c r="L56" s="66">
        <v>109.9561156194072</v>
      </c>
      <c r="M56" s="66">
        <v>107.65492102065613</v>
      </c>
      <c r="N56" s="66">
        <v>93.92495257483921</v>
      </c>
      <c r="O56" s="66">
        <v>84.098285688791719</v>
      </c>
      <c r="P56" s="66">
        <v>78.275984927824155</v>
      </c>
      <c r="Q56" s="66">
        <v>69.252661536839881</v>
      </c>
      <c r="R56" s="66">
        <v>77.901072803210226</v>
      </c>
      <c r="S56" s="66">
        <v>75.900000000000006</v>
      </c>
      <c r="T56" s="66">
        <v>76.032215123666035</v>
      </c>
      <c r="U56" s="66">
        <v>78.745058980982918</v>
      </c>
      <c r="V56" s="66">
        <v>75.058173251377809</v>
      </c>
      <c r="W56" s="66">
        <v>78.618515059714937</v>
      </c>
      <c r="X56" s="66">
        <v>75.933512078160732</v>
      </c>
      <c r="Y56" s="66">
        <v>77.701451482021724</v>
      </c>
    </row>
    <row r="57" spans="1:25" x14ac:dyDescent="0.25">
      <c r="A57" s="72" t="s">
        <v>2</v>
      </c>
      <c r="B57" s="65"/>
      <c r="C57" s="65"/>
      <c r="D57" s="66">
        <v>314.63284766929667</v>
      </c>
      <c r="E57" s="66">
        <v>313.64014593868018</v>
      </c>
      <c r="F57" s="66">
        <v>323.26703023043217</v>
      </c>
      <c r="G57" s="66">
        <v>343.11380018212969</v>
      </c>
      <c r="H57" s="66">
        <v>353.55504243260265</v>
      </c>
      <c r="I57" s="66">
        <v>366.14774332558045</v>
      </c>
      <c r="J57" s="66">
        <v>325.04575757170915</v>
      </c>
      <c r="K57" s="66">
        <v>334.91814721647853</v>
      </c>
      <c r="L57" s="66">
        <v>280.2226090367501</v>
      </c>
      <c r="M57" s="66">
        <v>331.47023086269746</v>
      </c>
      <c r="N57" s="66">
        <v>328.62166288807668</v>
      </c>
      <c r="O57" s="66">
        <v>278.39432503875884</v>
      </c>
      <c r="P57" s="66">
        <v>278.98640697034148</v>
      </c>
      <c r="Q57" s="66">
        <v>277.43227574575735</v>
      </c>
      <c r="R57" s="66">
        <v>278.53984112685288</v>
      </c>
      <c r="S57" s="66">
        <v>285.60000000000002</v>
      </c>
      <c r="T57" s="66">
        <v>292.13938411669363</v>
      </c>
      <c r="U57" s="66">
        <v>274.85484414323361</v>
      </c>
      <c r="V57" s="66">
        <v>273.71855246676824</v>
      </c>
      <c r="W57" s="66">
        <v>286.70223650609529</v>
      </c>
      <c r="X57" s="66">
        <v>276.91069618951184</v>
      </c>
      <c r="Y57" s="66">
        <v>283.35793295949151</v>
      </c>
    </row>
    <row r="58" spans="1:25" x14ac:dyDescent="0.25">
      <c r="A58" s="72" t="s">
        <v>275</v>
      </c>
      <c r="B58" s="65"/>
      <c r="C58" s="65"/>
      <c r="D58" s="66">
        <v>16.457718185778596</v>
      </c>
      <c r="E58" s="66">
        <v>16.642130192664663</v>
      </c>
      <c r="F58" s="66">
        <v>16.549506667086973</v>
      </c>
      <c r="G58" s="66">
        <v>25.775980490515366</v>
      </c>
      <c r="H58" s="66">
        <v>30.737397666956547</v>
      </c>
      <c r="I58" s="66">
        <v>34.816854782323311</v>
      </c>
      <c r="J58" s="66">
        <v>36.338859868271634</v>
      </c>
      <c r="K58" s="66">
        <v>66.904608252446366</v>
      </c>
      <c r="L58" s="66">
        <v>59.084557110985806</v>
      </c>
      <c r="M58" s="66">
        <v>30.012150668286758</v>
      </c>
      <c r="N58" s="66">
        <v>37.246101883125903</v>
      </c>
      <c r="O58" s="66">
        <v>40.59917240148566</v>
      </c>
      <c r="P58" s="66">
        <v>41.567247168568684</v>
      </c>
      <c r="Q58" s="66">
        <v>42.162959839780754</v>
      </c>
      <c r="R58" s="66">
        <v>41.151420850053235</v>
      </c>
      <c r="S58" s="66">
        <v>39.4</v>
      </c>
      <c r="T58" s="66">
        <v>44.266612641815236</v>
      </c>
      <c r="U58" s="66">
        <v>43.992628262291184</v>
      </c>
      <c r="V58" s="66">
        <v>39.712979056015691</v>
      </c>
      <c r="W58" s="66">
        <v>41.596741656968071</v>
      </c>
      <c r="X58" s="66">
        <v>40.176117325828429</v>
      </c>
      <c r="Y58" s="66">
        <v>41.111526988446968</v>
      </c>
    </row>
    <row r="59" spans="1:25" x14ac:dyDescent="0.25">
      <c r="A59" s="72" t="s">
        <v>276</v>
      </c>
      <c r="B59" s="65"/>
      <c r="C59" s="65"/>
      <c r="D59" s="66">
        <v>441.63328995754125</v>
      </c>
      <c r="E59" s="66">
        <v>474.12665312388032</v>
      </c>
      <c r="F59" s="66">
        <v>464.65414417401018</v>
      </c>
      <c r="G59" s="66">
        <v>422.53475516753377</v>
      </c>
      <c r="H59" s="66">
        <v>383.53175761425524</v>
      </c>
      <c r="I59" s="66">
        <v>399.54473989231849</v>
      </c>
      <c r="J59" s="66">
        <v>487.26582063965782</v>
      </c>
      <c r="K59" s="66">
        <v>466.30233380684609</v>
      </c>
      <c r="L59" s="66">
        <v>374.53130623498726</v>
      </c>
      <c r="M59" s="66">
        <v>391.02360100273938</v>
      </c>
      <c r="N59" s="66">
        <v>386.92854345470829</v>
      </c>
      <c r="O59" s="66">
        <v>415.56995885893781</v>
      </c>
      <c r="P59" s="66">
        <v>430.03835130696672</v>
      </c>
      <c r="Q59" s="66">
        <v>378.34653239653056</v>
      </c>
      <c r="R59" s="66">
        <v>834.12993299733148</v>
      </c>
      <c r="S59" s="66">
        <v>923.69522585992536</v>
      </c>
      <c r="T59" s="66">
        <v>713.48683095629485</v>
      </c>
      <c r="U59" s="66">
        <v>341.22128976716277</v>
      </c>
      <c r="V59" s="66">
        <v>309.77448478346668</v>
      </c>
      <c r="W59" s="66">
        <v>318.01336483920699</v>
      </c>
      <c r="X59" s="66">
        <v>249.46721979478738</v>
      </c>
      <c r="Y59" s="66">
        <v>251.48281027202503</v>
      </c>
    </row>
    <row r="60" spans="1:25" x14ac:dyDescent="0.25">
      <c r="A60" s="72" t="s">
        <v>1</v>
      </c>
      <c r="B60" s="65"/>
      <c r="C60" s="65"/>
      <c r="D60" s="66">
        <v>257.03083401907162</v>
      </c>
      <c r="E60" s="66">
        <v>253.79248543813608</v>
      </c>
      <c r="F60" s="66">
        <v>259.43321880023956</v>
      </c>
      <c r="G60" s="66">
        <v>272.26844063035389</v>
      </c>
      <c r="H60" s="66">
        <v>310.52268569886343</v>
      </c>
      <c r="I60" s="66">
        <v>277.96407014740083</v>
      </c>
      <c r="J60" s="66">
        <v>253.16963033226008</v>
      </c>
      <c r="K60" s="66">
        <v>260.24312186384645</v>
      </c>
      <c r="L60" s="66">
        <v>159.2341072347937</v>
      </c>
      <c r="M60" s="66">
        <v>136.33049817739976</v>
      </c>
      <c r="N60" s="66">
        <v>200.80507102207005</v>
      </c>
      <c r="O60" s="66">
        <v>188.38462139041013</v>
      </c>
      <c r="P60" s="66">
        <v>152.55719545243522</v>
      </c>
      <c r="Q60" s="66">
        <v>153.0515442184041</v>
      </c>
      <c r="R60" s="66">
        <v>141.77790516747194</v>
      </c>
      <c r="S60" s="66">
        <v>185</v>
      </c>
      <c r="T60" s="66">
        <v>227.00567260940034</v>
      </c>
      <c r="U60" s="66">
        <v>233.63652577135721</v>
      </c>
      <c r="V60" s="66">
        <v>227.40292652613385</v>
      </c>
      <c r="W60" s="66">
        <v>254.22340435784017</v>
      </c>
      <c r="X60" s="66">
        <v>266.64951484857397</v>
      </c>
      <c r="Y60" s="66">
        <v>257.1645641188735</v>
      </c>
    </row>
    <row r="61" spans="1:25" x14ac:dyDescent="0.25">
      <c r="A61" s="72" t="s">
        <v>0</v>
      </c>
      <c r="B61" s="65"/>
      <c r="C61" s="65"/>
      <c r="D61" s="66">
        <v>60.667667037772077</v>
      </c>
      <c r="E61" s="66">
        <v>53.926902643538384</v>
      </c>
      <c r="F61" s="66">
        <v>62.100053588878737</v>
      </c>
      <c r="G61" s="66">
        <v>59.578014786460663</v>
      </c>
      <c r="H61" s="66">
        <v>72.420307673853713</v>
      </c>
      <c r="I61" s="66">
        <v>63.926028452790341</v>
      </c>
      <c r="J61" s="66">
        <v>55.577079798533084</v>
      </c>
      <c r="K61" s="66">
        <v>54.919727640295541</v>
      </c>
      <c r="L61" s="66">
        <v>46.458604035401699</v>
      </c>
      <c r="M61" s="66">
        <v>40.583232077764279</v>
      </c>
      <c r="N61" s="66">
        <v>55.869152824688847</v>
      </c>
      <c r="O61" s="66">
        <v>50.302820750192403</v>
      </c>
      <c r="P61" s="66">
        <v>46.85762408093197</v>
      </c>
      <c r="Q61" s="66">
        <v>42.057552440181297</v>
      </c>
      <c r="R61" s="66">
        <v>38.694619605273928</v>
      </c>
      <c r="S61" s="66">
        <v>32.4</v>
      </c>
      <c r="T61" s="66">
        <v>32.456439657533323</v>
      </c>
      <c r="U61" s="66">
        <v>33.614491580814835</v>
      </c>
      <c r="V61" s="66">
        <v>32.040643127070375</v>
      </c>
      <c r="W61" s="66">
        <v>33.560472831815076</v>
      </c>
      <c r="X61" s="66">
        <v>32.414305551151621</v>
      </c>
      <c r="Y61" s="66">
        <v>33.168999051614016</v>
      </c>
    </row>
    <row r="62" spans="1:25" x14ac:dyDescent="0.25">
      <c r="A62" s="78" t="s">
        <v>277</v>
      </c>
      <c r="B62" s="79"/>
      <c r="C62" s="79"/>
      <c r="D62" s="80">
        <v>51.16650120301545</v>
      </c>
      <c r="E62" s="80">
        <v>57.195564759887837</v>
      </c>
      <c r="F62" s="80">
        <v>48.128667348161088</v>
      </c>
      <c r="G62" s="80">
        <v>40.380223988390092</v>
      </c>
      <c r="H62" s="80">
        <v>46.693050971053076</v>
      </c>
      <c r="I62" s="80">
        <v>68.747265235542685</v>
      </c>
      <c r="J62" s="80">
        <v>68.738823967531943</v>
      </c>
      <c r="K62" s="80">
        <v>85.994766746503984</v>
      </c>
      <c r="L62" s="80">
        <v>63.746574091071288</v>
      </c>
      <c r="M62" s="80">
        <v>29.703911991640691</v>
      </c>
      <c r="N62" s="80">
        <v>27.176117478170681</v>
      </c>
      <c r="O62" s="80">
        <v>29.161345574754439</v>
      </c>
      <c r="P62" s="80">
        <v>28.186751978228806</v>
      </c>
      <c r="Q62" s="80">
        <v>27.558962371621789</v>
      </c>
      <c r="R62" s="80">
        <v>32.415014248512065</v>
      </c>
      <c r="S62" s="80">
        <v>28.867047308319744</v>
      </c>
      <c r="T62" s="80">
        <v>33.901310345009932</v>
      </c>
      <c r="U62" s="80">
        <v>36.199054504068833</v>
      </c>
      <c r="V62" s="80">
        <v>35.771729181169619</v>
      </c>
      <c r="W62" s="80">
        <v>37.468540833295641</v>
      </c>
      <c r="X62" s="80">
        <v>36.188904048303314</v>
      </c>
      <c r="Y62" s="80">
        <v>37.031480503659189</v>
      </c>
    </row>
    <row r="63" spans="1:25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81" t="s">
        <v>142</v>
      </c>
      <c r="B65" s="41"/>
      <c r="C65" s="41"/>
      <c r="D65" s="82">
        <f t="shared" ref="D65:D76" si="46">D23/D$23</f>
        <v>1</v>
      </c>
      <c r="E65" s="82">
        <f t="shared" ref="E65:S65" si="47">E23/E$23</f>
        <v>1</v>
      </c>
      <c r="F65" s="82">
        <f t="shared" si="47"/>
        <v>1</v>
      </c>
      <c r="G65" s="82">
        <f t="shared" si="47"/>
        <v>1</v>
      </c>
      <c r="H65" s="82">
        <f t="shared" si="47"/>
        <v>1</v>
      </c>
      <c r="I65" s="82">
        <f t="shared" si="47"/>
        <v>1</v>
      </c>
      <c r="J65" s="82">
        <f t="shared" si="47"/>
        <v>1</v>
      </c>
      <c r="K65" s="82">
        <f t="shared" si="47"/>
        <v>1</v>
      </c>
      <c r="L65" s="82">
        <f t="shared" si="47"/>
        <v>1</v>
      </c>
      <c r="M65" s="82">
        <f t="shared" si="47"/>
        <v>1</v>
      </c>
      <c r="N65" s="82">
        <f t="shared" si="47"/>
        <v>1</v>
      </c>
      <c r="O65" s="82">
        <f t="shared" si="47"/>
        <v>1</v>
      </c>
      <c r="P65" s="82">
        <f t="shared" si="47"/>
        <v>1</v>
      </c>
      <c r="Q65" s="82">
        <f t="shared" si="47"/>
        <v>1</v>
      </c>
      <c r="R65" s="82">
        <f t="shared" si="47"/>
        <v>1</v>
      </c>
      <c r="S65" s="82">
        <f t="shared" si="47"/>
        <v>1</v>
      </c>
      <c r="T65" s="82">
        <f t="shared" ref="T65:Y65" si="48">T23/T$23</f>
        <v>1</v>
      </c>
      <c r="U65" s="82">
        <f t="shared" si="48"/>
        <v>1</v>
      </c>
      <c r="V65" s="82">
        <f t="shared" si="48"/>
        <v>1</v>
      </c>
      <c r="W65" s="82">
        <f t="shared" si="48"/>
        <v>1</v>
      </c>
      <c r="X65" s="82">
        <f t="shared" si="48"/>
        <v>1</v>
      </c>
      <c r="Y65" s="82">
        <f t="shared" si="48"/>
        <v>1</v>
      </c>
    </row>
    <row r="66" spans="1:25" x14ac:dyDescent="0.25">
      <c r="A66" s="64" t="s">
        <v>33</v>
      </c>
      <c r="B66" s="65"/>
      <c r="C66" s="65"/>
      <c r="D66" s="83">
        <f t="shared" si="46"/>
        <v>6.6919974051438636E-3</v>
      </c>
      <c r="E66" s="83">
        <f t="shared" ref="E66:S66" si="49">E24/E$23</f>
        <v>6.2452740359033258E-3</v>
      </c>
      <c r="F66" s="83">
        <f t="shared" si="49"/>
        <v>7.7016040920624869E-3</v>
      </c>
      <c r="G66" s="83">
        <f t="shared" si="49"/>
        <v>5.1885868129808391E-3</v>
      </c>
      <c r="H66" s="83">
        <f t="shared" si="49"/>
        <v>6.0231586258097736E-3</v>
      </c>
      <c r="I66" s="83">
        <f t="shared" si="49"/>
        <v>4.0157655982747077E-3</v>
      </c>
      <c r="J66" s="83">
        <f t="shared" si="49"/>
        <v>3.470875605773712E-3</v>
      </c>
      <c r="K66" s="83">
        <f t="shared" si="49"/>
        <v>4.0613932926104627E-3</v>
      </c>
      <c r="L66" s="83">
        <f t="shared" si="49"/>
        <v>3.4196059258353863E-3</v>
      </c>
      <c r="M66" s="83">
        <f t="shared" si="49"/>
        <v>2.5941925397742964E-3</v>
      </c>
      <c r="N66" s="83">
        <f t="shared" si="49"/>
        <v>2.9762605300254477E-3</v>
      </c>
      <c r="O66" s="83">
        <f t="shared" si="49"/>
        <v>2.7964051244814842E-3</v>
      </c>
      <c r="P66" s="83">
        <f t="shared" si="49"/>
        <v>3.2147629592132955E-3</v>
      </c>
      <c r="Q66" s="83">
        <f t="shared" si="49"/>
        <v>2.9214391836326708E-3</v>
      </c>
      <c r="R66" s="83">
        <f t="shared" si="49"/>
        <v>3.2428926602529455E-3</v>
      </c>
      <c r="S66" s="83">
        <f t="shared" si="49"/>
        <v>2.4446225369569997E-3</v>
      </c>
      <c r="T66" s="83">
        <f t="shared" ref="T66:Y66" si="50">T24/T$23</f>
        <v>2.3430415169831587E-3</v>
      </c>
      <c r="U66" s="83">
        <f t="shared" si="50"/>
        <v>2.5730266074342357E-3</v>
      </c>
      <c r="V66" s="83">
        <f t="shared" si="50"/>
        <v>2.5827448482385719E-3</v>
      </c>
      <c r="W66" s="83">
        <f t="shared" si="50"/>
        <v>2.3691673565728985E-3</v>
      </c>
      <c r="X66" s="83">
        <f t="shared" si="50"/>
        <v>2.182056533094241E-3</v>
      </c>
      <c r="Y66" s="83">
        <f t="shared" si="50"/>
        <v>2.0950229541645414E-3</v>
      </c>
    </row>
    <row r="67" spans="1:25" x14ac:dyDescent="0.25">
      <c r="A67" s="64" t="s">
        <v>56</v>
      </c>
      <c r="B67" s="65"/>
      <c r="C67" s="65"/>
      <c r="D67" s="83">
        <f t="shared" si="46"/>
        <v>1.3657137561518089E-3</v>
      </c>
      <c r="E67" s="83">
        <f t="shared" ref="E67:S67" si="51">E25/E$23</f>
        <v>1.0922228134539447E-3</v>
      </c>
      <c r="F67" s="83">
        <f t="shared" si="51"/>
        <v>1.2531272436998022E-3</v>
      </c>
      <c r="G67" s="83">
        <f t="shared" si="51"/>
        <v>1.26093735356513E-3</v>
      </c>
      <c r="H67" s="83">
        <f t="shared" si="51"/>
        <v>1.1854725724754823E-3</v>
      </c>
      <c r="I67" s="83">
        <f t="shared" si="51"/>
        <v>1.0374061128876329E-3</v>
      </c>
      <c r="J67" s="83">
        <f t="shared" si="51"/>
        <v>1.0265970101584218E-3</v>
      </c>
      <c r="K67" s="83">
        <f t="shared" si="51"/>
        <v>1.0517433983790079E-3</v>
      </c>
      <c r="L67" s="83">
        <f t="shared" si="51"/>
        <v>8.6670759452529681E-4</v>
      </c>
      <c r="M67" s="83">
        <f t="shared" si="51"/>
        <v>8.7991821601565061E-4</v>
      </c>
      <c r="N67" s="83">
        <f t="shared" si="51"/>
        <v>8.3167912877688238E-4</v>
      </c>
      <c r="O67" s="83">
        <f t="shared" si="51"/>
        <v>8.7686018728125607E-4</v>
      </c>
      <c r="P67" s="83">
        <f t="shared" si="51"/>
        <v>7.5091104942818013E-4</v>
      </c>
      <c r="Q67" s="83">
        <f t="shared" si="51"/>
        <v>7.0196322530520646E-4</v>
      </c>
      <c r="R67" s="83">
        <f t="shared" si="51"/>
        <v>6.8965517241379316E-4</v>
      </c>
      <c r="S67" s="83">
        <f t="shared" si="51"/>
        <v>5.9551085747507428E-4</v>
      </c>
      <c r="T67" s="83">
        <f t="shared" ref="T67:Y67" si="52">T25/T$23</f>
        <v>5.7408409261630556E-4</v>
      </c>
      <c r="U67" s="83">
        <f t="shared" si="52"/>
        <v>6.5646133386152046E-4</v>
      </c>
      <c r="V67" s="83">
        <f t="shared" si="52"/>
        <v>6.3516120647681392E-4</v>
      </c>
      <c r="W67" s="83">
        <f t="shared" si="52"/>
        <v>6.7111729580243435E-4</v>
      </c>
      <c r="X67" s="83">
        <f t="shared" si="52"/>
        <v>6.7074889538694578E-4</v>
      </c>
      <c r="Y67" s="83">
        <f t="shared" si="52"/>
        <v>5.6929971580558191E-4</v>
      </c>
    </row>
    <row r="68" spans="1:25" x14ac:dyDescent="0.25">
      <c r="A68" s="64" t="s">
        <v>146</v>
      </c>
      <c r="B68" s="65"/>
      <c r="C68" s="65"/>
      <c r="D68" s="83">
        <f t="shared" si="46"/>
        <v>0.81278447269057352</v>
      </c>
      <c r="E68" s="83">
        <f t="shared" ref="E68:S68" si="53">E26/E$23</f>
        <v>0.81808223166653826</v>
      </c>
      <c r="F68" s="83">
        <f t="shared" si="53"/>
        <v>0.81890591225051346</v>
      </c>
      <c r="G68" s="83">
        <f t="shared" si="53"/>
        <v>0.81967479985516944</v>
      </c>
      <c r="H68" s="83">
        <f t="shared" si="53"/>
        <v>0.82623680459601589</v>
      </c>
      <c r="I68" s="83">
        <f t="shared" si="53"/>
        <v>0.83935901052466277</v>
      </c>
      <c r="J68" s="83">
        <f t="shared" si="53"/>
        <v>0.85180985151405342</v>
      </c>
      <c r="K68" s="83">
        <f t="shared" si="53"/>
        <v>0.83923493195033194</v>
      </c>
      <c r="L68" s="83">
        <f t="shared" si="53"/>
        <v>0.85926271017764666</v>
      </c>
      <c r="M68" s="83">
        <f t="shared" si="53"/>
        <v>0.88090217759628209</v>
      </c>
      <c r="N68" s="83">
        <f t="shared" si="53"/>
        <v>0.88119033952170001</v>
      </c>
      <c r="O68" s="83">
        <f t="shared" si="53"/>
        <v>0.88392418331146705</v>
      </c>
      <c r="P68" s="83">
        <f t="shared" si="53"/>
        <v>0.88621881856142337</v>
      </c>
      <c r="Q68" s="83">
        <f t="shared" si="53"/>
        <v>0.88666939604806161</v>
      </c>
      <c r="R68" s="83">
        <f t="shared" si="53"/>
        <v>0.88199836603352988</v>
      </c>
      <c r="S68" s="83">
        <f t="shared" si="53"/>
        <v>0.87733552197418274</v>
      </c>
      <c r="T68" s="83">
        <f t="shared" ref="T68:Y68" si="54">T26/T$23</f>
        <v>0.87136298512883636</v>
      </c>
      <c r="U68" s="83">
        <f t="shared" si="54"/>
        <v>0.88455836454828163</v>
      </c>
      <c r="V68" s="83">
        <f t="shared" si="54"/>
        <v>0.88267747088387349</v>
      </c>
      <c r="W68" s="83">
        <f t="shared" si="54"/>
        <v>0.87613814910217735</v>
      </c>
      <c r="X68" s="83">
        <f t="shared" si="54"/>
        <v>0.8799453104513737</v>
      </c>
      <c r="Y68" s="83">
        <f t="shared" si="54"/>
        <v>0.88555748557358061</v>
      </c>
    </row>
    <row r="69" spans="1:25" x14ac:dyDescent="0.25">
      <c r="A69" s="68" t="s">
        <v>148</v>
      </c>
      <c r="B69" s="69"/>
      <c r="C69" s="69"/>
      <c r="D69" s="84">
        <f t="shared" si="46"/>
        <v>0.22499158622775228</v>
      </c>
      <c r="E69" s="84">
        <f t="shared" ref="E69:S69" si="55">E27/E$23</f>
        <v>0.23366100017736954</v>
      </c>
      <c r="F69" s="84">
        <f t="shared" si="55"/>
        <v>0.24104638354612712</v>
      </c>
      <c r="G69" s="84">
        <f t="shared" si="55"/>
        <v>0.2439019195215254</v>
      </c>
      <c r="H69" s="84">
        <f t="shared" si="55"/>
        <v>0.24124965573397519</v>
      </c>
      <c r="I69" s="84">
        <f t="shared" si="55"/>
        <v>0.23770729530750356</v>
      </c>
      <c r="J69" s="84">
        <f t="shared" si="55"/>
        <v>0.2191540188828669</v>
      </c>
      <c r="K69" s="84">
        <f t="shared" si="55"/>
        <v>0.21000404059610675</v>
      </c>
      <c r="L69" s="84">
        <f t="shared" si="55"/>
        <v>0.20690421492126013</v>
      </c>
      <c r="M69" s="84">
        <f t="shared" si="55"/>
        <v>0.22223487836340902</v>
      </c>
      <c r="N69" s="84">
        <f t="shared" si="55"/>
        <v>0.21893560763575595</v>
      </c>
      <c r="O69" s="84">
        <f t="shared" si="55"/>
        <v>0.2207979176454922</v>
      </c>
      <c r="P69" s="84">
        <f t="shared" si="55"/>
        <v>0.22151156235080743</v>
      </c>
      <c r="Q69" s="84">
        <f t="shared" si="55"/>
        <v>0.22215659459238427</v>
      </c>
      <c r="R69" s="84">
        <f t="shared" si="55"/>
        <v>0.22334017944006054</v>
      </c>
      <c r="S69" s="84">
        <f t="shared" si="55"/>
        <v>0.21861304511953616</v>
      </c>
      <c r="T69" s="84">
        <f t="shared" ref="T69:Y69" si="56">T27/T$23</f>
        <v>0.21526985844448507</v>
      </c>
      <c r="U69" s="84">
        <f t="shared" si="56"/>
        <v>0.2261754524961565</v>
      </c>
      <c r="V69" s="84">
        <f t="shared" si="56"/>
        <v>0.23604933390442931</v>
      </c>
      <c r="W69" s="84">
        <f t="shared" si="56"/>
        <v>0.23942505856863544</v>
      </c>
      <c r="X69" s="84">
        <f t="shared" si="56"/>
        <v>0.24847425852530342</v>
      </c>
      <c r="Y69" s="84">
        <f t="shared" si="56"/>
        <v>0.25100955816269527</v>
      </c>
    </row>
    <row r="70" spans="1:25" x14ac:dyDescent="0.25">
      <c r="A70" s="68" t="s">
        <v>150</v>
      </c>
      <c r="B70" s="71"/>
      <c r="C70" s="71"/>
      <c r="D70" s="84">
        <f t="shared" si="46"/>
        <v>0.49406158393530425</v>
      </c>
      <c r="E70" s="84">
        <f t="shared" ref="E70:S70" si="57">E28/E$23</f>
        <v>0.48558172533863581</v>
      </c>
      <c r="F70" s="84">
        <f t="shared" si="57"/>
        <v>0.47923866945535798</v>
      </c>
      <c r="G70" s="84">
        <f t="shared" si="57"/>
        <v>0.47928825198299441</v>
      </c>
      <c r="H70" s="84">
        <f t="shared" si="57"/>
        <v>0.49149213876016346</v>
      </c>
      <c r="I70" s="84">
        <f t="shared" si="57"/>
        <v>0.51430802409459353</v>
      </c>
      <c r="J70" s="84">
        <f t="shared" si="57"/>
        <v>0.54261029399782945</v>
      </c>
      <c r="K70" s="84">
        <f t="shared" si="57"/>
        <v>0.54829403655551068</v>
      </c>
      <c r="L70" s="84">
        <f t="shared" si="57"/>
        <v>0.55102602067319839</v>
      </c>
      <c r="M70" s="84">
        <f t="shared" si="57"/>
        <v>0.56025446437470283</v>
      </c>
      <c r="N70" s="84">
        <f t="shared" si="57"/>
        <v>0.55946898072230566</v>
      </c>
      <c r="O70" s="84">
        <f t="shared" si="57"/>
        <v>0.53841979241779747</v>
      </c>
      <c r="P70" s="84">
        <f t="shared" si="57"/>
        <v>0.55249539977016848</v>
      </c>
      <c r="Q70" s="84">
        <f t="shared" si="57"/>
        <v>0.55176808407202294</v>
      </c>
      <c r="R70" s="84">
        <f t="shared" si="57"/>
        <v>0.55021511187979688</v>
      </c>
      <c r="S70" s="84">
        <f t="shared" si="57"/>
        <v>0.56004061585916065</v>
      </c>
      <c r="T70" s="84">
        <f t="shared" ref="T70:Y70" si="58">T28/T$23</f>
        <v>0.5554896061588519</v>
      </c>
      <c r="U70" s="84">
        <f t="shared" si="58"/>
        <v>0.55766578949850498</v>
      </c>
      <c r="V70" s="84">
        <f t="shared" si="58"/>
        <v>0.54970182201574913</v>
      </c>
      <c r="W70" s="84">
        <f t="shared" si="58"/>
        <v>0.53940920540416759</v>
      </c>
      <c r="X70" s="84">
        <f t="shared" si="58"/>
        <v>0.53824117752940248</v>
      </c>
      <c r="Y70" s="84">
        <f t="shared" si="58"/>
        <v>0.54339581967014017</v>
      </c>
    </row>
    <row r="71" spans="1:25" x14ac:dyDescent="0.25">
      <c r="A71" s="68" t="s">
        <v>152</v>
      </c>
      <c r="B71" s="71"/>
      <c r="C71" s="71"/>
      <c r="D71" s="84">
        <f t="shared" si="46"/>
        <v>9.3731302527516852E-2</v>
      </c>
      <c r="E71" s="84">
        <f t="shared" ref="E71:S71" si="59">E29/E$23</f>
        <v>9.8839506150532927E-2</v>
      </c>
      <c r="F71" s="84">
        <f t="shared" si="59"/>
        <v>9.8620859249028511E-2</v>
      </c>
      <c r="G71" s="84">
        <f t="shared" si="59"/>
        <v>9.6484628350649554E-2</v>
      </c>
      <c r="H71" s="84">
        <f t="shared" si="59"/>
        <v>9.3495010101877316E-2</v>
      </c>
      <c r="I71" s="84">
        <f t="shared" si="59"/>
        <v>8.7343691122565639E-2</v>
      </c>
      <c r="J71" s="84">
        <f t="shared" si="59"/>
        <v>9.0045538633357111E-2</v>
      </c>
      <c r="K71" s="84">
        <f t="shared" si="59"/>
        <v>8.0936854798714444E-2</v>
      </c>
      <c r="L71" s="84">
        <f t="shared" si="59"/>
        <v>0.1013324745831883</v>
      </c>
      <c r="M71" s="84">
        <f t="shared" si="59"/>
        <v>9.8412834858170373E-2</v>
      </c>
      <c r="N71" s="84">
        <f t="shared" si="59"/>
        <v>0.10278575116363867</v>
      </c>
      <c r="O71" s="84">
        <f t="shared" si="59"/>
        <v>0.12470647324817748</v>
      </c>
      <c r="P71" s="84">
        <f t="shared" si="59"/>
        <v>0.11221185644044739</v>
      </c>
      <c r="Q71" s="84">
        <f t="shared" si="59"/>
        <v>0.11274471738365451</v>
      </c>
      <c r="R71" s="84">
        <f t="shared" si="59"/>
        <v>0.10844307471367237</v>
      </c>
      <c r="S71" s="84">
        <f t="shared" si="59"/>
        <v>9.8681860995485843E-2</v>
      </c>
      <c r="T71" s="84">
        <f t="shared" ref="T71:Y71" si="60">T29/T$23</f>
        <v>0.10060352052549934</v>
      </c>
      <c r="U71" s="84">
        <f t="shared" si="60"/>
        <v>0.10071712255362016</v>
      </c>
      <c r="V71" s="84">
        <f t="shared" si="60"/>
        <v>9.6926314963695193E-2</v>
      </c>
      <c r="W71" s="84">
        <f t="shared" si="60"/>
        <v>9.7303885129374337E-2</v>
      </c>
      <c r="X71" s="84">
        <f t="shared" si="60"/>
        <v>9.32298743966678E-2</v>
      </c>
      <c r="Y71" s="84">
        <f t="shared" si="60"/>
        <v>9.1152107740745225E-2</v>
      </c>
    </row>
    <row r="72" spans="1:25" x14ac:dyDescent="0.25">
      <c r="A72" s="64" t="s">
        <v>154</v>
      </c>
      <c r="B72" s="65"/>
      <c r="C72" s="65"/>
      <c r="D72" s="83">
        <f t="shared" si="46"/>
        <v>9.925812477746182E-3</v>
      </c>
      <c r="E72" s="83">
        <f t="shared" ref="E72:S72" si="61">E30/E$23</f>
        <v>1.0628168146301846E-2</v>
      </c>
      <c r="F72" s="83">
        <f t="shared" si="61"/>
        <v>1.0725163776149554E-2</v>
      </c>
      <c r="G72" s="83">
        <f t="shared" si="61"/>
        <v>1.2162081569015021E-2</v>
      </c>
      <c r="H72" s="83">
        <f t="shared" si="61"/>
        <v>1.1782878902180551E-2</v>
      </c>
      <c r="I72" s="83">
        <f t="shared" si="61"/>
        <v>1.1236707072209414E-2</v>
      </c>
      <c r="J72" s="83">
        <f t="shared" si="61"/>
        <v>1.0745048706324815E-2</v>
      </c>
      <c r="K72" s="83">
        <f t="shared" si="61"/>
        <v>1.0327288284648111E-2</v>
      </c>
      <c r="L72" s="83">
        <f t="shared" si="61"/>
        <v>8.6170735840303547E-3</v>
      </c>
      <c r="M72" s="83">
        <f t="shared" si="61"/>
        <v>1.0482132534477702E-2</v>
      </c>
      <c r="N72" s="83">
        <f t="shared" si="61"/>
        <v>8.7326308521572665E-3</v>
      </c>
      <c r="O72" s="83">
        <f t="shared" si="61"/>
        <v>7.8339543379454344E-3</v>
      </c>
      <c r="P72" s="83">
        <f t="shared" si="61"/>
        <v>7.2116249667128112E-3</v>
      </c>
      <c r="Q72" s="83">
        <f t="shared" si="61"/>
        <v>7.8488121146585363E-3</v>
      </c>
      <c r="R72" s="83">
        <f t="shared" si="61"/>
        <v>8.6671711166360407E-3</v>
      </c>
      <c r="S72" s="83">
        <f t="shared" si="61"/>
        <v>8.4986464744747896E-3</v>
      </c>
      <c r="T72" s="83">
        <f t="shared" ref="T72:Y72" si="62">T30/T$23</f>
        <v>8.9381974148701401E-3</v>
      </c>
      <c r="U72" s="83">
        <f t="shared" si="62"/>
        <v>7.9775143129321002E-3</v>
      </c>
      <c r="V72" s="83">
        <f t="shared" si="62"/>
        <v>7.5359039973055993E-3</v>
      </c>
      <c r="W72" s="83">
        <f t="shared" si="62"/>
        <v>7.8420320233922244E-3</v>
      </c>
      <c r="X72" s="83">
        <f t="shared" si="62"/>
        <v>7.6788012783285276E-3</v>
      </c>
      <c r="Y72" s="83">
        <f t="shared" si="62"/>
        <v>7.2506011804998917E-3</v>
      </c>
    </row>
    <row r="73" spans="1:25" x14ac:dyDescent="0.25">
      <c r="A73" s="64" t="s">
        <v>37</v>
      </c>
      <c r="B73" s="65"/>
      <c r="C73" s="65"/>
      <c r="D73" s="83">
        <f t="shared" si="46"/>
        <v>6.1310792552957995E-2</v>
      </c>
      <c r="E73" s="83">
        <f t="shared" ref="E73:S73" si="63">E31/E$23</f>
        <v>6.2462075596755068E-2</v>
      </c>
      <c r="F73" s="83">
        <f t="shared" si="63"/>
        <v>6.4484768483626831E-2</v>
      </c>
      <c r="G73" s="83">
        <f t="shared" si="63"/>
        <v>6.3362102016647784E-2</v>
      </c>
      <c r="H73" s="83">
        <f t="shared" si="63"/>
        <v>6.1788267413873624E-2</v>
      </c>
      <c r="I73" s="83">
        <f t="shared" si="63"/>
        <v>5.6666914553431987E-2</v>
      </c>
      <c r="J73" s="83">
        <f t="shared" si="63"/>
        <v>5.4572593444770702E-2</v>
      </c>
      <c r="K73" s="83">
        <f t="shared" si="63"/>
        <v>5.7064506928433907E-2</v>
      </c>
      <c r="L73" s="83">
        <f t="shared" si="63"/>
        <v>5.4285896834017154E-2</v>
      </c>
      <c r="M73" s="83">
        <f t="shared" si="63"/>
        <v>5.4591948605941874E-2</v>
      </c>
      <c r="N73" s="83">
        <f t="shared" si="63"/>
        <v>5.2487322123972495E-2</v>
      </c>
      <c r="O73" s="83">
        <f t="shared" si="63"/>
        <v>5.1398076937572076E-2</v>
      </c>
      <c r="P73" s="83">
        <f t="shared" si="63"/>
        <v>5.2750901453120856E-2</v>
      </c>
      <c r="Q73" s="83">
        <f t="shared" si="63"/>
        <v>5.2017973893328857E-2</v>
      </c>
      <c r="R73" s="83">
        <f t="shared" si="63"/>
        <v>5.3561777105177816E-2</v>
      </c>
      <c r="S73" s="83">
        <f t="shared" si="63"/>
        <v>5.21728071574349E-2</v>
      </c>
      <c r="T73" s="83">
        <f t="shared" ref="T73:Y73" si="64">T31/T$23</f>
        <v>5.4442632457741572E-2</v>
      </c>
      <c r="U73" s="83">
        <f t="shared" si="64"/>
        <v>5.2937570149873138E-2</v>
      </c>
      <c r="V73" s="83">
        <f t="shared" si="64"/>
        <v>5.305151944471901E-2</v>
      </c>
      <c r="W73" s="83">
        <f t="shared" si="64"/>
        <v>5.8628525127265678E-2</v>
      </c>
      <c r="X73" s="83">
        <f t="shared" si="64"/>
        <v>5.6446491219132817E-2</v>
      </c>
      <c r="Y73" s="83">
        <f t="shared" si="64"/>
        <v>5.40242658310865E-2</v>
      </c>
    </row>
    <row r="74" spans="1:25" x14ac:dyDescent="0.25">
      <c r="A74" s="64" t="s">
        <v>58</v>
      </c>
      <c r="B74" s="65"/>
      <c r="C74" s="65"/>
      <c r="D74" s="83">
        <f t="shared" si="46"/>
        <v>0.10792121111742665</v>
      </c>
      <c r="E74" s="83">
        <f t="shared" ref="E74:S74" si="65">E32/E$23</f>
        <v>0.10149002774104747</v>
      </c>
      <c r="F74" s="83">
        <f t="shared" si="65"/>
        <v>9.692942415394798E-2</v>
      </c>
      <c r="G74" s="83">
        <f t="shared" si="65"/>
        <v>9.8351492392621739E-2</v>
      </c>
      <c r="H74" s="83">
        <f t="shared" si="65"/>
        <v>9.2983417889644648E-2</v>
      </c>
      <c r="I74" s="83">
        <f t="shared" si="65"/>
        <v>8.7684196138533524E-2</v>
      </c>
      <c r="J74" s="83">
        <f t="shared" si="65"/>
        <v>7.8375033718918949E-2</v>
      </c>
      <c r="K74" s="83">
        <f t="shared" si="65"/>
        <v>8.8260136145596718E-2</v>
      </c>
      <c r="L74" s="83">
        <f t="shared" si="65"/>
        <v>7.3548005883944917E-2</v>
      </c>
      <c r="M74" s="83">
        <f t="shared" si="65"/>
        <v>5.054963050750836E-2</v>
      </c>
      <c r="N74" s="83">
        <f t="shared" si="65"/>
        <v>5.3781767843367828E-2</v>
      </c>
      <c r="O74" s="83">
        <f t="shared" si="65"/>
        <v>5.3170520101252408E-2</v>
      </c>
      <c r="P74" s="83">
        <f t="shared" si="65"/>
        <v>4.9852981010101445E-2</v>
      </c>
      <c r="Q74" s="83">
        <f t="shared" si="65"/>
        <v>4.9840415535013144E-2</v>
      </c>
      <c r="R74" s="83">
        <f t="shared" si="65"/>
        <v>5.1840137911989763E-2</v>
      </c>
      <c r="S74" s="83">
        <f t="shared" si="65"/>
        <v>5.8952890999475538E-2</v>
      </c>
      <c r="T74" s="83">
        <f t="shared" ref="T74:Y74" si="66">T32/T$23</f>
        <v>6.2339059388952539E-2</v>
      </c>
      <c r="U74" s="83">
        <f t="shared" si="66"/>
        <v>5.1297063047617511E-2</v>
      </c>
      <c r="V74" s="83">
        <f t="shared" si="66"/>
        <v>5.3517199619386419E-2</v>
      </c>
      <c r="W74" s="83">
        <f t="shared" si="66"/>
        <v>5.4351009094789418E-2</v>
      </c>
      <c r="X74" s="83">
        <f t="shared" si="66"/>
        <v>5.307659162268373E-2</v>
      </c>
      <c r="Y74" s="83">
        <f t="shared" si="66"/>
        <v>5.0503324744862729E-2</v>
      </c>
    </row>
    <row r="75" spans="1:25" x14ac:dyDescent="0.25">
      <c r="A75" s="85" t="s">
        <v>158</v>
      </c>
      <c r="B75" s="86"/>
      <c r="C75" s="86"/>
      <c r="D75" s="87">
        <f t="shared" si="46"/>
        <v>3.2235722194311804E-2</v>
      </c>
      <c r="E75" s="87">
        <f t="shared" ref="E75:S75" si="67">E33/E$23</f>
        <v>2.9942774992765191E-2</v>
      </c>
      <c r="F75" s="87">
        <f t="shared" si="67"/>
        <v>2.5075923456668994E-2</v>
      </c>
      <c r="G75" s="87">
        <f t="shared" si="67"/>
        <v>2.8068635887299465E-2</v>
      </c>
      <c r="H75" s="87">
        <f t="shared" si="67"/>
        <v>2.7517333045946044E-2</v>
      </c>
      <c r="I75" s="87">
        <f t="shared" si="67"/>
        <v>2.6689968022607272E-2</v>
      </c>
      <c r="J75" s="87">
        <f t="shared" si="67"/>
        <v>2.20017663986651E-2</v>
      </c>
      <c r="K75" s="87">
        <f t="shared" si="67"/>
        <v>3.4535212606659857E-2</v>
      </c>
      <c r="L75" s="87">
        <f t="shared" si="67"/>
        <v>2.8809693791095683E-2</v>
      </c>
      <c r="M75" s="87">
        <f t="shared" si="67"/>
        <v>8.8561347954973241E-3</v>
      </c>
      <c r="N75" s="87">
        <f t="shared" si="67"/>
        <v>1.1266898386071729E-2</v>
      </c>
      <c r="O75" s="87">
        <f t="shared" si="67"/>
        <v>1.2836328644183199E-2</v>
      </c>
      <c r="P75" s="87">
        <f t="shared" si="67"/>
        <v>1.3101358597211793E-2</v>
      </c>
      <c r="Q75" s="87">
        <f t="shared" si="67"/>
        <v>1.1803886468239003E-2</v>
      </c>
      <c r="R75" s="87">
        <f t="shared" si="67"/>
        <v>3.0331856015565891E-3</v>
      </c>
      <c r="S75" s="87">
        <f t="shared" si="67"/>
        <v>8.4037684734533363E-3</v>
      </c>
      <c r="T75" s="87">
        <f t="shared" ref="T75:Y75" si="68">T33/T$23</f>
        <v>1.6352639424592592E-2</v>
      </c>
      <c r="U75" s="87">
        <f t="shared" si="68"/>
        <v>1.661526272601228E-2</v>
      </c>
      <c r="V75" s="87">
        <f t="shared" si="68"/>
        <v>1.8621022920716507E-2</v>
      </c>
      <c r="W75" s="87">
        <f t="shared" si="68"/>
        <v>1.8911142461040246E-2</v>
      </c>
      <c r="X75" s="87">
        <f t="shared" si="68"/>
        <v>1.8467715728561419E-2</v>
      </c>
      <c r="Y75" s="87">
        <f t="shared" si="68"/>
        <v>1.7572361303183976E-2</v>
      </c>
    </row>
    <row r="76" spans="1:25" x14ac:dyDescent="0.25">
      <c r="A76" s="88" t="s">
        <v>5</v>
      </c>
      <c r="B76" s="44"/>
      <c r="C76" s="44"/>
      <c r="D76" s="89">
        <f t="shared" si="46"/>
        <v>3.2235722194311804E-2</v>
      </c>
      <c r="E76" s="89">
        <f t="shared" ref="E76:S76" si="69">E34/E$23</f>
        <v>2.9942774992765191E-2</v>
      </c>
      <c r="F76" s="89">
        <f t="shared" si="69"/>
        <v>2.5075923456668994E-2</v>
      </c>
      <c r="G76" s="89">
        <f t="shared" si="69"/>
        <v>2.8068635887299468E-2</v>
      </c>
      <c r="H76" s="89">
        <f t="shared" si="69"/>
        <v>2.7517333045946044E-2</v>
      </c>
      <c r="I76" s="89">
        <f t="shared" si="69"/>
        <v>2.6689968022607272E-2</v>
      </c>
      <c r="J76" s="89">
        <f t="shared" si="69"/>
        <v>2.2001766398665096E-2</v>
      </c>
      <c r="K76" s="89">
        <f t="shared" si="69"/>
        <v>3.4535212606659857E-2</v>
      </c>
      <c r="L76" s="89">
        <f t="shared" si="69"/>
        <v>2.8809693791095683E-2</v>
      </c>
      <c r="M76" s="89">
        <f t="shared" si="69"/>
        <v>8.8561347954973241E-3</v>
      </c>
      <c r="N76" s="89">
        <f t="shared" si="69"/>
        <v>1.1266898386071729E-2</v>
      </c>
      <c r="O76" s="89">
        <f t="shared" si="69"/>
        <v>1.2836328644183199E-2</v>
      </c>
      <c r="P76" s="89">
        <f t="shared" si="69"/>
        <v>1.3101358597211793E-2</v>
      </c>
      <c r="Q76" s="89">
        <f t="shared" si="69"/>
        <v>1.1803886468239003E-2</v>
      </c>
      <c r="R76" s="89">
        <f t="shared" si="69"/>
        <v>3.0331856015565891E-3</v>
      </c>
      <c r="S76" s="89">
        <f t="shared" si="69"/>
        <v>8.4037684734533363E-3</v>
      </c>
      <c r="T76" s="89">
        <f t="shared" ref="T76:Y76" si="70">T34/T$23</f>
        <v>1.6352639424592592E-2</v>
      </c>
      <c r="U76" s="89">
        <f t="shared" si="70"/>
        <v>1.661526272601228E-2</v>
      </c>
      <c r="V76" s="89">
        <f t="shared" si="70"/>
        <v>1.8621022920716507E-2</v>
      </c>
      <c r="W76" s="89">
        <f t="shared" si="70"/>
        <v>1.8911142461040246E-2</v>
      </c>
      <c r="X76" s="89">
        <f t="shared" si="70"/>
        <v>1.8467715728561419E-2</v>
      </c>
      <c r="Y76" s="89">
        <f t="shared" si="70"/>
        <v>1.7572361303183976E-2</v>
      </c>
    </row>
    <row r="77" spans="1:25" x14ac:dyDescent="0.25">
      <c r="A77" s="88" t="s">
        <v>269</v>
      </c>
      <c r="B77" s="44"/>
      <c r="C77" s="44"/>
      <c r="D77" s="89">
        <f>D37/D$23</f>
        <v>0</v>
      </c>
      <c r="E77" s="89">
        <f t="shared" ref="E77:S77" si="71">E37/E$23</f>
        <v>0</v>
      </c>
      <c r="F77" s="89">
        <f t="shared" si="71"/>
        <v>0</v>
      </c>
      <c r="G77" s="89">
        <f t="shared" si="71"/>
        <v>0</v>
      </c>
      <c r="H77" s="89">
        <f t="shared" si="71"/>
        <v>0</v>
      </c>
      <c r="I77" s="89">
        <f t="shared" si="71"/>
        <v>0</v>
      </c>
      <c r="J77" s="89">
        <f t="shared" si="71"/>
        <v>0</v>
      </c>
      <c r="K77" s="89">
        <f t="shared" si="71"/>
        <v>0</v>
      </c>
      <c r="L77" s="89">
        <f t="shared" si="71"/>
        <v>0</v>
      </c>
      <c r="M77" s="89">
        <f t="shared" si="71"/>
        <v>0</v>
      </c>
      <c r="N77" s="89">
        <f t="shared" si="71"/>
        <v>0</v>
      </c>
      <c r="O77" s="89">
        <f t="shared" si="71"/>
        <v>0</v>
      </c>
      <c r="P77" s="89">
        <f t="shared" si="71"/>
        <v>0</v>
      </c>
      <c r="Q77" s="89">
        <f t="shared" si="71"/>
        <v>0</v>
      </c>
      <c r="R77" s="89">
        <f t="shared" si="71"/>
        <v>0</v>
      </c>
      <c r="S77" s="89">
        <f t="shared" si="71"/>
        <v>0</v>
      </c>
      <c r="T77" s="89">
        <f t="shared" ref="T77:Y77" si="72">T37/T$23</f>
        <v>0</v>
      </c>
      <c r="U77" s="89">
        <f t="shared" si="72"/>
        <v>0</v>
      </c>
      <c r="V77" s="89">
        <f t="shared" si="72"/>
        <v>0</v>
      </c>
      <c r="W77" s="89">
        <f t="shared" si="72"/>
        <v>0</v>
      </c>
      <c r="X77" s="89">
        <f t="shared" si="72"/>
        <v>0</v>
      </c>
      <c r="Y77" s="89">
        <f t="shared" si="72"/>
        <v>0</v>
      </c>
    </row>
    <row r="78" spans="1:25" x14ac:dyDescent="0.25">
      <c r="A78" s="68" t="s">
        <v>271</v>
      </c>
      <c r="B78" s="44"/>
      <c r="C78" s="44"/>
      <c r="D78" s="89">
        <f>D43/D$23</f>
        <v>7.3938248219945603E-3</v>
      </c>
      <c r="E78" s="89">
        <f t="shared" ref="E78:S78" si="73">E43/E$23</f>
        <v>7.0298434447878828E-3</v>
      </c>
      <c r="F78" s="89">
        <f t="shared" si="73"/>
        <v>8.2454671884622036E-3</v>
      </c>
      <c r="G78" s="89">
        <f t="shared" si="73"/>
        <v>8.9093725760825068E-3</v>
      </c>
      <c r="H78" s="89">
        <f t="shared" si="73"/>
        <v>8.3464984483780074E-3</v>
      </c>
      <c r="I78" s="89">
        <f t="shared" si="73"/>
        <v>6.201942843610626E-3</v>
      </c>
      <c r="J78" s="89">
        <f t="shared" si="73"/>
        <v>5.142001525002029E-3</v>
      </c>
      <c r="K78" s="89">
        <f t="shared" si="73"/>
        <v>4.3300127446283705E-3</v>
      </c>
      <c r="L78" s="89">
        <f t="shared" si="73"/>
        <v>5.5048391451713776E-3</v>
      </c>
      <c r="M78" s="89">
        <f t="shared" si="73"/>
        <v>4.3707609833084768E-3</v>
      </c>
      <c r="N78" s="89">
        <f t="shared" si="73"/>
        <v>4.1582004245365118E-3</v>
      </c>
      <c r="O78" s="89">
        <f t="shared" si="73"/>
        <v>4.3996885007158643E-3</v>
      </c>
      <c r="P78" s="89">
        <f t="shared" si="73"/>
        <v>3.490517136269352E-3</v>
      </c>
      <c r="Q78" s="89">
        <f t="shared" si="73"/>
        <v>3.8701718950147289E-3</v>
      </c>
      <c r="R78" s="89">
        <f t="shared" si="73"/>
        <v>4.9001221717342325E-3</v>
      </c>
      <c r="S78" s="89">
        <f t="shared" si="73"/>
        <v>4.7359217022339651E-3</v>
      </c>
      <c r="T78" s="89">
        <f t="shared" ref="T78:Y78" si="74">T43/T$23</f>
        <v>4.2958187310979433E-3</v>
      </c>
      <c r="U78" s="89">
        <f t="shared" si="74"/>
        <v>4.0919234711259368E-3</v>
      </c>
      <c r="V78" s="89">
        <f t="shared" si="74"/>
        <v>4.0830863318864815E-3</v>
      </c>
      <c r="W78" s="89">
        <f t="shared" si="74"/>
        <v>3.9716214532582042E-3</v>
      </c>
      <c r="X78" s="89">
        <f t="shared" si="74"/>
        <v>4.5544623838849971E-3</v>
      </c>
      <c r="Y78" s="89">
        <f t="shared" si="74"/>
        <v>4.6685118712918765E-3</v>
      </c>
    </row>
    <row r="79" spans="1:25" x14ac:dyDescent="0.25">
      <c r="A79" s="88" t="s">
        <v>272</v>
      </c>
      <c r="B79" s="44"/>
      <c r="C79" s="44"/>
      <c r="D79" s="89">
        <f>D44/D$23</f>
        <v>3.6532842977060895E-3</v>
      </c>
      <c r="E79" s="89">
        <f t="shared" ref="E79:S79" si="75">E44/E$23</f>
        <v>3.4587055759374907E-3</v>
      </c>
      <c r="F79" s="89">
        <f t="shared" si="75"/>
        <v>4.0180343294431388E-3</v>
      </c>
      <c r="G79" s="89">
        <f t="shared" si="75"/>
        <v>4.3664215790684404E-3</v>
      </c>
      <c r="H79" s="89">
        <f t="shared" si="75"/>
        <v>4.1351837881636348E-3</v>
      </c>
      <c r="I79" s="89">
        <f t="shared" si="75"/>
        <v>3.0750353238640587E-3</v>
      </c>
      <c r="J79" s="89">
        <f t="shared" si="75"/>
        <v>2.5616039682048236E-3</v>
      </c>
      <c r="K79" s="89">
        <f t="shared" si="75"/>
        <v>1.9371093100087945E-3</v>
      </c>
      <c r="L79" s="89">
        <f t="shared" si="75"/>
        <v>2.7473519582869189E-3</v>
      </c>
      <c r="M79" s="89">
        <f t="shared" si="75"/>
        <v>2.175590670019279E-3</v>
      </c>
      <c r="N79" s="89">
        <f t="shared" si="75"/>
        <v>2.1027359104924957E-3</v>
      </c>
      <c r="O79" s="89">
        <f t="shared" si="75"/>
        <v>2.2210441419960756E-3</v>
      </c>
      <c r="P79" s="89">
        <f t="shared" si="75"/>
        <v>1.7537251665559095E-3</v>
      </c>
      <c r="Q79" s="89">
        <f t="shared" si="75"/>
        <v>1.9673144113731673E-3</v>
      </c>
      <c r="R79" s="89">
        <f t="shared" si="75"/>
        <v>2.1878715814506542E-3</v>
      </c>
      <c r="S79" s="89">
        <f t="shared" si="75"/>
        <v>2.1075028311999242E-3</v>
      </c>
      <c r="T79" s="89">
        <f t="shared" ref="T79:Y79" si="76">T44/T$23</f>
        <v>2.014159443586021E-3</v>
      </c>
      <c r="U79" s="89">
        <f t="shared" si="76"/>
        <v>2.0731350744649744E-3</v>
      </c>
      <c r="V79" s="89">
        <f t="shared" si="76"/>
        <v>1.8981618764162998E-3</v>
      </c>
      <c r="W79" s="89">
        <f t="shared" si="76"/>
        <v>1.7526554050483522E-3</v>
      </c>
      <c r="X79" s="89">
        <f t="shared" si="76"/>
        <v>2.3875264478836599E-3</v>
      </c>
      <c r="Y79" s="89">
        <f t="shared" si="76"/>
        <v>2.6066336321018246E-3</v>
      </c>
    </row>
    <row r="80" spans="1:25" x14ac:dyDescent="0.25">
      <c r="A80" s="88" t="s">
        <v>11</v>
      </c>
      <c r="B80" s="44"/>
      <c r="C80" s="44"/>
      <c r="D80" s="89">
        <f>D47/D$23</f>
        <v>3.7405405242884704E-3</v>
      </c>
      <c r="E80" s="89">
        <f t="shared" ref="E80:S80" si="77">E47/E$23</f>
        <v>3.5711378688503916E-3</v>
      </c>
      <c r="F80" s="89">
        <f t="shared" si="77"/>
        <v>4.2274328590190648E-3</v>
      </c>
      <c r="G80" s="89">
        <f t="shared" si="77"/>
        <v>4.5429509970140664E-3</v>
      </c>
      <c r="H80" s="89">
        <f t="shared" si="77"/>
        <v>4.2113146602143717E-3</v>
      </c>
      <c r="I80" s="89">
        <f t="shared" si="77"/>
        <v>3.1269075197465678E-3</v>
      </c>
      <c r="J80" s="89">
        <f t="shared" si="77"/>
        <v>2.5803975567972059E-3</v>
      </c>
      <c r="K80" s="89">
        <f t="shared" si="77"/>
        <v>2.392903434619576E-3</v>
      </c>
      <c r="L80" s="89">
        <f t="shared" si="77"/>
        <v>2.7574871868844587E-3</v>
      </c>
      <c r="M80" s="89">
        <f t="shared" si="77"/>
        <v>2.1951703132891977E-3</v>
      </c>
      <c r="N80" s="89">
        <f t="shared" si="77"/>
        <v>2.0554645140440165E-3</v>
      </c>
      <c r="O80" s="89">
        <f t="shared" si="77"/>
        <v>2.1786443587197891E-3</v>
      </c>
      <c r="P80" s="89">
        <f t="shared" si="77"/>
        <v>1.7367919697134425E-3</v>
      </c>
      <c r="Q80" s="89">
        <f t="shared" si="77"/>
        <v>1.9028574836415619E-3</v>
      </c>
      <c r="R80" s="89">
        <f t="shared" si="77"/>
        <v>2.7122505902835788E-3</v>
      </c>
      <c r="S80" s="89">
        <f t="shared" si="77"/>
        <v>2.6284188710340413E-3</v>
      </c>
      <c r="T80" s="89">
        <f t="shared" ref="T80:Y80" si="78">T47/T$23</f>
        <v>2.2816592875119224E-3</v>
      </c>
      <c r="U80" s="89">
        <f t="shared" si="78"/>
        <v>2.0187883966609624E-3</v>
      </c>
      <c r="V80" s="89">
        <f t="shared" si="78"/>
        <v>2.184924455470182E-3</v>
      </c>
      <c r="W80" s="89">
        <f t="shared" si="78"/>
        <v>2.2189660482098525E-3</v>
      </c>
      <c r="X80" s="89">
        <f t="shared" si="78"/>
        <v>2.1669359360013372E-3</v>
      </c>
      <c r="Y80" s="89">
        <f t="shared" si="78"/>
        <v>2.0618782391900515E-3</v>
      </c>
    </row>
    <row r="81" spans="1:25" x14ac:dyDescent="0.25">
      <c r="A81" s="68" t="s">
        <v>4</v>
      </c>
      <c r="B81" s="44"/>
      <c r="C81" s="44"/>
      <c r="D81" s="89">
        <f>D48/D$23</f>
        <v>2.8899478589998102E-2</v>
      </c>
      <c r="E81" s="89">
        <f t="shared" ref="E81:S81" si="79">E48/E$23</f>
        <v>2.5671903735028614E-2</v>
      </c>
      <c r="F81" s="89">
        <f t="shared" si="79"/>
        <v>2.5182952118052614E-2</v>
      </c>
      <c r="G81" s="89">
        <f t="shared" si="79"/>
        <v>2.3766113160607637E-2</v>
      </c>
      <c r="H81" s="89">
        <f t="shared" si="79"/>
        <v>2.0396514630807119E-2</v>
      </c>
      <c r="I81" s="89">
        <f t="shared" si="79"/>
        <v>1.8967055848888227E-2</v>
      </c>
      <c r="J81" s="89">
        <f t="shared" si="79"/>
        <v>1.7846492786119106E-2</v>
      </c>
      <c r="K81" s="89">
        <f t="shared" si="79"/>
        <v>1.7879637772443134E-2</v>
      </c>
      <c r="L81" s="89">
        <f t="shared" si="79"/>
        <v>1.4459016120205673E-2</v>
      </c>
      <c r="M81" s="89">
        <f t="shared" si="79"/>
        <v>1.2321702655986149E-2</v>
      </c>
      <c r="N81" s="89">
        <f t="shared" si="79"/>
        <v>1.2794258798668266E-2</v>
      </c>
      <c r="O81" s="89">
        <f t="shared" si="79"/>
        <v>1.1459482275615499E-2</v>
      </c>
      <c r="P81" s="89">
        <f t="shared" si="79"/>
        <v>9.7858344109186795E-3</v>
      </c>
      <c r="Q81" s="89">
        <f t="shared" si="79"/>
        <v>1.2832978186890326E-2</v>
      </c>
      <c r="R81" s="89">
        <f t="shared" si="79"/>
        <v>1.3397470543725006E-2</v>
      </c>
      <c r="S81" s="89">
        <f t="shared" si="79"/>
        <v>1.410250457735888E-2</v>
      </c>
      <c r="T81" s="89">
        <f t="shared" ref="T81:Y81" si="80">T48/T$23</f>
        <v>1.4424106082956125E-2</v>
      </c>
      <c r="U81" s="89">
        <f t="shared" si="80"/>
        <v>1.074672476726748E-2</v>
      </c>
      <c r="V81" s="89">
        <f t="shared" si="80"/>
        <v>1.2084536844841284E-2</v>
      </c>
      <c r="W81" s="89">
        <f t="shared" si="80"/>
        <v>1.2272816526864022E-2</v>
      </c>
      <c r="X81" s="89">
        <f t="shared" si="80"/>
        <v>1.1985044651524871E-2</v>
      </c>
      <c r="Y81" s="89">
        <f t="shared" si="80"/>
        <v>1.1403984009006255E-2</v>
      </c>
    </row>
    <row r="82" spans="1:25" x14ac:dyDescent="0.25">
      <c r="A82" s="68" t="s">
        <v>3</v>
      </c>
      <c r="B82" s="44"/>
      <c r="C82" s="44"/>
      <c r="D82" s="89">
        <f>D52/D$23</f>
        <v>4.8824266782427168E-3</v>
      </c>
      <c r="E82" s="89">
        <f t="shared" ref="E82:S82" si="81">E52/E$23</f>
        <v>4.7376331438280074E-3</v>
      </c>
      <c r="F82" s="89">
        <f t="shared" si="81"/>
        <v>5.2042686597781832E-3</v>
      </c>
      <c r="G82" s="89">
        <f t="shared" si="81"/>
        <v>5.4910413808967988E-3</v>
      </c>
      <c r="H82" s="89">
        <f t="shared" si="81"/>
        <v>4.8456690336203222E-3</v>
      </c>
      <c r="I82" s="89">
        <f t="shared" si="81"/>
        <v>4.2648917974269351E-3</v>
      </c>
      <c r="J82" s="89">
        <f t="shared" si="81"/>
        <v>3.4741346439011987E-3</v>
      </c>
      <c r="K82" s="89">
        <f t="shared" si="81"/>
        <v>2.8818957526204445E-3</v>
      </c>
      <c r="L82" s="89">
        <f t="shared" si="81"/>
        <v>2.4917843342602288E-3</v>
      </c>
      <c r="M82" s="89">
        <f t="shared" si="81"/>
        <v>2.5230017455982732E-3</v>
      </c>
      <c r="N82" s="89">
        <f t="shared" si="81"/>
        <v>2.1236586558705298E-3</v>
      </c>
      <c r="O82" s="89">
        <f t="shared" si="81"/>
        <v>1.8944200034672406E-3</v>
      </c>
      <c r="P82" s="89">
        <f t="shared" si="81"/>
        <v>1.7393307055445068E-3</v>
      </c>
      <c r="Q82" s="89">
        <f t="shared" si="81"/>
        <v>1.4925237508916522E-3</v>
      </c>
      <c r="R82" s="89">
        <f t="shared" si="81"/>
        <v>1.645227542968328E-3</v>
      </c>
      <c r="S82" s="89">
        <f t="shared" si="81"/>
        <v>1.5321787824528184E-3</v>
      </c>
      <c r="T82" s="89">
        <f t="shared" ref="T82:Y82" si="82">T52/T$23</f>
        <v>1.4606840507778958E-3</v>
      </c>
      <c r="U82" s="89">
        <f t="shared" si="82"/>
        <v>1.4991886331672717E-3</v>
      </c>
      <c r="V82" s="89">
        <f t="shared" si="82"/>
        <v>1.4149572602378377E-3</v>
      </c>
      <c r="W82" s="89">
        <f t="shared" si="82"/>
        <v>1.4370025985452853E-3</v>
      </c>
      <c r="X82" s="89">
        <f t="shared" si="82"/>
        <v>1.4033078935241977E-3</v>
      </c>
      <c r="Y82" s="89">
        <f t="shared" si="82"/>
        <v>1.3352725202760165E-3</v>
      </c>
    </row>
    <row r="83" spans="1:25" x14ac:dyDescent="0.25">
      <c r="A83" s="88" t="s">
        <v>21</v>
      </c>
      <c r="B83" s="44"/>
      <c r="C83" s="44"/>
      <c r="D83" s="89">
        <f>D53/D$23</f>
        <v>0</v>
      </c>
      <c r="E83" s="89">
        <f t="shared" ref="E83:S83" si="83">E53/E$23</f>
        <v>0</v>
      </c>
      <c r="F83" s="89">
        <f t="shared" si="83"/>
        <v>0</v>
      </c>
      <c r="G83" s="89">
        <f t="shared" si="83"/>
        <v>0</v>
      </c>
      <c r="H83" s="89">
        <f t="shared" si="83"/>
        <v>0</v>
      </c>
      <c r="I83" s="89">
        <f t="shared" si="83"/>
        <v>0</v>
      </c>
      <c r="J83" s="89">
        <f t="shared" si="83"/>
        <v>0</v>
      </c>
      <c r="K83" s="89">
        <f t="shared" si="83"/>
        <v>0</v>
      </c>
      <c r="L83" s="89">
        <f t="shared" si="83"/>
        <v>0</v>
      </c>
      <c r="M83" s="89">
        <f t="shared" si="83"/>
        <v>0</v>
      </c>
      <c r="N83" s="89">
        <f t="shared" si="83"/>
        <v>0</v>
      </c>
      <c r="O83" s="89">
        <f t="shared" si="83"/>
        <v>0</v>
      </c>
      <c r="P83" s="89">
        <f t="shared" si="83"/>
        <v>0</v>
      </c>
      <c r="Q83" s="89">
        <f t="shared" si="83"/>
        <v>0</v>
      </c>
      <c r="R83" s="89">
        <f t="shared" si="83"/>
        <v>0</v>
      </c>
      <c r="S83" s="89">
        <f t="shared" si="83"/>
        <v>0</v>
      </c>
      <c r="T83" s="89">
        <f t="shared" ref="T83:Y83" si="84">T53/T$23</f>
        <v>0</v>
      </c>
      <c r="U83" s="89">
        <f t="shared" si="84"/>
        <v>0</v>
      </c>
      <c r="V83" s="89">
        <f t="shared" si="84"/>
        <v>0</v>
      </c>
      <c r="W83" s="89">
        <f t="shared" si="84"/>
        <v>0</v>
      </c>
      <c r="X83" s="89">
        <f t="shared" si="84"/>
        <v>0</v>
      </c>
      <c r="Y83" s="89">
        <f t="shared" si="84"/>
        <v>0</v>
      </c>
    </row>
    <row r="84" spans="1:25" x14ac:dyDescent="0.25">
      <c r="A84" s="88" t="s">
        <v>16</v>
      </c>
      <c r="B84" s="44"/>
      <c r="C84" s="44"/>
      <c r="D84" s="89">
        <f t="shared" ref="D84:D90" si="85">D56/D$23</f>
        <v>4.8824266782427168E-3</v>
      </c>
      <c r="E84" s="89">
        <f t="shared" ref="E84:S84" si="86">E56/E$23</f>
        <v>4.7376331438280074E-3</v>
      </c>
      <c r="F84" s="89">
        <f t="shared" si="86"/>
        <v>5.2042686597781832E-3</v>
      </c>
      <c r="G84" s="89">
        <f t="shared" si="86"/>
        <v>5.4910413808967988E-3</v>
      </c>
      <c r="H84" s="89">
        <f t="shared" si="86"/>
        <v>4.8456690336203222E-3</v>
      </c>
      <c r="I84" s="89">
        <f t="shared" si="86"/>
        <v>4.2648917974269351E-3</v>
      </c>
      <c r="J84" s="89">
        <f t="shared" si="86"/>
        <v>3.4741346439011987E-3</v>
      </c>
      <c r="K84" s="89">
        <f t="shared" si="86"/>
        <v>2.8818957526204445E-3</v>
      </c>
      <c r="L84" s="89">
        <f t="shared" si="86"/>
        <v>2.4917843342602288E-3</v>
      </c>
      <c r="M84" s="89">
        <f t="shared" si="86"/>
        <v>2.5230017455982732E-3</v>
      </c>
      <c r="N84" s="89">
        <f t="shared" si="86"/>
        <v>2.1236586558705298E-3</v>
      </c>
      <c r="O84" s="89">
        <f t="shared" si="86"/>
        <v>1.8944200034672406E-3</v>
      </c>
      <c r="P84" s="89">
        <f t="shared" si="86"/>
        <v>1.7393307055445068E-3</v>
      </c>
      <c r="Q84" s="89">
        <f t="shared" si="86"/>
        <v>1.4925237508916522E-3</v>
      </c>
      <c r="R84" s="89">
        <f t="shared" si="86"/>
        <v>1.645227542968328E-3</v>
      </c>
      <c r="S84" s="89">
        <f t="shared" si="86"/>
        <v>1.5321787824528184E-3</v>
      </c>
      <c r="T84" s="89">
        <f t="shared" ref="T84:Y84" si="87">T56/T$23</f>
        <v>1.4606840507778958E-3</v>
      </c>
      <c r="U84" s="89">
        <f t="shared" si="87"/>
        <v>1.4991886331672717E-3</v>
      </c>
      <c r="V84" s="89">
        <f t="shared" si="87"/>
        <v>1.4149572602378377E-3</v>
      </c>
      <c r="W84" s="89">
        <f t="shared" si="87"/>
        <v>1.4370025985452853E-3</v>
      </c>
      <c r="X84" s="89">
        <f t="shared" si="87"/>
        <v>1.4033078935241977E-3</v>
      </c>
      <c r="Y84" s="89">
        <f t="shared" si="87"/>
        <v>1.3352725202760165E-3</v>
      </c>
    </row>
    <row r="85" spans="1:25" x14ac:dyDescent="0.25">
      <c r="A85" s="68" t="s">
        <v>2</v>
      </c>
      <c r="B85" s="44"/>
      <c r="C85" s="44"/>
      <c r="D85" s="89">
        <f t="shared" si="85"/>
        <v>9.5112208017715267E-3</v>
      </c>
      <c r="E85" s="89">
        <f t="shared" ref="E85:S85" si="88">E57/E$23</f>
        <v>9.1485329673920146E-3</v>
      </c>
      <c r="F85" s="89">
        <f t="shared" si="88"/>
        <v>9.1464910207412608E-3</v>
      </c>
      <c r="G85" s="89">
        <f t="shared" si="88"/>
        <v>9.4698099222137976E-3</v>
      </c>
      <c r="H85" s="89">
        <f t="shared" si="88"/>
        <v>9.4119337572295871E-3</v>
      </c>
      <c r="I85" s="89">
        <f t="shared" si="88"/>
        <v>9.5411615973823166E-3</v>
      </c>
      <c r="J85" s="89">
        <f t="shared" si="88"/>
        <v>7.9292397641760014E-3</v>
      </c>
      <c r="K85" s="89">
        <f t="shared" si="88"/>
        <v>7.5553205143441158E-3</v>
      </c>
      <c r="L85" s="89">
        <f t="shared" si="88"/>
        <v>6.3502998752718864E-3</v>
      </c>
      <c r="M85" s="89">
        <f t="shared" si="88"/>
        <v>7.7683394604876853E-3</v>
      </c>
      <c r="N85" s="89">
        <f t="shared" si="88"/>
        <v>7.4301899523746022E-3</v>
      </c>
      <c r="O85" s="89">
        <f t="shared" si="88"/>
        <v>6.2711834597536245E-3</v>
      </c>
      <c r="P85" s="89">
        <f t="shared" si="88"/>
        <v>6.1992145422441443E-3</v>
      </c>
      <c r="Q85" s="89">
        <f t="shared" si="88"/>
        <v>5.9791819061595572E-3</v>
      </c>
      <c r="R85" s="89">
        <f t="shared" si="88"/>
        <v>5.8826072856988446E-3</v>
      </c>
      <c r="S85" s="89">
        <f t="shared" si="88"/>
        <v>5.7653525727078382E-3</v>
      </c>
      <c r="T85" s="89">
        <f t="shared" ref="T85:Y85" si="89">T57/T$23</f>
        <v>5.6124017732387286E-3</v>
      </c>
      <c r="U85" s="89">
        <f t="shared" si="89"/>
        <v>5.2328268394593617E-3</v>
      </c>
      <c r="V85" s="89">
        <f t="shared" si="89"/>
        <v>5.1599983892165364E-3</v>
      </c>
      <c r="W85" s="89">
        <f t="shared" si="89"/>
        <v>5.2403922734367879E-3</v>
      </c>
      <c r="X85" s="89">
        <f t="shared" si="89"/>
        <v>5.1175160364508639E-3</v>
      </c>
      <c r="Y85" s="89">
        <f t="shared" si="89"/>
        <v>4.8694078947877353E-3</v>
      </c>
    </row>
    <row r="86" spans="1:25" x14ac:dyDescent="0.25">
      <c r="A86" s="68" t="s">
        <v>275</v>
      </c>
      <c r="B86" s="44"/>
      <c r="C86" s="44"/>
      <c r="D86" s="89">
        <f t="shared" si="85"/>
        <v>4.9751001116958755E-4</v>
      </c>
      <c r="E86" s="89">
        <f t="shared" ref="E86:S86" si="90">E58/E$23</f>
        <v>4.8543236153508653E-4</v>
      </c>
      <c r="F86" s="89">
        <f t="shared" si="90"/>
        <v>4.6825039355330694E-4</v>
      </c>
      <c r="G86" s="89">
        <f t="shared" si="90"/>
        <v>7.1140722312627272E-4</v>
      </c>
      <c r="H86" s="89">
        <f t="shared" si="90"/>
        <v>8.1825547931809383E-4</v>
      </c>
      <c r="I86" s="89">
        <f t="shared" si="90"/>
        <v>9.0726556109169327E-4</v>
      </c>
      <c r="J86" s="89">
        <f t="shared" si="90"/>
        <v>8.8645837067647857E-4</v>
      </c>
      <c r="K86" s="89">
        <f t="shared" si="90"/>
        <v>1.5092814869393674E-3</v>
      </c>
      <c r="L86" s="89">
        <f t="shared" si="90"/>
        <v>1.3389521171833113E-3</v>
      </c>
      <c r="M86" s="89">
        <f t="shared" si="90"/>
        <v>7.0336504645911234E-4</v>
      </c>
      <c r="N86" s="89">
        <f t="shared" si="90"/>
        <v>8.4214050146589996E-4</v>
      </c>
      <c r="O86" s="89">
        <f t="shared" si="90"/>
        <v>9.1454758788073686E-4</v>
      </c>
      <c r="P86" s="89">
        <f t="shared" si="90"/>
        <v>9.2364458156501386E-4</v>
      </c>
      <c r="Q86" s="89">
        <f t="shared" si="90"/>
        <v>9.0869025929476554E-4</v>
      </c>
      <c r="R86" s="89">
        <f t="shared" si="90"/>
        <v>8.690952329477896E-4</v>
      </c>
      <c r="S86" s="89">
        <f t="shared" si="90"/>
        <v>7.9536026388196364E-4</v>
      </c>
      <c r="T86" s="89">
        <f t="shared" ref="T86:Y86" si="91">T58/T$23</f>
        <v>8.5042287618076454E-4</v>
      </c>
      <c r="U86" s="89">
        <f t="shared" si="91"/>
        <v>8.3755411561642281E-4</v>
      </c>
      <c r="V86" s="89">
        <f t="shared" si="91"/>
        <v>7.4864822319601406E-4</v>
      </c>
      <c r="W86" s="89">
        <f t="shared" si="91"/>
        <v>7.603123234606764E-4</v>
      </c>
      <c r="X86" s="89">
        <f t="shared" si="91"/>
        <v>7.4248458989301287E-4</v>
      </c>
      <c r="Y86" s="89">
        <f t="shared" si="91"/>
        <v>7.0648734621077804E-4</v>
      </c>
    </row>
    <row r="87" spans="1:25" x14ac:dyDescent="0.25">
      <c r="A87" s="68" t="s">
        <v>276</v>
      </c>
      <c r="B87" s="44"/>
      <c r="C87" s="44"/>
      <c r="D87" s="89">
        <f t="shared" si="85"/>
        <v>1.3350391624125595E-2</v>
      </c>
      <c r="E87" s="89">
        <f t="shared" ref="E87:S87" si="92">E59/E$23</f>
        <v>1.3829745244638087E-2</v>
      </c>
      <c r="F87" s="89">
        <f t="shared" si="92"/>
        <v>1.3146886505587452E-2</v>
      </c>
      <c r="G87" s="89">
        <f t="shared" si="92"/>
        <v>1.1661797965694559E-2</v>
      </c>
      <c r="H87" s="89">
        <f t="shared" si="92"/>
        <v>1.0209939226499161E-2</v>
      </c>
      <c r="I87" s="89">
        <f t="shared" si="92"/>
        <v>1.0411428168511034E-2</v>
      </c>
      <c r="J87" s="89">
        <f t="shared" si="92"/>
        <v>1.1886472691117827E-2</v>
      </c>
      <c r="K87" s="89">
        <f t="shared" si="92"/>
        <v>1.0519177947739648E-2</v>
      </c>
      <c r="L87" s="89">
        <f t="shared" si="92"/>
        <v>8.4874882702899272E-3</v>
      </c>
      <c r="M87" s="89">
        <f t="shared" si="92"/>
        <v>9.1640328054371119E-3</v>
      </c>
      <c r="N87" s="89">
        <f t="shared" si="92"/>
        <v>8.748518130538693E-3</v>
      </c>
      <c r="O87" s="89">
        <f t="shared" si="92"/>
        <v>9.3612377048412701E-3</v>
      </c>
      <c r="P87" s="89">
        <f t="shared" si="92"/>
        <v>9.5556626937320678E-3</v>
      </c>
      <c r="Q87" s="89">
        <f t="shared" si="92"/>
        <v>8.1540719611032531E-3</v>
      </c>
      <c r="R87" s="89">
        <f t="shared" si="92"/>
        <v>1.7616362532622058E-2</v>
      </c>
      <c r="S87" s="89">
        <f t="shared" si="92"/>
        <v>1.8646458847372087E-2</v>
      </c>
      <c r="T87" s="89">
        <f t="shared" ref="T87:Y87" si="93">T59/T$23</f>
        <v>1.370706920379507E-2</v>
      </c>
      <c r="U87" s="89">
        <f t="shared" si="93"/>
        <v>6.49634511210599E-3</v>
      </c>
      <c r="V87" s="89">
        <f t="shared" si="93"/>
        <v>5.8397058880293989E-3</v>
      </c>
      <c r="W87" s="89">
        <f t="shared" si="93"/>
        <v>5.8127024060294855E-3</v>
      </c>
      <c r="X87" s="89">
        <f t="shared" si="93"/>
        <v>4.6103401401111745E-3</v>
      </c>
      <c r="Y87" s="89">
        <f t="shared" si="93"/>
        <v>4.3216449560883417E-3</v>
      </c>
    </row>
    <row r="88" spans="1:25" x14ac:dyDescent="0.25">
      <c r="A88" s="68" t="s">
        <v>1</v>
      </c>
      <c r="B88" s="44"/>
      <c r="C88" s="44"/>
      <c r="D88" s="89">
        <f t="shared" si="85"/>
        <v>7.7699357626779706E-3</v>
      </c>
      <c r="E88" s="89">
        <f t="shared" ref="E88:S88" si="94">E60/E$23</f>
        <v>7.4028435134100689E-3</v>
      </c>
      <c r="F88" s="89">
        <f t="shared" si="94"/>
        <v>7.3403823598927912E-3</v>
      </c>
      <c r="G88" s="89">
        <f t="shared" si="94"/>
        <v>7.514505039489491E-3</v>
      </c>
      <c r="H88" s="89">
        <f t="shared" si="94"/>
        <v>8.2663760861842548E-3</v>
      </c>
      <c r="I88" s="89">
        <f t="shared" si="94"/>
        <v>7.2432512828140101E-3</v>
      </c>
      <c r="J88" s="89">
        <f t="shared" si="94"/>
        <v>6.1758772515879664E-3</v>
      </c>
      <c r="K88" s="89">
        <f t="shared" si="94"/>
        <v>5.8707484610082466E-3</v>
      </c>
      <c r="L88" s="89">
        <f t="shared" si="94"/>
        <v>3.608503734898592E-3</v>
      </c>
      <c r="M88" s="89">
        <f t="shared" si="94"/>
        <v>3.1950428426199351E-3</v>
      </c>
      <c r="N88" s="89">
        <f t="shared" si="94"/>
        <v>4.5402357470335471E-3</v>
      </c>
      <c r="O88" s="89">
        <f t="shared" si="94"/>
        <v>4.2436013075015516E-3</v>
      </c>
      <c r="P88" s="89">
        <f t="shared" si="94"/>
        <v>3.3898955681853633E-3</v>
      </c>
      <c r="Q88" s="89">
        <f t="shared" si="94"/>
        <v>3.2985456412399981E-3</v>
      </c>
      <c r="R88" s="89">
        <f t="shared" si="94"/>
        <v>2.9942708896335533E-3</v>
      </c>
      <c r="S88" s="89">
        <f t="shared" si="94"/>
        <v>3.7345596146741949E-3</v>
      </c>
      <c r="T88" s="89">
        <f t="shared" ref="T88:Y88" si="95">T60/T$23</f>
        <v>4.3610930561123412E-3</v>
      </c>
      <c r="U88" s="89">
        <f t="shared" si="95"/>
        <v>4.4480914518547857E-3</v>
      </c>
      <c r="V88" s="89">
        <f t="shared" si="95"/>
        <v>4.2868805347801098E-3</v>
      </c>
      <c r="W88" s="89">
        <f t="shared" si="95"/>
        <v>4.646738651776435E-3</v>
      </c>
      <c r="X88" s="89">
        <f t="shared" si="95"/>
        <v>4.9278817580073837E-3</v>
      </c>
      <c r="Y88" s="89">
        <f t="shared" si="95"/>
        <v>4.4192839272267975E-3</v>
      </c>
    </row>
    <row r="89" spans="1:25" x14ac:dyDescent="0.25">
      <c r="A89" s="68" t="s">
        <v>0</v>
      </c>
      <c r="B89" s="44"/>
      <c r="C89" s="44"/>
      <c r="D89" s="89">
        <f t="shared" si="85"/>
        <v>1.8339584725467148E-3</v>
      </c>
      <c r="E89" s="89">
        <f t="shared" ref="E89:S89" si="96">E61/E$23</f>
        <v>1.5729875561281172E-3</v>
      </c>
      <c r="F89" s="89">
        <f t="shared" si="96"/>
        <v>1.7570538577143136E-3</v>
      </c>
      <c r="G89" s="89">
        <f t="shared" si="96"/>
        <v>1.6443304678247981E-3</v>
      </c>
      <c r="H89" s="89">
        <f t="shared" si="96"/>
        <v>1.9278897390762892E-3</v>
      </c>
      <c r="I89" s="89">
        <f t="shared" si="96"/>
        <v>1.665799062988027E-3</v>
      </c>
      <c r="J89" s="89">
        <f t="shared" si="96"/>
        <v>1.3557598610346143E-3</v>
      </c>
      <c r="K89" s="89">
        <f t="shared" si="96"/>
        <v>1.2389180709718823E-3</v>
      </c>
      <c r="L89" s="89">
        <f t="shared" si="96"/>
        <v>1.0528274946316907E-3</v>
      </c>
      <c r="M89" s="89">
        <f t="shared" si="96"/>
        <v>9.5110901019167411E-4</v>
      </c>
      <c r="N89" s="89">
        <f t="shared" si="96"/>
        <v>1.2632107521988497E-3</v>
      </c>
      <c r="O89" s="89">
        <f t="shared" si="96"/>
        <v>1.1331345113577264E-3</v>
      </c>
      <c r="P89" s="89">
        <f t="shared" si="96"/>
        <v>1.0411993464914701E-3</v>
      </c>
      <c r="Q89" s="89">
        <f t="shared" si="96"/>
        <v>9.0641853364652853E-4</v>
      </c>
      <c r="R89" s="89">
        <f t="shared" si="96"/>
        <v>8.1720895038374223E-4</v>
      </c>
      <c r="S89" s="89">
        <f t="shared" si="96"/>
        <v>6.5405260278618329E-4</v>
      </c>
      <c r="T89" s="89">
        <f t="shared" ref="T89:Y89" si="97">T61/T$23</f>
        <v>6.235331125850305E-4</v>
      </c>
      <c r="U89" s="89">
        <f t="shared" si="97"/>
        <v>6.3996985131251104E-4</v>
      </c>
      <c r="V89" s="89">
        <f t="shared" si="97"/>
        <v>6.0401337591180432E-4</v>
      </c>
      <c r="W89" s="89">
        <f t="shared" si="97"/>
        <v>6.1342403416162394E-4</v>
      </c>
      <c r="X89" s="89">
        <f t="shared" si="97"/>
        <v>5.990405237178394E-4</v>
      </c>
      <c r="Y89" s="89">
        <f t="shared" si="97"/>
        <v>5.6999775569094779E-4</v>
      </c>
    </row>
    <row r="90" spans="1:25" x14ac:dyDescent="0.25">
      <c r="A90" s="90" t="s">
        <v>278</v>
      </c>
      <c r="B90" s="47"/>
      <c r="C90" s="47"/>
      <c r="D90" s="91">
        <f t="shared" si="85"/>
        <v>1.5467421605880806E-3</v>
      </c>
      <c r="E90" s="91">
        <f t="shared" ref="E90:S90" si="98">E62/E$23</f>
        <v>1.6683307815343914E-3</v>
      </c>
      <c r="F90" s="91">
        <f t="shared" si="98"/>
        <v>1.3617485934968618E-3</v>
      </c>
      <c r="G90" s="91">
        <f t="shared" si="98"/>
        <v>1.1144787693864032E-3</v>
      </c>
      <c r="H90" s="91">
        <f t="shared" si="98"/>
        <v>1.2430084425857728E-3</v>
      </c>
      <c r="I90" s="91">
        <f t="shared" si="98"/>
        <v>1.7914319532133811E-3</v>
      </c>
      <c r="J90" s="91">
        <f t="shared" si="98"/>
        <v>1.6768304266386389E-3</v>
      </c>
      <c r="K90" s="91">
        <f t="shared" si="98"/>
        <v>1.9399307882416578E-3</v>
      </c>
      <c r="L90" s="91">
        <f t="shared" si="98"/>
        <v>1.4446010009365477E-3</v>
      </c>
      <c r="M90" s="91">
        <f t="shared" si="98"/>
        <v>6.9614116192261524E-4</v>
      </c>
      <c r="N90" s="91">
        <f t="shared" si="98"/>
        <v>6.1445649460920536E-4</v>
      </c>
      <c r="O90" s="91">
        <f t="shared" si="98"/>
        <v>6.5689610593570489E-4</v>
      </c>
      <c r="P90" s="91">
        <f t="shared" si="98"/>
        <v>6.2632342793905629E-4</v>
      </c>
      <c r="Q90" s="91">
        <f t="shared" si="98"/>
        <v>5.9394693253332826E-4</v>
      </c>
      <c r="R90" s="91">
        <f t="shared" si="98"/>
        <v>6.8458716071962962E-4</v>
      </c>
      <c r="S90" s="91">
        <f t="shared" si="98"/>
        <v>5.8273356255427204E-4</v>
      </c>
      <c r="T90" s="91">
        <f t="shared" ref="T90:Y90" si="99">T62/T$23</f>
        <v>6.512910776160487E-4</v>
      </c>
      <c r="U90" s="91">
        <f t="shared" si="99"/>
        <v>6.891760796954719E-4</v>
      </c>
      <c r="V90" s="91">
        <f t="shared" si="99"/>
        <v>6.7434985057045129E-4</v>
      </c>
      <c r="W90" s="91">
        <f t="shared" si="99"/>
        <v>6.8485636621665798E-4</v>
      </c>
      <c r="X90" s="91">
        <f t="shared" si="99"/>
        <v>6.6879791700797536E-4</v>
      </c>
      <c r="Y90" s="91">
        <f t="shared" si="99"/>
        <v>6.3637316110000939E-4</v>
      </c>
    </row>
    <row r="91" spans="1:25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40" t="s">
        <v>139</v>
      </c>
      <c r="B93" s="41"/>
      <c r="C93" s="41"/>
      <c r="D93" s="41"/>
      <c r="E93" s="92">
        <f t="shared" ref="E93:E94" si="100">IF(D16=0,"",E16/D16-1)</f>
        <v>3.0747203157800884E-2</v>
      </c>
      <c r="F93" s="92">
        <f t="shared" ref="F93:F94" si="101">IF(E16=0,"",F16/E16-1)</f>
        <v>3.2244905624199127E-2</v>
      </c>
      <c r="G93" s="92">
        <f t="shared" ref="G93:G94" si="102">IF(F16=0,"",G16/F16-1)</f>
        <v>2.6198276777858576E-2</v>
      </c>
      <c r="H93" s="92">
        <f t="shared" ref="H93:H94" si="103">IF(G16=0,"",H16/G16-1)</f>
        <v>4.2318826157037526E-2</v>
      </c>
      <c r="I93" s="92">
        <f t="shared" ref="I93:I94" si="104">IF(H16=0,"",I16/H16-1)</f>
        <v>2.4835120852889192E-2</v>
      </c>
      <c r="J93" s="92">
        <f t="shared" ref="J93:J94" si="105">IF(I16=0,"",J16/I16-1)</f>
        <v>6.0161544896965236E-2</v>
      </c>
      <c r="K93" s="92">
        <f t="shared" ref="K93:K94" si="106">IF(J16=0,"",K16/J16-1)</f>
        <v>8.098168850826859E-2</v>
      </c>
      <c r="L93" s="92">
        <f t="shared" ref="L93:L94" si="107">IF(K16=0,"",L16/K16-1)</f>
        <v>-3.000091423871587E-3</v>
      </c>
      <c r="M93" s="92">
        <f t="shared" ref="M93:M94" si="108">IF(L16=0,"",M16/L16-1)</f>
        <v>-3.2386387726138777E-2</v>
      </c>
      <c r="N93" s="92">
        <f t="shared" ref="N93:N94" si="109">IF(M16=0,"",N16/M16-1)</f>
        <v>3.7605127490374368E-2</v>
      </c>
      <c r="O93" s="92">
        <f t="shared" ref="O93:O94" si="110">IF(N16=0,"",O16/N16-1)</f>
        <v>1.0439074527182068E-2</v>
      </c>
      <c r="P93" s="92">
        <f t="shared" ref="P93:P94" si="111">IF(O16=0,"",P16/O16-1)</f>
        <v>1.6496035877394899E-2</v>
      </c>
      <c r="Q93" s="92">
        <f t="shared" ref="Q93:Q94" si="112">IF(P16=0,"",Q16/P16-1)</f>
        <v>3.1728093953017789E-2</v>
      </c>
      <c r="R93" s="92">
        <f t="shared" ref="R93:R94" si="113">IF(Q16=0,"",R16/Q16-1)</f>
        <v>2.6225343530913214E-2</v>
      </c>
      <c r="S93" s="92">
        <f t="shared" ref="S93:S94" si="114">IF(R16=0,"",S16/R16-1)</f>
        <v>2.2698226671274968E-2</v>
      </c>
      <c r="T93" s="92">
        <f t="shared" ref="T93:T94" si="115">IF(S16=0,"",T16/S16-1)</f>
        <v>4.978664607689387E-2</v>
      </c>
      <c r="U93" s="92">
        <f t="shared" ref="U93:U94" si="116">IF(T16=0,"",U16/T16-1)</f>
        <v>1.3163159350482623E-2</v>
      </c>
      <c r="V93" s="92">
        <f t="shared" ref="V93:V94" si="117">IF(U16=0,"",V16/U16-1)</f>
        <v>1.2200473714094828E-2</v>
      </c>
      <c r="W93" s="92">
        <f t="shared" ref="W93:W94" si="118">IF(V16=0,"",W16/V16-1)</f>
        <v>2.9157930897049766E-2</v>
      </c>
      <c r="X93" s="92">
        <f t="shared" ref="X93:X94" si="119">IF(W16=0,"",X16/W16-1)</f>
        <v>-9.104678106292452E-3</v>
      </c>
      <c r="Y93" s="92">
        <f t="shared" ref="Y93:Y94" si="120">IF(X16=0,"",Y16/X16-1)</f>
        <v>7.1692980996008737E-2</v>
      </c>
    </row>
    <row r="94" spans="1:25" x14ac:dyDescent="0.25">
      <c r="A94" s="46" t="s">
        <v>141</v>
      </c>
      <c r="B94" s="47"/>
      <c r="C94" s="47"/>
      <c r="D94" s="47"/>
      <c r="E94" s="93">
        <f t="shared" si="100"/>
        <v>3.3162725820666816E-2</v>
      </c>
      <c r="F94" s="93">
        <f t="shared" si="101"/>
        <v>5.1622632513921296E-2</v>
      </c>
      <c r="G94" s="93">
        <f t="shared" si="102"/>
        <v>2.4305073056676063E-2</v>
      </c>
      <c r="H94" s="93">
        <f t="shared" si="103"/>
        <v>1.1871128197774583E-2</v>
      </c>
      <c r="I94" s="93">
        <f t="shared" si="104"/>
        <v>-4.9794391454629494E-3</v>
      </c>
      <c r="J94" s="93">
        <f t="shared" si="105"/>
        <v>4.1222415045425898E-2</v>
      </c>
      <c r="K94" s="93">
        <f t="shared" si="106"/>
        <v>2.3744278494473248E-2</v>
      </c>
      <c r="L94" s="93">
        <f t="shared" si="107"/>
        <v>2.3796513902636818E-2</v>
      </c>
      <c r="M94" s="93">
        <f t="shared" si="108"/>
        <v>2.3184986193187207E-2</v>
      </c>
      <c r="N94" s="93">
        <f t="shared" si="109"/>
        <v>3.3181502501342441E-2</v>
      </c>
      <c r="O94" s="93">
        <f t="shared" si="110"/>
        <v>1.651528160149196E-2</v>
      </c>
      <c r="P94" s="93">
        <f t="shared" si="111"/>
        <v>2.4322752696150474E-2</v>
      </c>
      <c r="Q94" s="93">
        <f t="shared" si="112"/>
        <v>7.6663277697572862E-3</v>
      </c>
      <c r="R94" s="93">
        <f t="shared" si="113"/>
        <v>3.015971033233078E-2</v>
      </c>
      <c r="S94" s="93">
        <f t="shared" si="114"/>
        <v>3.0465516895440636E-2</v>
      </c>
      <c r="T94" s="93">
        <f t="shared" si="115"/>
        <v>3.3576821742961949E-2</v>
      </c>
      <c r="U94" s="93">
        <f t="shared" si="116"/>
        <v>2.976431807605584E-2</v>
      </c>
      <c r="V94" s="93">
        <f t="shared" si="117"/>
        <v>2.6380883547250322E-2</v>
      </c>
      <c r="W94" s="93">
        <f t="shared" si="118"/>
        <v>2.5379022525549466E-2</v>
      </c>
      <c r="X94" s="93">
        <f t="shared" si="119"/>
        <v>-8.4795317076592713E-2</v>
      </c>
      <c r="Y94" s="93">
        <f t="shared" si="120"/>
        <v>0.11366531671887214</v>
      </c>
    </row>
    <row r="95" spans="1:25" x14ac:dyDescent="0.25">
      <c r="A95" s="40" t="s">
        <v>242</v>
      </c>
      <c r="B95" s="41"/>
      <c r="C95" s="41"/>
      <c r="D95" s="41"/>
      <c r="E95" s="92">
        <f t="shared" ref="E95:E96" si="121">IF(D20=0,"",E20/D20-1)</f>
        <v>1.8068308175905434E-2</v>
      </c>
      <c r="F95" s="92">
        <f t="shared" ref="F95:F96" si="122">IF(E20=0,"",F20/E20-1)</f>
        <v>2.0505604254078325E-2</v>
      </c>
      <c r="G95" s="92">
        <f t="shared" ref="G95:G96" si="123">IF(F20=0,"",G20/F20-1)</f>
        <v>1.6469651579763767E-2</v>
      </c>
      <c r="H95" s="92">
        <f t="shared" ref="H95:H96" si="124">IF(G20=0,"",H20/G20-1)</f>
        <v>2.706068613988033E-2</v>
      </c>
      <c r="I95" s="92">
        <f t="shared" ref="I95:I96" si="125">IF(H20=0,"",I20/H20-1)</f>
        <v>1.0903424719186594E-2</v>
      </c>
      <c r="J95" s="92">
        <f t="shared" ref="J95:J96" si="126">IF(I20=0,"",J20/I20-1)</f>
        <v>4.2406529618933986E-2</v>
      </c>
      <c r="K95" s="92">
        <f t="shared" ref="K95:K96" si="127">IF(J20=0,"",K20/J20-1)</f>
        <v>6.4861863796344066E-2</v>
      </c>
      <c r="L95" s="92">
        <f t="shared" ref="L95:L96" si="128">IF(K20=0,"",L20/K20-1)</f>
        <v>-1.8686695373200668E-2</v>
      </c>
      <c r="M95" s="92">
        <f t="shared" ref="M95:M96" si="129">IF(L20=0,"",M20/L20-1)</f>
        <v>-5.1407298876430141E-2</v>
      </c>
      <c r="N95" s="92">
        <f t="shared" ref="N95:N96" si="130">IF(M20=0,"",N20/M20-1)</f>
        <v>1.9902025662960066E-2</v>
      </c>
      <c r="O95" s="92">
        <f t="shared" ref="O95:O96" si="131">IF(N20=0,"",O20/N20-1)</f>
        <v>-8.8560792599948757E-3</v>
      </c>
      <c r="P95" s="92">
        <f t="shared" ref="P95:P96" si="132">IF(O20=0,"",P20/O20-1)</f>
        <v>-8.706569261324959E-3</v>
      </c>
      <c r="Q95" s="92">
        <f t="shared" ref="Q95:Q96" si="133">IF(P20=0,"",Q20/P20-1)</f>
        <v>8.3170594603432235E-3</v>
      </c>
      <c r="R95" s="92">
        <f t="shared" ref="R95:R96" si="134">IF(Q20=0,"",R20/Q20-1)</f>
        <v>2.6252224285001624E-3</v>
      </c>
      <c r="S95" s="92">
        <f t="shared" ref="S95:S96" si="135">IF(R20=0,"",S20/R20-1)</f>
        <v>-1.4232656136579092E-3</v>
      </c>
      <c r="T95" s="92">
        <f t="shared" ref="T95:T96" si="136">IF(S20=0,"",T20/S20-1)</f>
        <v>2.5573650804003423E-2</v>
      </c>
      <c r="U95" s="92">
        <f t="shared" ref="U95:U96" si="137">IF(T20=0,"",U20/T20-1)</f>
        <v>-1.1567842096212866E-2</v>
      </c>
      <c r="V95" s="92">
        <f t="shared" ref="V95:V96" si="138">IF(U20=0,"",V20/U20-1)</f>
        <v>-6.8630373380899057E-3</v>
      </c>
      <c r="W95" s="92">
        <f t="shared" ref="W95:W96" si="139">IF(V20=0,"",W20/V20-1)</f>
        <v>9.2267071997422789E-3</v>
      </c>
      <c r="X95" s="92">
        <f t="shared" ref="X95:X96" si="140">IF(W20=0,"",X20/W20-1)</f>
        <v>-2.8434882258946192E-2</v>
      </c>
      <c r="Y95" s="92">
        <f t="shared" ref="Y95:Y96" si="141">IF(X20=0,"",Y20/X20-1)</f>
        <v>5.7135394491278246E-2</v>
      </c>
    </row>
    <row r="96" spans="1:25" x14ac:dyDescent="0.25">
      <c r="A96" s="46" t="s">
        <v>243</v>
      </c>
      <c r="B96" s="47"/>
      <c r="C96" s="47"/>
      <c r="D96" s="47"/>
      <c r="E96" s="93">
        <f t="shared" si="121"/>
        <v>2.0454118259318976E-2</v>
      </c>
      <c r="F96" s="93">
        <f t="shared" si="122"/>
        <v>3.9662956139199457E-2</v>
      </c>
      <c r="G96" s="93">
        <f t="shared" si="123"/>
        <v>1.4594395919734549E-2</v>
      </c>
      <c r="H96" s="93">
        <f t="shared" si="124"/>
        <v>-2.9412986393040352E-3</v>
      </c>
      <c r="I96" s="93">
        <f t="shared" si="125"/>
        <v>-1.8505833604968824E-2</v>
      </c>
      <c r="J96" s="93">
        <f t="shared" si="126"/>
        <v>2.3784582126522347E-2</v>
      </c>
      <c r="K96" s="93">
        <f t="shared" si="127"/>
        <v>8.4779899952298621E-3</v>
      </c>
      <c r="L96" s="93">
        <f t="shared" si="128"/>
        <v>7.6882973419847289E-3</v>
      </c>
      <c r="M96" s="93">
        <f t="shared" si="129"/>
        <v>3.0716780856692161E-3</v>
      </c>
      <c r="N96" s="93">
        <f t="shared" si="130"/>
        <v>1.5553874359969466E-2</v>
      </c>
      <c r="O96" s="93">
        <f t="shared" si="131"/>
        <v>-2.8959022887333763E-3</v>
      </c>
      <c r="P96" s="93">
        <f t="shared" si="132"/>
        <v>-1.0739049981660642E-3</v>
      </c>
      <c r="Q96" s="93">
        <f t="shared" si="133"/>
        <v>-1.5198719033551855E-2</v>
      </c>
      <c r="R96" s="93">
        <f t="shared" si="134"/>
        <v>6.4691105318814834E-3</v>
      </c>
      <c r="S96" s="93">
        <f t="shared" si="135"/>
        <v>6.1608243014323882E-3</v>
      </c>
      <c r="T96" s="93">
        <f t="shared" si="136"/>
        <v>9.737700915358527E-3</v>
      </c>
      <c r="U96" s="93">
        <f t="shared" si="137"/>
        <v>4.6280874452258036E-3</v>
      </c>
      <c r="V96" s="93">
        <f t="shared" si="138"/>
        <v>7.0503024762313959E-3</v>
      </c>
      <c r="W96" s="93">
        <f t="shared" si="139"/>
        <v>5.5209831917129026E-3</v>
      </c>
      <c r="X96" s="93">
        <f t="shared" si="140"/>
        <v>-0.10264896213020402</v>
      </c>
      <c r="Y96" s="93">
        <f t="shared" si="141"/>
        <v>9.8537589400563563E-2</v>
      </c>
    </row>
    <row r="97" spans="1:25" x14ac:dyDescent="0.25">
      <c r="A97" s="94" t="s">
        <v>142</v>
      </c>
      <c r="B97" s="44"/>
      <c r="C97" s="44"/>
      <c r="D97" s="89"/>
      <c r="E97" s="89">
        <f t="shared" ref="E97:E106" si="142">IF(D23=0,"",E23/D23-1)</f>
        <v>3.6364176966020567E-2</v>
      </c>
      <c r="F97" s="89">
        <f t="shared" ref="F97:F106" si="143">IF(E23=0,"",F23/E23-1)</f>
        <v>3.0924145132064984E-2</v>
      </c>
      <c r="G97" s="89">
        <f t="shared" ref="G97:G106" si="144">IF(F23=0,"",G23/F23-1)</f>
        <v>2.5156153378447899E-2</v>
      </c>
      <c r="H97" s="89">
        <f t="shared" ref="H97:H106" si="145">IF(G23=0,"",H23/G23-1)</f>
        <v>3.6767201588369325E-2</v>
      </c>
      <c r="I97" s="89">
        <f t="shared" ref="I97:I106" si="146">IF(H23=0,"",I23/H23-1)</f>
        <v>2.1590713906949999E-2</v>
      </c>
      <c r="J97" s="89">
        <f t="shared" ref="J97:J106" si="147">IF(I23=0,"",J23/I23-1)</f>
        <v>6.8212957175713296E-2</v>
      </c>
      <c r="K97" s="89">
        <f t="shared" ref="K97:K106" si="148">IF(J23=0,"",K23/J23-1)</f>
        <v>8.1366310755856874E-2</v>
      </c>
      <c r="L97" s="89">
        <f t="shared" ref="L97:L106" si="149">IF(K23=0,"",L23/K23-1)</f>
        <v>-4.5415189839916881E-3</v>
      </c>
      <c r="M97" s="89">
        <f t="shared" ref="M97:M106" si="150">IF(L23=0,"",M23/L23-1)</f>
        <v>-3.304247494689827E-2</v>
      </c>
      <c r="N97" s="89">
        <f t="shared" ref="N97:N106" si="151">IF(M23=0,"",N23/M23-1)</f>
        <v>3.6525370670346335E-2</v>
      </c>
      <c r="O97" s="89">
        <f t="shared" ref="O97:O106" si="152">IF(N23=0,"",O23/N23-1)</f>
        <v>3.7246728461233225E-3</v>
      </c>
      <c r="P97" s="89">
        <f t="shared" ref="P97:P106" si="153">IF(O23=0,"",P23/O23-1)</f>
        <v>1.3760825592975312E-2</v>
      </c>
      <c r="Q97" s="89">
        <f t="shared" ref="Q97:Q106" si="154">IF(P23=0,"",Q23/P23-1)</f>
        <v>3.1024157209460279E-2</v>
      </c>
      <c r="R97" s="89">
        <f t="shared" ref="R97:R106" si="155">IF(Q23=0,"",R23/Q23-1)</f>
        <v>2.047471639732179E-2</v>
      </c>
      <c r="S97" s="89">
        <f t="shared" ref="S97:S106" si="156">IF(R23=0,"",S23/R23-1)</f>
        <v>4.6200359398984148E-2</v>
      </c>
      <c r="T97" s="89">
        <f t="shared" ref="T97:T106" si="157">IF(S23=0,"",T23/S23-1)</f>
        <v>5.0773288753181767E-2</v>
      </c>
      <c r="U97" s="89">
        <f t="shared" ref="U97:U106" si="158">IF(T23=0,"",U23/T23-1)</f>
        <v>9.0801793064005931E-3</v>
      </c>
      <c r="V97" s="89">
        <f t="shared" ref="V97:V106" si="159">IF(U23=0,"",V23/U23-1)</f>
        <v>9.9215436428967685E-3</v>
      </c>
      <c r="W97" s="89">
        <f t="shared" ref="W97:W106" si="160">IF(V23=0,"",W23/V23-1)</f>
        <v>3.1365535144930234E-2</v>
      </c>
      <c r="X97" s="89">
        <f t="shared" ref="X97:X106" si="161">IF(W23=0,"",X23/W23-1)</f>
        <v>-1.096141232739356E-2</v>
      </c>
      <c r="Y97" s="89">
        <f t="shared" ref="Y97:Y106" si="162">IF(X23=0,"",Y23/X23-1)</f>
        <v>7.5421466014899519E-2</v>
      </c>
    </row>
    <row r="98" spans="1:25" x14ac:dyDescent="0.25">
      <c r="A98" s="64" t="s">
        <v>33</v>
      </c>
      <c r="B98" s="65"/>
      <c r="C98" s="65"/>
      <c r="D98" s="83"/>
      <c r="E98" s="83">
        <f t="shared" si="142"/>
        <v>-3.2818171571441956E-2</v>
      </c>
      <c r="F98" s="83">
        <f t="shared" si="143"/>
        <v>0.27132445575812314</v>
      </c>
      <c r="G98" s="83">
        <f t="shared" si="144"/>
        <v>-0.3093501515940531</v>
      </c>
      <c r="H98" s="83">
        <f t="shared" si="145"/>
        <v>0.20352873302241647</v>
      </c>
      <c r="I98" s="83">
        <f t="shared" si="146"/>
        <v>-0.31888414380372065</v>
      </c>
      <c r="J98" s="83">
        <f t="shared" si="147"/>
        <v>-7.6730400692338385E-2</v>
      </c>
      <c r="K98" s="83">
        <f t="shared" si="148"/>
        <v>0.26534465080022551</v>
      </c>
      <c r="L98" s="83">
        <f t="shared" si="149"/>
        <v>-0.16184533844604265</v>
      </c>
      <c r="M98" s="83">
        <f t="shared" si="150"/>
        <v>-0.26644354578413265</v>
      </c>
      <c r="N98" s="83">
        <f t="shared" si="151"/>
        <v>0.18918295454066447</v>
      </c>
      <c r="O98" s="83">
        <f t="shared" si="152"/>
        <v>-5.6930402967309668E-2</v>
      </c>
      <c r="P98" s="83">
        <f t="shared" si="153"/>
        <v>0.16542511064882937</v>
      </c>
      <c r="Q98" s="83">
        <f t="shared" si="154"/>
        <v>-6.3049310210830711E-2</v>
      </c>
      <c r="R98" s="83">
        <f t="shared" si="155"/>
        <v>0.13276017735328516</v>
      </c>
      <c r="S98" s="83">
        <f t="shared" si="156"/>
        <v>-0.2113322133333333</v>
      </c>
      <c r="T98" s="83">
        <f t="shared" si="157"/>
        <v>7.1106697520166851E-3</v>
      </c>
      <c r="U98" s="83">
        <f t="shared" si="158"/>
        <v>0.1081281025412324</v>
      </c>
      <c r="V98" s="83">
        <f t="shared" si="159"/>
        <v>1.3735985641378567E-2</v>
      </c>
      <c r="W98" s="83">
        <f t="shared" si="160"/>
        <v>-5.3922202099771721E-2</v>
      </c>
      <c r="X98" s="83">
        <f t="shared" si="161"/>
        <v>-8.9073169218762516E-2</v>
      </c>
      <c r="Y98" s="83">
        <f t="shared" si="162"/>
        <v>3.2527169911408693E-2</v>
      </c>
    </row>
    <row r="99" spans="1:25" x14ac:dyDescent="0.25">
      <c r="A99" s="64" t="s">
        <v>56</v>
      </c>
      <c r="B99" s="65"/>
      <c r="C99" s="65"/>
      <c r="D99" s="83"/>
      <c r="E99" s="83">
        <f t="shared" si="142"/>
        <v>-0.17117288155741062</v>
      </c>
      <c r="F99" s="83">
        <f t="shared" si="143"/>
        <v>0.18279815852554848</v>
      </c>
      <c r="G99" s="83">
        <f t="shared" si="144"/>
        <v>3.1545434456850874E-2</v>
      </c>
      <c r="H99" s="83">
        <f t="shared" si="145"/>
        <v>-2.5281408271257466E-2</v>
      </c>
      <c r="I99" s="83">
        <f t="shared" si="146"/>
        <v>-0.10600677225011923</v>
      </c>
      <c r="J99" s="83">
        <f t="shared" si="147"/>
        <v>5.7082866994687675E-2</v>
      </c>
      <c r="K99" s="83">
        <f t="shared" si="148"/>
        <v>0.10785426736380899</v>
      </c>
      <c r="L99" s="83">
        <f t="shared" si="149"/>
        <v>-0.17967497883901073</v>
      </c>
      <c r="M99" s="83">
        <f t="shared" si="150"/>
        <v>-1.8303813440508354E-2</v>
      </c>
      <c r="N99" s="83">
        <f t="shared" si="151"/>
        <v>-2.0299271518984363E-2</v>
      </c>
      <c r="O99" s="83">
        <f t="shared" si="152"/>
        <v>5.8252124115505843E-2</v>
      </c>
      <c r="P99" s="83">
        <f t="shared" si="153"/>
        <v>-0.13185224228794001</v>
      </c>
      <c r="Q99" s="83">
        <f t="shared" si="154"/>
        <v>-3.6182723222058288E-2</v>
      </c>
      <c r="R99" s="83">
        <f t="shared" si="155"/>
        <v>2.5819602941694608E-3</v>
      </c>
      <c r="S99" s="83">
        <f t="shared" si="156"/>
        <v>-9.6615673981191197E-2</v>
      </c>
      <c r="T99" s="83">
        <f t="shared" si="157"/>
        <v>1.296596434359798E-2</v>
      </c>
      <c r="U99" s="83">
        <f t="shared" si="158"/>
        <v>0.15387645991340504</v>
      </c>
      <c r="V99" s="83">
        <f t="shared" si="159"/>
        <v>-2.2847267585657693E-2</v>
      </c>
      <c r="W99" s="83">
        <f t="shared" si="160"/>
        <v>8.975051037781423E-2</v>
      </c>
      <c r="X99" s="83">
        <f t="shared" si="161"/>
        <v>-1.1504331171702575E-2</v>
      </c>
      <c r="Y99" s="83">
        <f t="shared" si="162"/>
        <v>-8.7233480093450555E-2</v>
      </c>
    </row>
    <row r="100" spans="1:25" x14ac:dyDescent="0.25">
      <c r="A100" s="64" t="s">
        <v>146</v>
      </c>
      <c r="B100" s="65"/>
      <c r="C100" s="65"/>
      <c r="D100" s="83"/>
      <c r="E100" s="83">
        <f t="shared" si="142"/>
        <v>4.3119236647112924E-2</v>
      </c>
      <c r="F100" s="83">
        <f t="shared" si="143"/>
        <v>3.1962124162811856E-2</v>
      </c>
      <c r="G100" s="83">
        <f t="shared" si="144"/>
        <v>2.6118693576751451E-2</v>
      </c>
      <c r="H100" s="83">
        <f t="shared" si="145"/>
        <v>4.5067165541365029E-2</v>
      </c>
      <c r="I100" s="83">
        <f t="shared" si="146"/>
        <v>3.7815510052692902E-2</v>
      </c>
      <c r="J100" s="83">
        <f t="shared" si="147"/>
        <v>8.4058560196389687E-2</v>
      </c>
      <c r="K100" s="83">
        <f t="shared" si="148"/>
        <v>6.5402543311158912E-2</v>
      </c>
      <c r="L100" s="83">
        <f t="shared" si="149"/>
        <v>1.9214429360479901E-2</v>
      </c>
      <c r="M100" s="83">
        <f t="shared" si="150"/>
        <v>-8.6908469631062912E-3</v>
      </c>
      <c r="N100" s="83">
        <f t="shared" si="151"/>
        <v>3.6864440267576404E-2</v>
      </c>
      <c r="O100" s="83">
        <f t="shared" si="152"/>
        <v>6.8386725581330854E-3</v>
      </c>
      <c r="P100" s="83">
        <f t="shared" si="153"/>
        <v>1.6392512076216059E-2</v>
      </c>
      <c r="Q100" s="83">
        <f t="shared" si="154"/>
        <v>3.1548357625529988E-2</v>
      </c>
      <c r="R100" s="83">
        <f t="shared" si="155"/>
        <v>1.5098791559261304E-2</v>
      </c>
      <c r="S100" s="83">
        <f t="shared" si="156"/>
        <v>4.0669431770797404E-2</v>
      </c>
      <c r="T100" s="83">
        <f t="shared" si="157"/>
        <v>4.3620059428712832E-2</v>
      </c>
      <c r="U100" s="83">
        <f t="shared" si="158"/>
        <v>2.4361062311341497E-2</v>
      </c>
      <c r="V100" s="83">
        <f t="shared" si="159"/>
        <v>7.7740821421994344E-3</v>
      </c>
      <c r="W100" s="83">
        <f t="shared" si="160"/>
        <v>2.372465687247316E-2</v>
      </c>
      <c r="X100" s="83">
        <f t="shared" si="161"/>
        <v>-6.6636546190806945E-3</v>
      </c>
      <c r="Y100" s="83">
        <f t="shared" si="162"/>
        <v>8.2280362273304819E-2</v>
      </c>
    </row>
    <row r="101" spans="1:25" x14ac:dyDescent="0.25">
      <c r="A101" s="68" t="s">
        <v>148</v>
      </c>
      <c r="B101" s="69"/>
      <c r="C101" s="69"/>
      <c r="D101" s="84"/>
      <c r="E101" s="84">
        <f t="shared" si="142"/>
        <v>7.6297537156556405E-2</v>
      </c>
      <c r="F101" s="84">
        <f t="shared" si="143"/>
        <v>6.3508829910994491E-2</v>
      </c>
      <c r="G101" s="84">
        <f t="shared" si="144"/>
        <v>3.7300580659651361E-2</v>
      </c>
      <c r="H101" s="84">
        <f t="shared" si="145"/>
        <v>2.5493079144860209E-2</v>
      </c>
      <c r="I101" s="84">
        <f t="shared" si="146"/>
        <v>6.5903090110965845E-3</v>
      </c>
      <c r="J101" s="84">
        <f t="shared" si="147"/>
        <v>-1.5162061875433119E-2</v>
      </c>
      <c r="K101" s="84">
        <f t="shared" si="148"/>
        <v>3.6217796875587238E-2</v>
      </c>
      <c r="L101" s="84">
        <f t="shared" si="149"/>
        <v>-1.9235273203854319E-2</v>
      </c>
      <c r="M101" s="84">
        <f t="shared" si="150"/>
        <v>3.8604689829729644E-2</v>
      </c>
      <c r="N101" s="84">
        <f t="shared" si="151"/>
        <v>2.1137246901896889E-2</v>
      </c>
      <c r="O101" s="84">
        <f t="shared" si="152"/>
        <v>1.2262555401849173E-2</v>
      </c>
      <c r="P101" s="84">
        <f t="shared" si="153"/>
        <v>1.7037419201082038E-2</v>
      </c>
      <c r="Q101" s="84">
        <f t="shared" si="154"/>
        <v>3.4026455672740763E-2</v>
      </c>
      <c r="R101" s="84">
        <f t="shared" si="155"/>
        <v>2.5911504866197532E-2</v>
      </c>
      <c r="S101" s="84">
        <f t="shared" si="156"/>
        <v>2.4056875689698609E-2</v>
      </c>
      <c r="T101" s="84">
        <f t="shared" si="157"/>
        <v>3.4704113853127661E-2</v>
      </c>
      <c r="U101" s="84">
        <f t="shared" si="158"/>
        <v>6.0200289110074579E-2</v>
      </c>
      <c r="V101" s="84">
        <f t="shared" si="159"/>
        <v>5.4010526083461352E-2</v>
      </c>
      <c r="W101" s="84">
        <f t="shared" si="160"/>
        <v>4.6115019997154061E-2</v>
      </c>
      <c r="X101" s="84">
        <f t="shared" si="161"/>
        <v>2.6419837564393589E-2</v>
      </c>
      <c r="Y101" s="84">
        <f t="shared" si="162"/>
        <v>8.6394496658044995E-2</v>
      </c>
    </row>
    <row r="102" spans="1:25" x14ac:dyDescent="0.25">
      <c r="A102" s="68" t="s">
        <v>150</v>
      </c>
      <c r="B102" s="71"/>
      <c r="C102" s="71"/>
      <c r="D102" s="84"/>
      <c r="E102" s="84">
        <f t="shared" si="142"/>
        <v>1.8576472029877777E-2</v>
      </c>
      <c r="F102" s="84">
        <f t="shared" si="143"/>
        <v>1.7457391498713504E-2</v>
      </c>
      <c r="G102" s="84">
        <f t="shared" si="144"/>
        <v>2.5262217092722583E-2</v>
      </c>
      <c r="H102" s="84">
        <f t="shared" si="145"/>
        <v>6.316590735701344E-2</v>
      </c>
      <c r="I102" s="84">
        <f t="shared" si="146"/>
        <v>6.9014659783312338E-2</v>
      </c>
      <c r="J102" s="84">
        <f t="shared" si="147"/>
        <v>0.12699650713362765</v>
      </c>
      <c r="K102" s="84">
        <f t="shared" si="148"/>
        <v>9.2693423029385436E-2</v>
      </c>
      <c r="L102" s="84">
        <f t="shared" si="149"/>
        <v>4.1855093950804445E-4</v>
      </c>
      <c r="M102" s="84">
        <f t="shared" si="150"/>
        <v>-1.6848116156370274E-2</v>
      </c>
      <c r="N102" s="84">
        <f t="shared" si="151"/>
        <v>3.507214934730829E-2</v>
      </c>
      <c r="O102" s="84">
        <f t="shared" si="152"/>
        <v>-3.4038975135471605E-2</v>
      </c>
      <c r="P102" s="84">
        <f t="shared" si="153"/>
        <v>4.0263007591496036E-2</v>
      </c>
      <c r="Q102" s="84">
        <f t="shared" si="154"/>
        <v>2.9666896940835796E-2</v>
      </c>
      <c r="R102" s="84">
        <f t="shared" si="155"/>
        <v>1.7602551617982964E-2</v>
      </c>
      <c r="S102" s="84">
        <f t="shared" si="156"/>
        <v>6.488295384712095E-2</v>
      </c>
      <c r="T102" s="84">
        <f t="shared" si="157"/>
        <v>4.2234480505132233E-2</v>
      </c>
      <c r="U102" s="84">
        <f t="shared" si="158"/>
        <v>1.3033346836870408E-2</v>
      </c>
      <c r="V102" s="84">
        <f t="shared" si="159"/>
        <v>-4.5010415060676712E-3</v>
      </c>
      <c r="W102" s="84">
        <f t="shared" si="160"/>
        <v>1.2054247434952092E-2</v>
      </c>
      <c r="X102" s="84">
        <f t="shared" si="161"/>
        <v>-1.3103060315685422E-2</v>
      </c>
      <c r="Y102" s="84">
        <f t="shared" si="162"/>
        <v>8.572059034652213E-2</v>
      </c>
    </row>
    <row r="103" spans="1:25" x14ac:dyDescent="0.25">
      <c r="A103" s="68" t="s">
        <v>152</v>
      </c>
      <c r="B103" s="71"/>
      <c r="C103" s="71"/>
      <c r="D103" s="84"/>
      <c r="E103" s="84">
        <f t="shared" si="142"/>
        <v>9.2844339950928889E-2</v>
      </c>
      <c r="F103" s="84">
        <f t="shared" si="143"/>
        <v>2.8643595797106736E-2</v>
      </c>
      <c r="G103" s="84">
        <f t="shared" si="144"/>
        <v>2.9501995144640691E-3</v>
      </c>
      <c r="H103" s="84">
        <f t="shared" si="145"/>
        <v>4.6425181172096153E-3</v>
      </c>
      <c r="I103" s="84">
        <f t="shared" si="146"/>
        <v>-4.5622823379123933E-2</v>
      </c>
      <c r="J103" s="84">
        <f t="shared" si="147"/>
        <v>0.10125654031545461</v>
      </c>
      <c r="K103" s="84">
        <f t="shared" si="148"/>
        <v>-2.8020828058594183E-2</v>
      </c>
      <c r="L103" s="84">
        <f t="shared" si="149"/>
        <v>0.24630826682155815</v>
      </c>
      <c r="M103" s="84">
        <f t="shared" si="150"/>
        <v>-6.0902917654555577E-2</v>
      </c>
      <c r="N103" s="84">
        <f t="shared" si="151"/>
        <v>8.258276451504365E-2</v>
      </c>
      <c r="O103" s="84">
        <f t="shared" si="152"/>
        <v>0.21778517591941338</v>
      </c>
      <c r="P103" s="84">
        <f t="shared" si="153"/>
        <v>-8.7810109103130585E-2</v>
      </c>
      <c r="Q103" s="84">
        <f t="shared" si="154"/>
        <v>3.5920186223751926E-2</v>
      </c>
      <c r="R103" s="84">
        <f t="shared" si="155"/>
        <v>-1.8460301451497241E-2</v>
      </c>
      <c r="S103" s="84">
        <f t="shared" si="156"/>
        <v>-4.7970571544285301E-2</v>
      </c>
      <c r="T103" s="84">
        <f t="shared" si="157"/>
        <v>7.1235291433781267E-2</v>
      </c>
      <c r="U103" s="84">
        <f t="shared" si="158"/>
        <v>1.0219637988432062E-2</v>
      </c>
      <c r="V103" s="84">
        <f t="shared" si="159"/>
        <v>-2.8090049180677257E-2</v>
      </c>
      <c r="W103" s="84">
        <f t="shared" si="160"/>
        <v>3.5383152611624169E-2</v>
      </c>
      <c r="X103" s="84">
        <f t="shared" si="161"/>
        <v>-5.2371411690540381E-2</v>
      </c>
      <c r="Y103" s="84">
        <f t="shared" si="162"/>
        <v>5.145409635351772E-2</v>
      </c>
    </row>
    <row r="104" spans="1:25" x14ac:dyDescent="0.25">
      <c r="A104" s="64" t="s">
        <v>154</v>
      </c>
      <c r="B104" s="65"/>
      <c r="C104" s="65"/>
      <c r="D104" s="83"/>
      <c r="E104" s="83">
        <f t="shared" si="142"/>
        <v>0.10969784672978689</v>
      </c>
      <c r="F104" s="83">
        <f t="shared" si="143"/>
        <v>4.0332646710682596E-2</v>
      </c>
      <c r="G104" s="83">
        <f t="shared" si="144"/>
        <v>0.16250278490782266</v>
      </c>
      <c r="H104" s="83">
        <f t="shared" si="145"/>
        <v>4.4417410577950456E-3</v>
      </c>
      <c r="I104" s="83">
        <f t="shared" si="146"/>
        <v>-2.5763084288567439E-2</v>
      </c>
      <c r="J104" s="83">
        <f t="shared" si="147"/>
        <v>2.1473655922530366E-2</v>
      </c>
      <c r="K104" s="83">
        <f t="shared" si="148"/>
        <v>3.9323500312156145E-2</v>
      </c>
      <c r="L104" s="83">
        <f t="shared" si="149"/>
        <v>-0.16939096262922715</v>
      </c>
      <c r="M104" s="83">
        <f t="shared" si="150"/>
        <v>0.17624351631409363</v>
      </c>
      <c r="N104" s="83">
        <f t="shared" si="151"/>
        <v>-0.1364740522801805</v>
      </c>
      <c r="O104" s="83">
        <f t="shared" si="152"/>
        <v>-9.9568802567295167E-2</v>
      </c>
      <c r="P104" s="83">
        <f t="shared" si="153"/>
        <v>-6.6772339390598012E-2</v>
      </c>
      <c r="Q104" s="83">
        <f t="shared" si="154"/>
        <v>0.12212087192047116</v>
      </c>
      <c r="R104" s="83">
        <f t="shared" si="155"/>
        <v>0.12687485163492251</v>
      </c>
      <c r="S104" s="83">
        <f t="shared" si="156"/>
        <v>2.5858019456223458E-2</v>
      </c>
      <c r="T104" s="83">
        <f t="shared" si="157"/>
        <v>0.10511940005466647</v>
      </c>
      <c r="U104" s="83">
        <f t="shared" si="158"/>
        <v>-9.9376395522378869E-2</v>
      </c>
      <c r="V104" s="83">
        <f t="shared" si="159"/>
        <v>-4.5984563717281657E-2</v>
      </c>
      <c r="W104" s="83">
        <f t="shared" si="160"/>
        <v>7.3262286425278322E-2</v>
      </c>
      <c r="X104" s="83">
        <f t="shared" si="161"/>
        <v>-3.1548105301992146E-2</v>
      </c>
      <c r="Y104" s="83">
        <f t="shared" si="162"/>
        <v>1.545174414512962E-2</v>
      </c>
    </row>
    <row r="105" spans="1:25" x14ac:dyDescent="0.25">
      <c r="A105" s="64" t="s">
        <v>37</v>
      </c>
      <c r="B105" s="65"/>
      <c r="C105" s="65"/>
      <c r="D105" s="83"/>
      <c r="E105" s="83">
        <f t="shared" si="142"/>
        <v>5.5824837225942892E-2</v>
      </c>
      <c r="F105" s="83">
        <f t="shared" si="143"/>
        <v>6.4308289276185038E-2</v>
      </c>
      <c r="G105" s="83">
        <f t="shared" si="144"/>
        <v>7.3083970186271774E-3</v>
      </c>
      <c r="H105" s="83">
        <f t="shared" si="145"/>
        <v>1.1015213492197917E-2</v>
      </c>
      <c r="I105" s="83">
        <f t="shared" si="146"/>
        <v>-6.308436671674178E-2</v>
      </c>
      <c r="J105" s="83">
        <f t="shared" si="147"/>
        <v>2.8733466146620534E-2</v>
      </c>
      <c r="K105" s="83">
        <f t="shared" si="148"/>
        <v>0.13074405002856992</v>
      </c>
      <c r="L105" s="83">
        <f t="shared" si="149"/>
        <v>-5.301282159934162E-2</v>
      </c>
      <c r="M105" s="83">
        <f t="shared" si="150"/>
        <v>-2.7590984206618097E-2</v>
      </c>
      <c r="N105" s="83">
        <f t="shared" si="151"/>
        <v>-3.4347113573632848E-3</v>
      </c>
      <c r="O105" s="83">
        <f t="shared" si="152"/>
        <v>-1.7105162324104084E-2</v>
      </c>
      <c r="P105" s="83">
        <f t="shared" si="153"/>
        <v>4.0443545637752543E-2</v>
      </c>
      <c r="Q105" s="83">
        <f t="shared" si="154"/>
        <v>1.669897984160662E-2</v>
      </c>
      <c r="R105" s="83">
        <f t="shared" si="155"/>
        <v>5.0760635414764943E-2</v>
      </c>
      <c r="S105" s="83">
        <f t="shared" si="156"/>
        <v>1.907017558022206E-2</v>
      </c>
      <c r="T105" s="83">
        <f t="shared" si="157"/>
        <v>9.6488133816076571E-2</v>
      </c>
      <c r="U105" s="83">
        <f t="shared" si="158"/>
        <v>-1.8815763173420152E-2</v>
      </c>
      <c r="V105" s="83">
        <f t="shared" si="159"/>
        <v>1.209542218363735E-2</v>
      </c>
      <c r="W105" s="83">
        <f t="shared" si="160"/>
        <v>0.13978715078366277</v>
      </c>
      <c r="X105" s="83">
        <f t="shared" si="161"/>
        <v>-4.7771407633753538E-2</v>
      </c>
      <c r="Y105" s="83">
        <f t="shared" si="162"/>
        <v>2.9273102820477792E-2</v>
      </c>
    </row>
    <row r="106" spans="1:25" x14ac:dyDescent="0.25">
      <c r="A106" s="64" t="s">
        <v>58</v>
      </c>
      <c r="B106" s="65"/>
      <c r="C106" s="65"/>
      <c r="D106" s="83"/>
      <c r="E106" s="83">
        <f t="shared" si="142"/>
        <v>-2.5394285506446179E-2</v>
      </c>
      <c r="F106" s="83">
        <f t="shared" si="143"/>
        <v>-1.540194679011897E-2</v>
      </c>
      <c r="G106" s="83">
        <f t="shared" si="144"/>
        <v>4.019639547340792E-2</v>
      </c>
      <c r="H106" s="83">
        <f t="shared" si="145"/>
        <v>-1.9820079854722894E-2</v>
      </c>
      <c r="I106" s="83">
        <f t="shared" si="146"/>
        <v>-3.6630804023202956E-2</v>
      </c>
      <c r="J106" s="83">
        <f t="shared" si="147"/>
        <v>-4.5195939239035976E-2</v>
      </c>
      <c r="K106" s="83">
        <f t="shared" si="148"/>
        <v>0.21775434448757292</v>
      </c>
      <c r="L106" s="83">
        <f t="shared" si="149"/>
        <v>-0.17047503645119988</v>
      </c>
      <c r="M106" s="83">
        <f t="shared" si="150"/>
        <v>-0.33540896152890642</v>
      </c>
      <c r="N106" s="83">
        <f t="shared" si="151"/>
        <v>0.1028006790449858</v>
      </c>
      <c r="O106" s="83">
        <f t="shared" si="152"/>
        <v>-7.682993070875499E-3</v>
      </c>
      <c r="P106" s="83">
        <f t="shared" si="153"/>
        <v>-4.9492104067627163E-2</v>
      </c>
      <c r="Q106" s="83">
        <f t="shared" si="154"/>
        <v>3.0764286924868323E-2</v>
      </c>
      <c r="R106" s="83">
        <f t="shared" si="155"/>
        <v>6.1418719444106484E-2</v>
      </c>
      <c r="S106" s="83">
        <f t="shared" si="156"/>
        <v>0.18974482390402136</v>
      </c>
      <c r="T106" s="83">
        <f t="shared" si="157"/>
        <v>0.11112817948982889</v>
      </c>
      <c r="U106" s="83">
        <f t="shared" si="158"/>
        <v>-0.16965623021327125</v>
      </c>
      <c r="V106" s="83">
        <f t="shared" si="159"/>
        <v>5.3630941812097488E-2</v>
      </c>
      <c r="W106" s="83">
        <f t="shared" si="160"/>
        <v>4.7434431909409103E-2</v>
      </c>
      <c r="X106" s="83">
        <f t="shared" si="161"/>
        <v>-3.4152298342378984E-2</v>
      </c>
      <c r="Y106" s="83">
        <f t="shared" si="162"/>
        <v>2.3282729265060143E-2</v>
      </c>
    </row>
    <row r="107" spans="1:25" x14ac:dyDescent="0.25">
      <c r="A107" s="85" t="s">
        <v>158</v>
      </c>
      <c r="B107" s="86"/>
      <c r="C107" s="86"/>
      <c r="D107" s="87"/>
      <c r="E107" s="87">
        <f t="shared" ref="E107:E108" si="163">IF(D33=0,"",E33/D33-1)</f>
        <v>-3.7353058994547106E-2</v>
      </c>
      <c r="F107" s="87">
        <f t="shared" ref="F107:F108" si="164">IF(E33=0,"",F33/E33-1)</f>
        <v>-0.13664064338693316</v>
      </c>
      <c r="G107" s="87">
        <f t="shared" ref="G107:G108" si="165">IF(F33=0,"",G33/F33-1)</f>
        <v>0.14750449157043799</v>
      </c>
      <c r="H107" s="87">
        <f t="shared" ref="H107:H108" si="166">IF(G33=0,"",H33/G33-1)</f>
        <v>1.6403807145095817E-2</v>
      </c>
      <c r="I107" s="87">
        <f t="shared" ref="I107:I108" si="167">IF(H33=0,"",I33/H33-1)</f>
        <v>-9.1255049738189209E-3</v>
      </c>
      <c r="J107" s="87">
        <f t="shared" ref="J107:J108" si="168">IF(I33=0,"",J33/I33-1)</f>
        <v>-0.11942300088558211</v>
      </c>
      <c r="K107" s="87">
        <f t="shared" ref="K107:K108" si="169">IF(J33=0,"",K33/J33-1)</f>
        <v>0.6973735095150706</v>
      </c>
      <c r="L107" s="87">
        <f t="shared" ref="L107:L108" si="170">IF(K33=0,"",L33/K33-1)</f>
        <v>-0.16957644516455261</v>
      </c>
      <c r="M107" s="87">
        <f t="shared" ref="M107:M108" si="171">IF(L33=0,"",M33/L33-1)</f>
        <v>-0.7027560846190769</v>
      </c>
      <c r="N107" s="87">
        <f t="shared" ref="N107:N108" si="172">IF(M33=0,"",N33/M33-1)</f>
        <v>0.31868205437271824</v>
      </c>
      <c r="O107" s="87">
        <f t="shared" ref="O107:O108" si="173">IF(N33=0,"",O33/N33-1)</f>
        <v>0.14353918242980046</v>
      </c>
      <c r="P107" s="87">
        <f t="shared" ref="P107:P108" si="174">IF(O33=0,"",P33/O33-1)</f>
        <v>3.46918091659838E-2</v>
      </c>
      <c r="Q107" s="87">
        <f t="shared" ref="Q107:Q108" si="175">IF(P33=0,"",Q33/P33-1)</f>
        <v>-7.1081673903476972E-2</v>
      </c>
      <c r="R107" s="87">
        <f t="shared" ref="R107:R108" si="176">IF(Q33=0,"",R33/Q33-1)</f>
        <v>-0.73777372182819034</v>
      </c>
      <c r="S107" s="87">
        <f t="shared" ref="S107:S108" si="177">IF(R33=0,"",S33/R33-1)</f>
        <v>1.8986111475409833</v>
      </c>
      <c r="T107" s="87">
        <f t="shared" ref="T107:T108" si="178">IF(S33=0,"",T33/S33-1)</f>
        <v>1.0446680274751992</v>
      </c>
      <c r="U107" s="87">
        <f t="shared" ref="U107:U108" si="179">IF(T33=0,"",U33/T33-1)</f>
        <v>2.528600157189187E-2</v>
      </c>
      <c r="V107" s="87">
        <f t="shared" ref="V107:V108" si="180">IF(U33=0,"",V33/U33-1)</f>
        <v>0.13183718623107366</v>
      </c>
      <c r="W107" s="87">
        <f t="shared" ref="W107:W108" si="181">IF(V33=0,"",W33/V33-1)</f>
        <v>4.7434431909409325E-2</v>
      </c>
      <c r="X107" s="87">
        <f t="shared" ref="X107:X108" si="182">IF(W33=0,"",X33/W33-1)</f>
        <v>-3.4152298342379095E-2</v>
      </c>
      <c r="Y107" s="87">
        <f t="shared" ref="Y107:Y108" si="183">IF(X33=0,"",Y33/X33-1)</f>
        <v>2.328272926505992E-2</v>
      </c>
    </row>
    <row r="108" spans="1:25" x14ac:dyDescent="0.25">
      <c r="A108" s="88" t="s">
        <v>5</v>
      </c>
      <c r="B108" s="44"/>
      <c r="C108" s="44"/>
      <c r="D108" s="89"/>
      <c r="E108" s="89">
        <f t="shared" si="163"/>
        <v>-3.7353058994547106E-2</v>
      </c>
      <c r="F108" s="89">
        <f t="shared" si="164"/>
        <v>-0.13664064338693316</v>
      </c>
      <c r="G108" s="89">
        <f t="shared" si="165"/>
        <v>0.14750449157043821</v>
      </c>
      <c r="H108" s="89">
        <f t="shared" si="166"/>
        <v>1.6403807145095595E-2</v>
      </c>
      <c r="I108" s="89">
        <f t="shared" si="167"/>
        <v>-9.1255049738189209E-3</v>
      </c>
      <c r="J108" s="89">
        <f t="shared" si="168"/>
        <v>-0.11942300088558222</v>
      </c>
      <c r="K108" s="89">
        <f t="shared" si="169"/>
        <v>0.69737350951507082</v>
      </c>
      <c r="L108" s="89">
        <f t="shared" si="170"/>
        <v>-0.16957644516455261</v>
      </c>
      <c r="M108" s="89">
        <f t="shared" si="171"/>
        <v>-0.7027560846190769</v>
      </c>
      <c r="N108" s="89">
        <f t="shared" si="172"/>
        <v>0.31868205437271824</v>
      </c>
      <c r="O108" s="89">
        <f t="shared" si="173"/>
        <v>0.14353918242980046</v>
      </c>
      <c r="P108" s="89">
        <f t="shared" si="174"/>
        <v>3.46918091659838E-2</v>
      </c>
      <c r="Q108" s="89">
        <f t="shared" si="175"/>
        <v>-7.1081673903476972E-2</v>
      </c>
      <c r="R108" s="89">
        <f t="shared" si="176"/>
        <v>-0.73777372182819034</v>
      </c>
      <c r="S108" s="89">
        <f t="shared" si="177"/>
        <v>1.8986111475409833</v>
      </c>
      <c r="T108" s="89">
        <f t="shared" si="178"/>
        <v>1.0446680274751992</v>
      </c>
      <c r="U108" s="89">
        <f t="shared" si="179"/>
        <v>2.5286001571892092E-2</v>
      </c>
      <c r="V108" s="89">
        <f t="shared" si="180"/>
        <v>0.13183718623107366</v>
      </c>
      <c r="W108" s="89">
        <f t="shared" si="181"/>
        <v>4.7434431909409325E-2</v>
      </c>
      <c r="X108" s="89">
        <f t="shared" si="182"/>
        <v>-3.4152298342379095E-2</v>
      </c>
      <c r="Y108" s="89">
        <f t="shared" si="183"/>
        <v>2.328272926505992E-2</v>
      </c>
    </row>
    <row r="109" spans="1:25" x14ac:dyDescent="0.25">
      <c r="A109" s="88" t="s">
        <v>269</v>
      </c>
      <c r="B109" s="44"/>
      <c r="C109" s="44"/>
      <c r="D109" s="89"/>
      <c r="E109" s="89" t="str">
        <f t="shared" ref="E109" si="184">IF(D37=0,"",E37/D37-1)</f>
        <v/>
      </c>
      <c r="F109" s="89" t="str">
        <f t="shared" ref="F109" si="185">IF(E37=0,"",F37/E37-1)</f>
        <v/>
      </c>
      <c r="G109" s="89" t="str">
        <f t="shared" ref="G109" si="186">IF(F37=0,"",G37/F37-1)</f>
        <v/>
      </c>
      <c r="H109" s="89" t="str">
        <f t="shared" ref="H109" si="187">IF(G37=0,"",H37/G37-1)</f>
        <v/>
      </c>
      <c r="I109" s="89" t="str">
        <f t="shared" ref="I109" si="188">IF(H37=0,"",I37/H37-1)</f>
        <v/>
      </c>
      <c r="J109" s="89" t="str">
        <f t="shared" ref="J109" si="189">IF(I37=0,"",J37/I37-1)</f>
        <v/>
      </c>
      <c r="K109" s="89" t="str">
        <f t="shared" ref="K109" si="190">IF(J37=0,"",K37/J37-1)</f>
        <v/>
      </c>
      <c r="L109" s="89" t="str">
        <f t="shared" ref="L109" si="191">IF(K37=0,"",L37/K37-1)</f>
        <v/>
      </c>
      <c r="M109" s="89" t="str">
        <f t="shared" ref="M109" si="192">IF(L37=0,"",M37/L37-1)</f>
        <v/>
      </c>
      <c r="N109" s="89" t="str">
        <f t="shared" ref="N109" si="193">IF(M37=0,"",N37/M37-1)</f>
        <v/>
      </c>
      <c r="O109" s="89" t="str">
        <f t="shared" ref="O109" si="194">IF(N37=0,"",O37/N37-1)</f>
        <v/>
      </c>
      <c r="P109" s="89" t="str">
        <f t="shared" ref="P109" si="195">IF(O37=0,"",P37/O37-1)</f>
        <v/>
      </c>
      <c r="Q109" s="89" t="str">
        <f t="shared" ref="Q109" si="196">IF(P37=0,"",Q37/P37-1)</f>
        <v/>
      </c>
      <c r="R109" s="89" t="str">
        <f t="shared" ref="R109" si="197">IF(Q37=0,"",R37/Q37-1)</f>
        <v/>
      </c>
      <c r="S109" s="89" t="str">
        <f t="shared" ref="S109" si="198">IF(R37=0,"",S37/R37-1)</f>
        <v/>
      </c>
      <c r="T109" s="89" t="str">
        <f t="shared" ref="T109" si="199">IF(S37=0,"",T37/S37-1)</f>
        <v/>
      </c>
      <c r="U109" s="89" t="str">
        <f t="shared" ref="U109" si="200">IF(T37=0,"",U37/T37-1)</f>
        <v/>
      </c>
      <c r="V109" s="89" t="str">
        <f t="shared" ref="V109" si="201">IF(U37=0,"",V37/U37-1)</f>
        <v/>
      </c>
      <c r="W109" s="89" t="str">
        <f t="shared" ref="W109" si="202">IF(V37=0,"",W37/V37-1)</f>
        <v/>
      </c>
      <c r="X109" s="89" t="str">
        <f t="shared" ref="X109" si="203">IF(W37=0,"",X37/W37-1)</f>
        <v/>
      </c>
      <c r="Y109" s="89" t="str">
        <f t="shared" ref="Y109" si="204">IF(X37=0,"",Y37/X37-1)</f>
        <v/>
      </c>
    </row>
    <row r="110" spans="1:25" x14ac:dyDescent="0.25">
      <c r="A110" s="68" t="s">
        <v>271</v>
      </c>
      <c r="B110" s="44"/>
      <c r="C110" s="44"/>
      <c r="D110" s="89"/>
      <c r="E110" s="89">
        <f t="shared" ref="E110:E111" si="205">IF(D43=0,"",E43/D43-1)</f>
        <v>-1.4653702075100528E-2</v>
      </c>
      <c r="F110" s="89">
        <f t="shared" ref="F110:F111" si="206">IF(E43=0,"",F43/E43-1)</f>
        <v>0.20919495280970368</v>
      </c>
      <c r="G110" s="89">
        <f t="shared" ref="G110:G111" si="207">IF(F43=0,"",G43/F43-1)</f>
        <v>0.10769928620813429</v>
      </c>
      <c r="H110" s="89">
        <f t="shared" ref="H110:H111" si="208">IF(G43=0,"",H43/G43-1)</f>
        <v>-2.8733419161659501E-2</v>
      </c>
      <c r="I110" s="89">
        <f t="shared" ref="I110:I111" si="209">IF(H43=0,"",I43/H43-1)</f>
        <v>-0.24089757442589144</v>
      </c>
      <c r="J110" s="89">
        <f t="shared" ref="J110:J111" si="210">IF(I43=0,"",J43/I43-1)</f>
        <v>-0.11434968149001956</v>
      </c>
      <c r="K110" s="89">
        <f t="shared" ref="K110:K111" si="211">IF(J43=0,"",K43/J43-1)</f>
        <v>-8.9395465089292081E-2</v>
      </c>
      <c r="L110" s="89">
        <f t="shared" ref="L110:L111" si="212">IF(K43=0,"",L43/K43-1)</f>
        <v>0.26554796414579052</v>
      </c>
      <c r="M110" s="89">
        <f t="shared" ref="M110:M111" si="213">IF(L43=0,"",M43/L43-1)</f>
        <v>-0.23225000557449516</v>
      </c>
      <c r="N110" s="89">
        <f t="shared" ref="N110:N111" si="214">IF(M43=0,"",N43/M43-1)</f>
        <v>-1.3883336832169801E-2</v>
      </c>
      <c r="O110" s="89">
        <f t="shared" ref="O110:O111" si="215">IF(N43=0,"",O43/N43-1)</f>
        <v>6.2016124799495032E-2</v>
      </c>
      <c r="P110" s="89">
        <f t="shared" ref="P110:P111" si="216">IF(O43=0,"",P43/O43-1)</f>
        <v>-0.19572725813768499</v>
      </c>
      <c r="Q110" s="89">
        <f t="shared" ref="Q110:Q111" si="217">IF(P43=0,"",Q43/P43-1)</f>
        <v>0.14316605836178486</v>
      </c>
      <c r="R110" s="89">
        <f t="shared" ref="R110:R111" si="218">IF(Q43=0,"",R43/Q43-1)</f>
        <v>0.29204875627202309</v>
      </c>
      <c r="S110" s="89">
        <f t="shared" ref="S110:S111" si="219">IF(R43=0,"",S43/R43-1)</f>
        <v>1.1142745693841771E-2</v>
      </c>
      <c r="T110" s="89">
        <f t="shared" ref="T110:T111" si="220">IF(S43=0,"",T43/S43-1)</f>
        <v>-4.6873690113150457E-2</v>
      </c>
      <c r="U110" s="89">
        <f t="shared" ref="U110:U111" si="221">IF(T43=0,"",U43/T43-1)</f>
        <v>-3.8814454608865123E-2</v>
      </c>
      <c r="V110" s="89">
        <f t="shared" ref="V110:V111" si="222">IF(U43=0,"",V43/U43-1)</f>
        <v>7.7404624557546597E-3</v>
      </c>
      <c r="W110" s="89">
        <f t="shared" ref="W110:W111" si="223">IF(V43=0,"",W43/V43-1)</f>
        <v>3.2101093586713869E-3</v>
      </c>
      <c r="X110" s="89">
        <f t="shared" ref="X110:X111" si="224">IF(W43=0,"",X43/W43-1)</f>
        <v>0.13418136566621541</v>
      </c>
      <c r="Y110" s="89">
        <f t="shared" ref="Y110:Y111" si="225">IF(X43=0,"",Y43/X43-1)</f>
        <v>0.10235137707955788</v>
      </c>
    </row>
    <row r="111" spans="1:25" x14ac:dyDescent="0.25">
      <c r="A111" s="88" t="s">
        <v>272</v>
      </c>
      <c r="B111" s="44"/>
      <c r="C111" s="44"/>
      <c r="D111" s="89"/>
      <c r="E111" s="89">
        <f t="shared" si="205"/>
        <v>-1.883394078447409E-2</v>
      </c>
      <c r="F111" s="89">
        <f t="shared" si="206"/>
        <v>0.19764128956529636</v>
      </c>
      <c r="G111" s="89">
        <f t="shared" si="207"/>
        <v>0.11404323184237652</v>
      </c>
      <c r="H111" s="89">
        <f t="shared" si="208"/>
        <v>-1.8138114592529453E-2</v>
      </c>
      <c r="I111" s="89">
        <f t="shared" si="209"/>
        <v>-0.24031731291188207</v>
      </c>
      <c r="J111" s="89">
        <f t="shared" si="210"/>
        <v>-0.11014402704465176</v>
      </c>
      <c r="K111" s="89">
        <f t="shared" si="211"/>
        <v>-0.18226050002451388</v>
      </c>
      <c r="L111" s="89">
        <f t="shared" si="212"/>
        <v>0.4118329786976429</v>
      </c>
      <c r="M111" s="89">
        <f t="shared" si="213"/>
        <v>-0.23427948011356992</v>
      </c>
      <c r="N111" s="89">
        <f t="shared" si="214"/>
        <v>1.8148859894531189E-3</v>
      </c>
      <c r="O111" s="89">
        <f t="shared" si="215"/>
        <v>6.0198189262705259E-2</v>
      </c>
      <c r="P111" s="89">
        <f t="shared" si="216"/>
        <v>-0.19953960432631579</v>
      </c>
      <c r="Q111" s="89">
        <f t="shared" si="217"/>
        <v>0.15659438641429824</v>
      </c>
      <c r="R111" s="89">
        <f t="shared" si="218"/>
        <v>0.13488094159602815</v>
      </c>
      <c r="S111" s="89">
        <f t="shared" si="219"/>
        <v>7.7694861660080328E-3</v>
      </c>
      <c r="T111" s="89">
        <f t="shared" si="220"/>
        <v>4.2334991337393824E-3</v>
      </c>
      <c r="U111" s="89">
        <f t="shared" si="221"/>
        <v>3.8626569177149017E-2</v>
      </c>
      <c r="V111" s="89">
        <f t="shared" si="222"/>
        <v>-7.5316125839423931E-2</v>
      </c>
      <c r="W111" s="89">
        <f t="shared" si="223"/>
        <v>-4.7695350849042084E-2</v>
      </c>
      <c r="X111" s="89">
        <f t="shared" si="224"/>
        <v>0.34730180230762753</v>
      </c>
      <c r="Y111" s="89">
        <f t="shared" si="225"/>
        <v>0.17411464257642573</v>
      </c>
    </row>
    <row r="112" spans="1:25" x14ac:dyDescent="0.25">
      <c r="A112" s="88" t="s">
        <v>11</v>
      </c>
      <c r="B112" s="44"/>
      <c r="C112" s="44"/>
      <c r="D112" s="89"/>
      <c r="E112" s="89">
        <f t="shared" ref="E112:E113" si="226">IF(D47=0,"",E47/D47-1)</f>
        <v>-1.0570976506842467E-2</v>
      </c>
      <c r="F112" s="89">
        <f t="shared" ref="F112:F113" si="227">IF(E47=0,"",F47/E47-1)</f>
        <v>0.22038486508794342</v>
      </c>
      <c r="G112" s="89">
        <f t="shared" ref="G112:G113" si="228">IF(F47=0,"",G47/F47-1)</f>
        <v>0.10166957688037437</v>
      </c>
      <c r="H112" s="89">
        <f t="shared" ref="H112:H113" si="229">IF(G47=0,"",H47/G47-1)</f>
        <v>-3.8917012719648758E-2</v>
      </c>
      <c r="I112" s="89">
        <f t="shared" ref="I112:I113" si="230">IF(H47=0,"",I47/H47-1)</f>
        <v>-0.24146734614784193</v>
      </c>
      <c r="J112" s="89">
        <f t="shared" ref="J112:J113" si="231">IF(I47=0,"",J47/I47-1)</f>
        <v>-0.11848556843192704</v>
      </c>
      <c r="K112" s="89">
        <f t="shared" ref="K112:K113" si="232">IF(J47=0,"",K47/J47-1)</f>
        <v>2.7932138880686352E-3</v>
      </c>
      <c r="L112" s="89">
        <f t="shared" ref="L112:L113" si="233">IF(K47=0,"",L47/K47-1)</f>
        <v>0.14712694493394962</v>
      </c>
      <c r="M112" s="89">
        <f t="shared" ref="M112:M113" si="234">IF(L47=0,"",M47/L47-1)</f>
        <v>-0.23022799043123721</v>
      </c>
      <c r="N112" s="89">
        <f t="shared" ref="N112:N113" si="235">IF(M47=0,"",N47/M47-1)</f>
        <v>-2.9441540630686269E-2</v>
      </c>
      <c r="O112" s="89">
        <f t="shared" ref="O112:O113" si="236">IF(N47=0,"",O47/N47-1)</f>
        <v>6.3875869061704726E-2</v>
      </c>
      <c r="P112" s="89">
        <f t="shared" ref="P112:P113" si="237">IF(O47=0,"",P47/O47-1)</f>
        <v>-0.19184071780556067</v>
      </c>
      <c r="Q112" s="89">
        <f t="shared" ref="Q112:Q113" si="238">IF(P47=0,"",Q47/P47-1)</f>
        <v>0.12960680816882908</v>
      </c>
      <c r="R112" s="89">
        <f t="shared" ref="R112:R113" si="239">IF(Q47=0,"",R47/Q47-1)</f>
        <v>0.45454043495748531</v>
      </c>
      <c r="S112" s="89">
        <f t="shared" ref="S112:S113" si="240">IF(R47=0,"",S47/R47-1)</f>
        <v>1.3863828577644677E-2</v>
      </c>
      <c r="T112" s="89">
        <f t="shared" ref="T112:T113" si="241">IF(S47=0,"",T47/S47-1)</f>
        <v>-8.7852145723658626E-2</v>
      </c>
      <c r="U112" s="89">
        <f t="shared" ref="U112:U113" si="242">IF(T47=0,"",U47/T47-1)</f>
        <v>-0.10717635694602778</v>
      </c>
      <c r="V112" s="89">
        <f t="shared" ref="V112:V113" si="243">IF(U47=0,"",V47/U47-1)</f>
        <v>9.3032970895433831E-2</v>
      </c>
      <c r="W112" s="89">
        <f t="shared" ref="W112:W113" si="244">IF(V47=0,"",W47/V47-1)</f>
        <v>4.7434431909409547E-2</v>
      </c>
      <c r="X112" s="89">
        <f t="shared" ref="X112:X113" si="245">IF(W47=0,"",X47/W47-1)</f>
        <v>-3.4152298342378984E-2</v>
      </c>
      <c r="Y112" s="89">
        <f t="shared" ref="Y112:Y113" si="246">IF(X47=0,"",Y47/X47-1)</f>
        <v>2.3282729265059698E-2</v>
      </c>
    </row>
    <row r="113" spans="1:25" x14ac:dyDescent="0.25">
      <c r="A113" s="68" t="s">
        <v>4</v>
      </c>
      <c r="B113" s="44"/>
      <c r="C113" s="44"/>
      <c r="D113" s="89"/>
      <c r="E113" s="89">
        <f t="shared" si="226"/>
        <v>-7.9379882143901792E-2</v>
      </c>
      <c r="F113" s="89">
        <f t="shared" si="227"/>
        <v>1.1288981610704019E-2</v>
      </c>
      <c r="G113" s="89">
        <f t="shared" si="228"/>
        <v>-3.2521007296046789E-2</v>
      </c>
      <c r="H113" s="89">
        <f t="shared" si="229"/>
        <v>-0.11022735383636995</v>
      </c>
      <c r="I113" s="89">
        <f t="shared" si="230"/>
        <v>-5.0005921300292355E-2</v>
      </c>
      <c r="J113" s="89">
        <f t="shared" si="231"/>
        <v>5.1035324701049767E-3</v>
      </c>
      <c r="K113" s="89">
        <f t="shared" si="232"/>
        <v>8.3374653347917604E-2</v>
      </c>
      <c r="L113" s="89">
        <f t="shared" si="233"/>
        <v>-0.1949864752747078</v>
      </c>
      <c r="M113" s="89">
        <f t="shared" si="234"/>
        <v>-0.17597691256304382</v>
      </c>
      <c r="N113" s="89">
        <f t="shared" si="235"/>
        <v>7.6277703982671863E-2</v>
      </c>
      <c r="O113" s="89">
        <f t="shared" si="236"/>
        <v>-0.10099011759279442</v>
      </c>
      <c r="P113" s="89">
        <f t="shared" si="237"/>
        <v>-0.13429810065339698</v>
      </c>
      <c r="Q113" s="89">
        <f t="shared" si="238"/>
        <v>0.35206768927779852</v>
      </c>
      <c r="R113" s="89">
        <f t="shared" si="239"/>
        <v>6.5362985461613787E-2</v>
      </c>
      <c r="S113" s="89">
        <f t="shared" si="240"/>
        <v>0.10125604001936406</v>
      </c>
      <c r="T113" s="89">
        <f t="shared" si="241"/>
        <v>7.4735718252898486E-2</v>
      </c>
      <c r="U113" s="89">
        <f t="shared" si="242"/>
        <v>-0.24818169717118888</v>
      </c>
      <c r="V113" s="89">
        <f t="shared" si="243"/>
        <v>0.13564219507360997</v>
      </c>
      <c r="W113" s="89">
        <f t="shared" si="244"/>
        <v>4.7434431909409325E-2</v>
      </c>
      <c r="X113" s="89">
        <f t="shared" si="245"/>
        <v>-3.4152298342378762E-2</v>
      </c>
      <c r="Y113" s="89">
        <f t="shared" si="246"/>
        <v>2.328272926505992E-2</v>
      </c>
    </row>
    <row r="114" spans="1:25" x14ac:dyDescent="0.25">
      <c r="A114" s="68" t="s">
        <v>3</v>
      </c>
      <c r="B114" s="44"/>
      <c r="C114" s="44"/>
      <c r="D114" s="89"/>
      <c r="E114" s="89">
        <f t="shared" ref="E114:E115" si="247">IF(D52=0,"",E52/D52-1)</f>
        <v>5.6296996225306817E-3</v>
      </c>
      <c r="F114" s="89">
        <f t="shared" ref="F114:F115" si="248">IF(E52=0,"",F52/E52-1)</f>
        <v>0.13246552787840704</v>
      </c>
      <c r="G114" s="89">
        <f t="shared" ref="G114:G115" si="249">IF(F52=0,"",G52/F52-1)</f>
        <v>8.1645708183322174E-2</v>
      </c>
      <c r="H114" s="89">
        <f t="shared" ref="H114:H115" si="250">IF(G52=0,"",H52/G52-1)</f>
        <v>-8.5085983637321339E-2</v>
      </c>
      <c r="I114" s="89">
        <f t="shared" ref="I114:I115" si="251">IF(H52=0,"",I52/H52-1)</f>
        <v>-0.1008519513322863</v>
      </c>
      <c r="J114" s="89">
        <f t="shared" ref="J114:J115" si="252">IF(I52=0,"",J52/I52-1)</f>
        <v>-0.12984530021904495</v>
      </c>
      <c r="K114" s="89">
        <f t="shared" ref="K114:K115" si="253">IF(J52=0,"",K52/J52-1)</f>
        <v>-0.10297518737078315</v>
      </c>
      <c r="L114" s="89">
        <f t="shared" ref="L114:L115" si="254">IF(K52=0,"",L52/K52-1)</f>
        <v>-0.1392929997045389</v>
      </c>
      <c r="M114" s="89">
        <f t="shared" ref="M114:M115" si="255">IF(L52=0,"",M52/L52-1)</f>
        <v>-2.0928300220391827E-2</v>
      </c>
      <c r="N114" s="89">
        <f t="shared" ref="N114:N115" si="256">IF(M52=0,"",N52/M52-1)</f>
        <v>-0.12753684007796084</v>
      </c>
      <c r="O114" s="89">
        <f t="shared" ref="O114:O115" si="257">IF(N52=0,"",O52/N52-1)</f>
        <v>-0.10462253763948004</v>
      </c>
      <c r="P114" s="89">
        <f t="shared" ref="P114:P115" si="258">IF(O52=0,"",P52/O52-1)</f>
        <v>-6.9232098053855329E-2</v>
      </c>
      <c r="Q114" s="89">
        <f t="shared" ref="Q114:Q115" si="259">IF(P52=0,"",Q52/P52-1)</f>
        <v>-0.11527575666156609</v>
      </c>
      <c r="R114" s="89">
        <f t="shared" ref="R114:R115" si="260">IF(Q52=0,"",R52/Q52-1)</f>
        <v>0.12488200560739027</v>
      </c>
      <c r="S114" s="89">
        <f t="shared" ref="S114:S115" si="261">IF(R52=0,"",S52/R52-1)</f>
        <v>-2.568735873850192E-2</v>
      </c>
      <c r="T114" s="89">
        <f t="shared" ref="T114:T115" si="262">IF(S52=0,"",T52/S52-1)</f>
        <v>1.7419647386829329E-3</v>
      </c>
      <c r="U114" s="89">
        <f t="shared" ref="U114:U115" si="263">IF(T52=0,"",U52/T52-1)</f>
        <v>3.568018967886788E-2</v>
      </c>
      <c r="V114" s="89">
        <f t="shared" ref="V114:V115" si="264">IF(U52=0,"",V52/U52-1)</f>
        <v>-4.6820534231811317E-2</v>
      </c>
      <c r="W114" s="89">
        <f t="shared" ref="W114:W115" si="265">IF(V52=0,"",W52/V52-1)</f>
        <v>4.7434431909409325E-2</v>
      </c>
      <c r="X114" s="89">
        <f t="shared" ref="X114:X115" si="266">IF(W52=0,"",X52/W52-1)</f>
        <v>-3.4152298342379095E-2</v>
      </c>
      <c r="Y114" s="89">
        <f t="shared" ref="Y114:Y115" si="267">IF(X52=0,"",Y52/X52-1)</f>
        <v>2.3282729265060143E-2</v>
      </c>
    </row>
    <row r="115" spans="1:25" x14ac:dyDescent="0.25">
      <c r="A115" s="88" t="s">
        <v>21</v>
      </c>
      <c r="B115" s="44"/>
      <c r="C115" s="44"/>
      <c r="D115" s="89"/>
      <c r="E115" s="89" t="str">
        <f t="shared" si="247"/>
        <v/>
      </c>
      <c r="F115" s="89" t="str">
        <f t="shared" si="248"/>
        <v/>
      </c>
      <c r="G115" s="89" t="str">
        <f t="shared" si="249"/>
        <v/>
      </c>
      <c r="H115" s="89" t="str">
        <f t="shared" si="250"/>
        <v/>
      </c>
      <c r="I115" s="89" t="str">
        <f t="shared" si="251"/>
        <v/>
      </c>
      <c r="J115" s="89" t="str">
        <f t="shared" si="252"/>
        <v/>
      </c>
      <c r="K115" s="89" t="str">
        <f t="shared" si="253"/>
        <v/>
      </c>
      <c r="L115" s="89" t="str">
        <f t="shared" si="254"/>
        <v/>
      </c>
      <c r="M115" s="89" t="str">
        <f t="shared" si="255"/>
        <v/>
      </c>
      <c r="N115" s="89" t="str">
        <f t="shared" si="256"/>
        <v/>
      </c>
      <c r="O115" s="89" t="str">
        <f t="shared" si="257"/>
        <v/>
      </c>
      <c r="P115" s="89" t="str">
        <f t="shared" si="258"/>
        <v/>
      </c>
      <c r="Q115" s="89" t="str">
        <f t="shared" si="259"/>
        <v/>
      </c>
      <c r="R115" s="89" t="str">
        <f t="shared" si="260"/>
        <v/>
      </c>
      <c r="S115" s="89" t="str">
        <f t="shared" si="261"/>
        <v/>
      </c>
      <c r="T115" s="89" t="str">
        <f t="shared" si="262"/>
        <v/>
      </c>
      <c r="U115" s="89" t="str">
        <f t="shared" si="263"/>
        <v/>
      </c>
      <c r="V115" s="89" t="str">
        <f t="shared" si="264"/>
        <v/>
      </c>
      <c r="W115" s="89" t="str">
        <f t="shared" si="265"/>
        <v/>
      </c>
      <c r="X115" s="89" t="str">
        <f t="shared" si="266"/>
        <v/>
      </c>
      <c r="Y115" s="89" t="str">
        <f t="shared" si="267"/>
        <v/>
      </c>
    </row>
    <row r="116" spans="1:25" x14ac:dyDescent="0.25">
      <c r="A116" s="88" t="s">
        <v>16</v>
      </c>
      <c r="B116" s="44"/>
      <c r="C116" s="44"/>
      <c r="D116" s="89"/>
      <c r="E116" s="89">
        <f t="shared" ref="E116:E122" si="268">IF(D56=0,"",E56/D56-1)</f>
        <v>5.6296996225306817E-3</v>
      </c>
      <c r="F116" s="89">
        <f t="shared" ref="F116:F122" si="269">IF(E56=0,"",F56/E56-1)</f>
        <v>0.13246552787840704</v>
      </c>
      <c r="G116" s="89">
        <f t="shared" ref="G116:G122" si="270">IF(F56=0,"",G56/F56-1)</f>
        <v>8.1645708183322174E-2</v>
      </c>
      <c r="H116" s="89">
        <f t="shared" ref="H116:H122" si="271">IF(G56=0,"",H56/G56-1)</f>
        <v>-8.5085983637321339E-2</v>
      </c>
      <c r="I116" s="89">
        <f t="shared" ref="I116:I122" si="272">IF(H56=0,"",I56/H56-1)</f>
        <v>-0.1008519513322863</v>
      </c>
      <c r="J116" s="89">
        <f t="shared" ref="J116:J122" si="273">IF(I56=0,"",J56/I56-1)</f>
        <v>-0.12984530021904495</v>
      </c>
      <c r="K116" s="89">
        <f t="shared" ref="K116:K122" si="274">IF(J56=0,"",K56/J56-1)</f>
        <v>-0.10297518737078315</v>
      </c>
      <c r="L116" s="89">
        <f t="shared" ref="L116:L122" si="275">IF(K56=0,"",L56/K56-1)</f>
        <v>-0.1392929997045389</v>
      </c>
      <c r="M116" s="89">
        <f t="shared" ref="M116:M122" si="276">IF(L56=0,"",M56/L56-1)</f>
        <v>-2.0928300220391827E-2</v>
      </c>
      <c r="N116" s="89">
        <f t="shared" ref="N116:N122" si="277">IF(M56=0,"",N56/M56-1)</f>
        <v>-0.12753684007796084</v>
      </c>
      <c r="O116" s="89">
        <f t="shared" ref="O116:O122" si="278">IF(N56=0,"",O56/N56-1)</f>
        <v>-0.10462253763948004</v>
      </c>
      <c r="P116" s="89">
        <f t="shared" ref="P116:P122" si="279">IF(O56=0,"",P56/O56-1)</f>
        <v>-6.9232098053855329E-2</v>
      </c>
      <c r="Q116" s="89">
        <f t="shared" ref="Q116:Q122" si="280">IF(P56=0,"",Q56/P56-1)</f>
        <v>-0.11527575666156609</v>
      </c>
      <c r="R116" s="89">
        <f t="shared" ref="R116:R122" si="281">IF(Q56=0,"",R56/Q56-1)</f>
        <v>0.12488200560739027</v>
      </c>
      <c r="S116" s="89">
        <f t="shared" ref="S116:S122" si="282">IF(R56=0,"",S56/R56-1)</f>
        <v>-2.568735873850192E-2</v>
      </c>
      <c r="T116" s="89">
        <f t="shared" ref="T116:T122" si="283">IF(S56=0,"",T56/S56-1)</f>
        <v>1.7419647386829329E-3</v>
      </c>
      <c r="U116" s="89">
        <f t="shared" ref="U116:U122" si="284">IF(T56=0,"",U56/T56-1)</f>
        <v>3.568018967886788E-2</v>
      </c>
      <c r="V116" s="89">
        <f t="shared" ref="V116:V122" si="285">IF(U56=0,"",V56/U56-1)</f>
        <v>-4.6820534231811317E-2</v>
      </c>
      <c r="W116" s="89">
        <f t="shared" ref="W116:W122" si="286">IF(V56=0,"",W56/V56-1)</f>
        <v>4.7434431909409325E-2</v>
      </c>
      <c r="X116" s="89">
        <f t="shared" ref="X116:X122" si="287">IF(W56=0,"",X56/W56-1)</f>
        <v>-3.4152298342379095E-2</v>
      </c>
      <c r="Y116" s="89">
        <f t="shared" ref="Y116:Y122" si="288">IF(X56=0,"",Y56/X56-1)</f>
        <v>2.3282729265060143E-2</v>
      </c>
    </row>
    <row r="117" spans="1:25" x14ac:dyDescent="0.25">
      <c r="A117" s="68" t="s">
        <v>2</v>
      </c>
      <c r="B117" s="44"/>
      <c r="C117" s="44"/>
      <c r="D117" s="89"/>
      <c r="E117" s="89">
        <f t="shared" si="268"/>
        <v>-3.1551115465855428E-3</v>
      </c>
      <c r="F117" s="89">
        <f t="shared" si="269"/>
        <v>3.0694043528579851E-2</v>
      </c>
      <c r="G117" s="89">
        <f t="shared" si="270"/>
        <v>6.1394352333271618E-2</v>
      </c>
      <c r="H117" s="89">
        <f t="shared" si="271"/>
        <v>3.0430843192347901E-2</v>
      </c>
      <c r="I117" s="89">
        <f t="shared" si="272"/>
        <v>3.5617370371342716E-2</v>
      </c>
      <c r="J117" s="89">
        <f t="shared" si="273"/>
        <v>-0.11225519343792101</v>
      </c>
      <c r="K117" s="89">
        <f t="shared" si="274"/>
        <v>3.0372307328427217E-2</v>
      </c>
      <c r="L117" s="89">
        <f t="shared" si="275"/>
        <v>-0.16331016588472669</v>
      </c>
      <c r="M117" s="89">
        <f t="shared" si="276"/>
        <v>0.1828818238546428</v>
      </c>
      <c r="N117" s="89">
        <f t="shared" si="277"/>
        <v>-8.5937369615575188E-3</v>
      </c>
      <c r="O117" s="89">
        <f t="shared" si="278"/>
        <v>-0.15284244321538987</v>
      </c>
      <c r="P117" s="89">
        <f t="shared" si="279"/>
        <v>2.1267744286821433E-3</v>
      </c>
      <c r="Q117" s="89">
        <f t="shared" si="280"/>
        <v>-5.5706342164166811E-3</v>
      </c>
      <c r="R117" s="89">
        <f t="shared" si="281"/>
        <v>3.9922009006281289E-3</v>
      </c>
      <c r="S117" s="89">
        <f t="shared" si="282"/>
        <v>2.5347034178610839E-2</v>
      </c>
      <c r="T117" s="89">
        <f t="shared" si="283"/>
        <v>2.2897003209711553E-2</v>
      </c>
      <c r="U117" s="89">
        <f t="shared" si="284"/>
        <v>-5.9165387870318109E-2</v>
      </c>
      <c r="V117" s="89">
        <f t="shared" si="285"/>
        <v>-4.1341519011875993E-3</v>
      </c>
      <c r="W117" s="89">
        <f t="shared" si="286"/>
        <v>4.7434431909409547E-2</v>
      </c>
      <c r="X117" s="89">
        <f t="shared" si="287"/>
        <v>-3.4152298342378984E-2</v>
      </c>
      <c r="Y117" s="89">
        <f t="shared" si="288"/>
        <v>2.328272926505992E-2</v>
      </c>
    </row>
    <row r="118" spans="1:25" x14ac:dyDescent="0.25">
      <c r="A118" s="68" t="s">
        <v>275</v>
      </c>
      <c r="B118" s="44"/>
      <c r="C118" s="44"/>
      <c r="D118" s="89"/>
      <c r="E118" s="89">
        <f t="shared" si="268"/>
        <v>1.120519897135086E-2</v>
      </c>
      <c r="F118" s="89">
        <f t="shared" si="269"/>
        <v>-5.5656051542316565E-3</v>
      </c>
      <c r="G118" s="89">
        <f t="shared" si="270"/>
        <v>0.55750748400117889</v>
      </c>
      <c r="H118" s="89">
        <f t="shared" si="271"/>
        <v>0.1924821900864957</v>
      </c>
      <c r="I118" s="89">
        <f t="shared" si="272"/>
        <v>0.13271966480598585</v>
      </c>
      <c r="J118" s="89">
        <f t="shared" si="273"/>
        <v>4.3714605913255822E-2</v>
      </c>
      <c r="K118" s="89">
        <f t="shared" si="274"/>
        <v>0.84113118834700851</v>
      </c>
      <c r="L118" s="89">
        <f t="shared" si="275"/>
        <v>-0.11688359510235413</v>
      </c>
      <c r="M118" s="89">
        <f t="shared" si="276"/>
        <v>-0.4920474632328844</v>
      </c>
      <c r="N118" s="89">
        <f t="shared" si="277"/>
        <v>0.24103408298836504</v>
      </c>
      <c r="O118" s="89">
        <f t="shared" si="278"/>
        <v>9.0024736786719739E-2</v>
      </c>
      <c r="P118" s="89">
        <f t="shared" si="279"/>
        <v>2.3844692140758905E-2</v>
      </c>
      <c r="Q118" s="89">
        <f t="shared" si="280"/>
        <v>1.433129956372281E-2</v>
      </c>
      <c r="R118" s="89">
        <f t="shared" si="281"/>
        <v>-2.3991175988862468E-2</v>
      </c>
      <c r="S118" s="89">
        <f t="shared" si="282"/>
        <v>-4.2560398009950373E-2</v>
      </c>
      <c r="T118" s="89">
        <f t="shared" si="283"/>
        <v>0.12351808735571668</v>
      </c>
      <c r="U118" s="89">
        <f t="shared" si="284"/>
        <v>-6.1894137177607167E-3</v>
      </c>
      <c r="V118" s="89">
        <f t="shared" si="285"/>
        <v>-9.7281053106432536E-2</v>
      </c>
      <c r="W118" s="89">
        <f t="shared" si="286"/>
        <v>4.7434431909409547E-2</v>
      </c>
      <c r="X118" s="89">
        <f t="shared" si="287"/>
        <v>-3.4152298342379095E-2</v>
      </c>
      <c r="Y118" s="89">
        <f t="shared" si="288"/>
        <v>2.3282729265059698E-2</v>
      </c>
    </row>
    <row r="119" spans="1:25" x14ac:dyDescent="0.25">
      <c r="A119" s="68" t="s">
        <v>276</v>
      </c>
      <c r="B119" s="44"/>
      <c r="C119" s="44"/>
      <c r="D119" s="89"/>
      <c r="E119" s="89">
        <f t="shared" si="268"/>
        <v>7.357543895629548E-2</v>
      </c>
      <c r="F119" s="89">
        <f t="shared" si="269"/>
        <v>-1.9978857732334987E-2</v>
      </c>
      <c r="G119" s="89">
        <f t="shared" si="270"/>
        <v>-9.0646752072661929E-2</v>
      </c>
      <c r="H119" s="89">
        <f t="shared" si="271"/>
        <v>-9.2307193849211155E-2</v>
      </c>
      <c r="I119" s="89">
        <f t="shared" si="272"/>
        <v>4.1751385537592389E-2</v>
      </c>
      <c r="J119" s="89">
        <f t="shared" si="273"/>
        <v>0.2195525857028704</v>
      </c>
      <c r="K119" s="89">
        <f t="shared" si="274"/>
        <v>-4.3022690992961299E-2</v>
      </c>
      <c r="L119" s="89">
        <f t="shared" si="275"/>
        <v>-0.19680585087929814</v>
      </c>
      <c r="M119" s="89">
        <f t="shared" si="276"/>
        <v>4.4034489222122719E-2</v>
      </c>
      <c r="N119" s="89">
        <f t="shared" si="277"/>
        <v>-1.0472660825407321E-2</v>
      </c>
      <c r="O119" s="89">
        <f t="shared" si="278"/>
        <v>7.4022493012542823E-2</v>
      </c>
      <c r="P119" s="89">
        <f t="shared" si="279"/>
        <v>3.4815780447065681E-2</v>
      </c>
      <c r="Q119" s="89">
        <f t="shared" si="280"/>
        <v>-0.12020281157095658</v>
      </c>
      <c r="R119" s="89">
        <f t="shared" si="281"/>
        <v>1.2046718063299489</v>
      </c>
      <c r="S119" s="89">
        <f t="shared" si="282"/>
        <v>0.10737570889076387</v>
      </c>
      <c r="T119" s="89">
        <f t="shared" si="283"/>
        <v>-0.22757332615629189</v>
      </c>
      <c r="U119" s="89">
        <f t="shared" si="284"/>
        <v>-0.5217553079293421</v>
      </c>
      <c r="V119" s="89">
        <f t="shared" si="285"/>
        <v>-9.2159563095123076E-2</v>
      </c>
      <c r="W119" s="89">
        <f t="shared" si="286"/>
        <v>2.6596380465290226E-2</v>
      </c>
      <c r="X119" s="89">
        <f t="shared" si="287"/>
        <v>-0.21554485635871845</v>
      </c>
      <c r="Y119" s="89">
        <f t="shared" si="288"/>
        <v>8.0795804711162322E-3</v>
      </c>
    </row>
    <row r="120" spans="1:25" x14ac:dyDescent="0.25">
      <c r="A120" s="68" t="s">
        <v>1</v>
      </c>
      <c r="B120" s="44"/>
      <c r="C120" s="44"/>
      <c r="D120" s="89"/>
      <c r="E120" s="89">
        <f t="shared" si="268"/>
        <v>-1.2599066541157722E-2</v>
      </c>
      <c r="F120" s="89">
        <f t="shared" si="269"/>
        <v>2.2225769814916196E-2</v>
      </c>
      <c r="G120" s="89">
        <f t="shared" si="270"/>
        <v>4.9474087742007011E-2</v>
      </c>
      <c r="H120" s="89">
        <f t="shared" si="271"/>
        <v>0.14050194352288337</v>
      </c>
      <c r="I120" s="89">
        <f t="shared" si="272"/>
        <v>-0.10485100461560826</v>
      </c>
      <c r="J120" s="89">
        <f t="shared" si="273"/>
        <v>-8.9200161020784319E-2</v>
      </c>
      <c r="K120" s="89">
        <f t="shared" si="274"/>
        <v>2.7939731642784738E-2</v>
      </c>
      <c r="L120" s="89">
        <f t="shared" si="275"/>
        <v>-0.38813327286282129</v>
      </c>
      <c r="M120" s="89">
        <f t="shared" si="276"/>
        <v>-0.1438360754183281</v>
      </c>
      <c r="N120" s="89">
        <f t="shared" si="277"/>
        <v>0.47292846213158324</v>
      </c>
      <c r="O120" s="89">
        <f t="shared" si="278"/>
        <v>-6.1853266794715589E-2</v>
      </c>
      <c r="P120" s="89">
        <f t="shared" si="279"/>
        <v>-0.19018232843818927</v>
      </c>
      <c r="Q120" s="89">
        <f t="shared" si="280"/>
        <v>3.2404159273038413E-3</v>
      </c>
      <c r="R120" s="89">
        <f t="shared" si="281"/>
        <v>-7.3659100327956861E-2</v>
      </c>
      <c r="S120" s="89">
        <f t="shared" si="282"/>
        <v>0.30485776173285206</v>
      </c>
      <c r="T120" s="89">
        <f t="shared" si="283"/>
        <v>0.2270576897805423</v>
      </c>
      <c r="U120" s="89">
        <f t="shared" si="284"/>
        <v>2.9210076936563301E-2</v>
      </c>
      <c r="V120" s="89">
        <f t="shared" si="285"/>
        <v>-2.6680756464097288E-2</v>
      </c>
      <c r="W120" s="89">
        <f t="shared" si="286"/>
        <v>0.11794253592696857</v>
      </c>
      <c r="X120" s="89">
        <f t="shared" si="287"/>
        <v>4.8878703839726034E-2</v>
      </c>
      <c r="Y120" s="89">
        <f t="shared" si="288"/>
        <v>-3.5570853129385349E-2</v>
      </c>
    </row>
    <row r="121" spans="1:25" x14ac:dyDescent="0.25">
      <c r="A121" s="68" t="s">
        <v>0</v>
      </c>
      <c r="B121" s="44"/>
      <c r="C121" s="44"/>
      <c r="D121" s="89"/>
      <c r="E121" s="89">
        <f t="shared" si="268"/>
        <v>-0.11110966884612272</v>
      </c>
      <c r="F121" s="89">
        <f t="shared" si="269"/>
        <v>0.1515598067881927</v>
      </c>
      <c r="G121" s="89">
        <f t="shared" si="270"/>
        <v>-4.0612506055385023E-2</v>
      </c>
      <c r="H121" s="89">
        <f t="shared" si="271"/>
        <v>0.21555422639412125</v>
      </c>
      <c r="I121" s="89">
        <f t="shared" si="272"/>
        <v>-0.11729139924836451</v>
      </c>
      <c r="J121" s="89">
        <f t="shared" si="273"/>
        <v>-0.13060327469620603</v>
      </c>
      <c r="K121" s="89">
        <f t="shared" si="274"/>
        <v>-1.1827756345249574E-2</v>
      </c>
      <c r="L121" s="89">
        <f t="shared" si="275"/>
        <v>-0.1540634662340491</v>
      </c>
      <c r="M121" s="89">
        <f t="shared" si="276"/>
        <v>-0.12646466848552651</v>
      </c>
      <c r="N121" s="89">
        <f t="shared" si="277"/>
        <v>0.37665607109936872</v>
      </c>
      <c r="O121" s="89">
        <f t="shared" si="278"/>
        <v>-9.9631581884962017E-2</v>
      </c>
      <c r="P121" s="89">
        <f t="shared" si="279"/>
        <v>-6.848913476183649E-2</v>
      </c>
      <c r="Q121" s="89">
        <f t="shared" si="280"/>
        <v>-0.10243950125298806</v>
      </c>
      <c r="R121" s="89">
        <f t="shared" si="281"/>
        <v>-7.9960260162321384E-2</v>
      </c>
      <c r="S121" s="89">
        <f t="shared" si="282"/>
        <v>-0.16267428571428566</v>
      </c>
      <c r="T121" s="89">
        <f t="shared" si="283"/>
        <v>1.7419647386829329E-3</v>
      </c>
      <c r="U121" s="89">
        <f t="shared" si="284"/>
        <v>3.5680189678867658E-2</v>
      </c>
      <c r="V121" s="89">
        <f t="shared" si="285"/>
        <v>-4.6820534231810873E-2</v>
      </c>
      <c r="W121" s="89">
        <f t="shared" si="286"/>
        <v>4.7434431909409325E-2</v>
      </c>
      <c r="X121" s="89">
        <f t="shared" si="287"/>
        <v>-3.4152298342379095E-2</v>
      </c>
      <c r="Y121" s="89">
        <f t="shared" si="288"/>
        <v>2.328272926505992E-2</v>
      </c>
    </row>
    <row r="122" spans="1:25" x14ac:dyDescent="0.25">
      <c r="A122" s="90" t="s">
        <v>278</v>
      </c>
      <c r="B122" s="47"/>
      <c r="C122" s="47"/>
      <c r="D122" s="91"/>
      <c r="E122" s="91">
        <f t="shared" si="268"/>
        <v>0.11783224209430743</v>
      </c>
      <c r="F122" s="91">
        <f t="shared" si="269"/>
        <v>-0.15852448436850664</v>
      </c>
      <c r="G122" s="91">
        <f t="shared" si="270"/>
        <v>-0.16099434675219715</v>
      </c>
      <c r="H122" s="91">
        <f t="shared" si="271"/>
        <v>0.15633462024574252</v>
      </c>
      <c r="I122" s="91">
        <f t="shared" si="272"/>
        <v>0.47232326450807238</v>
      </c>
      <c r="J122" s="91">
        <f t="shared" si="273"/>
        <v>-1.2278696442424852E-4</v>
      </c>
      <c r="K122" s="91">
        <f t="shared" si="274"/>
        <v>0.25103633991647434</v>
      </c>
      <c r="L122" s="91">
        <f t="shared" si="275"/>
        <v>-0.25871565790760365</v>
      </c>
      <c r="M122" s="91">
        <f t="shared" si="276"/>
        <v>-0.53403124144045266</v>
      </c>
      <c r="N122" s="91">
        <f t="shared" si="277"/>
        <v>-8.5099717309335743E-2</v>
      </c>
      <c r="O122" s="91">
        <f t="shared" si="278"/>
        <v>7.3050467866809798E-2</v>
      </c>
      <c r="P122" s="91">
        <f t="shared" si="279"/>
        <v>-3.3420734788361717E-2</v>
      </c>
      <c r="Q122" s="91">
        <f t="shared" si="280"/>
        <v>-2.2272506143734327E-2</v>
      </c>
      <c r="R122" s="91">
        <f t="shared" si="281"/>
        <v>0.17620590395996505</v>
      </c>
      <c r="S122" s="91">
        <f t="shared" si="282"/>
        <v>-0.10945443099273611</v>
      </c>
      <c r="T122" s="91">
        <f t="shared" si="283"/>
        <v>0.17439480328281687</v>
      </c>
      <c r="U122" s="91">
        <f t="shared" si="284"/>
        <v>6.77774438709009E-2</v>
      </c>
      <c r="V122" s="91">
        <f t="shared" si="285"/>
        <v>-1.180487525858398E-2</v>
      </c>
      <c r="W122" s="91">
        <f t="shared" si="286"/>
        <v>4.7434431909409325E-2</v>
      </c>
      <c r="X122" s="91">
        <f t="shared" si="287"/>
        <v>-3.4152298342379095E-2</v>
      </c>
      <c r="Y122" s="91">
        <f t="shared" si="288"/>
        <v>2.328272926505992E-2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271</v>
      </c>
      <c r="B56" s="106" t="s">
        <v>186</v>
      </c>
      <c r="C56" s="67"/>
      <c r="D56" s="39"/>
    </row>
    <row r="57" spans="1:4" x14ac:dyDescent="0.25">
      <c r="A57" s="128" t="s">
        <v>272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275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276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278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Macro_euro2015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2024-05-20T16:52:53Z</dcterms:created>
  <dcterms:modified xsi:type="dcterms:W3CDTF">2024-05-20T16:52:53Z</dcterms:modified>
</cp:coreProperties>
</file>