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I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B26" i="1"/>
  <c r="B25" i="1"/>
  <c r="B24" i="1"/>
  <c r="C18" i="20" l="1"/>
  <c r="S242" i="3"/>
  <c r="E3" i="20"/>
  <c r="E22" i="20" s="1"/>
  <c r="C242" i="3"/>
  <c r="W14" i="18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25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U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N3" i="18"/>
  <c r="N17" i="18" s="1"/>
  <c r="U14" i="18"/>
  <c r="P14" i="18"/>
  <c r="J14" i="20"/>
  <c r="O3" i="20"/>
  <c r="O23" i="20" s="1"/>
  <c r="O3" i="18"/>
  <c r="O18" i="18" s="1"/>
  <c r="N3" i="20"/>
  <c r="F24" i="19"/>
  <c r="Q25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L21" i="20"/>
  <c r="I14" i="20"/>
  <c r="I3" i="20"/>
  <c r="I23" i="20" s="1"/>
  <c r="B3" i="18"/>
  <c r="B18" i="18" s="1"/>
  <c r="R3" i="18"/>
  <c r="R19" i="18" s="1"/>
  <c r="P7" i="18"/>
  <c r="P21" i="18" s="1"/>
  <c r="T23" i="18"/>
  <c r="H14" i="18"/>
  <c r="B15" i="18"/>
  <c r="R15" i="18"/>
  <c r="D10" i="19"/>
  <c r="L10" i="19"/>
  <c r="T10" i="19"/>
  <c r="M22" i="20"/>
  <c r="W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22" i="18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G24" i="19"/>
  <c r="R21" i="19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M23" i="20"/>
  <c r="R3" i="20"/>
  <c r="E23" i="18" l="1"/>
  <c r="N24" i="19"/>
  <c r="D23" i="20"/>
  <c r="W17" i="20"/>
  <c r="U24" i="19"/>
  <c r="M23" i="18"/>
  <c r="F20" i="19"/>
  <c r="L23" i="18"/>
  <c r="L10" i="20"/>
  <c r="L20" i="19"/>
  <c r="E21" i="20"/>
  <c r="E23" i="20"/>
  <c r="H11" i="20"/>
  <c r="N22" i="18"/>
  <c r="N20" i="19"/>
  <c r="R23" i="18"/>
  <c r="K23" i="18"/>
  <c r="J21" i="19"/>
  <c r="E17" i="20"/>
  <c r="E18" i="18"/>
  <c r="W10" i="20"/>
  <c r="R25" i="19"/>
  <c r="G18" i="18"/>
  <c r="K20" i="19"/>
  <c r="I213" i="3"/>
  <c r="E19" i="18"/>
  <c r="R22" i="18"/>
  <c r="E13" i="18"/>
  <c r="N13" i="20"/>
  <c r="M22" i="18"/>
  <c r="T24" i="19"/>
  <c r="D22" i="20"/>
  <c r="E22" i="18"/>
  <c r="F19" i="18"/>
  <c r="Q11" i="20"/>
  <c r="F89" i="3"/>
  <c r="F181" i="3" s="1"/>
  <c r="F22" i="20"/>
  <c r="G23" i="20"/>
  <c r="P10" i="20"/>
  <c r="W3" i="19"/>
  <c r="W28" i="19" s="1"/>
  <c r="P24" i="19"/>
  <c r="N10" i="20"/>
  <c r="O21" i="19"/>
  <c r="Q10" i="20"/>
  <c r="H20" i="19"/>
  <c r="Q24" i="19"/>
  <c r="G25" i="19"/>
  <c r="H3" i="19"/>
  <c r="H28" i="19" s="1"/>
  <c r="W24" i="19"/>
  <c r="M24" i="19"/>
  <c r="O11" i="20"/>
  <c r="Q21" i="19"/>
  <c r="S23" i="18"/>
  <c r="N23" i="18"/>
  <c r="F18" i="18"/>
  <c r="S22" i="18"/>
  <c r="U19" i="18"/>
  <c r="U18" i="18"/>
  <c r="I21" i="18"/>
  <c r="R212" i="3"/>
  <c r="I22" i="18"/>
  <c r="T20" i="19"/>
  <c r="J11" i="20"/>
  <c r="N29" i="3"/>
  <c r="N241" i="3" s="1"/>
  <c r="S10" i="20"/>
  <c r="R29" i="3"/>
  <c r="R123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19" i="19" s="1"/>
  <c r="G21" i="20"/>
  <c r="Q29" i="3"/>
  <c r="Q24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U121" i="3"/>
  <c r="W121" i="3"/>
  <c r="W241" i="3"/>
  <c r="B122" i="3"/>
  <c r="C123" i="3"/>
  <c r="C241" i="3"/>
  <c r="B183" i="3"/>
  <c r="H123" i="3"/>
  <c r="U122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U123" i="3"/>
  <c r="W122" i="3"/>
  <c r="M122" i="3"/>
  <c r="E122" i="3"/>
  <c r="O122" i="3"/>
  <c r="F153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H23" i="19"/>
  <c r="H19" i="19"/>
  <c r="W22" i="18"/>
  <c r="L3" i="19"/>
  <c r="L29" i="19" s="1"/>
  <c r="F21" i="19"/>
  <c r="F11" i="20"/>
  <c r="F25" i="19"/>
  <c r="W23" i="18"/>
  <c r="P27" i="19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9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M28" i="19" l="1"/>
  <c r="N27" i="19"/>
  <c r="H29" i="19"/>
  <c r="R121" i="3"/>
  <c r="P121" i="3"/>
  <c r="N29" i="19"/>
  <c r="R122" i="3"/>
  <c r="K183" i="3"/>
  <c r="P9" i="20"/>
  <c r="U182" i="3"/>
  <c r="F183" i="3"/>
  <c r="M182" i="3"/>
  <c r="Q121" i="3"/>
  <c r="H9" i="20"/>
  <c r="W27" i="19"/>
  <c r="E23" i="19"/>
  <c r="M23" i="19"/>
  <c r="M9" i="20"/>
  <c r="M27" i="19"/>
  <c r="W19" i="19"/>
  <c r="W9" i="20"/>
  <c r="W23" i="19"/>
  <c r="F152" i="3"/>
  <c r="E27" i="19"/>
  <c r="G27" i="19"/>
  <c r="W29" i="19"/>
  <c r="H27" i="19"/>
  <c r="E28" i="19"/>
  <c r="G28" i="19"/>
  <c r="Q23" i="19"/>
  <c r="Q123" i="3"/>
  <c r="Q122" i="3"/>
  <c r="N121" i="3"/>
  <c r="N123" i="3"/>
  <c r="D123" i="3"/>
  <c r="F241" i="3"/>
  <c r="P122" i="3"/>
  <c r="R241" i="3"/>
  <c r="Q9" i="20"/>
  <c r="N19" i="19"/>
  <c r="T241" i="3"/>
  <c r="N9" i="20"/>
  <c r="T123" i="3"/>
  <c r="L121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S10" i="5"/>
  <c r="Q10" i="5"/>
  <c r="P10" i="5"/>
  <c r="N10" i="5"/>
  <c r="M10" i="5"/>
  <c r="K10" i="5"/>
  <c r="I10" i="5"/>
  <c r="H10" i="5"/>
  <c r="F10" i="5"/>
  <c r="E10" i="5"/>
  <c r="C10" i="5"/>
  <c r="B10" i="5" l="1"/>
  <c r="J10" i="5"/>
  <c r="R10" i="5"/>
  <c r="T10" i="5"/>
  <c r="D10" i="5"/>
  <c r="G10" i="5"/>
  <c r="O10" i="5"/>
  <c r="W10" i="5"/>
  <c r="L10" i="5"/>
  <c r="Q15" i="17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0" i="3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W64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59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R60" i="7" s="1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H60" i="7" l="1"/>
  <c r="W60" i="9"/>
  <c r="F84" i="4"/>
  <c r="W45" i="9"/>
  <c r="W65" i="9"/>
  <c r="W56" i="9"/>
  <c r="W62" i="9"/>
  <c r="W61" i="9"/>
  <c r="N84" i="4"/>
  <c r="Q75" i="7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18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103" i="6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31" i="4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92" i="6" s="1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206" i="4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92" i="6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202" i="4" s="1"/>
  <c r="S175" i="4"/>
  <c r="S62" i="6"/>
  <c r="S204" i="7" s="1"/>
  <c r="G176" i="4"/>
  <c r="G63" i="6"/>
  <c r="O12" i="4"/>
  <c r="O203" i="4" s="1"/>
  <c r="O176" i="4"/>
  <c r="O63" i="6"/>
  <c r="C40" i="4"/>
  <c r="C64" i="6" s="1"/>
  <c r="C206" i="7" s="1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73" i="4" s="1"/>
  <c r="V19" i="7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V94" i="5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L31" i="4" s="1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91" i="4"/>
  <c r="S78" i="6"/>
  <c r="S220" i="7" s="1"/>
  <c r="G28" i="4"/>
  <c r="G219" i="4" s="1"/>
  <c r="G192" i="4"/>
  <c r="G79" i="6"/>
  <c r="G221" i="7" s="1"/>
  <c r="O28" i="4"/>
  <c r="O106" i="6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70" i="5" s="1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132" i="7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N77" i="6" s="1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M212" i="4" s="1"/>
  <c r="Q22" i="4"/>
  <c r="Q106" i="5" s="1"/>
  <c r="D23" i="4"/>
  <c r="D214" i="4" s="1"/>
  <c r="M23" i="4"/>
  <c r="M214" i="4" s="1"/>
  <c r="Q24" i="4"/>
  <c r="Q108" i="5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77" i="6" s="1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68" i="4"/>
  <c r="I266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177" i="4"/>
  <c r="R258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K112" i="4"/>
  <c r="N127" i="4"/>
  <c r="N46" i="7" s="1"/>
  <c r="N47" i="7"/>
  <c r="P106" i="5"/>
  <c r="G216" i="4"/>
  <c r="G103" i="6"/>
  <c r="G109" i="5"/>
  <c r="Q170" i="4"/>
  <c r="Q63" i="5"/>
  <c r="Q118" i="7" s="1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Q184" i="4"/>
  <c r="R190" i="4"/>
  <c r="R83" i="5"/>
  <c r="R138" i="7" s="1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83" i="5"/>
  <c r="B138" i="7" s="1"/>
  <c r="K177" i="4"/>
  <c r="K64" i="6"/>
  <c r="K206" i="7" s="1"/>
  <c r="H184" i="4"/>
  <c r="H71" i="6"/>
  <c r="H213" i="7" s="1"/>
  <c r="H77" i="5"/>
  <c r="H132" i="7" s="1"/>
  <c r="R184" i="4"/>
  <c r="R77" i="5"/>
  <c r="R132" i="7" s="1"/>
  <c r="G77" i="6"/>
  <c r="G83" i="5"/>
  <c r="V77" i="6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O209" i="4"/>
  <c r="O96" i="6"/>
  <c r="O102" i="5"/>
  <c r="R199" i="4"/>
  <c r="R86" i="6"/>
  <c r="R92" i="5"/>
  <c r="N219" i="4"/>
  <c r="N106" i="6"/>
  <c r="N112" i="5"/>
  <c r="B202" i="4"/>
  <c r="B89" i="6"/>
  <c r="B95" i="5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57" i="6"/>
  <c r="V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18" i="4"/>
  <c r="S105" i="6"/>
  <c r="S111" i="5"/>
  <c r="O219" i="4"/>
  <c r="F58" i="4"/>
  <c r="F13" i="7"/>
  <c r="O20" i="7"/>
  <c r="V20" i="7"/>
  <c r="B85" i="4"/>
  <c r="B100" i="4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95" i="5"/>
  <c r="C213" i="4"/>
  <c r="C100" i="6"/>
  <c r="C106" i="5"/>
  <c r="E215" i="4"/>
  <c r="E102" i="6"/>
  <c r="E108" i="5"/>
  <c r="H218" i="4"/>
  <c r="H105" i="6"/>
  <c r="H111" i="5"/>
  <c r="S91" i="5"/>
  <c r="O92" i="5"/>
  <c r="S95" i="5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H199" i="4"/>
  <c r="H86" i="6"/>
  <c r="M200" i="4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63" i="4"/>
  <c r="U250" i="4"/>
  <c r="U256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2" i="4"/>
  <c r="R270" i="4"/>
  <c r="R268" i="4"/>
  <c r="R266" i="4"/>
  <c r="M184" i="4"/>
  <c r="M71" i="6"/>
  <c r="M213" i="7" s="1"/>
  <c r="M77" i="5"/>
  <c r="M132" i="7" s="1"/>
  <c r="S212" i="4"/>
  <c r="S99" i="6"/>
  <c r="S105" i="5"/>
  <c r="O213" i="4"/>
  <c r="O100" i="6"/>
  <c r="O106" i="5"/>
  <c r="S214" i="4"/>
  <c r="S101" i="6"/>
  <c r="S107" i="5"/>
  <c r="N271" i="4"/>
  <c r="N83" i="5"/>
  <c r="E190" i="4"/>
  <c r="U46" i="4"/>
  <c r="U265" i="4" s="1"/>
  <c r="U83" i="5"/>
  <c r="D73" i="4"/>
  <c r="D26" i="7"/>
  <c r="M73" i="4"/>
  <c r="M26" i="7"/>
  <c r="J127" i="4"/>
  <c r="J46" i="7" s="1"/>
  <c r="J47" i="7"/>
  <c r="S47" i="7"/>
  <c r="I199" i="4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70" i="5"/>
  <c r="E125" i="7" s="1"/>
  <c r="E258" i="4"/>
  <c r="Q177" i="4"/>
  <c r="Q64" i="6"/>
  <c r="Q206" i="7" s="1"/>
  <c r="Q70" i="5"/>
  <c r="Q125" i="7" s="1"/>
  <c r="V46" i="4"/>
  <c r="N71" i="6"/>
  <c r="N265" i="4"/>
  <c r="N77" i="5"/>
  <c r="O77" i="6"/>
  <c r="O83" i="5"/>
  <c r="H58" i="4"/>
  <c r="I58" i="4"/>
  <c r="I4" i="7" s="1"/>
  <c r="I13" i="7"/>
  <c r="R58" i="4"/>
  <c r="R13" i="7"/>
  <c r="R73" i="4"/>
  <c r="R19" i="7" s="1"/>
  <c r="R20" i="7"/>
  <c r="G112" i="4"/>
  <c r="N250" i="4"/>
  <c r="E252" i="4"/>
  <c r="R253" i="4"/>
  <c r="O109" i="5"/>
  <c r="V83" i="6"/>
  <c r="O4" i="6"/>
  <c r="O47" i="6" s="1"/>
  <c r="T42" i="5"/>
  <c r="N18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S112" i="4"/>
  <c r="C100" i="4"/>
  <c r="E58" i="4"/>
  <c r="E168" i="4" s="1"/>
  <c r="B73" i="4"/>
  <c r="B19" i="7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O271" i="4" l="1"/>
  <c r="Q59" i="7"/>
  <c r="B47" i="6"/>
  <c r="M105" i="5"/>
  <c r="S26" i="4"/>
  <c r="M99" i="6"/>
  <c r="S47" i="6"/>
  <c r="T18" i="5"/>
  <c r="T17" i="5" s="1"/>
  <c r="T151" i="5" s="1"/>
  <c r="I59" i="7"/>
  <c r="J112" i="4"/>
  <c r="M98" i="5"/>
  <c r="I93" i="6"/>
  <c r="N112" i="4"/>
  <c r="N31" i="7" s="1"/>
  <c r="Q102" i="6"/>
  <c r="F95" i="5"/>
  <c r="V88" i="6"/>
  <c r="C177" i="4"/>
  <c r="M205" i="4"/>
  <c r="V190" i="4"/>
  <c r="G46" i="4"/>
  <c r="G271" i="4" s="1"/>
  <c r="H216" i="4"/>
  <c r="Q205" i="4"/>
  <c r="R127" i="4"/>
  <c r="R46" i="7" s="1"/>
  <c r="S89" i="6"/>
  <c r="I89" i="6"/>
  <c r="O112" i="5"/>
  <c r="P64" i="6"/>
  <c r="P206" i="7" s="1"/>
  <c r="I202" i="4"/>
  <c r="U170" i="4"/>
  <c r="T112" i="4"/>
  <c r="T31" i="7" s="1"/>
  <c r="I270" i="4"/>
  <c r="B63" i="5"/>
  <c r="D47" i="6"/>
  <c r="D71" i="6"/>
  <c r="D213" i="7" s="1"/>
  <c r="C58" i="4"/>
  <c r="C4" i="7" s="1"/>
  <c r="U59" i="7"/>
  <c r="Q213" i="4"/>
  <c r="S85" i="6"/>
  <c r="H109" i="5"/>
  <c r="Q98" i="5"/>
  <c r="G77" i="5"/>
  <c r="G132" i="7" s="1"/>
  <c r="M216" i="4"/>
  <c r="F229" i="4"/>
  <c r="V219" i="7"/>
  <c r="Q117" i="5"/>
  <c r="T73" i="4"/>
  <c r="T19" i="7" s="1"/>
  <c r="Q215" i="4"/>
  <c r="J219" i="7"/>
  <c r="I64" i="6"/>
  <c r="I206" i="7" s="1"/>
  <c r="T111" i="6"/>
  <c r="T184" i="4"/>
  <c r="J251" i="4"/>
  <c r="U98" i="5"/>
  <c r="U73" i="4"/>
  <c r="U183" i="4" s="1"/>
  <c r="J213" i="7"/>
  <c r="U118" i="7"/>
  <c r="J254" i="4"/>
  <c r="U125" i="7"/>
  <c r="M47" i="7"/>
  <c r="B88" i="6"/>
  <c r="I88" i="6"/>
  <c r="O207" i="4"/>
  <c r="G184" i="4"/>
  <c r="E184" i="4"/>
  <c r="T213" i="7"/>
  <c r="M13" i="4"/>
  <c r="M204" i="4" s="1"/>
  <c r="K184" i="4"/>
  <c r="B57" i="6"/>
  <c r="B199" i="7" s="1"/>
  <c r="P71" i="6"/>
  <c r="P213" i="7" s="1"/>
  <c r="O6" i="4"/>
  <c r="O90" i="5" s="1"/>
  <c r="S42" i="5"/>
  <c r="W231" i="4"/>
  <c r="Q91" i="5"/>
  <c r="M196" i="4"/>
  <c r="U20" i="4"/>
  <c r="U211" i="4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150" i="4" s="1"/>
  <c r="K77" i="5"/>
  <c r="K132" i="7" s="1"/>
  <c r="J190" i="4"/>
  <c r="S206" i="7"/>
  <c r="M26" i="4"/>
  <c r="O20" i="4"/>
  <c r="O98" i="6" s="1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269" i="4" s="1"/>
  <c r="S216" i="4"/>
  <c r="G190" i="4"/>
  <c r="Q57" i="6"/>
  <c r="Q199" i="7" s="1"/>
  <c r="N200" i="4"/>
  <c r="V206" i="7"/>
  <c r="G137" i="5"/>
  <c r="V6" i="4"/>
  <c r="U6" i="4"/>
  <c r="U4" i="4" s="1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S90" i="5" s="1"/>
  <c r="I20" i="4"/>
  <c r="I19" i="4" s="1"/>
  <c r="I244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R97" i="5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143" i="4" s="1"/>
  <c r="Q42" i="5"/>
  <c r="Q17" i="5" s="1"/>
  <c r="Q157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150" i="4" s="1"/>
  <c r="I177" i="4"/>
  <c r="H106" i="6"/>
  <c r="S73" i="4"/>
  <c r="S19" i="7" s="1"/>
  <c r="R100" i="5"/>
  <c r="H219" i="4"/>
  <c r="H18" i="6"/>
  <c r="R94" i="6"/>
  <c r="S93" i="5"/>
  <c r="J249" i="4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C18" i="5"/>
  <c r="N132" i="7"/>
  <c r="F102" i="5"/>
  <c r="I215" i="4"/>
  <c r="J259" i="4"/>
  <c r="R267" i="4"/>
  <c r="J132" i="7"/>
  <c r="P177" i="4"/>
  <c r="H170" i="4"/>
  <c r="J58" i="4"/>
  <c r="J168" i="4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B6" i="4"/>
  <c r="B84" i="6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97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111" i="4" s="1"/>
  <c r="F30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97" i="5"/>
  <c r="M91" i="6"/>
  <c r="M97" i="5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G209" i="4"/>
  <c r="G96" i="6"/>
  <c r="G102" i="5"/>
  <c r="N150" i="4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P20" i="4"/>
  <c r="P157" i="4" s="1"/>
  <c r="P215" i="4"/>
  <c r="P102" i="6"/>
  <c r="P108" i="5"/>
  <c r="O4" i="7"/>
  <c r="S4" i="4"/>
  <c r="S223" i="4" s="1"/>
  <c r="F204" i="4"/>
  <c r="J163" i="4"/>
  <c r="J217" i="4"/>
  <c r="J104" i="6"/>
  <c r="J110" i="5"/>
  <c r="B177" i="4"/>
  <c r="B64" i="6"/>
  <c r="B206" i="7" s="1"/>
  <c r="B70" i="5"/>
  <c r="B125" i="7" s="1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268" i="4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O163" i="4"/>
  <c r="O217" i="4"/>
  <c r="O104" i="6"/>
  <c r="O110" i="5"/>
  <c r="K143" i="4"/>
  <c r="K197" i="4"/>
  <c r="K84" i="6"/>
  <c r="K90" i="5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198" i="4"/>
  <c r="D85" i="6"/>
  <c r="D91" i="5"/>
  <c r="K150" i="4"/>
  <c r="K204" i="4"/>
  <c r="K91" i="6"/>
  <c r="K97" i="5"/>
  <c r="T190" i="4"/>
  <c r="T77" i="6"/>
  <c r="T219" i="7" s="1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Q90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272" i="4"/>
  <c r="G270" i="4"/>
  <c r="G268" i="4"/>
  <c r="G266" i="4"/>
  <c r="G264" i="4"/>
  <c r="G273" i="4"/>
  <c r="G269" i="4"/>
  <c r="G267" i="4"/>
  <c r="F168" i="4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H205" i="4"/>
  <c r="H92" i="6"/>
  <c r="H98" i="5"/>
  <c r="G13" i="4"/>
  <c r="G205" i="4"/>
  <c r="G92" i="6"/>
  <c r="G98" i="5"/>
  <c r="P205" i="4"/>
  <c r="P92" i="6"/>
  <c r="P98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273" i="4"/>
  <c r="T268" i="4"/>
  <c r="H201" i="4"/>
  <c r="H88" i="6"/>
  <c r="H94" i="5"/>
  <c r="E90" i="5"/>
  <c r="F6" i="4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V265" i="4"/>
  <c r="H253" i="4"/>
  <c r="H249" i="4"/>
  <c r="H261" i="4"/>
  <c r="H254" i="4"/>
  <c r="H263" i="4"/>
  <c r="H257" i="4"/>
  <c r="R168" i="4"/>
  <c r="C6" i="4"/>
  <c r="T20" i="4"/>
  <c r="R4" i="4"/>
  <c r="R143" i="4"/>
  <c r="P13" i="4"/>
  <c r="M150" i="4"/>
  <c r="V19" i="4"/>
  <c r="V157" i="4"/>
  <c r="H13" i="4"/>
  <c r="N19" i="4"/>
  <c r="N244" i="4" s="1"/>
  <c r="N157" i="4"/>
  <c r="V4" i="4"/>
  <c r="V231" i="4" s="1"/>
  <c r="O19" i="4"/>
  <c r="T6" i="4"/>
  <c r="K4" i="4"/>
  <c r="K223" i="4" s="1"/>
  <c r="C46" i="4"/>
  <c r="C271" i="4" s="1"/>
  <c r="R19" i="4"/>
  <c r="R244" i="4" s="1"/>
  <c r="F19" i="4"/>
  <c r="F238" i="4" s="1"/>
  <c r="E19" i="4"/>
  <c r="E238" i="4" s="1"/>
  <c r="J4" i="7" l="1"/>
  <c r="Q211" i="4"/>
  <c r="H259" i="4"/>
  <c r="S242" i="4"/>
  <c r="J91" i="6"/>
  <c r="H255" i="4"/>
  <c r="S244" i="4"/>
  <c r="I104" i="5"/>
  <c r="H250" i="4"/>
  <c r="I98" i="6"/>
  <c r="E270" i="4"/>
  <c r="H251" i="4"/>
  <c r="H260" i="4"/>
  <c r="H252" i="4"/>
  <c r="H262" i="4"/>
  <c r="I211" i="4"/>
  <c r="E272" i="4"/>
  <c r="H168" i="4"/>
  <c r="I157" i="4"/>
  <c r="H57" i="4"/>
  <c r="H3" i="7" s="1"/>
  <c r="B143" i="4"/>
  <c r="F4" i="4"/>
  <c r="F231" i="4" s="1"/>
  <c r="O183" i="4"/>
  <c r="T264" i="4"/>
  <c r="T76" i="5"/>
  <c r="N183" i="4"/>
  <c r="U90" i="5"/>
  <c r="T266" i="4"/>
  <c r="T183" i="4"/>
  <c r="U84" i="6"/>
  <c r="U197" i="4"/>
  <c r="U104" i="5"/>
  <c r="H157" i="4"/>
  <c r="U157" i="4"/>
  <c r="U143" i="4"/>
  <c r="U98" i="6"/>
  <c r="T270" i="4"/>
  <c r="U19" i="4"/>
  <c r="U244" i="4" s="1"/>
  <c r="T265" i="4"/>
  <c r="T272" i="4"/>
  <c r="T271" i="4"/>
  <c r="O104" i="5"/>
  <c r="M76" i="5"/>
  <c r="T267" i="4"/>
  <c r="O157" i="4"/>
  <c r="B4" i="4"/>
  <c r="B231" i="4" s="1"/>
  <c r="B204" i="4"/>
  <c r="C57" i="4"/>
  <c r="C3" i="7" s="1"/>
  <c r="E143" i="4"/>
  <c r="E4" i="4"/>
  <c r="E273" i="4"/>
  <c r="R91" i="6"/>
  <c r="S84" i="6"/>
  <c r="J97" i="5"/>
  <c r="O4" i="4"/>
  <c r="O232" i="4" s="1"/>
  <c r="G98" i="6"/>
  <c r="N111" i="4"/>
  <c r="N30" i="7" s="1"/>
  <c r="E264" i="4"/>
  <c r="E70" i="6"/>
  <c r="R204" i="4"/>
  <c r="S197" i="4"/>
  <c r="H61" i="5"/>
  <c r="E266" i="4"/>
  <c r="E30" i="4"/>
  <c r="R150" i="4"/>
  <c r="S143" i="4"/>
  <c r="J204" i="4"/>
  <c r="U57" i="4"/>
  <c r="U3" i="7" s="1"/>
  <c r="I90" i="5"/>
  <c r="E84" i="6"/>
  <c r="E267" i="4"/>
  <c r="O57" i="4"/>
  <c r="O3" i="7" s="1"/>
  <c r="E76" i="5"/>
  <c r="E269" i="4"/>
  <c r="B17" i="5"/>
  <c r="B144" i="5" s="1"/>
  <c r="C61" i="5"/>
  <c r="Q84" i="6"/>
  <c r="Q150" i="4"/>
  <c r="C258" i="4"/>
  <c r="B197" i="4"/>
  <c r="S231" i="4"/>
  <c r="D91" i="6"/>
  <c r="R17" i="6"/>
  <c r="R136" i="6" s="1"/>
  <c r="D204" i="4"/>
  <c r="D4" i="4"/>
  <c r="D225" i="4" s="1"/>
  <c r="Q4" i="4"/>
  <c r="Q233" i="4" s="1"/>
  <c r="C262" i="4"/>
  <c r="Q197" i="4"/>
  <c r="J57" i="4"/>
  <c r="J3" i="7" s="1"/>
  <c r="B90" i="5"/>
  <c r="N57" i="4"/>
  <c r="N3" i="7" s="1"/>
  <c r="C111" i="4"/>
  <c r="C30" i="7" s="1"/>
  <c r="D57" i="4"/>
  <c r="D3" i="7" s="1"/>
  <c r="I84" i="6"/>
  <c r="B110" i="5"/>
  <c r="I197" i="4"/>
  <c r="B104" i="6"/>
  <c r="B217" i="4"/>
  <c r="S17" i="5"/>
  <c r="S148" i="5" s="1"/>
  <c r="O111" i="4"/>
  <c r="O30" i="7" s="1"/>
  <c r="B19" i="4"/>
  <c r="B156" i="4" s="1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H55" i="6"/>
  <c r="S154" i="5"/>
  <c r="S162" i="5"/>
  <c r="S147" i="5"/>
  <c r="S161" i="5"/>
  <c r="S158" i="5"/>
  <c r="S151" i="5"/>
  <c r="S141" i="5"/>
  <c r="S159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H153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41" i="6"/>
  <c r="H145" i="6"/>
  <c r="H148" i="6"/>
  <c r="H142" i="6"/>
  <c r="H155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K17" i="6"/>
  <c r="K151" i="6" s="1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31" i="7"/>
  <c r="H111" i="4"/>
  <c r="H30" i="7" s="1"/>
  <c r="S151" i="6"/>
  <c r="O17" i="6"/>
  <c r="O136" i="6" s="1"/>
  <c r="C17" i="6"/>
  <c r="C151" i="6" s="1"/>
  <c r="Q31" i="7"/>
  <c r="Q111" i="4"/>
  <c r="Q30" i="7" s="1"/>
  <c r="B160" i="5"/>
  <c r="B162" i="5"/>
  <c r="B146" i="5"/>
  <c r="B165" i="5"/>
  <c r="B152" i="5"/>
  <c r="B156" i="5"/>
  <c r="B153" i="5"/>
  <c r="B166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53" i="6"/>
  <c r="R148" i="6"/>
  <c r="R141" i="6"/>
  <c r="R155" i="6"/>
  <c r="R142" i="6"/>
  <c r="R154" i="6"/>
  <c r="R137" i="6"/>
  <c r="R147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97" i="6"/>
  <c r="B103" i="5"/>
  <c r="B237" i="4"/>
  <c r="B245" i="4"/>
  <c r="B241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88" i="5"/>
  <c r="Q236" i="4"/>
  <c r="Q227" i="4"/>
  <c r="Q234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C24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M224" i="4"/>
  <c r="D271" i="4"/>
  <c r="N167" i="4"/>
  <c r="G238" i="4"/>
  <c r="C156" i="4"/>
  <c r="C210" i="4"/>
  <c r="C97" i="6"/>
  <c r="C103" i="5"/>
  <c r="C237" i="4"/>
  <c r="C242" i="4"/>
  <c r="C245" i="4"/>
  <c r="C240" i="4"/>
  <c r="C246" i="4"/>
  <c r="D141" i="4"/>
  <c r="D235" i="4"/>
  <c r="D228" i="4"/>
  <c r="D233" i="4"/>
  <c r="D226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82" i="6"/>
  <c r="B88" i="5"/>
  <c r="B236" i="4"/>
  <c r="B228" i="4"/>
  <c r="B227" i="4"/>
  <c r="B226" i="4"/>
  <c r="B234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82" i="6"/>
  <c r="O227" i="4"/>
  <c r="O234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U245" i="4"/>
  <c r="U239" i="4"/>
  <c r="U241" i="4"/>
  <c r="H156" i="4"/>
  <c r="H210" i="4"/>
  <c r="H97" i="6"/>
  <c r="H103" i="5"/>
  <c r="H237" i="4"/>
  <c r="H243" i="4"/>
  <c r="H241" i="4"/>
  <c r="H245" i="4"/>
  <c r="H246" i="4"/>
  <c r="I141" i="4"/>
  <c r="I236" i="4"/>
  <c r="I226" i="4"/>
  <c r="I233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237" i="4"/>
  <c r="Q240" i="4"/>
  <c r="Q241" i="4"/>
  <c r="Q246" i="4"/>
  <c r="Q243" i="4"/>
  <c r="Q239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H158" i="6" l="1"/>
  <c r="H154" i="6"/>
  <c r="H147" i="6"/>
  <c r="H146" i="6"/>
  <c r="H156" i="6"/>
  <c r="H149" i="6"/>
  <c r="H136" i="6"/>
  <c r="H159" i="6"/>
  <c r="S145" i="5"/>
  <c r="H138" i="6"/>
  <c r="H151" i="6"/>
  <c r="H139" i="6"/>
  <c r="H135" i="6"/>
  <c r="H140" i="6"/>
  <c r="H137" i="6"/>
  <c r="H152" i="6"/>
  <c r="H160" i="6"/>
  <c r="S143" i="5"/>
  <c r="S166" i="5"/>
  <c r="O195" i="4"/>
  <c r="U237" i="4"/>
  <c r="O233" i="4"/>
  <c r="O141" i="4"/>
  <c r="B195" i="4"/>
  <c r="Q82" i="6"/>
  <c r="O228" i="4"/>
  <c r="U240" i="4"/>
  <c r="O226" i="4"/>
  <c r="O223" i="4"/>
  <c r="B141" i="4"/>
  <c r="Q223" i="4"/>
  <c r="Q195" i="4"/>
  <c r="O231" i="4"/>
  <c r="U242" i="4"/>
  <c r="U97" i="6"/>
  <c r="O235" i="4"/>
  <c r="O225" i="4"/>
  <c r="B225" i="4"/>
  <c r="Q141" i="4"/>
  <c r="U103" i="5"/>
  <c r="O224" i="4"/>
  <c r="U243" i="4"/>
  <c r="U210" i="4"/>
  <c r="O236" i="4"/>
  <c r="O230" i="4"/>
  <c r="B223" i="4"/>
  <c r="J148" i="5"/>
  <c r="S160" i="5"/>
  <c r="U246" i="4"/>
  <c r="U156" i="4"/>
  <c r="O229" i="4"/>
  <c r="O222" i="4"/>
  <c r="B233" i="4"/>
  <c r="B235" i="4"/>
  <c r="Q230" i="4"/>
  <c r="S153" i="5"/>
  <c r="S156" i="5"/>
  <c r="O88" i="5"/>
  <c r="B232" i="4"/>
  <c r="B222" i="4"/>
  <c r="Q228" i="4"/>
  <c r="S155" i="5"/>
  <c r="S142" i="5"/>
  <c r="I88" i="5"/>
  <c r="M242" i="4"/>
  <c r="D82" i="6"/>
  <c r="Q238" i="4"/>
  <c r="Q226" i="4"/>
  <c r="U167" i="4"/>
  <c r="B243" i="4"/>
  <c r="R143" i="6"/>
  <c r="R156" i="6"/>
  <c r="B159" i="5"/>
  <c r="R158" i="6"/>
  <c r="S157" i="5"/>
  <c r="S165" i="5"/>
  <c r="S146" i="5"/>
  <c r="I195" i="4"/>
  <c r="M239" i="4"/>
  <c r="D232" i="4"/>
  <c r="D195" i="4"/>
  <c r="Q231" i="4"/>
  <c r="D231" i="4"/>
  <c r="Q229" i="4"/>
  <c r="Q222" i="4"/>
  <c r="B239" i="4"/>
  <c r="R138" i="6"/>
  <c r="R54" i="6"/>
  <c r="R149" i="6"/>
  <c r="R160" i="6"/>
  <c r="B143" i="5"/>
  <c r="B155" i="5"/>
  <c r="S149" i="5"/>
  <c r="S163" i="5"/>
  <c r="Q242" i="4"/>
  <c r="Q103" i="5"/>
  <c r="I223" i="4"/>
  <c r="Q224" i="4"/>
  <c r="G88" i="5"/>
  <c r="D222" i="4"/>
  <c r="D223" i="4"/>
  <c r="P103" i="5"/>
  <c r="Q225" i="4"/>
  <c r="Q235" i="4"/>
  <c r="U60" i="5"/>
  <c r="B246" i="4"/>
  <c r="B210" i="4"/>
  <c r="R159" i="6"/>
  <c r="R139" i="6"/>
  <c r="B163" i="5"/>
  <c r="B141" i="5"/>
  <c r="S150" i="5"/>
  <c r="S164" i="5"/>
  <c r="S152" i="5"/>
  <c r="B164" i="5"/>
  <c r="G222" i="4"/>
  <c r="Q245" i="4"/>
  <c r="Q97" i="6"/>
  <c r="I235" i="4"/>
  <c r="P246" i="4"/>
  <c r="D88" i="5"/>
  <c r="Q232" i="4"/>
  <c r="U54" i="6"/>
  <c r="D167" i="4"/>
  <c r="R140" i="6"/>
  <c r="R146" i="6"/>
  <c r="B145" i="5"/>
  <c r="R145" i="6"/>
  <c r="S144" i="5"/>
  <c r="B151" i="5"/>
  <c r="J159" i="5"/>
  <c r="J142" i="5"/>
  <c r="J146" i="5"/>
  <c r="J141" i="5"/>
  <c r="J153" i="5"/>
  <c r="J152" i="5"/>
  <c r="J161" i="5"/>
  <c r="J155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11" i="6" l="1"/>
  <c r="L131" i="6"/>
  <c r="L18" i="5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17" i="5"/>
  <c r="L144" i="5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E36" i="8" s="1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E25" i="8"/>
  <c r="J15" i="8"/>
  <c r="J27" i="10" s="1"/>
  <c r="R15" i="8"/>
  <c r="R27" i="10" s="1"/>
  <c r="G4" i="8"/>
  <c r="O14" i="8" l="1"/>
  <c r="O26" i="10" s="1"/>
  <c r="O61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l="1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O80" i="8" s="1"/>
  <c r="N58" i="8"/>
  <c r="N80" i="8" s="1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K79" i="8" s="1"/>
  <c r="V55" i="8"/>
  <c r="V77" i="8" s="1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S76" i="8" s="1"/>
  <c r="R54" i="8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N77" i="8"/>
  <c r="R76" i="8"/>
  <c r="L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M6" i="3"/>
  <c r="L6" i="3"/>
  <c r="K6" i="3"/>
  <c r="J6" i="3"/>
  <c r="I6" i="3"/>
  <c r="H6" i="3"/>
  <c r="G6" i="3"/>
  <c r="G218" i="3" s="1"/>
  <c r="F6" i="3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8" i="1"/>
  <c r="B9" i="1"/>
  <c r="B21" i="1"/>
  <c r="B20" i="1"/>
  <c r="B22" i="1"/>
  <c r="B17" i="1"/>
  <c r="B18" i="1"/>
  <c r="B15" i="1"/>
  <c r="B12" i="1"/>
  <c r="B11" i="1"/>
  <c r="B7" i="1"/>
  <c r="B4" i="1"/>
  <c r="B13" i="1"/>
  <c r="B6" i="1"/>
  <c r="B16" i="1"/>
  <c r="F218" i="3" l="1"/>
  <c r="N218" i="3"/>
  <c r="G222" i="3"/>
  <c r="O222" i="3"/>
  <c r="S224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K202" i="3" s="1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C230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191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77" i="3" s="1"/>
  <c r="F177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F234" i="3" l="1"/>
  <c r="U52" i="12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P67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55" i="12"/>
  <c r="G52" i="13"/>
  <c r="G21" i="13"/>
  <c r="O52" i="13"/>
  <c r="O21" i="13"/>
  <c r="D82" i="3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2" i="3"/>
  <c r="V128" i="3"/>
  <c r="V134" i="3"/>
  <c r="V131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99" i="3" l="1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0" i="3"/>
  <c r="I150" i="3"/>
  <c r="I149" i="3"/>
  <c r="I148" i="3"/>
  <c r="I146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234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I199" i="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3" i="3" l="1"/>
  <c r="I142" i="3"/>
  <c r="I144" i="3"/>
  <c r="I141" i="3"/>
  <c r="I145" i="3"/>
  <c r="I13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64" i="3" s="1"/>
  <c r="B168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R144" i="3" l="1"/>
  <c r="B225" i="3"/>
  <c r="B17" i="12"/>
  <c r="B67" i="12" s="1"/>
  <c r="B53" i="12"/>
  <c r="S47" i="3"/>
  <c r="S147" i="3" s="1"/>
  <c r="R139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J186" i="3"/>
  <c r="B237" i="3"/>
  <c r="B82" i="3"/>
  <c r="K77" i="3"/>
  <c r="K234" i="3"/>
  <c r="S229" i="3"/>
  <c r="R186" i="3"/>
  <c r="S186" i="3" l="1"/>
  <c r="S148" i="3"/>
  <c r="S149" i="3"/>
  <c r="S145" i="3"/>
  <c r="S150" i="3"/>
  <c r="S140" i="3"/>
  <c r="S142" i="3"/>
  <c r="S141" i="3"/>
  <c r="S139" i="3"/>
  <c r="S146" i="3"/>
  <c r="S143" i="3"/>
  <c r="S144" i="3"/>
  <c r="S128" i="3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<sst xmlns="http://schemas.openxmlformats.org/spreadsheetml/2006/main" count="2655" uniqueCount="1167">
  <si>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</si>
  <si>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</si>
  <si>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</si>
  <si>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</si>
  <si>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</si>
  <si>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</si>
  <si>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</si>
  <si>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</si>
  <si>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</si>
  <si>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</si>
  <si>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</si>
  <si>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</si>
  <si>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</si>
  <si>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</si>
  <si>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</si>
  <si>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</si>
  <si>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</si>
  <si>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</si>
  <si>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</si>
  <si>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</si>
  <si>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</si>
  <si>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</si>
  <si>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</si>
  <si>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</si>
  <si>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</si>
  <si>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</si>
  <si>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</si>
  <si>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</si>
  <si>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</si>
  <si>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</si>
  <si>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</si>
  <si>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</si>
  <si>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</si>
  <si>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</si>
  <si>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</si>
  <si>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</si>
  <si>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</si>
  <si>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</si>
  <si>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</si>
  <si>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</si>
  <si>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</si>
  <si>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</si>
  <si>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</si>
  <si>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</si>
  <si>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</si>
  <si>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</si>
  <si>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</si>
  <si>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</si>
  <si>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</si>
  <si>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</si>
  <si>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</si>
  <si>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</si>
  <si>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</si>
  <si>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</si>
  <si>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</si>
  <si>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</si>
  <si>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</si>
  <si>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</si>
  <si>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</si>
  <si>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</si>
  <si>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</si>
  <si>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</si>
  <si>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</si>
  <si>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</si>
  <si>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</si>
  <si>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</si>
  <si>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</si>
  <si>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</si>
  <si>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</si>
  <si>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</si>
  <si>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</si>
  <si>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</si>
  <si>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</si>
  <si>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</si>
  <si>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</si>
  <si>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</si>
  <si>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</si>
  <si>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</si>
  <si>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</si>
  <si>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</si>
  <si>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</si>
  <si>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</si>
  <si>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</si>
  <si>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</si>
  <si>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</si>
  <si>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</si>
  <si>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</si>
  <si>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</si>
  <si>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</si>
  <si>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</si>
  <si>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</si>
  <si>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</si>
  <si>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</si>
  <si>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</si>
  <si>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</si>
  <si>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</si>
  <si>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</si>
  <si>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</si>
  <si>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</si>
  <si>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</si>
  <si>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</si>
  <si>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</si>
  <si>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</si>
  <si>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</si>
  <si>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</si>
  <si>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</si>
  <si>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</si>
  <si>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</si>
  <si>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</si>
  <si>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</si>
  <si>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</si>
  <si>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</si>
  <si>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</si>
  <si>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</si>
  <si>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</si>
  <si>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</si>
  <si>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</si>
  <si>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</si>
  <si>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</si>
  <si>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</si>
  <si>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</si>
  <si>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</si>
  <si>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</si>
  <si>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</si>
  <si>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</si>
  <si>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</si>
  <si>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</si>
  <si>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</si>
  <si>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</si>
  <si>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</si>
  <si>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</si>
  <si>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</si>
  <si>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</si>
  <si>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</si>
  <si>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</si>
  <si>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</si>
  <si>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</si>
  <si>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</si>
  <si>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</si>
  <si>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</si>
  <si>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</si>
  <si>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</si>
  <si>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</si>
  <si>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</si>
  <si>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</si>
  <si>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</si>
  <si>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</si>
  <si>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</si>
  <si>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</si>
  <si>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</si>
  <si>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</si>
  <si>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</si>
  <si>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</si>
  <si>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</si>
  <si>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</si>
  <si>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</si>
  <si>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</si>
  <si>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</si>
  <si>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</si>
  <si>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</si>
  <si>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</si>
  <si>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</si>
  <si>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</si>
  <si>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</si>
  <si>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</si>
  <si>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</si>
  <si>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</si>
  <si>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</si>
  <si>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</si>
  <si>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</si>
  <si>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</si>
  <si>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</si>
  <si>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</si>
  <si>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</si>
  <si>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</si>
  <si>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</si>
  <si>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</si>
  <si>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</si>
  <si>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</si>
  <si>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</si>
  <si>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</si>
  <si>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</si>
  <si>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</si>
  <si>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</si>
  <si>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</si>
  <si>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</si>
  <si>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FI</t>
  </si>
  <si>
    <t>Finland</t>
  </si>
  <si>
    <t>Aviation - FI - Finland</t>
  </si>
  <si>
    <t>Activity.Mpkm.FI.Tr.Avia.Passenger</t>
  </si>
  <si>
    <t>Activity.Mpkm.FI.Tr.Avia.Passenger.Domestic</t>
  </si>
  <si>
    <t>Activity.Mpkm.FI.Tr.Avia.Passenger.IntraEEAwUK</t>
  </si>
  <si>
    <t>Activity.Mpkm.FI.Tr.Avia.Passenger.ExtraEEAwUK</t>
  </si>
  <si>
    <t>Activity.Mtkm.FI.Tr.Avia.Freight</t>
  </si>
  <si>
    <t>Activity.Mtkm.FI.Tr.Avia.Freight.Domestic</t>
  </si>
  <si>
    <t>Activity.Mtkm.FI.Tr.Avia.Freight.IntraEEAwUK</t>
  </si>
  <si>
    <t>Activity.Mtkm.FI.Tr.Avia.Freight.ExtraEEAwUK</t>
  </si>
  <si>
    <t>VehicleKm.Mkm.FI.Tr.Avia</t>
  </si>
  <si>
    <t>VehicleKm.Mkm.FI.Tr.Avia.Passenger</t>
  </si>
  <si>
    <t>VehicleKm.Mkm.FI.Tr.Avia.Passenger.Domestic</t>
  </si>
  <si>
    <t>VehicleKm.Mkm.FI.Tr.Avia.Passenger.IntraEEAwUK</t>
  </si>
  <si>
    <t>VehicleKm.Mkm.FI.Tr.Avia.Passenger.ExtraEEAwUK</t>
  </si>
  <si>
    <t>VehicleKm.Mkm.FI.Tr.Avia.Freight</t>
  </si>
  <si>
    <t>VehicleKm.Mkm.FI.Tr.Avia.Freight.Domestic</t>
  </si>
  <si>
    <t>VehicleKm.Mkm.FI.Tr.Avia.Freight.IntraEEAwUK</t>
  </si>
  <si>
    <t>VehicleKm.Mkm.FI.Tr.Avia.Freight.ExtraEEAwUK</t>
  </si>
  <si>
    <t>Flights.number.FI.Tr.Avia</t>
  </si>
  <si>
    <t>Flights.number.FI.Tr.Avia.Passenger</t>
  </si>
  <si>
    <t>Flights.number.FI.Tr.Avia.Passenger.Domestic</t>
  </si>
  <si>
    <t>Flights.number.FI.Tr.Avia.Passenger.IntraEEAwUK</t>
  </si>
  <si>
    <t>Flights.number.FI.Tr.Avia.Passenger.ExtraEEAwUK</t>
  </si>
  <si>
    <t>Flights.number.FI.Tr.Avia.Freight</t>
  </si>
  <si>
    <t>Flights.number.FI.Tr.Avia.Freight.Domestic</t>
  </si>
  <si>
    <t>Flights.number.FI.Tr.Avia.Freight.IntraEEAwUK</t>
  </si>
  <si>
    <t>Flights.number.FI.Tr.Avia.Freight.ExtraEEAwUK</t>
  </si>
  <si>
    <t>VolCarried.passenger.FI.Tr.Avia.Passenger</t>
  </si>
  <si>
    <t>VolCarried.passenger.FI.Tr.Avia.Passenger.Domestic</t>
  </si>
  <si>
    <t>VolCarried.passenger.FI.Tr.Avia.Passenger.IntraEEAwUK</t>
  </si>
  <si>
    <t>VolCarried.passenger.FI.Tr.Avia.Passenger.ExtraEEAwUK</t>
  </si>
  <si>
    <t>VolCarried.t.FI.Tr.Avia.Freight</t>
  </si>
  <si>
    <t>VolCarried.t.FI.Tr.Avia.Freight.Domestic</t>
  </si>
  <si>
    <t>VolCarried.t.FI.Tr.Avia.Freight.IntraEEAwUK</t>
  </si>
  <si>
    <t>VolCarried.t.FI.Tr.Avia.Freight.ExtraEEAwUK</t>
  </si>
  <si>
    <t>Stock.number.FI.Tr.Avia</t>
  </si>
  <si>
    <t>Stock.number.FI.Tr.Avia.Passenger</t>
  </si>
  <si>
    <t>Stock.number.FI.Tr.Avia.Passenger.Domestic</t>
  </si>
  <si>
    <t>Stock.number.FI.Tr.Avia.Passenger.IntraEEAwUK</t>
  </si>
  <si>
    <t>Stock.number.FI.Tr.Avia.Passenger.ExtraEEAwUK</t>
  </si>
  <si>
    <t>Stock.number.FI.Tr.Avia.Freight</t>
  </si>
  <si>
    <t>Stock.number.FI.Tr.Avia.Freight.Domestic</t>
  </si>
  <si>
    <t>Stock.number.FI.Tr.Avia.Freight.IntraEEAwUK</t>
  </si>
  <si>
    <t>Stock.number.FI.Tr.Avia.Freight.ExtraEEAwUK</t>
  </si>
  <si>
    <t>StockNew.number.FI.Tr.Avia</t>
  </si>
  <si>
    <t>StockNew.number.FI.Tr.Avia.Passenger</t>
  </si>
  <si>
    <t>StockNew.number.FI.Tr.Avia.Passenger.Domestic</t>
  </si>
  <si>
    <t>StockNew.number.FI.Tr.Avia.Passenger.IntraEEAwUK</t>
  </si>
  <si>
    <t>StockNew.number.FI.Tr.Avia.Passenger.ExtraEEAwUK</t>
  </si>
  <si>
    <t>StockNew.number.FI.Tr.Avia.Freight</t>
  </si>
  <si>
    <t>StockNew.number.FI.Tr.Avia.Freight.Domestic</t>
  </si>
  <si>
    <t>StockNew.number.FI.Tr.Avia.Freight.IntraEEAwUK</t>
  </si>
  <si>
    <t>StockNew.number.FI.Tr.Avia.Freight.ExtraEEAwUK</t>
  </si>
  <si>
    <t>Load.passenger_per_movement.FI.Tr.Avia.Passenger</t>
  </si>
  <si>
    <t>Load.passenger_per_movement.FI.Tr.Avia.Passenger.Domestic</t>
  </si>
  <si>
    <t>Load.passenger_per_movement.FI.Tr.Avia.Passenger.IntraEEAwUK</t>
  </si>
  <si>
    <t>Load.passenger_per_movement.FI.Tr.Avia.Passenger.ExtraEEAwUK</t>
  </si>
  <si>
    <t>Load.t_per_movement.FI.Tr.Avia.Freight</t>
  </si>
  <si>
    <t>Load.t_per_movement.FI.Tr.Avia.Freight.Domestic</t>
  </si>
  <si>
    <t>Load.t_per_movement.FI.Tr.Avia.Freight.IntraEEAwUK</t>
  </si>
  <si>
    <t>Load.t_per_movement.FI.Tr.Avia.Freight.ExtraEEAwUK</t>
  </si>
  <si>
    <t>VehicleKm_per_flight.km.FI.Tr.Avia</t>
  </si>
  <si>
    <t>VehicleKm_per_flight.km.FI.Tr.Avia.Passenger</t>
  </si>
  <si>
    <t>VehicleKm_per_flight.km.FI.Tr.Avia.Passenger.Domestic</t>
  </si>
  <si>
    <t>VehicleKm_per_flight.km.FI.Tr.Avia.Passenger.IntraEEAwUK</t>
  </si>
  <si>
    <t>VehicleKm_per_flight.km.FI.Tr.Avia.Passenger.ExtraEEAwUK</t>
  </si>
  <si>
    <t>VehicleKm_per_flight.km.FI.Tr.Avia.Freight</t>
  </si>
  <si>
    <t>VehicleKm_per_flight.km.FI.Tr.Avia.Freight.Domestic</t>
  </si>
  <si>
    <t>VehicleKm_per_flight.km.FI.Tr.Avia.Freight.IntraEEAwUK</t>
  </si>
  <si>
    <t>VehicleKm_per_flight.km.FI.Tr.Avia.Freight.ExtraEEAwUK</t>
  </si>
  <si>
    <t>Activity_per_flight.pkm.FI.Tr.Avia.Passenger</t>
  </si>
  <si>
    <t>Activity_per_flight.pkm.FI.Tr.Avia.Passenger.Domestic</t>
  </si>
  <si>
    <t>Activity_per_flight.pkm.FI.Tr.Avia.Passenger.IntraEEAwUK</t>
  </si>
  <si>
    <t>Activity_per_flight.pkm.FI.Tr.Avia.Passenger.ExtraEEAwUK</t>
  </si>
  <si>
    <t>Activity_per_flight.tkm.FI.Tr.Avia.Freight</t>
  </si>
  <si>
    <t>Activity_per_flight.tkm.FI.Tr.Avia.Freight.Domestic</t>
  </si>
  <si>
    <t>Activity_per_flight.tkm.FI.Tr.Avia.Freight.IntraEEAwUK</t>
  </si>
  <si>
    <t>Activity_per_flight.tkm.FI.Tr.Avia.Freight.ExtraEEAwUK</t>
  </si>
  <si>
    <t>Flights_per_vehicle.number.FI.Tr.Avia</t>
  </si>
  <si>
    <t>Flights_per_vehicle.number.FI.Tr.Avia.Passenger</t>
  </si>
  <si>
    <t>Flights_per_vehicle.number.FI.Tr.Avia.Passenger.Domestic</t>
  </si>
  <si>
    <t>Flights_per_vehicle.number.FI.Tr.Avia.Passenger.IntraEEAwUK</t>
  </si>
  <si>
    <t>Flights_per_vehicle.number.FI.Tr.Avia.Passenger.ExtraEEAwUK</t>
  </si>
  <si>
    <t>Flights_per_vehicle.number.FI.Tr.Avia.Freight</t>
  </si>
  <si>
    <t>Flights_per_vehicle.number.FI.Tr.Avia.Freight.Domestic</t>
  </si>
  <si>
    <t>Flights_per_vehicle.number.FI.Tr.Avia.Freight.IntraEEAwUK</t>
  </si>
  <si>
    <t>Flights_per_vehicle.number.FI.Tr.Avia.Freight.ExtraEEAwUK</t>
  </si>
  <si>
    <t>Aviation / energy consumption - FI - Finland</t>
  </si>
  <si>
    <t>FEC.ktoe.FI.Tr.Avia</t>
  </si>
  <si>
    <t>FEC.ktoe.FI.Tr.Avia.Domestic</t>
  </si>
  <si>
    <t>FEC.ktoe.FI.Tr.Avia.International</t>
  </si>
  <si>
    <t>FEC.ktoe.FI.Tr.Avia.Passenger</t>
  </si>
  <si>
    <t>FEC.ktoe.FI.Tr.Avia.Passenger.Domestic</t>
  </si>
  <si>
    <t>FEC.ktoe.FI.Tr.Avia.Passenger.IntraEEAwUK</t>
  </si>
  <si>
    <t>FEC.ktoe.FI.Tr.Avia.Passenger.ExtraEEAwUK</t>
  </si>
  <si>
    <t>FEC.ktoe.FI.Tr.Avia.Freight</t>
  </si>
  <si>
    <t>FEC.ktoe.FI.Tr.Avia.Freight.Domestic</t>
  </si>
  <si>
    <t>FEC.ktoe.FI.Tr.Avia.Freight.IntraEEAwUK</t>
  </si>
  <si>
    <t>FEC.ktoe.FI.Tr.Avia.Freight.ExtraEEAwUK</t>
  </si>
  <si>
    <t>Eff.kgoe_per_100km.FI.Tr.Avia</t>
  </si>
  <si>
    <t>Eff.kgoe_per_100km.FI.Tr.Avia.Passenger</t>
  </si>
  <si>
    <t>Eff.kgoe_per_100km.FI.Tr.Avia.Passenger.Domestic</t>
  </si>
  <si>
    <t>Eff.kgoe_per_100km.FI.Tr.Avia.Passenger.IntraEEAwUK</t>
  </si>
  <si>
    <t>Eff.kgoe_per_100km.FI.Tr.Avia.Passenger.ExtraEEAwUK</t>
  </si>
  <si>
    <t>Eff.kgoe_per_100km.FI.Tr.Avia.Freight</t>
  </si>
  <si>
    <t>Eff.kgoe_per_100km.FI.Tr.Avia.Freight.Domestic</t>
  </si>
  <si>
    <t>Eff.kgoe_per_100km.FI.Tr.Avia.Freight.IntraEEAwUK</t>
  </si>
  <si>
    <t>Eff.kgoe_per_100km.FI.Tr.Avia.Freight.ExtraEEAwUK</t>
  </si>
  <si>
    <t>Eff.kgoe_per_kpkm.FI.Tr.Avia.Passenger</t>
  </si>
  <si>
    <t>Eff.kgoe_per_kpkm.FI.Tr.Avia.Passenger.Domestic</t>
  </si>
  <si>
    <t>Eff.kgoe_per_kpkm.FI.Tr.Avia.Passenger.IntraEEAwUK</t>
  </si>
  <si>
    <t>Eff.kgoe_per_kpkm.FI.Tr.Avia.Passenger.ExtraEEAwUK</t>
  </si>
  <si>
    <t>Eff.kgoe_per_ktkm.FI.Tr.Avia.Freight</t>
  </si>
  <si>
    <t>Eff.kgoe_per_ktkm.FI.Tr.Avia.Freight.Domestic</t>
  </si>
  <si>
    <t>Eff.kgoe_per_ktkm.FI.Tr.Avia.Freight.IntraEEAwUK</t>
  </si>
  <si>
    <t>Eff.kgoe_per_ktkm.FI.Tr.Avia.Freight.ExtraEEAwUK</t>
  </si>
  <si>
    <t>FEC_per_flight.kgoe.FI.Tr.Avia</t>
  </si>
  <si>
    <t>FEC_per_flight.kgoe.FI.Tr.Avia.Passenger</t>
  </si>
  <si>
    <t>FEC_per_flight.kgoe.FI.Tr.Avia.Passenger.Domestic</t>
  </si>
  <si>
    <t>FEC_per_flight.kgoe.FI.Tr.Avia.Passenger.IntraEEAwUK</t>
  </si>
  <si>
    <t>FEC_per_flight.kgoe.FI.Tr.Avia.Passenger.ExtraEEAwUK</t>
  </si>
  <si>
    <t>FEC_per_flight.kgoe.FI.Tr.Avia.Freight</t>
  </si>
  <si>
    <t>FEC_per_flight.kgoe.FI.Tr.Avia.Freight.Domestic</t>
  </si>
  <si>
    <t>FEC_per_flight.kgoe.FI.Tr.Avia.Freight.IntraEEAwUK</t>
  </si>
  <si>
    <t>FEC_per_flight.kgoe.FI.Tr.Avia.Freight.ExtraEEAwUK</t>
  </si>
  <si>
    <t>Eff_theor.kgoe_per_100km.FI.Tr.Avia</t>
  </si>
  <si>
    <t>Eff_theor.kgoe_per_100km.FI.Tr.Avia.Passenger</t>
  </si>
  <si>
    <t>Eff_theor.kgoe_per_100km.FI.Tr.Avia.Passenger.Domestic</t>
  </si>
  <si>
    <t>Eff_theor.kgoe_per_100km.FI.Tr.Avia.Passenger.IntraEEAwUK</t>
  </si>
  <si>
    <t>Eff_theor.kgoe_per_100km.FI.Tr.Avia.Passenger.ExtraEEAwUK</t>
  </si>
  <si>
    <t>Eff_theor.kgoe_per_100km.FI.Tr.Avia.Freight</t>
  </si>
  <si>
    <t>Eff_theor.kgoe_per_100km.FI.Tr.Avia.Freight.Domestic</t>
  </si>
  <si>
    <t>Eff_theor.kgoe_per_100km.FI.Tr.Avia.Freight.IntraEEAwUK</t>
  </si>
  <si>
    <t>Eff_theor.kgoe_per_100km.FI.Tr.Avia.Freight.ExtraEEAwUK</t>
  </si>
  <si>
    <t>Aviation / CO2 emissions - FI - Finland</t>
  </si>
  <si>
    <t>EMI.ktCO2.FI.Tr.Avia</t>
  </si>
  <si>
    <t>EMI.ktCO2.FI.Tr.Avia.Domestic</t>
  </si>
  <si>
    <t>EMI.ktCO2.FI.Tr.Avia.International</t>
  </si>
  <si>
    <t>EMI.ktCO2.FI.Tr.Avia.Passenger</t>
  </si>
  <si>
    <t>EMI.ktCO2.FI.Tr.Avia.Passenger.Domestic</t>
  </si>
  <si>
    <t>EMI.ktCO2.FI.Tr.Avia.Passenger.IntraEEAwUK</t>
  </si>
  <si>
    <t>EMI.ktCO2.FI.Tr.Avia.Passenger.ExtraEEAwUK</t>
  </si>
  <si>
    <t>EMI.ktCO2.FI.Tr.Avia.Freight</t>
  </si>
  <si>
    <t>EMI.ktCO2.FI.Tr.Avia.Freight.Domestic</t>
  </si>
  <si>
    <t>EMI.ktCO2.FI.Tr.Avia.Freight.IntraEEAwUK</t>
  </si>
  <si>
    <t>EMI.ktCO2.FI.Tr.Avia.Freight.ExtraEEAwUK</t>
  </si>
  <si>
    <t>EMIint.gCO2_per_km.FI.Tr.Avia</t>
  </si>
  <si>
    <t>EMIint.gCO2_per_km.FI.Tr.Avia.Passenger</t>
  </si>
  <si>
    <t>EMIint.gCO2_per_km.FI.Tr.Avia.Passenger.Domestic</t>
  </si>
  <si>
    <t>EMIint.gCO2_per_km.FI.Tr.Avia.Passenger.IntraEEAwUK</t>
  </si>
  <si>
    <t>EMIint.gCO2_per_km.FI.Tr.Avia.Passenger.ExtraEEAwUK</t>
  </si>
  <si>
    <t>EMIint.gCO2_per_km.FI.Tr.Avia.Freight</t>
  </si>
  <si>
    <t>EMIint.gCO2_per_km.FI.Tr.Avia.Freight.Domestic</t>
  </si>
  <si>
    <t>EMIint.gCO2_per_km.FI.Tr.Avia.Freight.IntraEEAwUK</t>
  </si>
  <si>
    <t>EMIint.gCO2_per_km.FI.Tr.Avia.Freight.ExtraEEAwUK</t>
  </si>
  <si>
    <t>EMIint.gCO2_per_pkm.FI.Tr.Avia.Passenger</t>
  </si>
  <si>
    <t>EMIint.gCO2_per_pkm.FI.Tr.Avia.Passenger.Domestic</t>
  </si>
  <si>
    <t>EMIint.gCO2_per_pkm.FI.Tr.Avia.Passenger.IntraEEAwUK</t>
  </si>
  <si>
    <t>EMIint.gCO2_per_pkm.FI.Tr.Avia.Passenger.ExtraEEAwUK</t>
  </si>
  <si>
    <t>EMIint.gCO2_per_tkm.FI.Tr.Avia.Freight</t>
  </si>
  <si>
    <t>EMIint.gCO2_per_tkm.FI.Tr.Avia.Freight.Domestic</t>
  </si>
  <si>
    <t>EMIint.gCO2_per_tkm.FI.Tr.Avia.Freight.IntraEEAwUK</t>
  </si>
  <si>
    <t>EMIint.gCO2_per_tkm.FI.Tr.Avia.Freight.ExtraEEAwUK</t>
  </si>
  <si>
    <t>EMI_per_flight.kgCO2.FI.Tr.Avia</t>
  </si>
  <si>
    <t>EMI_per_flight.kgCO2.FI.Tr.Avia.Passenger</t>
  </si>
  <si>
    <t>EMI_per_flight.kgCO2.FI.Tr.Avia.Passenger.Domestic</t>
  </si>
  <si>
    <t>EMI_per_flight.kgCO2.FI.Tr.Avia.Passenger.IntraEEAwUK</t>
  </si>
  <si>
    <t>EMI_per_flight.kgCO2.FI.Tr.Avia.Passenger.ExtraEEAwUK</t>
  </si>
  <si>
    <t>EMI_per_flight.kgCO2.FI.Tr.Avia.Freight</t>
  </si>
  <si>
    <t>EMI_per_flight.kgCO2.FI.Tr.Avia.Freight.Domestic</t>
  </si>
  <si>
    <t>EMI_per_flight.kgCO2.FI.Tr.Avia.Freight.IntraEEAwUK</t>
  </si>
  <si>
    <t>EMI_per_flight.kgCO2.FI.Tr.Avia.Freight.ExtraEEAwUK</t>
  </si>
  <si>
    <t>Aviation / passenger transport specific data - FI - Finland</t>
  </si>
  <si>
    <t>TrCap.seats.FI.Tr.Avia.Passenger</t>
  </si>
  <si>
    <t>TrCap.seats.FI.Tr.Avia.Passenger.Domestic</t>
  </si>
  <si>
    <t>TrCap.seats.FI.Tr.Avia.Passenger.IntraEEAwUK</t>
  </si>
  <si>
    <t>TrCap.seats.FI.Tr.Avia.Passenger.ExtraEEAwUK</t>
  </si>
  <si>
    <t>TrCap_per_flight.seats.FI.Tr.Avia.Passenger</t>
  </si>
  <si>
    <t>TrCap_per_flight.seats.FI.Tr.Avia.Passenger.Domestic</t>
  </si>
  <si>
    <t>TrCap_per_flight.seats.FI.Tr.Avia.Passenger.IntraEEAwUK</t>
  </si>
  <si>
    <t>TrCap_per_flight.seats.FI.Tr.Avia.Passenger.ExtraEEAwUK</t>
  </si>
  <si>
    <t>Transport overview - FI - Finland</t>
  </si>
  <si>
    <t>Activity.Mpkm.FI.Tr</t>
  </si>
  <si>
    <t>Activity.Mpkm.FI.Tr.Road.Passenger</t>
  </si>
  <si>
    <t>Activity.Mpkm.FI.Tr.Road.Passenger.P2W</t>
  </si>
  <si>
    <t>Activity.Mpkm.FI.Tr.Road.Passenger.Car</t>
  </si>
  <si>
    <t>Activity.Mpkm.FI.Tr.Road.Passenger.Bus</t>
  </si>
  <si>
    <t>Activity.Mpkm.FI.Tr.Rail.Passenger</t>
  </si>
  <si>
    <t>Activity.Mpkm.FI.Tr.Rail.Passenger.MTU</t>
  </si>
  <si>
    <t>Activity.Mpkm.FI.Tr.Rail.Passenger.CPT</t>
  </si>
  <si>
    <t>Activity.Mpkm.FI.Tr.Rail.Passenger.HST</t>
  </si>
  <si>
    <t>Activity.Mtkm.FI.Tr</t>
  </si>
  <si>
    <t>Activity.Mtkm.FI.Tr.Road.Freight</t>
  </si>
  <si>
    <t>Activity.Mtkm.FI.Tr.Road.Freight.LCV</t>
  </si>
  <si>
    <t>Activity.Mtkm.FI.Tr.Road.Freight.HGV</t>
  </si>
  <si>
    <t>Activity.Mtkm.FI.Tr.Rail.Freight</t>
  </si>
  <si>
    <t>Activity.Mtkm.FI.Tr.DNavi.Freight</t>
  </si>
  <si>
    <t>Activity.Mtkm.FI.Tr.DNavi.Freight.DCS</t>
  </si>
  <si>
    <t>Activity.Mtkm.FI.Tr.DNavi.Freight.IWW</t>
  </si>
  <si>
    <t>Activity.Mtkm.FI.MBunk.Freight</t>
  </si>
  <si>
    <t>Activity.Mtkm.FI.MBunk.Freight.IntraEEA</t>
  </si>
  <si>
    <t>Activity.Mtkm.FI.MBunk.Freight.ExtraEEA</t>
  </si>
  <si>
    <t>FEC.ktoe.FI.Tr.Road.Passenger</t>
  </si>
  <si>
    <t>FEC.ktoe.FI.Tr.Road.Passenger.P2W</t>
  </si>
  <si>
    <t>FEC.ktoe.FI.Tr.Road.Passenger.Car</t>
  </si>
  <si>
    <t>FEC.ktoe.FI.Tr.Road.Passenger.Bus</t>
  </si>
  <si>
    <t>FEC.ktoe.FI.Tr.Rail.Passenger</t>
  </si>
  <si>
    <t>FEC.ktoe.FI.Tr.Rail.Passenger.MTU</t>
  </si>
  <si>
    <t>FEC.ktoe.FI.Tr.Rail.Passenger.CPT</t>
  </si>
  <si>
    <t>FEC.ktoe.FI.Tr.Rail.Passenger.HST</t>
  </si>
  <si>
    <t>FEC.ktoe.FI.Tr.Road.Freight</t>
  </si>
  <si>
    <t>FEC.ktoe.FI.Tr.Road.Freight.LCV</t>
  </si>
  <si>
    <t>FEC.ktoe.FI.Tr.Road.Freight.HGV</t>
  </si>
  <si>
    <t>FEC.ktoe.FI.Tr.Rail.Freight</t>
  </si>
  <si>
    <t>EMI.ktCO2.FI.Tr.Road.Passenger</t>
  </si>
  <si>
    <t>EMI.ktCO2.FI.Tr.Road.Passenger.P2W</t>
  </si>
  <si>
    <t>EMI.ktCO2.FI.Tr.Road.Passenger.Car</t>
  </si>
  <si>
    <t>EMI.ktCO2.FI.Tr.Road.Passenger.Bus</t>
  </si>
  <si>
    <t>EMI.ktCO2.FI.Tr.Rail.Passenger</t>
  </si>
  <si>
    <t>EMI.ktCO2.FI.Tr.Rail.Passenger.MTU</t>
  </si>
  <si>
    <t>EMI.ktCO2.FI.Tr.Rail.Passenger.CPT</t>
  </si>
  <si>
    <t>EMI.ktCO2.FI.Tr.Rail.Passenger.HST</t>
  </si>
  <si>
    <t>EMI.ktCO2.FI.Tr.Road.Freight</t>
  </si>
  <si>
    <t>EMI.ktCO2.FI.Tr.Road.Freight.LCV</t>
  </si>
  <si>
    <t>EMI.ktCO2.FI.Tr.Road.Freight.HGV</t>
  </si>
  <si>
    <t>EMI.ktCO2.FI.Tr.Rail.Freight</t>
  </si>
  <si>
    <t>Eff.kgoe_per_kpkm.FI.Tr</t>
  </si>
  <si>
    <t>Eff.kgoe_per_kpkm.FI.Tr.Road.Passenger</t>
  </si>
  <si>
    <t>Eff.kgoe_per_kpkm.FI.Tr.Road.Passenger.P2W</t>
  </si>
  <si>
    <t>Eff.kgoe_per_kpkm.FI.Tr.Road.Passenger.Car</t>
  </si>
  <si>
    <t>Eff.kgoe_per_kpkm.FI.Tr.Road.Passenger.Bus</t>
  </si>
  <si>
    <t>Eff.kgoe_per_kpkm.FI.Tr.Rail.Passenger</t>
  </si>
  <si>
    <t>Eff.kgoe_per_kpkm.FI.Tr.Rail.Passenger.MTU</t>
  </si>
  <si>
    <t>Eff.kgoe_per_kpkm.FI.Tr.Rail.Passenger.CPT</t>
  </si>
  <si>
    <t>Eff.kgoe_per_kpkm.FI.Tr.Rail.Passenger.HST</t>
  </si>
  <si>
    <t>Eff.kgoe_per_ktkm.FI.Tr</t>
  </si>
  <si>
    <t>Eff.kgoe_per_ktkm.FI.Tr.Road.Freight</t>
  </si>
  <si>
    <t>Eff.kgoe_per_ktkm.FI.Tr.Road.Freight.LCV</t>
  </si>
  <si>
    <t>Eff.kgoe_per_ktkm.FI.Tr.Road.Freight.HGV</t>
  </si>
  <si>
    <t>Eff.kgoe_per_ktkm.FI.Tr.Rail.Freight</t>
  </si>
  <si>
    <t>Eff.kgoe_per_ktkm.FI.Tr.DNavi.Freight</t>
  </si>
  <si>
    <t>Eff.kgoe_per_ktkm.FI.Tr.DNavi.Freight.DCS</t>
  </si>
  <si>
    <t>Eff.kgoe_per_ktkm.FI.Tr.DNavi.Freight.IWW</t>
  </si>
  <si>
    <t>Eff.kgoe_per_ktkm.FI.MBunk.Freight</t>
  </si>
  <si>
    <t>Eff.kgoe_per_ktkm.FI.MBunk.Freight.IntraEEA</t>
  </si>
  <si>
    <t>Eff.kgoe_per_ktkm.FI.MBunk.Freight.ExtraEEA</t>
  </si>
  <si>
    <t>EMIint.gCO2_per_pkm.FI.Tr</t>
  </si>
  <si>
    <t>EMIint.gCO2_per_pkm.FI.Tr.Road.Passenger</t>
  </si>
  <si>
    <t>EMIint.gCO2_per_pkm.FI.Tr.Road.Passenger.P2W</t>
  </si>
  <si>
    <t>EMIint.gCO2_per_pkm.FI.Tr.Road.Passenger.Car</t>
  </si>
  <si>
    <t>EMIint.gCO2_per_pkm.FI.Tr.Road.Passenger.Bus</t>
  </si>
  <si>
    <t>EMIint.gCO2_per_pkm.FI.Tr.Rail.Passenger</t>
  </si>
  <si>
    <t>EMIint.gCO2_per_pkm.FI.Tr.Rail.Passenger.MTU</t>
  </si>
  <si>
    <t>EMIint.gCO2_per_pkm.FI.Tr.Rail.Passenger.CPT</t>
  </si>
  <si>
    <t>EMIint.gCO2_per_pkm.FI.Tr.Rail.Passenger.HST</t>
  </si>
  <si>
    <t>EMIint.gCO2_per_tkm.FI.Tr</t>
  </si>
  <si>
    <t>EMIint.gCO2_per_tkm.FI.Tr.Road.Freight</t>
  </si>
  <si>
    <t>EMIint.gCO2_per_tkm.FI.Tr.Road.Freight.LCV</t>
  </si>
  <si>
    <t>EMIint.gCO2_per_tkm.FI.Tr.Road.Freight.HGV</t>
  </si>
  <si>
    <t>EMIint.gCO2_per_tkm.FI.Tr.Rail.Freight</t>
  </si>
  <si>
    <t>EMIint.gCO2_per_tkm.FI.Tr.DNavi.Freight</t>
  </si>
  <si>
    <t>EMIint.gCO2_per_tkm.FI.Tr.DNavi.Freight.DCS</t>
  </si>
  <si>
    <t>EMIint.gCO2_per_tkm.FI.Tr.DNavi.Freight.IWW</t>
  </si>
  <si>
    <t>EMIint.gCO2_per_tkm.FI.MBunk.Freight</t>
  </si>
  <si>
    <t>EMIint.gCO2_per_tkm.FI.MBunk.Freight.IntraEEA</t>
  </si>
  <si>
    <t>EMIint.gCO2_per_tkm.FI.MBunk.Freight.ExtraEEA</t>
  </si>
  <si>
    <t>Road transport - FI - Finland</t>
  </si>
  <si>
    <t>Activity.Mpkm.FI.Tr.Road.Passenger.Car.ICE.Gasoline</t>
  </si>
  <si>
    <t>Activity.Mpkm.FI.Tr.Road.Passenger.Car.ICE.Diesel</t>
  </si>
  <si>
    <t>Activity.Mpkm.FI.Tr.Road.Passenger.Car.ICE.LPG</t>
  </si>
  <si>
    <t>Activity.Mpkm.FI.Tr.Road.Passenger.Car.ICE.NGas</t>
  </si>
  <si>
    <t>Activity.Mpkm.FI.Tr.Road.Passenger.Car.PHEV</t>
  </si>
  <si>
    <t>Activity.Mpkm.FI.Tr.Road.Passenger.Car.BEV</t>
  </si>
  <si>
    <t>Activity.Mpkm.FI.Tr.Road.Passenger.Bus.ICE.Gasoline</t>
  </si>
  <si>
    <t>Activity.Mpkm.FI.Tr.Road.Passenger.Bus.ICE.Diesel</t>
  </si>
  <si>
    <t>Activity.Mpkm.FI.Tr.Road.Passenger.Bus.ICE.LPG</t>
  </si>
  <si>
    <t>Activity.Mpkm.FI.Tr.Road.Passenger.Bus.ICE.NGas</t>
  </si>
  <si>
    <t>Activity.Mpkm.FI.Tr.Road.Passenger.Bus.ICE.BEV</t>
  </si>
  <si>
    <t>Activity.Mtkm.FI.Tr.Road.Freight.LCV.ICE.Gasoline</t>
  </si>
  <si>
    <t>Activity.Mtkm.FI.Tr.Road.Freight.LCV.ICE.Diesel</t>
  </si>
  <si>
    <t>Activity.Mtkm.FI.Tr.Road.Freight.LCV.ICE.LPG</t>
  </si>
  <si>
    <t>Activity.Mtkm.FI.Tr.Road.Freight.LCV.ICE.NGas</t>
  </si>
  <si>
    <t>Activity.Mtkm.FI.Tr.Road.Freight.LCV.ICE.BEV</t>
  </si>
  <si>
    <t>Activity.Mtkm.FI.Tr.Road.Freight.HGV.Domestic</t>
  </si>
  <si>
    <t>Activity.Mtkm.FI.Tr.Road.Freight.HGV.International</t>
  </si>
  <si>
    <t>VehicleKm.Mkm.FI.Tr.Road</t>
  </si>
  <si>
    <t>VehicleKm.Mkm.FI.Tr.Road.Passenger</t>
  </si>
  <si>
    <t>VehicleKm.Mkm.FI.Tr.Road.Passenger.P2W</t>
  </si>
  <si>
    <t>VehicleKm.Mkm.FI.Tr.Road.Passenger.Car</t>
  </si>
  <si>
    <t>VehicleKm.Mkm.FI.Tr.Road.Passenger.Car.ICE.Gasoline</t>
  </si>
  <si>
    <t>VehicleKm.Mkm.FI.Tr.Road.Passenger.Car.ICE.Diesel</t>
  </si>
  <si>
    <t>VehicleKm.Mkm.FI.Tr.Road.Passenger.Car.ICE.LPG</t>
  </si>
  <si>
    <t>VehicleKm.Mkm.FI.Tr.Road.Passenger.Car.ICE.NGas</t>
  </si>
  <si>
    <t>VehicleKm.Mkm.FI.Tr.Road.Passenger.Car.PHEV</t>
  </si>
  <si>
    <t>VehicleKm.Mkm.FI.Tr.Road.Passenger.Car.BEV</t>
  </si>
  <si>
    <t>VehicleKm.Mkm.FI.Tr.Road.Passenger.Bus</t>
  </si>
  <si>
    <t>VehicleKm.Mkm.FI.Tr.Road.Passenger.Bus.ICE.Gasoline</t>
  </si>
  <si>
    <t>VehicleKm.Mkm.FI.Tr.Road.Passenger.Bus.ICE.Diesel</t>
  </si>
  <si>
    <t>VehicleKm.Mkm.FI.Tr.Road.Passenger.Bus.ICE.LPG</t>
  </si>
  <si>
    <t>VehicleKm.Mkm.FI.Tr.Road.Passenger.Bus.ICE.NGas</t>
  </si>
  <si>
    <t>VehicleKm.Mkm.FI.Tr.Road.Passenger.Bus.ICE.BEV</t>
  </si>
  <si>
    <t>VehicleKm.Mkm.FI.Tr.Road.Freight</t>
  </si>
  <si>
    <t>VehicleKm.Mkm.FI.Tr.Road.Freight.LCV</t>
  </si>
  <si>
    <t>VehicleKm.Mkm.FI.Tr.Road.Freight.LCV.ICE.Gasoline</t>
  </si>
  <si>
    <t>VehicleKm.Mkm.FI.Tr.Road.Freight.LCV.ICE.Diesel</t>
  </si>
  <si>
    <t>VehicleKm.Mkm.FI.Tr.Road.Freight.LCV.ICE.LPG</t>
  </si>
  <si>
    <t>VehicleKm.Mkm.FI.Tr.Road.Freight.LCV.ICE.NGas</t>
  </si>
  <si>
    <t>VehicleKm.Mkm.FI.Tr.Road.Freight.LCV.ICE.BEV</t>
  </si>
  <si>
    <t>VehicleKm.Mkm.FI.Tr.Road.Freight.HGV</t>
  </si>
  <si>
    <t>VehicleKm.Mkm.FI.Tr.Road.Freight.HGV.Domestic</t>
  </si>
  <si>
    <t>VehicleKm.Mkm.FI.Tr.Road.Freight.HGV.International</t>
  </si>
  <si>
    <t>Stock.number.FI.Tr.Road</t>
  </si>
  <si>
    <t>Stock.number.FI.Tr.Road.Passenger</t>
  </si>
  <si>
    <t>Stock.number.FI.Tr.Road.Passenger.P2W</t>
  </si>
  <si>
    <t>Stock.number.FI.Tr.Road.Passenger.Car</t>
  </si>
  <si>
    <t>Stock.number.FI.Tr.Road.Passenger.Car.ICE.Gasoline</t>
  </si>
  <si>
    <t>Stock.number.FI.Tr.Road.Passenger.Car.ICE.Diesel</t>
  </si>
  <si>
    <t>Stock.number.FI.Tr.Road.Passenger.Car.ICE.LPG</t>
  </si>
  <si>
    <t>Stock.number.FI.Tr.Road.Passenger.Car.ICE.NGas</t>
  </si>
  <si>
    <t>Stock.number.FI.Tr.Road.Passenger.Car.PHEV</t>
  </si>
  <si>
    <t>Stock.number.FI.Tr.Road.Passenger.Car.BEV</t>
  </si>
  <si>
    <t>Stock.number.FI.Tr.Road.Passenger.Bus</t>
  </si>
  <si>
    <t>Stock.number.FI.Tr.Road.Passenger.Bus.ICE.Gasoline</t>
  </si>
  <si>
    <t>Stock.number.FI.Tr.Road.Passenger.Bus.ICE.Diesel</t>
  </si>
  <si>
    <t>Stock.number.FI.Tr.Road.Passenger.Bus.ICE.LPG</t>
  </si>
  <si>
    <t>Stock.number.FI.Tr.Road.Passenger.Bus.ICE.NGas</t>
  </si>
  <si>
    <t>Stock.number.FI.Tr.Road.Passenger.Bus.ICE.BEV</t>
  </si>
  <si>
    <t>Stock.number.FI.Tr.Road.Freight</t>
  </si>
  <si>
    <t>Stock.number.FI.Tr.Road.Freight.LCV</t>
  </si>
  <si>
    <t>Stock.number.FI.Tr.Road.Freight.LCV.ICE.Gasoline</t>
  </si>
  <si>
    <t>Stock.number.FI.Tr.Road.Freight.LCV.ICE.Diesel</t>
  </si>
  <si>
    <t>Stock.number.FI.Tr.Road.Freight.LCV.ICE.LPG</t>
  </si>
  <si>
    <t>Stock.number.FI.Tr.Road.Freight.LCV.ICE.NGas</t>
  </si>
  <si>
    <t>Stock.number.FI.Tr.Road.Freight.LCV.ICE.BEV</t>
  </si>
  <si>
    <t>Stock.number.FI.Tr.Road.Freight.HGV</t>
  </si>
  <si>
    <t>Stock.number.FI.Tr.Road.Freight.HGV.Domestic</t>
  </si>
  <si>
    <t>Stock.number.FI.Tr.Road.Freight.HGV.International</t>
  </si>
  <si>
    <t>StockNew.number.FI.Tr.Road</t>
  </si>
  <si>
    <t>StockNew.number.FI.Tr.Road.Passenger</t>
  </si>
  <si>
    <t>StockNew.number.FI.Tr.Road.Passenger.P2W</t>
  </si>
  <si>
    <t>StockNew.number.FI.Tr.Road.Passenger.Car</t>
  </si>
  <si>
    <t>StockNew.number.FI.Tr.Road.Passenger.Car.ICE.Gasoline</t>
  </si>
  <si>
    <t>StockNew.number.FI.Tr.Road.Passenger.Car.ICE.Diesel</t>
  </si>
  <si>
    <t>StockNew.number.FI.Tr.Road.Passenger.Car.ICE.LPG</t>
  </si>
  <si>
    <t>StockNew.number.FI.Tr.Road.Passenger.Car.ICE.NGas</t>
  </si>
  <si>
    <t>StockNew.number.FI.Tr.Road.Passenger.Car.PHEV</t>
  </si>
  <si>
    <t>StockNew.number.FI.Tr.Road.Passenger.Car.BEV</t>
  </si>
  <si>
    <t>StockNew.number.FI.Tr.Road.Passenger.Bus</t>
  </si>
  <si>
    <t>StockNew.number.FI.Tr.Road.Passenger.Bus.ICE.Gasoline</t>
  </si>
  <si>
    <t>StockNew.number.FI.Tr.Road.Passenger.Bus.ICE.Diesel</t>
  </si>
  <si>
    <t>StockNew.number.FI.Tr.Road.Passenger.Bus.ICE.LPG</t>
  </si>
  <si>
    <t>StockNew.number.FI.Tr.Road.Passenger.Bus.ICE.NGas</t>
  </si>
  <si>
    <t>StockNew.number.FI.Tr.Road.Passenger.Bus.ICE.BEV</t>
  </si>
  <si>
    <t>StockNew.number.FI.Tr.Road.Freight</t>
  </si>
  <si>
    <t>StockNew.number.FI.Tr.Road.Freight.LCV</t>
  </si>
  <si>
    <t>StockNew.number.FI.Tr.Road.Freight.LCV.ICE.Gasoline</t>
  </si>
  <si>
    <t>StockNew.number.FI.Tr.Road.Freight.LCV.ICE.Diesel</t>
  </si>
  <si>
    <t>StockNew.number.FI.Tr.Road.Freight.LCV.ICE.LPG</t>
  </si>
  <si>
    <t>StockNew.number.FI.Tr.Road.Freight.LCV.ICE.NGas</t>
  </si>
  <si>
    <t>StockNew.number.FI.Tr.Road.Freight.LCV.ICE.BEV</t>
  </si>
  <si>
    <t>StockNew.number.FI.Tr.Road.Freight.HGV</t>
  </si>
  <si>
    <t>StockNew.number.FI.Tr.Road.Freight.HGV.Domestic</t>
  </si>
  <si>
    <t>StockNew.number.FI.Tr.Road.Freight.HGV.International</t>
  </si>
  <si>
    <t>Load.passenger_per_movement.FI.Tr.Road.Passenger</t>
  </si>
  <si>
    <t>Load.passenger_per_movement.FI.Tr.Road.Passenger.P2W</t>
  </si>
  <si>
    <t>Load.passenger_per_movement.FI.Tr.Road.Passenger.Car</t>
  </si>
  <si>
    <t>Load.passenger_per_movement.FI.Tr.Road.Passenger.Car.ICE.Gasoline</t>
  </si>
  <si>
    <t>Load.passenger_per_movement.FI.Tr.Road.Passenger.Car.ICE.Diesel</t>
  </si>
  <si>
    <t>Load.passenger_per_movement.FI.Tr.Road.Passenger.Car.ICE.LPG</t>
  </si>
  <si>
    <t>Load.passenger_per_movement.FI.Tr.Road.Passenger.Car.ICE.NGas</t>
  </si>
  <si>
    <t>Load.passenger_per_movement.FI.Tr.Road.Passenger.Car.PHEV</t>
  </si>
  <si>
    <t>Load.passenger_per_movement.FI.Tr.Road.Passenger.Car.BEV</t>
  </si>
  <si>
    <t>Load.passenger_per_movement.FI.Tr.Road.Passenger.Bus</t>
  </si>
  <si>
    <t>Load.passenger_per_movement.FI.Tr.Road.Passenger.Bus.ICE.Gasoline</t>
  </si>
  <si>
    <t>Load.passenger_per_movement.FI.Tr.Road.Passenger.Bus.ICE.Diesel</t>
  </si>
  <si>
    <t>Load.passenger_per_movement.FI.Tr.Road.Passenger.Bus.ICE.LPG</t>
  </si>
  <si>
    <t>Load.passenger_per_movement.FI.Tr.Road.Passenger.Bus.ICE.NGas</t>
  </si>
  <si>
    <t>Load.passenger_per_movement.FI.Tr.Road.Passenger.Bus.ICE.BEV</t>
  </si>
  <si>
    <t>Load.t_per_movement.FI.Tr.Road.Freight</t>
  </si>
  <si>
    <t>Load.t_per_movement.FI.Tr.Road.Freight.LCV</t>
  </si>
  <si>
    <t>Load.t_per_movement.FI.Tr.Road.Freight.LCV.ICE.Gasoline</t>
  </si>
  <si>
    <t>Load.t_per_movement.FI.Tr.Road.Freight.LCV.ICE.Diesel</t>
  </si>
  <si>
    <t>Load.t_per_movement.FI.Tr.Road.Freight.LCV.ICE.LPG</t>
  </si>
  <si>
    <t>Load.t_per_movement.FI.Tr.Road.Freight.LCV.ICE.NGas</t>
  </si>
  <si>
    <t>Load.t_per_movement.FI.Tr.Road.Freight.LCV.ICE.BEV</t>
  </si>
  <si>
    <t>Load.t_per_movement.FI.Tr.Road.Freight.HGV</t>
  </si>
  <si>
    <t>Load.t_per_movement.FI.Tr.Road.Freight.HGV.Domestic</t>
  </si>
  <si>
    <t>Load.t_per_movement.FI.Tr.Road.Freight.HGV.International</t>
  </si>
  <si>
    <t>VehicleKm_per_vehicle.km.FI.Tr.Road</t>
  </si>
  <si>
    <t>VehicleKm_per_vehicle.km.FI.Tr.Road.Passenger</t>
  </si>
  <si>
    <t>VehicleKm_per_vehicle.km.FI.Tr.Road.Passenger.P2W</t>
  </si>
  <si>
    <t>VehicleKm_per_vehicle.km.FI.Tr.Road.Passenger.Car</t>
  </si>
  <si>
    <t>VehicleKm_per_vehicle.km.FI.Tr.Road.Passenger.Car.ICE.Gasoline</t>
  </si>
  <si>
    <t>VehicleKm_per_vehicle.km.FI.Tr.Road.Passenger.Car.ICE.Diesel</t>
  </si>
  <si>
    <t>VehicleKm_per_vehicle.km.FI.Tr.Road.Passenger.Car.ICE.LPG</t>
  </si>
  <si>
    <t>VehicleKm_per_vehicle.km.FI.Tr.Road.Passenger.Car.ICE.NGas</t>
  </si>
  <si>
    <t>VehicleKm_per_vehicle.km.FI.Tr.Road.Passenger.Car.PHEV</t>
  </si>
  <si>
    <t>VehicleKm_per_vehicle.km.FI.Tr.Road.Passenger.Car.BEV</t>
  </si>
  <si>
    <t>VehicleKm_per_vehicle.km.FI.Tr.Road.Passenger.Bus</t>
  </si>
  <si>
    <t>VehicleKm_per_vehicle.km.FI.Tr.Road.Passenger.Bus.ICE.Gasoline</t>
  </si>
  <si>
    <t>VehicleKm_per_vehicle.km.FI.Tr.Road.Passenger.Bus.ICE.Diesel</t>
  </si>
  <si>
    <t>VehicleKm_per_vehicle.km.FI.Tr.Road.Passenger.Bus.ICE.LPG</t>
  </si>
  <si>
    <t>VehicleKm_per_vehicle.km.FI.Tr.Road.Passenger.Bus.ICE.NGas</t>
  </si>
  <si>
    <t>VehicleKm_per_vehicle.km.FI.Tr.Road.Passenger.Bus.ICE.BEV</t>
  </si>
  <si>
    <t>VehicleKm_per_vehicle.km.FI.Tr.Road.Freight</t>
  </si>
  <si>
    <t>VehicleKm_per_vehicle.km.FI.Tr.Road.Freight.LCV</t>
  </si>
  <si>
    <t>VehicleKm_per_vehicle.km.FI.Tr.Road.Freight.LCV.ICE.Gasoline</t>
  </si>
  <si>
    <t>VehicleKm_per_vehicle.km.FI.Tr.Road.Freight.LCV.ICE.Diesel</t>
  </si>
  <si>
    <t>VehicleKm_per_vehicle.km.FI.Tr.Road.Freight.LCV.ICE.LPG</t>
  </si>
  <si>
    <t>VehicleKm_per_vehicle.km.FI.Tr.Road.Freight.LCV.ICE.NGas</t>
  </si>
  <si>
    <t>VehicleKm_per_vehicle.km.FI.Tr.Road.Freight.LCV.ICE.BEV</t>
  </si>
  <si>
    <t>VehicleKm_per_vehicle.km.FI.Tr.Road.Freight.HGV</t>
  </si>
  <si>
    <t>VehicleKm_per_vehicle.km.FI.Tr.Road.Freight.HGV.Domestic</t>
  </si>
  <si>
    <t>VehicleKm_per_vehicle.km.FI.Tr.Road.Freight.HGV.International</t>
  </si>
  <si>
    <t>Activity_per_vehicle.pkm.FI.Tr.Road.Passenger</t>
  </si>
  <si>
    <t>Activity_per_vehicle.pkm.FI.Tr.Road.Passenger.P2W</t>
  </si>
  <si>
    <t>Activity_per_vehicle.pkm.FI.Tr.Road.Passenger.Car</t>
  </si>
  <si>
    <t>Activity_per_vehicle.pkm.FI.Tr.Road.Passenger.Car.ICE.Gasoline</t>
  </si>
  <si>
    <t>Activity_per_vehicle.pkm.FI.Tr.Road.Passenger.Car.ICE.Diesel</t>
  </si>
  <si>
    <t>Activity_per_vehicle.pkm.FI.Tr.Road.Passenger.Car.ICE.LPG</t>
  </si>
  <si>
    <t>Activity_per_vehicle.pkm.FI.Tr.Road.Passenger.Car.ICE.NGas</t>
  </si>
  <si>
    <t>Activity_per_vehicle.pkm.FI.Tr.Road.Passenger.Car.PHEV</t>
  </si>
  <si>
    <t>Activity_per_vehicle.pkm.FI.Tr.Road.Passenger.Car.BEV</t>
  </si>
  <si>
    <t>Activity_per_vehicle.pkm.FI.Tr.Road.Passenger.Bus</t>
  </si>
  <si>
    <t>Activity_per_vehicle.pkm.FI.Tr.Road.Passenger.Bus.ICE.Gasoline</t>
  </si>
  <si>
    <t>Activity_per_vehicle.pkm.FI.Tr.Road.Passenger.Bus.ICE.Diesel</t>
  </si>
  <si>
    <t>Activity_per_vehicle.pkm.FI.Tr.Road.Passenger.Bus.ICE.LPG</t>
  </si>
  <si>
    <t>Activity_per_vehicle.pkm.FI.Tr.Road.Passenger.Bus.ICE.NGas</t>
  </si>
  <si>
    <t>Activity_per_vehicle.pkm.FI.Tr.Road.Passenger.Bus.ICE.BEV</t>
  </si>
  <si>
    <t>Activity_per_vehicle.tkm.FI.Tr.Road.Freight</t>
  </si>
  <si>
    <t>Activity_per_vehicle.tkm.FI.Tr.Road.Freight.LCV</t>
  </si>
  <si>
    <t>Activity_per_vehicle.tkm.FI.Tr.Road.Freight.LCV.ICE.Gasoline</t>
  </si>
  <si>
    <t>Activity_per_vehicle.tkm.FI.Tr.Road.Freight.LCV.ICE.Diesel</t>
  </si>
  <si>
    <t>Activity_per_vehicle.tkm.FI.Tr.Road.Freight.LCV.ICE.LPG</t>
  </si>
  <si>
    <t>Activity_per_vehicle.tkm.FI.Tr.Road.Freight.LCV.ICE.NGas</t>
  </si>
  <si>
    <t>Activity_per_vehicle.tkm.FI.Tr.Road.Freight.LCV.ICE.BEV</t>
  </si>
  <si>
    <t>Activity_per_vehicle.tkm.FI.Tr.Road.Freight.HGV</t>
  </si>
  <si>
    <t>Activity_per_vehicle.tkm.FI.Tr.Road.Freight.HGV.Domestic</t>
  </si>
  <si>
    <t>Activity_per_vehicle.tkm.FI.Tr.Road.Freight.HGV.International</t>
  </si>
  <si>
    <t>Road transport / energy consumption - FI - Finland</t>
  </si>
  <si>
    <t>FEC.ktoe.FI.ES.Tr.Road</t>
  </si>
  <si>
    <t>FEC.ktoe.FI.ES.Tr.Road.LPG</t>
  </si>
  <si>
    <t>FEC.ktoe.FI.ES.Tr.Road.Gasoline</t>
  </si>
  <si>
    <t>FEC.ktoe.FI.ES.Tr.Road.Diesel</t>
  </si>
  <si>
    <t>FEC.ktoe.FI.ES.Tr.Road.NG</t>
  </si>
  <si>
    <t>FEC.ktoe.FI.ES.Tr.Road.Biogas</t>
  </si>
  <si>
    <t>FEC.ktoe.FI.ES.Tr.Road.Biogasoline</t>
  </si>
  <si>
    <t>FEC.ktoe.FI.ES.Tr.Road.Biodiesel</t>
  </si>
  <si>
    <t>FEC.ktoe.FI.ES.Tr.Road.OthLiqBio</t>
  </si>
  <si>
    <t>FEC.ktoe.FI.ES.Tr.Road.Elec</t>
  </si>
  <si>
    <t>FEC.ktoe.FI.Tr.Road</t>
  </si>
  <si>
    <t>FEC.ktoe.FI.Tr.Road.Passenger.P2W.Biogasoline</t>
  </si>
  <si>
    <t>FEC.ktoe.FI.Tr.Road.Passenger.Car.ICE.Gasoline</t>
  </si>
  <si>
    <t>FEC.ktoe.FI.Tr.Road.Passenger.Car.ICE.Gasoline.Biogasoline</t>
  </si>
  <si>
    <t>FEC.ktoe.FI.Tr.Road.Passenger.Car.ICE.Diesel</t>
  </si>
  <si>
    <t>FEC.ktoe.FI.Tr.Road.Passenger.Car.ICE.Diesel.BioDiesel_OthLiqBio</t>
  </si>
  <si>
    <t>FEC.ktoe.FI.Tr.Road.Passenger.Car.ICE.LPG</t>
  </si>
  <si>
    <t>FEC.ktoe.FI.Tr.Road.Passenger.Car.ICE.NGas</t>
  </si>
  <si>
    <t>FEC.ktoe.FI.Tr.Road.Passenger.Car.ICE.NGas.Biogas</t>
  </si>
  <si>
    <t>FEC.ktoe.FI.Tr.Road.Passenger.Car.PHEV</t>
  </si>
  <si>
    <t>FEC.ktoe.FI.Tr.Road.Passenger.Car.PHEV.Biogasoline</t>
  </si>
  <si>
    <t>FEC.ktoe.FI.Tr.Road.Passenger.Car.PHEV.Elec</t>
  </si>
  <si>
    <t>FEC.ktoe.FI.Tr.Road.Passenger.Car.BEV</t>
  </si>
  <si>
    <t>FEC.ktoe.FI.Tr.Road.Passenger.Bus.ICE.Gasoline</t>
  </si>
  <si>
    <t>FEC.ktoe.FI.Tr.Road.Passenger.Bus.ICE.Gasoline.Biogasoline</t>
  </si>
  <si>
    <t>FEC.ktoe.FI.Tr.Road.Passenger.Bus.ICE.Diesel</t>
  </si>
  <si>
    <t>FEC.ktoe.FI.Tr.Road.Passenger.Bus.ICE.Diesel.BioDiesel_OthLiqBio</t>
  </si>
  <si>
    <t>FEC.ktoe.FI.Tr.Road.Passenger.Bus.ICE.LPG</t>
  </si>
  <si>
    <t>FEC.ktoe.FI.Tr.Road.Passenger.Bus.ICE.NGas</t>
  </si>
  <si>
    <t>FEC.ktoe.FI.Tr.Road.Passenger.Bus.ICE.NGas.Biogas</t>
  </si>
  <si>
    <t>FEC.ktoe.FI.Tr.Road.Passenger.Bus.ICE.BEV</t>
  </si>
  <si>
    <t>FEC.ktoe.FI.Tr.Road.Freight.LCV.ICE.Gasoline</t>
  </si>
  <si>
    <t>FEC.ktoe.FI.Tr.Road.Freight.LCV.ICE.Gasoline.Biogasoline</t>
  </si>
  <si>
    <t>FEC.ktoe.FI.Tr.Road.Freight.LCV.ICE.Diesel</t>
  </si>
  <si>
    <t>FEC.ktoe.FI.Tr.Road.Freight.LCV.ICE.Diesel.BioDiesel_OthLiqBio</t>
  </si>
  <si>
    <t>FEC.ktoe.FI.Tr.Road.Freight.LCV.ICE.LPG</t>
  </si>
  <si>
    <t>FEC.ktoe.FI.Tr.Road.Freight.LCV.ICE.NGas</t>
  </si>
  <si>
    <t>FEC.ktoe.FI.Tr.Road.Freight.LCV.ICE.NGas.Biogas</t>
  </si>
  <si>
    <t>FEC.ktoe.FI.Tr.Road.Freight.LCV.ICE.BEV</t>
  </si>
  <si>
    <t>FEC.ktoe.FI.Tr.Road.Freight.HGV.Domestic</t>
  </si>
  <si>
    <t>FEC.ktoe.FI.Tr.Road.Freight.HGV.Domestic.BioDiesel_OthLiqBio</t>
  </si>
  <si>
    <t>FEC.ktoe.FI.Tr.Road.Freight.HGV.International</t>
  </si>
  <si>
    <t>FEC.ktoe.FI.Tr.Road.Freight.HGV.International.BioDiesel_OthLiqBio</t>
  </si>
  <si>
    <t>Eff.kgoe_per_100km.FI.Tr.Road</t>
  </si>
  <si>
    <t>Eff.kgoe_per_100km.FI.Tr.Road.Passenger</t>
  </si>
  <si>
    <t>Eff.kgoe_per_100km.FI.Tr.Road.Passenger.P2W</t>
  </si>
  <si>
    <t>Eff.kgoe_per_100km.FI.Tr.Road.Passenger.Car</t>
  </si>
  <si>
    <t>Eff.kgoe_per_100km.FI.Tr.Road.Passenger.Car.ICE.Gasoline</t>
  </si>
  <si>
    <t>Eff.kgoe_per_100km.FI.Tr.Road.Passenger.Car.ICE.Diesel</t>
  </si>
  <si>
    <t>Eff.kgoe_per_100km.FI.Tr.Road.Passenger.Car.ICE.LPG</t>
  </si>
  <si>
    <t>Eff.kgoe_per_100km.FI.Tr.Road.Passenger.Car.ICE.NGas</t>
  </si>
  <si>
    <t>Eff.kgoe_per_100km.FI.Tr.Road.Passenger.Car.PHEV</t>
  </si>
  <si>
    <t>Eff.kgoe_per_100km.FI.Tr.Road.Passenger.Car.BEV</t>
  </si>
  <si>
    <t>Eff.kgoe_per_100km.FI.Tr.Road.Passenger.Bus</t>
  </si>
  <si>
    <t>Eff.kgoe_per_100km.FI.Tr.Road.Passenger.Bus.ICE.Gasoline</t>
  </si>
  <si>
    <t>Eff.kgoe_per_100km.FI.Tr.Road.Passenger.Bus.ICE.Diesel</t>
  </si>
  <si>
    <t>Eff.kgoe_per_100km.FI.Tr.Road.Passenger.Bus.ICE.LPG</t>
  </si>
  <si>
    <t>Eff.kgoe_per_100km.FI.Tr.Road.Passenger.Bus.ICE.NGas</t>
  </si>
  <si>
    <t>Eff.kgoe_per_100km.FI.Tr.Road.Passenger.Bus.ICE.BEV</t>
  </si>
  <si>
    <t>Eff.kgoe_per_100km.FI.Tr.Road.Freight</t>
  </si>
  <si>
    <t>Eff.kgoe_per_100km.FI.Tr.Road.Freight.LCV</t>
  </si>
  <si>
    <t>Eff.kgoe_per_100km.FI.Tr.Road.Freight.LCV.ICE.Gasoline</t>
  </si>
  <si>
    <t>Eff.kgoe_per_100km.FI.Tr.Road.Freight.LCV.ICE.Diesel</t>
  </si>
  <si>
    <t>Eff.kgoe_per_100km.FI.Tr.Road.Freight.LCV.ICE.LPG</t>
  </si>
  <si>
    <t>Eff.kgoe_per_100km.FI.Tr.Road.Freight.LCV.ICE.NGas</t>
  </si>
  <si>
    <t>Eff.kgoe_per_100km.FI.Tr.Road.Freight.LCV.ICE.BEV</t>
  </si>
  <si>
    <t>Eff.kgoe_per_100km.FI.Tr.Road.Freight.HGV</t>
  </si>
  <si>
    <t>Eff.kgoe_per_100km.FI.Tr.Road.Freight.HGV.Domestic</t>
  </si>
  <si>
    <t>Eff.kgoe_per_100km.FI.Tr.Road.Freight.HGV.International</t>
  </si>
  <si>
    <t>Eff.kgoe_per_kpkm.FI.Tr.Road.Passenger.Car.ICE.Gasoline</t>
  </si>
  <si>
    <t>Eff.kgoe_per_kpkm.FI.Tr.Road.Passenger.Car.ICE.Diesel</t>
  </si>
  <si>
    <t>Eff.kgoe_per_kpkm.FI.Tr.Road.Passenger.Car.ICE.LPG</t>
  </si>
  <si>
    <t>Eff.kgoe_per_kpkm.FI.Tr.Road.Passenger.Car.ICE.NGas</t>
  </si>
  <si>
    <t>Eff.kgoe_per_kpkm.FI.Tr.Road.Passenger.Car.PHEV</t>
  </si>
  <si>
    <t>Eff.kgoe_per_kpkm.FI.Tr.Road.Passenger.Car.BEV</t>
  </si>
  <si>
    <t>Eff.kgoe_per_kpkm.FI.Tr.Road.Passenger.Bus.ICE.Gasoline</t>
  </si>
  <si>
    <t>Eff.kgoe_per_kpkm.FI.Tr.Road.Passenger.Bus.ICE.Diesel</t>
  </si>
  <si>
    <t>Eff.kgoe_per_kpkm.FI.Tr.Road.Passenger.Bus.ICE.LPG</t>
  </si>
  <si>
    <t>Eff.kgoe_per_kpkm.FI.Tr.Road.Passenger.Bus.ICE.NGas</t>
  </si>
  <si>
    <t>Eff.kgoe_per_kpkm.FI.Tr.Road.Passenger.Bus.ICE.BEV</t>
  </si>
  <si>
    <t>Eff.kgoe_per_ktkm.FI.Tr.Road.Freight.LCV.ICE.Gasoline</t>
  </si>
  <si>
    <t>Eff.kgoe_per_ktkm.FI.Tr.Road.Freight.LCV.ICE.Diesel</t>
  </si>
  <si>
    <t>Eff.kgoe_per_ktkm.FI.Tr.Road.Freight.LCV.ICE.LPG</t>
  </si>
  <si>
    <t>Eff.kgoe_per_ktkm.FI.Tr.Road.Freight.LCV.ICE.NGas</t>
  </si>
  <si>
    <t>Eff.kgoe_per_ktkm.FI.Tr.Road.Freight.LCV.ICE.BEV</t>
  </si>
  <si>
    <t>Eff.kgoe_per_ktkm.FI.Tr.Road.Freight.HGV.Domestic</t>
  </si>
  <si>
    <t>Eff.kgoe_per_ktkm.FI.Tr.Road.Freight.HGV.International</t>
  </si>
  <si>
    <t>FEC_per_vehicle.kgoe.FI.Tr.Road.Passenger.P2W</t>
  </si>
  <si>
    <t>FEC_per_vehicle.kgoe.FI.Tr.Road.Passenger.Car</t>
  </si>
  <si>
    <t>FEC_per_vehicle.kgoe.FI.Tr.Road.Passenger.Car.ICE.Gasoline</t>
  </si>
  <si>
    <t>FEC_per_vehicle.kgoe.FI.Tr.Road.Passenger.Car.ICE.Diesel</t>
  </si>
  <si>
    <t>FEC_per_vehicle.kgoe.FI.Tr.Road.Passenger.Car.ICE.LPG</t>
  </si>
  <si>
    <t>FEC_per_vehicle.kgoe.FI.Tr.Road.Passenger.Car.ICE.NGas</t>
  </si>
  <si>
    <t>FEC_per_vehicle.kgoe.FI.Tr.Road.Passenger.Car.PHEV</t>
  </si>
  <si>
    <t>FEC_per_vehicle.kgoe.FI.Tr.Road.Passenger.Car.BEV</t>
  </si>
  <si>
    <t>FEC_per_vehicle.kgoe.FI.Tr.Road.Passenger.Bus</t>
  </si>
  <si>
    <t>FEC_per_vehicle.kgoe.FI.Tr.Road.Passenger.Bus.ICE.Gasoline</t>
  </si>
  <si>
    <t>FEC_per_vehicle.kgoe.FI.Tr.Road.Passenger.Bus.ICE.Diesel</t>
  </si>
  <si>
    <t>FEC_per_vehicle.kgoe.FI.Tr.Road.Passenger.Bus.ICE.LPG</t>
  </si>
  <si>
    <t>FEC_per_vehicle.kgoe.FI.Tr.Road.Passenger.Bus.ICE.NGas</t>
  </si>
  <si>
    <t>FEC_per_vehicle.kgoe.FI.Tr.Road.Passenger.Bus.ICE.BEV</t>
  </si>
  <si>
    <t>FEC_per_vehicle.kgoe.FI.Tr.Road.Freight.LCV</t>
  </si>
  <si>
    <t>FEC_per_vehicle.kgoe.FI.Tr.Road.Freight.LCV.ICE.Gasoline</t>
  </si>
  <si>
    <t>FEC_per_vehicle.kgoe.FI.Tr.Road.Freight.LCV.ICE.Diesel</t>
  </si>
  <si>
    <t>FEC_per_vehicle.kgoe.FI.Tr.Road.Freight.LCV.ICE.LPG</t>
  </si>
  <si>
    <t>FEC_per_vehicle.kgoe.FI.Tr.Road.Freight.LCV.ICE.NGas</t>
  </si>
  <si>
    <t>FEC_per_vehicle.kgoe.FI.Tr.Road.Freight.LCV.ICE.BEV</t>
  </si>
  <si>
    <t>FEC_per_vehicle.kgoe.FI.Tr.Road.Freight.HGV</t>
  </si>
  <si>
    <t>FEC_per_vehicle.kgoe.FI.Tr.Road.Freight.HGV.Domestic</t>
  </si>
  <si>
    <t>FEC_per_vehicle.kgoe.FI.Tr.Road.Freight.HGV.International</t>
  </si>
  <si>
    <t>Road transport / CO2 emissions - FI - Finland</t>
  </si>
  <si>
    <t>EMI.ktCO2.FI.ES.Tr.Road</t>
  </si>
  <si>
    <t>EMI.ktCO2.FI.ES.Tr.Road.LPG</t>
  </si>
  <si>
    <t>EMI.ktCO2.FI.ES.Tr.Road.Gasoline</t>
  </si>
  <si>
    <t>EMI.ktCO2.FI.ES.Tr.Road.Diesel</t>
  </si>
  <si>
    <t>EMI.ktCO2.FI.ES.Tr.Road.NG</t>
  </si>
  <si>
    <t>EMI.ktCO2.FI.ES.Tr.Road.Biogas</t>
  </si>
  <si>
    <t>EMI.ktCO2.FI.ES.Tr.Road.Biogasoline</t>
  </si>
  <si>
    <t>EMI.ktCO2.FI.ES.Tr.Road.Biodiesel</t>
  </si>
  <si>
    <t>EMI.ktCO2.FI.ES.Tr.Road.OthLiqBio</t>
  </si>
  <si>
    <t>EMI.ktCO2.FI.ES.Tr.Road.Elec</t>
  </si>
  <si>
    <t>EMI.ktCO2.FI.Tr.Road</t>
  </si>
  <si>
    <t>EMI.ktCO2.FI.Tr.Road.Passenger.Car.ICE.Gasoline</t>
  </si>
  <si>
    <t>EMI.ktCO2.FI.Tr.Road.Passenger.Car.ICE.Diesel</t>
  </si>
  <si>
    <t>EMI.ktCO2.FI.Tr.Road.Passenger.Car.ICE.LPG</t>
  </si>
  <si>
    <t>EMI.ktCO2.FI.Tr.Road.Passenger.Car.ICE.NGas</t>
  </si>
  <si>
    <t>EMI.ktCO2.FI.Tr.Road.Passenger.Car.PHEV</t>
  </si>
  <si>
    <t>EMI.ktCO2.FI.Tr.Road.Passenger.Car.BEV</t>
  </si>
  <si>
    <t>EMI.ktCO2.FI.Tr.Road.Passenger.Bus.ICE.Gasoline</t>
  </si>
  <si>
    <t>EMI.ktCO2.FI.Tr.Road.Passenger.Bus.ICE.Diesel</t>
  </si>
  <si>
    <t>EMI.ktCO2.FI.Tr.Road.Passenger.Bus.ICE.LPG</t>
  </si>
  <si>
    <t>EMI.ktCO2.FI.Tr.Road.Passenger.Bus.ICE.NGas</t>
  </si>
  <si>
    <t>EMI.ktCO2.FI.Tr.Road.Passenger.Bus.ICE.BEV</t>
  </si>
  <si>
    <t>EMI.ktCO2.FI.Tr.Road.Freight.LCV.ICE.Gasoline</t>
  </si>
  <si>
    <t>EMI.ktCO2.FI.Tr.Road.Freight.LCV.ICE.Diesel</t>
  </si>
  <si>
    <t>EMI.ktCO2.FI.Tr.Road.Freight.LCV.ICE.LPG</t>
  </si>
  <si>
    <t>EMI.ktCO2.FI.Tr.Road.Freight.LCV.ICE.NGas</t>
  </si>
  <si>
    <t>EMI.ktCO2.FI.Tr.Road.Freight.LCV.ICE.BEV</t>
  </si>
  <si>
    <t>EMI.ktCO2.FI.Tr.Road.Freight.HGV.Domestic</t>
  </si>
  <si>
    <t>EMI.ktCO2.FI.Tr.Road.Freight.HGV.International</t>
  </si>
  <si>
    <t>EMIint.gCO2_per_km.FI.Tr.Road</t>
  </si>
  <si>
    <t>EMIint.gCO2_per_km.FI.Tr.Road.Passenger</t>
  </si>
  <si>
    <t>EMIint.gCO2_per_km.FI.Tr.Road.Passenger.P2W</t>
  </si>
  <si>
    <t>EMIint.gCO2_per_km.FI.Tr.Road.Passenger.Car</t>
  </si>
  <si>
    <t>EMIint.gCO2_per_km.FI.Tr.Road.Passenger.Car.ICE.Gasoline</t>
  </si>
  <si>
    <t>EMIint.gCO2_per_km.FI.Tr.Road.Passenger.Car.ICE.Diesel</t>
  </si>
  <si>
    <t>EMIint.gCO2_per_km.FI.Tr.Road.Passenger.Car.ICE.LPG</t>
  </si>
  <si>
    <t>EMIint.gCO2_per_km.FI.Tr.Road.Passenger.Car.ICE.NGas</t>
  </si>
  <si>
    <t>EMIint.gCO2_per_km.FI.Tr.Road.Passenger.Car.PHEV</t>
  </si>
  <si>
    <t>EMIint.gCO2_per_km.FI.Tr.Road.Passenger.Car.BEV</t>
  </si>
  <si>
    <t>EMIint.gCO2_per_km.FI.Tr.Road.Passenger.Bus</t>
  </si>
  <si>
    <t>EMIint.gCO2_per_km.FI.Tr.Road.Passenger.Bus.ICE.Gasoline</t>
  </si>
  <si>
    <t>EMIint.gCO2_per_km.FI.Tr.Road.Passenger.Bus.ICE.Diesel</t>
  </si>
  <si>
    <t>EMIint.gCO2_per_km.FI.Tr.Road.Passenger.Bus.ICE.LPG</t>
  </si>
  <si>
    <t>EMIint.gCO2_per_km.FI.Tr.Road.Passenger.Bus.ICE.NGas</t>
  </si>
  <si>
    <t>EMIint.gCO2_per_km.FI.Tr.Road.Passenger.Bus.ICE.BEV</t>
  </si>
  <si>
    <t>EMIint.gCO2_per_km.FI.Tr.Road.Freight</t>
  </si>
  <si>
    <t>EMIint.gCO2_per_km.FI.Tr.Road.Freight.LCV</t>
  </si>
  <si>
    <t>EMIint.gCO2_per_km.FI.Tr.Road.Freight.LCV.ICE.Gasoline</t>
  </si>
  <si>
    <t>EMIint.gCO2_per_km.FI.Tr.Road.Freight.LCV.ICE.Diesel</t>
  </si>
  <si>
    <t>EMIint.gCO2_per_km.FI.Tr.Road.Freight.LCV.ICE.LPG</t>
  </si>
  <si>
    <t>EMIint.gCO2_per_km.FI.Tr.Road.Freight.LCV.ICE.NGas</t>
  </si>
  <si>
    <t>EMIint.gCO2_per_km.FI.Tr.Road.Freight.LCV.ICE.BEV</t>
  </si>
  <si>
    <t>EMIint.gCO2_per_km.FI.Tr.Road.Freight.HGV</t>
  </si>
  <si>
    <t>EMIint.gCO2_per_km.FI.Tr.Road.Freight.HGV.Domestic</t>
  </si>
  <si>
    <t>EMIint.gCO2_per_km.FI.Tr.Road.Freight.HGV.International</t>
  </si>
  <si>
    <t>EMIint.gCO2_per_pkm.FI.Tr.Road.Passenger.Car.ICE.Gasoline</t>
  </si>
  <si>
    <t>EMIint.gCO2_per_pkm.FI.Tr.Road.Passenger.Car.ICE.Diesel</t>
  </si>
  <si>
    <t>EMIint.gCO2_per_pkm.FI.Tr.Road.Passenger.Car.ICE.LPG</t>
  </si>
  <si>
    <t>EMIint.gCO2_per_pkm.FI.Tr.Road.Passenger.Car.ICE.NGas</t>
  </si>
  <si>
    <t>EMIint.gCO2_per_pkm.FI.Tr.Road.Passenger.Car.PHEV</t>
  </si>
  <si>
    <t>EMIint.gCO2_per_pkm.FI.Tr.Road.Passenger.Car.BEV</t>
  </si>
  <si>
    <t>EMIint.gCO2_per_pkm.FI.Tr.Road.Passenger.Bus.ICE.Gasoline</t>
  </si>
  <si>
    <t>EMIint.gCO2_per_pkm.FI.Tr.Road.Passenger.Bus.ICE.Diesel</t>
  </si>
  <si>
    <t>EMIint.gCO2_per_pkm.FI.Tr.Road.Passenger.Bus.ICE.LPG</t>
  </si>
  <si>
    <t>EMIint.gCO2_per_pkm.FI.Tr.Road.Passenger.Bus.ICE.NGas</t>
  </si>
  <si>
    <t>EMIint.gCO2_per_pkm.FI.Tr.Road.Passenger.Bus.ICE.BEV</t>
  </si>
  <si>
    <t>EMIint.gCO2_per_tkm.FI.Tr.Road.Freight.LCV.ICE.Gasoline</t>
  </si>
  <si>
    <t>EMIint.gCO2_per_tkm.FI.Tr.Road.Freight.LCV.ICE.Diesel</t>
  </si>
  <si>
    <t>EMIint.gCO2_per_tkm.FI.Tr.Road.Freight.LCV.ICE.LPG</t>
  </si>
  <si>
    <t>EMIint.gCO2_per_tkm.FI.Tr.Road.Freight.LCV.ICE.NGas</t>
  </si>
  <si>
    <t>EMIint.gCO2_per_tkm.FI.Tr.Road.Freight.LCV.ICE.BEV</t>
  </si>
  <si>
    <t>EMIint.gCO2_per_tkm.FI.Tr.Road.Freight.HGV.Domestic</t>
  </si>
  <si>
    <t>EMIint.gCO2_per_tkm.FI.Tr.Road.Freight.HGV.International</t>
  </si>
  <si>
    <t>EMI_per_vehicle.kgCO2.FI.Tr.Road.Passenger.P2W</t>
  </si>
  <si>
    <t>EMI_per_vehicle.kgCO2.FI.Tr.Road.Passenger.Car</t>
  </si>
  <si>
    <t>EMI_per_vehicle.kgCO2.FI.Tr.Road.Passenger.Car.ICE.Gasoline</t>
  </si>
  <si>
    <t>EMI_per_vehicle.kgCO2.FI.Tr.Road.Passenger.Car.ICE.Diesel</t>
  </si>
  <si>
    <t>EMI_per_vehicle.kgCO2.FI.Tr.Road.Passenger.Car.ICE.LPG</t>
  </si>
  <si>
    <t>EMI_per_vehicle.kgCO2.FI.Tr.Road.Passenger.Car.ICE.NGas</t>
  </si>
  <si>
    <t>EMI_per_vehicle.kgCO2.FI.Tr.Road.Passenger.Car.PHEV</t>
  </si>
  <si>
    <t>EMI_per_vehicle.kgCO2.FI.Tr.Road.Passenger.Car.BEV</t>
  </si>
  <si>
    <t>EMI_per_vehicle.kgCO2.FI.Tr.Road.Passenger.Bus</t>
  </si>
  <si>
    <t>EMI_per_vehicle.kgCO2.FI.Tr.Road.Passenger.Bus.ICE.Gasoline</t>
  </si>
  <si>
    <t>EMI_per_vehicle.kgCO2.FI.Tr.Road.Passenger.Bus.ICE.Diesel</t>
  </si>
  <si>
    <t>EMI_per_vehicle.kgCO2.FI.Tr.Road.Passenger.Bus.ICE.LPG</t>
  </si>
  <si>
    <t>EMI_per_vehicle.kgCO2.FI.Tr.Road.Passenger.Bus.ICE.NGas</t>
  </si>
  <si>
    <t>EMI_per_vehicle.kgCO2.FI.Tr.Road.Passenger.Bus.ICE.BEV</t>
  </si>
  <si>
    <t>EMI_per_vehicle.kgCO2.FI.Tr.Road.Freight.LCV</t>
  </si>
  <si>
    <t>EMI_per_vehicle.kgCO2.FI.Tr.Road.Freight.LCV.ICE.Gasoline</t>
  </si>
  <si>
    <t>EMI_per_vehicle.kgCO2.FI.Tr.Road.Freight.LCV.ICE.Diesel</t>
  </si>
  <si>
    <t>EMI_per_vehicle.kgCO2.FI.Tr.Road.Freight.LCV.ICE.LPG</t>
  </si>
  <si>
    <t>EMI_per_vehicle.kgCO2.FI.Tr.Road.Freight.LCV.ICE.NGas</t>
  </si>
  <si>
    <t>EMI_per_vehicle.kgCO2.FI.Tr.Road.Freight.LCV.ICE.BEV</t>
  </si>
  <si>
    <t>EMI_per_vehicle.kgCO2.FI.Tr.Road.Freight.HGV</t>
  </si>
  <si>
    <t>EMI_per_vehicle.kgCO2.FI.Tr.Road.Freight.HGV.Domestic</t>
  </si>
  <si>
    <t>EMI_per_vehicle.kgCO2.FI.Tr.Road.Freight.HGV.International</t>
  </si>
  <si>
    <t>Road transport / technologies - FI - Finland</t>
  </si>
  <si>
    <t>StockVin.number.FI.Tr.Road</t>
  </si>
  <si>
    <t>StockVin.number.FI.Tr.Road.Passenger</t>
  </si>
  <si>
    <t>StockVin.number.FI.Tr.Road.Passenger.P2W</t>
  </si>
  <si>
    <t>StockVin.number.FI.Tr.Road.Passenger.Car</t>
  </si>
  <si>
    <t>StockVin.number.FI.Tr.Road.Passenger.Car.ICE.Gasoline</t>
  </si>
  <si>
    <t>StockVin.number.FI.Tr.Road.Passenger.Car.ICE.Diesel</t>
  </si>
  <si>
    <t>StockVin.number.FI.Tr.Road.Passenger.Car.ICE.LPG</t>
  </si>
  <si>
    <t>StockVin.number.FI.Tr.Road.Passenger.Car.ICE.NGas</t>
  </si>
  <si>
    <t>StockVin.number.FI.Tr.Road.Passenger.Car.PHEV</t>
  </si>
  <si>
    <t>StockVin.number.FI.Tr.Road.Passenger.Car.BEV</t>
  </si>
  <si>
    <t>StockVin.number.FI.Tr.Road.Passenger.Bus</t>
  </si>
  <si>
    <t>StockVin.number.FI.Tr.Road.Passenger.Bus.ICE.Gasoline</t>
  </si>
  <si>
    <t>StockVin.number.FI.Tr.Road.Passenger.Bus.ICE.Diesel</t>
  </si>
  <si>
    <t>StockVin.number.FI.Tr.Road.Passenger.Bus.ICE.LPG</t>
  </si>
  <si>
    <t>StockVin.number.FI.Tr.Road.Passenger.Bus.ICE.NGas</t>
  </si>
  <si>
    <t>StockVin.number.FI.Tr.Road.Passenger.Bus.ICE.BEV</t>
  </si>
  <si>
    <t>StockVin.number.FI.Tr.Road.Freight</t>
  </si>
  <si>
    <t>StockVin.number.FI.Tr.Road.Freight.LCV</t>
  </si>
  <si>
    <t>StockVin.number.FI.Tr.Road.Freight.LCV.ICE.Gasoline</t>
  </si>
  <si>
    <t>StockVin.number.FI.Tr.Road.Freight.LCV.ICE.Diesel</t>
  </si>
  <si>
    <t>StockVin.number.FI.Tr.Road.Freight.LCV.ICE.LPG</t>
  </si>
  <si>
    <t>StockVin.number.FI.Tr.Road.Freight.LCV.ICE.NGas</t>
  </si>
  <si>
    <t>StockVin.number.FI.Tr.Road.Freight.LCV.ICE.BEV</t>
  </si>
  <si>
    <t>StockVin.number.FI.Tr.Road.Freight.HGV</t>
  </si>
  <si>
    <t>StockVin.number.FI.Tr.Road.Freight.HGV.Domestic</t>
  </si>
  <si>
    <t>StockVin.number.FI.Tr.Road.Freight.HGV.International</t>
  </si>
  <si>
    <t>Eff_test_stock.kgoe_per_100km.FI.Tr.Road.Passenger.P2W</t>
  </si>
  <si>
    <t>Eff_test_stock.kgoe_per_100km.FI.Tr.Road.Passenger.Car</t>
  </si>
  <si>
    <t>Eff_test_stock.kgoe_per_100km.FI.Tr.Road.Passenger.Car.ICE.Gasoline</t>
  </si>
  <si>
    <t>Eff_test_stock.kgoe_per_100km.FI.Tr.Road.Passenger.Car.ICE.Diesel</t>
  </si>
  <si>
    <t>Eff_test_stock.kgoe_per_100km.FI.Tr.Road.Passenger.Car.ICE.LPG</t>
  </si>
  <si>
    <t>Eff_test_stock.kgoe_per_100km.FI.Tr.Road.Passenger.Car.ICE.NGas</t>
  </si>
  <si>
    <t>Eff_test_stock.kgoe_per_100km.FI.Tr.Road.Passenger.Car.PHEV</t>
  </si>
  <si>
    <t>Eff_test_stock.kgoe_per_100km.FI.Tr.Road.Passenger.Car.BEV</t>
  </si>
  <si>
    <t>Eff_test_stock.kgoe_per_100km.FI.Tr.Road.Passenger.Bus</t>
  </si>
  <si>
    <t>Eff_test_stock.kgoe_per_100km.FI.Tr.Road.Passenger.Bus.ICE.Gasoline</t>
  </si>
  <si>
    <t>Eff_test_stock.kgoe_per_100km.FI.Tr.Road.Passenger.Bus.ICE.Diesel</t>
  </si>
  <si>
    <t>Eff_test_stock.kgoe_per_100km.FI.Tr.Road.Passenger.Bus.ICE.LPG</t>
  </si>
  <si>
    <t>Eff_test_stock.kgoe_per_100km.FI.Tr.Road.Passenger.Bus.ICE.NGas</t>
  </si>
  <si>
    <t>Eff_test_stock.kgoe_per_100km.FI.Tr.Road.Passenger.Bus.ICE.BEV</t>
  </si>
  <si>
    <t>Eff_test_stock.kgoe_per_100km.FI.Tr.Road.Freight.LCV</t>
  </si>
  <si>
    <t>Eff_test_stock.kgoe_per_100km.FI.Tr.Road.Freight.LCV.ICE.Gasoline</t>
  </si>
  <si>
    <t>Eff_test_stock.kgoe_per_100km.FI.Tr.Road.Freight.LCV.ICE.Diesel</t>
  </si>
  <si>
    <t>Eff_test_stock.kgoe_per_100km.FI.Tr.Road.Freight.LCV.ICE.LPG</t>
  </si>
  <si>
    <t>Eff_test_stock.kgoe_per_100km.FI.Tr.Road.Freight.LCV.ICE.NGas</t>
  </si>
  <si>
    <t>Eff_test_stock.kgoe_per_100km.FI.Tr.Road.Freight.LCV.ICE.BEV</t>
  </si>
  <si>
    <t>Eff_test_stock.kgoe_per_100km.FI.Tr.Road.Freight.HGV</t>
  </si>
  <si>
    <t>Eff_test_stock.kgoe_per_100km.FI.Tr.Road.Freight.HGV.Domestic</t>
  </si>
  <si>
    <t>Eff_test_stock.kgoe_per_100km.FI.Tr.Road.Freight.HGV.International</t>
  </si>
  <si>
    <t>Eff_test_new.kgoe_per_100km.FI.Tr.Road.Passenger.P2W</t>
  </si>
  <si>
    <t>Eff_test_new.kgoe_per_100km.FI.Tr.Road.Passenger.Car</t>
  </si>
  <si>
    <t>Eff_test_new.kgoe_per_100km.FI.Tr.Road.Passenger.Car.ICE.Gasoline</t>
  </si>
  <si>
    <t>Eff_test_new.kgoe_per_100km.FI.Tr.Road.Passenger.Car.ICE.Diesel</t>
  </si>
  <si>
    <t>Eff_test_new.kgoe_per_100km.FI.Tr.Road.Passenger.Car.ICE.LPG</t>
  </si>
  <si>
    <t>Eff_test_new.kgoe_per_100km.FI.Tr.Road.Passenger.Car.ICE.NGas</t>
  </si>
  <si>
    <t>Eff_test_new.kgoe_per_100km.FI.Tr.Road.Passenger.Car.PHEV</t>
  </si>
  <si>
    <t>Eff_test_new.kgoe_per_100km.FI.Tr.Road.Passenger.Car.BEV</t>
  </si>
  <si>
    <t>Eff_test_new.kgoe_per_100km.FI.Tr.Road.Passenger.Bus</t>
  </si>
  <si>
    <t>Eff_test_new.kgoe_per_100km.FI.Tr.Road.Passenger.Bus.ICE.Gasoline</t>
  </si>
  <si>
    <t>Eff_test_new.kgoe_per_100km.FI.Tr.Road.Passenger.Bus.ICE.Diesel</t>
  </si>
  <si>
    <t>Eff_test_new.kgoe_per_100km.FI.Tr.Road.Passenger.Bus.ICE.LPG</t>
  </si>
  <si>
    <t>Eff_test_new.kgoe_per_100km.FI.Tr.Road.Passenger.Bus.ICE.NGas</t>
  </si>
  <si>
    <t>Eff_test_new.kgoe_per_100km.FI.Tr.Road.Passenger.Bus.ICE.BEV</t>
  </si>
  <si>
    <t>Eff_test_new.kgoe_per_100km.FI.Tr.Road.Freight.LCV</t>
  </si>
  <si>
    <t>Eff_test_new.kgoe_per_100km.FI.Tr.Road.Freight.LCV.ICE.Gasoline</t>
  </si>
  <si>
    <t>Eff_test_new.kgoe_per_100km.FI.Tr.Road.Freight.LCV.ICE.Diesel</t>
  </si>
  <si>
    <t>Eff_test_new.kgoe_per_100km.FI.Tr.Road.Freight.LCV.ICE.LPG</t>
  </si>
  <si>
    <t>Eff_test_new.kgoe_per_100km.FI.Tr.Road.Freight.LCV.ICE.NGas</t>
  </si>
  <si>
    <t>Eff_test_new.kgoe_per_100km.FI.Tr.Road.Freight.LCV.ICE.BEV</t>
  </si>
  <si>
    <t>Eff_test_new.kgoe_per_100km.FI.Tr.Road.Freight.HGV</t>
  </si>
  <si>
    <t>Eff_test_new.kgoe_per_100km.FI.Tr.Road.Freight.HGV.Domestic</t>
  </si>
  <si>
    <t>Eff_test_new.kgoe_per_100km.FI.Tr.Road.Freight.HGV.International</t>
  </si>
  <si>
    <t>EMIint_test_stock.gCO2_per_km.FI.Tr.Road.Passenger.P2W</t>
  </si>
  <si>
    <t>EMIint_test_stock.gCO2_per_km.FI.Tr.Road.Passenger.Car</t>
  </si>
  <si>
    <t>EMIint_test_stock.gCO2_per_km.FI.Tr.Road.Passenger.Car.ICE.Gasoline</t>
  </si>
  <si>
    <t>EMIint_test_stock.gCO2_per_km.FI.Tr.Road.Passenger.Car.ICE.Diesel</t>
  </si>
  <si>
    <t>EMIint_test_stock.gCO2_per_km.FI.Tr.Road.Passenger.Car.ICE.LPG</t>
  </si>
  <si>
    <t>EMIint_test_stock.gCO2_per_km.FI.Tr.Road.Passenger.Car.ICE.NGas</t>
  </si>
  <si>
    <t>EMIint_test_stock.gCO2_per_km.FI.Tr.Road.Passenger.Car.PHEV</t>
  </si>
  <si>
    <t>EMIint_test_stock.gCO2_per_km.FI.Tr.Road.Passenger.Car.BEV</t>
  </si>
  <si>
    <t>EMIint_test_stock.gCO2_per_km.FI.Tr.Road.Passenger.Bus</t>
  </si>
  <si>
    <t>EMIint_test_stock.gCO2_per_km.FI.Tr.Road.Passenger.Bus.ICE.Gasoline</t>
  </si>
  <si>
    <t>EMIint_test_stock.gCO2_per_km.FI.Tr.Road.Passenger.Bus.ICE.Diesel</t>
  </si>
  <si>
    <t>EMIint_test_stock.gCO2_per_km.FI.Tr.Road.Passenger.Bus.ICE.LPG</t>
  </si>
  <si>
    <t>EMIint_test_stock.gCO2_per_km.FI.Tr.Road.Passenger.Bus.ICE.NGas</t>
  </si>
  <si>
    <t>EMIint_test_stock.gCO2_per_km.FI.Tr.Road.Passenger.Bus.ICE.BEV</t>
  </si>
  <si>
    <t>EMIint_test_stock.gCO2_per_km.FI.Tr.Road.Freight.LCV</t>
  </si>
  <si>
    <t>EMIint_test_stock.gCO2_per_km.FI.Tr.Road.Freight.LCV.ICE.Gasoline</t>
  </si>
  <si>
    <t>EMIint_test_stock.gCO2_per_km.FI.Tr.Road.Freight.LCV.ICE.Diesel</t>
  </si>
  <si>
    <t>EMIint_test_stock.gCO2_per_km.FI.Tr.Road.Freight.LCV.ICE.LPG</t>
  </si>
  <si>
    <t>EMIint_test_stock.gCO2_per_km.FI.Tr.Road.Freight.LCV.ICE.NGas</t>
  </si>
  <si>
    <t>EMIint_test_stock.gCO2_per_km.FI.Tr.Road.Freight.LCV.ICE.BEV</t>
  </si>
  <si>
    <t>EMIint_test_stock.gCO2_per_km.FI.Tr.Road.Freight.HGV</t>
  </si>
  <si>
    <t>EMIint_test_stock.gCO2_per_km.FI.Tr.Road.Freight.HGV.Domestic</t>
  </si>
  <si>
    <t>EMIint_test_stock.gCO2_per_km.FI.Tr.Road.Freight.HGV.International</t>
  </si>
  <si>
    <t>EMIint_test_new.gCO2_per_km.FI.Tr.Road.Passenger.P2W</t>
  </si>
  <si>
    <t>EMIint_test_new.gCO2_per_km.FI.Tr.Road.Passenger.Car</t>
  </si>
  <si>
    <t>EMIint_test_new.gCO2_per_km.FI.Tr.Road.Passenger.Car.ICE.Gasoline</t>
  </si>
  <si>
    <t>EMIint_test_new.gCO2_per_km.FI.Tr.Road.Passenger.Car.ICE.Diesel</t>
  </si>
  <si>
    <t>EMIint_test_new.gCO2_per_km.FI.Tr.Road.Passenger.Car.ICE.LPG</t>
  </si>
  <si>
    <t>EMIint_test_new.gCO2_per_km.FI.Tr.Road.Passenger.Car.ICE.NGas</t>
  </si>
  <si>
    <t>EMIint_test_new.gCO2_per_km.FI.Tr.Road.Passenger.Car.PHEV</t>
  </si>
  <si>
    <t>EMIint_test_new.gCO2_per_km.FI.Tr.Road.Passenger.Car.BEV</t>
  </si>
  <si>
    <t>EMIint_test_new.gCO2_per_km.FI.Tr.Road.Passenger.Bus</t>
  </si>
  <si>
    <t>EMIint_test_new.gCO2_per_km.FI.Tr.Road.Passenger.Bus.ICE.Gasoline</t>
  </si>
  <si>
    <t>EMIint_test_new.gCO2_per_km.FI.Tr.Road.Passenger.Bus.ICE.Diesel</t>
  </si>
  <si>
    <t>EMIint_test_new.gCO2_per_km.FI.Tr.Road.Passenger.Bus.ICE.LPG</t>
  </si>
  <si>
    <t>EMIint_test_new.gCO2_per_km.FI.Tr.Road.Passenger.Bus.ICE.NGas</t>
  </si>
  <si>
    <t>EMIint_test_new.gCO2_per_km.FI.Tr.Road.Passenger.Bus.ICE.BEV</t>
  </si>
  <si>
    <t>EMIint_test_new.gCO2_per_km.FI.Tr.Road.Freight.LCV</t>
  </si>
  <si>
    <t>EMIint_test_new.gCO2_per_km.FI.Tr.Road.Freight.LCV.ICE.Gasoline</t>
  </si>
  <si>
    <t>EMIint_test_new.gCO2_per_km.FI.Tr.Road.Freight.LCV.ICE.Diesel</t>
  </si>
  <si>
    <t>EMIint_test_new.gCO2_per_km.FI.Tr.Road.Freight.LCV.ICE.LPG</t>
  </si>
  <si>
    <t>EMIint_test_new.gCO2_per_km.FI.Tr.Road.Freight.LCV.ICE.NGas</t>
  </si>
  <si>
    <t>EMIint_test_new.gCO2_per_km.FI.Tr.Road.Freight.LCV.ICE.BEV</t>
  </si>
  <si>
    <t>EMIint_test_new.gCO2_per_km.FI.Tr.Road.Freight.HGV</t>
  </si>
  <si>
    <t>EMIint_test_new.gCO2_per_km.FI.Tr.Road.Freight.HGV.Domestic</t>
  </si>
  <si>
    <t>EMIint_test_new.gCO2_per_km.FI.Tr.Road.Freight.HGV.International</t>
  </si>
  <si>
    <t>FEC.ktoe.FI.MBunk</t>
  </si>
  <si>
    <t>FEC.ktoe.FI.MBunk.IntraEEA</t>
  </si>
  <si>
    <t>FEC.ktoe.FI.MBunk.ExtraEEA</t>
  </si>
  <si>
    <t>EMI.ktCO2.FI.MBunk</t>
  </si>
  <si>
    <t>EMI.ktCO2.FI.MBunk.IntraEEA</t>
  </si>
  <si>
    <t>EMI.ktCO2.FI.MBunk.ExtraEEA</t>
  </si>
  <si>
    <t>International maritime bunkers - FI - Finland</t>
  </si>
  <si>
    <t>VehicleKm.Mkm.FI.MBunk.Freight</t>
  </si>
  <si>
    <t>VehicleKm.Mkm.FI.MBunk.Freight.IntraEEA</t>
  </si>
  <si>
    <t>VehicleKm.Mkm.FI.MBunk.Freight.ExtraEEA</t>
  </si>
  <si>
    <t>Load.t_per_movement.FI.MBunk.Freight</t>
  </si>
  <si>
    <t>Load.t_per_movement.FI.MBunk.Freight.IntraEEA</t>
  </si>
  <si>
    <t>Load.t_per_movement.FI.MBunk.Freight.ExtraEEA</t>
  </si>
  <si>
    <t>International maritime bunkers / energy consumption - FI - Finland</t>
  </si>
  <si>
    <t>FEC.ktoe.FI.ES.MBunk</t>
  </si>
  <si>
    <t>FEC.ktoe.FI.ES.MBunk.IntraEEA</t>
  </si>
  <si>
    <t>FEC.ktoe.FI.ES.MBunk.IntraEEA.Diesel</t>
  </si>
  <si>
    <t>FEC.ktoe.FI.ES.MBunk.IntraEEA.RFO_Other</t>
  </si>
  <si>
    <t>FEC.ktoe.FI.ES.MBunk.IntraEEA.LiqBio</t>
  </si>
  <si>
    <t>FEC.ktoe.FI.ES.MBunk.IntraEEA.NG</t>
  </si>
  <si>
    <t>FEC.ktoe.FI.ES.MBunk.IntraEEA.Biogas</t>
  </si>
  <si>
    <t>FEC.ktoe.FI.ES.MBunk.ExtraEEA</t>
  </si>
  <si>
    <t>FEC.ktoe.FI.ES.MBunk.ExtraEEA.Diesel</t>
  </si>
  <si>
    <t>FEC.ktoe.FI.ES.MBunk.ExtraEEA.RFO_Other</t>
  </si>
  <si>
    <t>FEC.ktoe.FI.ES.MBunk.ExtraEEA.LiqBio</t>
  </si>
  <si>
    <t>FEC.ktoe.FI.ES.MBunk.ExtraEEA.NG</t>
  </si>
  <si>
    <t>FEC.ktoe.FI.ES.MBunk.ExtraEEA.Biogas</t>
  </si>
  <si>
    <t>Eff.kgoe_per_100km.FI.MBunk.Freight</t>
  </si>
  <si>
    <t>Eff.kgoe_per_100km.FI.MBunk.Freight.IntraEEA</t>
  </si>
  <si>
    <t>Eff.kgoe_per_100km.FI.MBunk.Freight.ExtraEEA</t>
  </si>
  <si>
    <t>International maritime bunkers / CO2 emissions - FI - Finland</t>
  </si>
  <si>
    <t>EMI.ktCO2.FI.ES.MBunk</t>
  </si>
  <si>
    <t>EMI.ktCO2.FI.ES.MBunk.IntraEEA</t>
  </si>
  <si>
    <t>EMI.ktCO2.FI.ES.MBunk.ExtraEEA</t>
  </si>
  <si>
    <t>EMIint.gCO2_per_km.FI.MBunk.Freight</t>
  </si>
  <si>
    <t>EMIint.gCO2_per_km.FI.MBunk.Freight.IntraEEA</t>
  </si>
  <si>
    <t>EMIint.gCO2_per_km.FI.MBunk.Freight.ExtraEEA</t>
  </si>
  <si>
    <t>FEC.ktoe.FI.Tr.DNavi</t>
  </si>
  <si>
    <t>FEC.ktoe.FI.Tr.Dnavi.DCS</t>
  </si>
  <si>
    <t>FEC.ktoe.FI.Tr.Dnavi.IWW</t>
  </si>
  <si>
    <t>EMI.ktCO2.FI.Tr.DNavi</t>
  </si>
  <si>
    <t>EMI.ktCO2.FI.Tr.Dnavi.DCS</t>
  </si>
  <si>
    <t>EMI.ktCO2.FI.Tr.Dnavi.IWW</t>
  </si>
  <si>
    <t>Domestic navigation - FI - Finland</t>
  </si>
  <si>
    <t>VehicleKm.Mkm.FI.Tr.DNavi.Freight</t>
  </si>
  <si>
    <t>VehicleKm.Mkm.FI.Tr.DNavi.Freight.DCS</t>
  </si>
  <si>
    <t>VehicleKm.Mkm.FI.Tr.DNavi.Freight.IWW</t>
  </si>
  <si>
    <t>Load.t_per_movement.FI.Tr.DNavi.Freight</t>
  </si>
  <si>
    <t>Load.t_per_movement.FI.Tr.DNavi.Freight.DCS</t>
  </si>
  <si>
    <t>Load.t_per_movement.FI.Tr.DNavi.Freight.IWW</t>
  </si>
  <si>
    <t>Domestic navigation / energy consumption - FI - Finland</t>
  </si>
  <si>
    <t>FEC.ktoe.FI.ES.Tr.DNavi</t>
  </si>
  <si>
    <t>FEC.ktoe.FI.ES.Tr.DNavi.DCS</t>
  </si>
  <si>
    <t>FEC.ktoe.FI.ES.Tr.DNavi.DCS.Diesel</t>
  </si>
  <si>
    <t>FEC.ktoe.FI.ES.Tr.DNavi.DCS.RFO_Other</t>
  </si>
  <si>
    <t>FEC.ktoe.FI.ES.Tr.DNavi.DCS.LiqBio</t>
  </si>
  <si>
    <t>FEC.ktoe.FI.ES.Tr.DNavi.DCS.NG</t>
  </si>
  <si>
    <t>FEC.ktoe.FI.ES.Tr.DNavi.DCS.Biogas</t>
  </si>
  <si>
    <t>FEC.ktoe.FI.ES.Tr.DNavi.IWW</t>
  </si>
  <si>
    <t>FEC.ktoe.FI.ES.Tr.DNavi.IWW.Diesel</t>
  </si>
  <si>
    <t>FEC.ktoe.FI.ES.Tr.DNavi.IWW.RFO_Other</t>
  </si>
  <si>
    <t>FEC.ktoe.FI.ES.Tr.DNavi.IWW.LiqBio</t>
  </si>
  <si>
    <t>FEC.ktoe.FI.ES.Tr.DNavi.IWW.NG</t>
  </si>
  <si>
    <t>FEC.ktoe.FI.ES.Tr.DNavi.IWW.Biogas</t>
  </si>
  <si>
    <t>Eff.kgoe_per_100km.FI.Tr.DNavi.Freight</t>
  </si>
  <si>
    <t>Eff.kgoe_per_100km.FI.Tr.DNavi.Freight.DCS</t>
  </si>
  <si>
    <t>Eff.kgoe_per_100km.FI.Tr.DNavi.Freight.IWW</t>
  </si>
  <si>
    <t>Domestic navigation / CO2 emissions - FI - Finland</t>
  </si>
  <si>
    <t>EMI.ktCO2.FI.ES.Tr.DNavi</t>
  </si>
  <si>
    <t>EMI.ktCO2.FI.ES.Tr.DNavi.DCS</t>
  </si>
  <si>
    <t>EMI.ktCO2.FI.ES.Tr.DNavi.IWW</t>
  </si>
  <si>
    <t>EMIint.gCO2_per_km.FI.Tr.DNavi.Freight</t>
  </si>
  <si>
    <t>EMIint.gCO2_per_km.FI.Tr.DNavi.Freight.DCS</t>
  </si>
  <si>
    <t>EMIint.gCO2_per_km.FI.Tr.DNavi.Freight.IWW</t>
  </si>
  <si>
    <t>Rail, metro and tram - FI - Finland</t>
  </si>
  <si>
    <t>Activity.Mpkm.FI.Tr.Rail.Passenger.CPT.Diesel</t>
  </si>
  <si>
    <t>Activity.Mpkm.FI.Tr.Rail.Passenger.CPT.Elc</t>
  </si>
  <si>
    <t>Activity.Mtkm.FI.Tr.Rail.Freight.Diesel</t>
  </si>
  <si>
    <t>Activity.Mtkm.FI.Tr.Rail.Freight.Elc</t>
  </si>
  <si>
    <t>VehicleKm.Mkm.FI.Tr.Rail</t>
  </si>
  <si>
    <t>VehicleKm.Mkm.FI.Tr.Rail.Passenger</t>
  </si>
  <si>
    <t>VehicleKm.Mkm.FI.Tr.Rail.Passenger.MTU</t>
  </si>
  <si>
    <t>VehicleKm.Mkm.FI.Tr.Rail.Passenger.CPT</t>
  </si>
  <si>
    <t>VehicleKm.Mkm.FI.Tr.Rail.Passenger.CPT.Diesel</t>
  </si>
  <si>
    <t>VehicleKm.Mkm.FI.Tr.Rail.Passenger.CPT.Elc</t>
  </si>
  <si>
    <t>VehicleKm.Mkm.FI.Tr.Rail.Passenger.HST</t>
  </si>
  <si>
    <t>VehicleKm.Mkm.FI.Tr.Rail.Freight</t>
  </si>
  <si>
    <t>VehicleKm.Mkm.FI.Tr.Rail.Freight.Diesel</t>
  </si>
  <si>
    <t>VehicleKm.Mkm.FI.Tr.Rail.Freight.Elc</t>
  </si>
  <si>
    <t>Stock.number.FI.Tr.Rail</t>
  </si>
  <si>
    <t>Stock.number.FI.Tr.Rail.Passenger</t>
  </si>
  <si>
    <t>Stock.number.FI.Tr.Rail.Passenger.MTU</t>
  </si>
  <si>
    <t>Stock.number.FI.Tr.Rail.Passenger.CPT</t>
  </si>
  <si>
    <t>Stock.number.FI.Tr.Rail.Passenger.CPT.Diesel</t>
  </si>
  <si>
    <t>Stock.number.FI.Tr.Rail.Passenger.CPT.Elc</t>
  </si>
  <si>
    <t>Stock.number.FI.Tr.Rail.Passenger.HST</t>
  </si>
  <si>
    <t>Stock.number.FI.Tr.Rail.Freight</t>
  </si>
  <si>
    <t>Stock.number.FI.Tr.Rail.Freight.Diesel</t>
  </si>
  <si>
    <t>Stock.number.FI.Tr.Rail.Freight.Elc</t>
  </si>
  <si>
    <t>StockNew.number.FI.Tr.Rail</t>
  </si>
  <si>
    <t>StockNew.number.FI.Tr.Rail.Passenger</t>
  </si>
  <si>
    <t>StockNew.number.FI.Tr.Rail.Passenger.MTU</t>
  </si>
  <si>
    <t>StockNew.number.FI.Tr.Rail.Passenger.CPT</t>
  </si>
  <si>
    <t>StockNew.number.FI.Tr.Rail.Passenger.CPT.Diesel</t>
  </si>
  <si>
    <t>StockNew.number.FI.Tr.Rail.Passenger.CPT.Elc</t>
  </si>
  <si>
    <t>StockNew.number.FI.Tr.Rail.Passenger.HST</t>
  </si>
  <si>
    <t>StockNew.number.FI.Tr.Rail.Freight</t>
  </si>
  <si>
    <t>StockNew.number.FI.Tr.Rail.Freight.Diesel</t>
  </si>
  <si>
    <t>StockNew.number.FI.Tr.Rail.Freight.Elc</t>
  </si>
  <si>
    <t>Load.passenger_per_movement.FI.Tr.Rail.Passenger</t>
  </si>
  <si>
    <t>Load.passenger_per_movement.FI.Tr.Rail.Passenger.MTU</t>
  </si>
  <si>
    <t>Load.passenger_per_movement.FI.Tr.Rail.Passenger.CPT</t>
  </si>
  <si>
    <t>Load.passenger_per_movement.FI.Tr.Rail.Passenger.CPT.Diesel</t>
  </si>
  <si>
    <t>Load.passenger_per_movement.FI.Tr.Rail.Passenger.CPT.Elc</t>
  </si>
  <si>
    <t>Load.passenger_per_movement.FI.Tr.Rail.Passenger.HST</t>
  </si>
  <si>
    <t>Load.t_per_movement.FI.Tr.Rail.Freight</t>
  </si>
  <si>
    <t>Load.t_per_movement.FI.Tr.Rail.Freight.Diesel</t>
  </si>
  <si>
    <t>Load.t_per_movement.FI.Tr.Rail.Freight.Elc</t>
  </si>
  <si>
    <t>TrCap.seats.FI.Tr.Rail.Passenger</t>
  </si>
  <si>
    <t>TrCap.seats.FI.Tr.Rail.Passenger.MTU</t>
  </si>
  <si>
    <t>TrCap.seats.FI.Tr.Rail.Passenger.CPT</t>
  </si>
  <si>
    <t>TrCap.seats.FI.Tr.Rail.Passenger.CPT.Diesel</t>
  </si>
  <si>
    <t>TrCap.seats.FI.Tr.Rail.Passenger.CPT.Elc</t>
  </si>
  <si>
    <t>TrCap.seats.FI.Tr.Rail.Passenger.HST</t>
  </si>
  <si>
    <t>TrCap.t.FI.Tr.Rail.Freight</t>
  </si>
  <si>
    <t>TrCap.t.FI.Tr.Rail.Freight.Diesel</t>
  </si>
  <si>
    <t>TrCap.t.FI.Tr.Rail.Freight.Elc</t>
  </si>
  <si>
    <t>VehicleKm_per_vehicle.km.FI.Tr.Rail</t>
  </si>
  <si>
    <t>VehicleKm_per_vehicle.km.FI.Tr.Rail.Passenger</t>
  </si>
  <si>
    <t>VehicleKm_per_vehicle.km.FI.Tr.Rail.Passenger.MTU</t>
  </si>
  <si>
    <t>VehicleKm_per_vehicle.km.FI.Tr.Rail.Passenger.CPT</t>
  </si>
  <si>
    <t>VehicleKm_per_vehicle.km.FI.Tr.Rail.Passenger.CPT.Diesel</t>
  </si>
  <si>
    <t>VehicleKm_per_vehicle.km.FI.Tr.Rail.Passenger.CPT.Elc</t>
  </si>
  <si>
    <t>VehicleKm_per_vehicle.km.FI.Tr.Rail.Passenger.HST</t>
  </si>
  <si>
    <t>VehicleKm_per_vehicle.km.FI.Tr.Rail.Freight</t>
  </si>
  <si>
    <t>VehicleKm_per_vehicle.km.FI.Tr.Rail.Freight.Diesel</t>
  </si>
  <si>
    <t>VehicleKm_per_vehicle.km.FI.Tr.Rail.Freight.Elc</t>
  </si>
  <si>
    <t>Activity_per_vehicle.pkm.FI.Tr.Rail.Passenger</t>
  </si>
  <si>
    <t>Activity_per_vehicle.pkm.FI.Tr.Rail.Passenger.MTU</t>
  </si>
  <si>
    <t>Activity_per_vehicle.pkm.FI.Tr.Rail.Passenger.CPT</t>
  </si>
  <si>
    <t>Activity_per_vehicle.pkm.FI.Tr.Rail.Passenger.CPT.Diesel</t>
  </si>
  <si>
    <t>Activity_per_vehicle.pkm.FI.Tr.Rail.Passenger.CPT.Elc</t>
  </si>
  <si>
    <t>Activity_per_vehicle.pkm.FI.Tr.Rail.Passenger.HST</t>
  </si>
  <si>
    <t>Activity_per_vehicle.tkm.FI.Tr.Rail.Freight</t>
  </si>
  <si>
    <t>Activity_per_vehicle.tkm.FI.Tr.Rail.Freight.Diesel</t>
  </si>
  <si>
    <t>Activity_per_vehicle.tkm.FI.Tr.Rail.Freight.Elc</t>
  </si>
  <si>
    <t>Rail, metro and tram / energy consumption - FI - Finland</t>
  </si>
  <si>
    <t>FEC.ktoe.FI.ES.Tr.Rail</t>
  </si>
  <si>
    <t>FEC.ktoe.FI.ES.Tr.Rail.Diesel</t>
  </si>
  <si>
    <t>FEC.ktoe.FI.ES.Tr.Rail.LiqBio</t>
  </si>
  <si>
    <t>FEC.ktoe.FI.ES.Tr.Rail.Elec</t>
  </si>
  <si>
    <t>FEC.ktoe.FI.Tr.Rail</t>
  </si>
  <si>
    <t>FEC.ktoe.FI.Tr.Rail.Passenger.CPT.Diesel</t>
  </si>
  <si>
    <t>FEC.ktoe.FI.Tr.Rail.Passenger.CPT.Elc</t>
  </si>
  <si>
    <t>FEC.ktoe.FI.Tr.Rail.Freight.Diesel</t>
  </si>
  <si>
    <t>FEC.ktoe.FI.Tr.Rail.Freight.Elc</t>
  </si>
  <si>
    <t>Eff.kgoe_per_100km.FI.Tr.Rail</t>
  </si>
  <si>
    <t>Eff.kgoe_per_100km.FI.Tr.Rail.Passenger</t>
  </si>
  <si>
    <t>Eff.kgoe_per_100km.FI.Tr.Rail.Passenger.MTU</t>
  </si>
  <si>
    <t>Eff.kgoe_per_100km.FI.Tr.Rail.Passenger.CPT</t>
  </si>
  <si>
    <t>Eff.kgoe_per_100km.FI.Tr.Rail.Passenger.CPT.Diesel</t>
  </si>
  <si>
    <t>Eff.kgoe_per_100km.FI.Tr.Rail.Passenger.CPT.Elc</t>
  </si>
  <si>
    <t>Eff.kgoe_per_100km.FI.Tr.Rail.Passenger.HST</t>
  </si>
  <si>
    <t>Eff.kgoe_per_100km.FI.Tr.Rail.Freight</t>
  </si>
  <si>
    <t>Eff.kgoe_per_100km.FI.Tr.Rail.Freight.Diesel</t>
  </si>
  <si>
    <t>Eff.kgoe_per_100km.FI.Tr.Rail.Freight.Elc</t>
  </si>
  <si>
    <t>Eff.kgoe_per_kpkm.FI.Tr.Rail.Passenger.CPT.Diesel</t>
  </si>
  <si>
    <t>Eff.kgoe_per_kpkm.FI.Tr.Rail.Passenger.CPT.Elc</t>
  </si>
  <si>
    <t>Eff.kgoe_per_ktkm.FI.Tr.Rail.Freight.Diesel</t>
  </si>
  <si>
    <t>Eff.kgoe_per_ktkm.FI.Tr.Rail.Freight.Elc</t>
  </si>
  <si>
    <t>FEC_per_vehicle.kgoe.FI.Tr.Rail</t>
  </si>
  <si>
    <t>FEC_per_vehicle.kgoe.FI.Tr.Rail.Passenger</t>
  </si>
  <si>
    <t>FEC_per_vehicle.kgoe.FI.Tr.Rail.Passenger.MTU</t>
  </si>
  <si>
    <t>FEC_per_vehicle.kgoe.FI.Tr.Rail.Passenger.CPT</t>
  </si>
  <si>
    <t>FEC_per_vehicle.kgoe.FI.Tr.Rail.Passenger.CPT.Diesel</t>
  </si>
  <si>
    <t>FEC_per_vehicle.kgoe.FI.Tr.Rail.Passenger.CPT.Elc</t>
  </si>
  <si>
    <t>FEC_per_vehicle.kgoe.FI.Tr.Rail.Passenger.HST</t>
  </si>
  <si>
    <t>FEC_per_vehicle.kgoe.FI.Tr.Rail.Freight</t>
  </si>
  <si>
    <t>FEC_per_vehicle.kgoe.FI.Tr.Rail.Freight.Diesel</t>
  </si>
  <si>
    <t>FEC_per_vehicle.kgoe.FI.Tr.Rail.Freight.Elc</t>
  </si>
  <si>
    <t>Rail, metro and tram / CO2 emissions - FI - Finland</t>
  </si>
  <si>
    <t>EMI.ktCO2.FI.ES.Tr.Rail</t>
  </si>
  <si>
    <t>EMI.ktCO2.FI.ES.Tr.Rail.Diesel</t>
  </si>
  <si>
    <t>EMI.ktCO2.FI.ES.Tr.Rail.Elec</t>
  </si>
  <si>
    <t>EMI.ktCO2.FI.Tr.Rail</t>
  </si>
  <si>
    <t>EMI.ktCO2.FI.Tr.Rail.Passenger.CPT.Diesel</t>
  </si>
  <si>
    <t>EMI.ktCO2.FI.Tr.Rail.Passenger.CPT.Elc</t>
  </si>
  <si>
    <t>EMI.ktCO2.FI.Tr.Rail.Freight.Diesel</t>
  </si>
  <si>
    <t>EMI.ktCO2.FI.Tr.Rail.Freight.Elc</t>
  </si>
  <si>
    <t>EMIint.gCO2_per_km.FI.Tr.Rail</t>
  </si>
  <si>
    <t>EMIint.gCO2_per_km.FI.Tr.Rail.Passenger</t>
  </si>
  <si>
    <t>EMIint.gCO2_per_km.FI.Tr.Rail.Passenger.MTU</t>
  </si>
  <si>
    <t>EMIint.gCO2_per_km.FI.Tr.Rail.Passenger.CPT</t>
  </si>
  <si>
    <t>EMIint.gCO2_per_km.FI.Tr.Rail.Passenger.CPT.Diesel</t>
  </si>
  <si>
    <t>EMIint.gCO2_per_km.FI.Tr.Rail.Passenger.CPT.Elc</t>
  </si>
  <si>
    <t>EMIint.gCO2_per_km.FI.Tr.Rail.Passenger.HST</t>
  </si>
  <si>
    <t>EMIint.gCO2_per_km.FI.Tr.Rail.Freight</t>
  </si>
  <si>
    <t>EMIint.gCO2_per_km.FI.Tr.Rail.Freight.Diesel</t>
  </si>
  <si>
    <t>EMIint.gCO2_per_km.FI.Tr.Rail.Freight.Elc</t>
  </si>
  <si>
    <t>EMIint.gCO2_per_pkm.FI.Tr.Rail.Passenger.CPT.Diesel</t>
  </si>
  <si>
    <t>EMIint.gCO2_per_pkm.FI.Tr.Rail.Passenger.CPT.Elc</t>
  </si>
  <si>
    <t>EMIint.gCO2_per_tkm.FI.Tr.Rail.Freight.Diesel</t>
  </si>
  <si>
    <t>EMIint.gCO2_per_tkm.FI.Tr.Rail.Freight.Elc</t>
  </si>
  <si>
    <t>EMI_per_vehicle.tCO2.FI.Tr.Rail</t>
  </si>
  <si>
    <t>EMI_per_vehicle.tCO2.FI.Tr.Rail.Passenger</t>
  </si>
  <si>
    <t>EMI_per_vehicle.tCO2.FI.Tr.Rail.Passenger.MTU</t>
  </si>
  <si>
    <t>EMI_per_vehicle.tCO2.FI.Tr.Rail.Passenger.CPT</t>
  </si>
  <si>
    <t>EMI_per_vehicle.tCO2.FI.Tr.Rail.Passenger.CPT.Diesel</t>
  </si>
  <si>
    <t>EMI_per_vehicle.tCO2.FI.Tr.Rail.Passenger.CPT.Elc</t>
  </si>
  <si>
    <t>EMI_per_vehicle.tCO2.FI.Tr.Rail.Passenger.HST</t>
  </si>
  <si>
    <t>EMI_per_vehicle.tCO2.FI.Tr.Rail.Freight</t>
  </si>
  <si>
    <t>EMI_per_vehicle.tCO2.FI.Tr.Rail.Freight.Diesel</t>
  </si>
  <si>
    <t>EMI_per_vehicle.tCO2.FI.Tr.Rail.Freight.Elc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</si>
</sst>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45432.784861111111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78558.873545795039</v>
      </c>
      <c r="C4" s="28">
        <f t="shared" si="0"/>
        <v>79798.278204741699</v>
      </c>
      <c r="D4" s="28">
        <f t="shared" si="0"/>
        <v>80972.550304034085</v>
      </c>
      <c r="E4" s="28">
        <f t="shared" si="0"/>
        <v>82135.104722905118</v>
      </c>
      <c r="F4" s="28">
        <f t="shared" si="0"/>
        <v>84795.254235634886</v>
      </c>
      <c r="G4" s="28">
        <f t="shared" si="0"/>
        <v>86782.995198877892</v>
      </c>
      <c r="H4" s="28">
        <f t="shared" si="0"/>
        <v>88645.767219894595</v>
      </c>
      <c r="I4" s="28">
        <f t="shared" si="0"/>
        <v>92385.598999931841</v>
      </c>
      <c r="J4" s="28">
        <f t="shared" si="0"/>
        <v>92903.493395107304</v>
      </c>
      <c r="K4" s="28">
        <f t="shared" si="0"/>
        <v>92859.838443012719</v>
      </c>
      <c r="L4" s="28">
        <f t="shared" si="0"/>
        <v>94497.414391733095</v>
      </c>
      <c r="M4" s="28">
        <f t="shared" si="0"/>
        <v>97576.697936845856</v>
      </c>
      <c r="N4" s="28">
        <f t="shared" si="0"/>
        <v>98355.96820727762</v>
      </c>
      <c r="O4" s="28">
        <f t="shared" si="0"/>
        <v>98553.171012164428</v>
      </c>
      <c r="P4" s="28">
        <f t="shared" si="0"/>
        <v>99510.35804397444</v>
      </c>
      <c r="Q4" s="28">
        <f t="shared" si="0"/>
        <v>100398.74451319783</v>
      </c>
      <c r="R4" s="28">
        <f t="shared" ref="R4:V4" si="1">R5+R9+R13</f>
        <v>92578.941075828756</v>
      </c>
      <c r="S4" s="28">
        <f t="shared" si="1"/>
        <v>105727.73798346861</v>
      </c>
      <c r="T4" s="28">
        <f t="shared" si="1"/>
        <v>108778.47681285105</v>
      </c>
      <c r="U4" s="28">
        <f t="shared" si="1"/>
        <v>111161.18247813574</v>
      </c>
      <c r="V4" s="28">
        <f t="shared" si="1"/>
        <v>82366.371671500005</v>
      </c>
      <c r="W4" s="28">
        <f t="shared" ref="W4" si="2">W5+W9+W13</f>
        <v>78885.52614872306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64303.87177540797</v>
      </c>
      <c r="C5" s="137">
        <f t="shared" si="3"/>
        <v>65603.854438941315</v>
      </c>
      <c r="D5" s="137">
        <f t="shared" si="3"/>
        <v>66903.697382352315</v>
      </c>
      <c r="E5" s="137">
        <f t="shared" si="3"/>
        <v>68164.076907720009</v>
      </c>
      <c r="F5" s="137">
        <f t="shared" si="3"/>
        <v>69449.197980074779</v>
      </c>
      <c r="G5" s="137">
        <f t="shared" si="3"/>
        <v>70353.379204750439</v>
      </c>
      <c r="H5" s="137">
        <f t="shared" si="3"/>
        <v>70898.631197742623</v>
      </c>
      <c r="I5" s="137">
        <f t="shared" si="3"/>
        <v>72230.081587303284</v>
      </c>
      <c r="J5" s="137">
        <f t="shared" si="3"/>
        <v>71845.557909925425</v>
      </c>
      <c r="K5" s="137">
        <f t="shared" si="3"/>
        <v>72775.992478810906</v>
      </c>
      <c r="L5" s="137">
        <f t="shared" si="3"/>
        <v>73490.914655306537</v>
      </c>
      <c r="M5" s="137">
        <f t="shared" si="3"/>
        <v>74234.85827140999</v>
      </c>
      <c r="N5" s="137">
        <f t="shared" si="3"/>
        <v>74007.42213014602</v>
      </c>
      <c r="O5" s="137">
        <f t="shared" si="3"/>
        <v>73851.806130935103</v>
      </c>
      <c r="P5" s="137">
        <f t="shared" si="3"/>
        <v>74259.404729284754</v>
      </c>
      <c r="Q5" s="137">
        <f t="shared" si="3"/>
        <v>75036.477690338012</v>
      </c>
      <c r="R5" s="137">
        <f t="shared" ref="R5:V5" si="4">R6+R7+R8</f>
        <v>66494.441577760328</v>
      </c>
      <c r="S5" s="137">
        <f t="shared" si="4"/>
        <v>76005.271439358563</v>
      </c>
      <c r="T5" s="137">
        <f t="shared" si="4"/>
        <v>75908.783228423534</v>
      </c>
      <c r="U5" s="137">
        <f t="shared" si="4"/>
        <v>75877.341196882975</v>
      </c>
      <c r="V5" s="137">
        <f t="shared" si="4"/>
        <v>71953.256594355524</v>
      </c>
      <c r="W5" s="137">
        <f t="shared" ref="W5" si="5">W6+W7+W8</f>
        <v>70692.084308262201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903.87177540797063</v>
      </c>
      <c r="C6" s="102">
        <f>TrRoad_act!C$5</f>
        <v>903.85443894131504</v>
      </c>
      <c r="D6" s="102">
        <f>TrRoad_act!D$5</f>
        <v>903.69738235231659</v>
      </c>
      <c r="E6" s="102">
        <f>TrRoad_act!E$5</f>
        <v>904.07690772001251</v>
      </c>
      <c r="F6" s="102">
        <f>TrRoad_act!F$5</f>
        <v>904.19798007477993</v>
      </c>
      <c r="G6" s="102">
        <f>TrRoad_act!G$5</f>
        <v>903.37920475043768</v>
      </c>
      <c r="H6" s="102">
        <f>TrRoad_act!H$5</f>
        <v>903.63119774261611</v>
      </c>
      <c r="I6" s="102">
        <f>TrRoad_act!I$5</f>
        <v>905.08158730327932</v>
      </c>
      <c r="J6" s="102">
        <f>TrRoad_act!J$5</f>
        <v>905.55790992542154</v>
      </c>
      <c r="K6" s="102">
        <f>TrRoad_act!K$5</f>
        <v>905.9924788108948</v>
      </c>
      <c r="L6" s="102">
        <f>TrRoad_act!L$5</f>
        <v>1205.9146553065257</v>
      </c>
      <c r="M6" s="102">
        <f>TrRoad_act!M$5</f>
        <v>1204.8582714100037</v>
      </c>
      <c r="N6" s="102">
        <f>TrRoad_act!N$5</f>
        <v>1197.4221301460343</v>
      </c>
      <c r="O6" s="102">
        <f>TrRoad_act!O$5</f>
        <v>1196.8061309351144</v>
      </c>
      <c r="P6" s="102">
        <f>TrRoad_act!P$5</f>
        <v>1199.4047292847665</v>
      </c>
      <c r="Q6" s="102">
        <f>TrRoad_act!Q$5</f>
        <v>1201.4776903379959</v>
      </c>
      <c r="R6" s="102">
        <f>TrRoad_act!R$5</f>
        <v>1233.4415777603367</v>
      </c>
      <c r="S6" s="102">
        <f>TrRoad_act!S$5</f>
        <v>1164.2714393585809</v>
      </c>
      <c r="T6" s="102">
        <f>TrRoad_act!T$5</f>
        <v>1108.7832284235301</v>
      </c>
      <c r="U6" s="102">
        <f>TrRoad_act!U$5</f>
        <v>1177.3411968829937</v>
      </c>
      <c r="V6" s="102">
        <f>TrRoad_act!V$5</f>
        <v>1053.2565943555398</v>
      </c>
      <c r="W6" s="102">
        <f>TrRoad_act!W$5</f>
        <v>1092.0843082622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55700</v>
      </c>
      <c r="C7" s="102">
        <f>TrRoad_act!C$6</f>
        <v>57000</v>
      </c>
      <c r="D7" s="102">
        <f>TrRoad_act!D$6</f>
        <v>58300</v>
      </c>
      <c r="E7" s="102">
        <f>TrRoad_act!E$6</f>
        <v>59590</v>
      </c>
      <c r="F7" s="102">
        <f>TrRoad_act!F$6</f>
        <v>60940</v>
      </c>
      <c r="G7" s="102">
        <f>TrRoad_act!G$6</f>
        <v>61910</v>
      </c>
      <c r="H7" s="102">
        <f>TrRoad_act!H$6</f>
        <v>62455</v>
      </c>
      <c r="I7" s="102">
        <f>TrRoad_act!I$6</f>
        <v>63785</v>
      </c>
      <c r="J7" s="102">
        <f>TrRoad_act!J$6</f>
        <v>63400</v>
      </c>
      <c r="K7" s="102">
        <f>TrRoad_act!K$6</f>
        <v>64330</v>
      </c>
      <c r="L7" s="102">
        <f>TrRoad_act!L$6</f>
        <v>64745.000000000007</v>
      </c>
      <c r="M7" s="102">
        <f>TrRoad_act!M$6</f>
        <v>65489.999999999993</v>
      </c>
      <c r="N7" s="102">
        <f>TrRoad_act!N$6</f>
        <v>65269.999999999993</v>
      </c>
      <c r="O7" s="102">
        <f>TrRoad_act!O$6</f>
        <v>65114.999999999993</v>
      </c>
      <c r="P7" s="102">
        <f>TrRoad_act!P$6</f>
        <v>65519.999999999993</v>
      </c>
      <c r="Q7" s="102">
        <f>TrRoad_act!Q$6</f>
        <v>66295.000000000015</v>
      </c>
      <c r="R7" s="102">
        <f>TrRoad_act!R$6</f>
        <v>57005.999999999993</v>
      </c>
      <c r="S7" s="102">
        <f>TrRoad_act!S$6</f>
        <v>66606.999999999985</v>
      </c>
      <c r="T7" s="102">
        <f>TrRoad_act!T$6</f>
        <v>66800</v>
      </c>
      <c r="U7" s="102">
        <f>TrRoad_act!U$6</f>
        <v>66799.999999999985</v>
      </c>
      <c r="V7" s="102">
        <f>TrRoad_act!V$6</f>
        <v>64099.999999999993</v>
      </c>
      <c r="W7" s="102">
        <f>TrRoad_act!W$6</f>
        <v>63600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7700.0000000000009</v>
      </c>
      <c r="C8" s="102">
        <f>TrRoad_act!C$13</f>
        <v>7700.0000000000009</v>
      </c>
      <c r="D8" s="102">
        <f>TrRoad_act!D$13</f>
        <v>7700.0000000000009</v>
      </c>
      <c r="E8" s="102">
        <f>TrRoad_act!E$13</f>
        <v>7670</v>
      </c>
      <c r="F8" s="102">
        <f>TrRoad_act!F$13</f>
        <v>7605</v>
      </c>
      <c r="G8" s="102">
        <f>TrRoad_act!G$13</f>
        <v>7540</v>
      </c>
      <c r="H8" s="102">
        <f>TrRoad_act!H$13</f>
        <v>7540</v>
      </c>
      <c r="I8" s="102">
        <f>TrRoad_act!I$13</f>
        <v>7540</v>
      </c>
      <c r="J8" s="102">
        <f>TrRoad_act!J$13</f>
        <v>7540.0000000000009</v>
      </c>
      <c r="K8" s="102">
        <f>TrRoad_act!K$13</f>
        <v>7540.0000000000009</v>
      </c>
      <c r="L8" s="102">
        <f>TrRoad_act!L$13</f>
        <v>7539.9999999999991</v>
      </c>
      <c r="M8" s="102">
        <f>TrRoad_act!M$13</f>
        <v>7540</v>
      </c>
      <c r="N8" s="102">
        <f>TrRoad_act!N$13</f>
        <v>7539.9999999999991</v>
      </c>
      <c r="O8" s="102">
        <f>TrRoad_act!O$13</f>
        <v>7540</v>
      </c>
      <c r="P8" s="102">
        <f>TrRoad_act!P$13</f>
        <v>7539.9999999999991</v>
      </c>
      <c r="Q8" s="102">
        <f>TrRoad_act!Q$13</f>
        <v>7540</v>
      </c>
      <c r="R8" s="102">
        <f>TrRoad_act!R$13</f>
        <v>8255</v>
      </c>
      <c r="S8" s="102">
        <f>TrRoad_act!S$13</f>
        <v>8234</v>
      </c>
      <c r="T8" s="102">
        <f>TrRoad_act!T$13</f>
        <v>7999.9999999999991</v>
      </c>
      <c r="U8" s="102">
        <f>TrRoad_act!U$13</f>
        <v>7900.0000000000009</v>
      </c>
      <c r="V8" s="102">
        <f>TrRoad_act!V$13</f>
        <v>6799.9999999999991</v>
      </c>
      <c r="W8" s="102">
        <f>TrRoad_act!W$13</f>
        <v>6000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3902</v>
      </c>
      <c r="C9" s="110">
        <f t="shared" si="6"/>
        <v>3786.6</v>
      </c>
      <c r="D9" s="110">
        <f t="shared" si="6"/>
        <v>3835.5</v>
      </c>
      <c r="E9" s="110">
        <f t="shared" si="6"/>
        <v>3860.3</v>
      </c>
      <c r="F9" s="110">
        <f t="shared" si="6"/>
        <v>3875</v>
      </c>
      <c r="G9" s="110">
        <f t="shared" si="6"/>
        <v>4004</v>
      </c>
      <c r="H9" s="110">
        <f t="shared" si="6"/>
        <v>4064</v>
      </c>
      <c r="I9" s="110">
        <f t="shared" si="6"/>
        <v>4298</v>
      </c>
      <c r="J9" s="110">
        <f t="shared" si="6"/>
        <v>4584</v>
      </c>
      <c r="K9" s="110">
        <f t="shared" si="6"/>
        <v>4408</v>
      </c>
      <c r="L9" s="110">
        <f t="shared" si="6"/>
        <v>4489</v>
      </c>
      <c r="M9" s="110">
        <f t="shared" si="6"/>
        <v>4397</v>
      </c>
      <c r="N9" s="110">
        <f t="shared" si="6"/>
        <v>4561</v>
      </c>
      <c r="O9" s="110">
        <f t="shared" si="6"/>
        <v>4578</v>
      </c>
      <c r="P9" s="110">
        <f t="shared" si="6"/>
        <v>4387.6439267886853</v>
      </c>
      <c r="Q9" s="110">
        <f t="shared" si="6"/>
        <v>4629.8277870216307</v>
      </c>
      <c r="R9" s="110">
        <f t="shared" ref="R9:V9" si="7">R10+R11+R12</f>
        <v>4395.1838602329453</v>
      </c>
      <c r="S9" s="110">
        <f t="shared" si="7"/>
        <v>4828.7579034941764</v>
      </c>
      <c r="T9" s="110">
        <f t="shared" si="7"/>
        <v>5189.7212978369389</v>
      </c>
      <c r="U9" s="110">
        <f t="shared" si="7"/>
        <v>5576.5374376039936</v>
      </c>
      <c r="V9" s="110">
        <f t="shared" si="7"/>
        <v>3381.6777943933107</v>
      </c>
      <c r="W9" s="110">
        <f t="shared" ref="W9" si="8">W10+W11+W12</f>
        <v>3398.5980538764506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497</v>
      </c>
      <c r="C10" s="102">
        <f>TrRail_act!C$5</f>
        <v>504.59999999999991</v>
      </c>
      <c r="D10" s="102">
        <f>TrRail_act!D$5</f>
        <v>517.5</v>
      </c>
      <c r="E10" s="102">
        <f>TrRail_act!E$5</f>
        <v>522.29999999999995</v>
      </c>
      <c r="F10" s="102">
        <f>TrRail_act!F$5</f>
        <v>523</v>
      </c>
      <c r="G10" s="102">
        <f>TrRail_act!G$5</f>
        <v>526</v>
      </c>
      <c r="H10" s="102">
        <f>TrRail_act!H$5</f>
        <v>524</v>
      </c>
      <c r="I10" s="102">
        <f>TrRail_act!I$5</f>
        <v>520</v>
      </c>
      <c r="J10" s="102">
        <f>TrRail_act!J$5</f>
        <v>532</v>
      </c>
      <c r="K10" s="102">
        <f>TrRail_act!K$5</f>
        <v>532</v>
      </c>
      <c r="L10" s="102">
        <f>TrRail_act!L$5</f>
        <v>530</v>
      </c>
      <c r="M10" s="102">
        <f>TrRail_act!M$5</f>
        <v>515</v>
      </c>
      <c r="N10" s="102">
        <f>TrRail_act!N$5</f>
        <v>526</v>
      </c>
      <c r="O10" s="102">
        <f>TrRail_act!O$5</f>
        <v>525</v>
      </c>
      <c r="P10" s="102">
        <f>TrRail_act!P$5</f>
        <v>513.64392678868558</v>
      </c>
      <c r="Q10" s="102">
        <f>TrRail_act!Q$5</f>
        <v>515.82778702163057</v>
      </c>
      <c r="R10" s="102">
        <f>TrRail_act!R$5</f>
        <v>527.18386023294511</v>
      </c>
      <c r="S10" s="102">
        <f>TrRail_act!S$5</f>
        <v>557.75790349417639</v>
      </c>
      <c r="T10" s="102">
        <f>TrRail_act!T$5</f>
        <v>654.72129783693856</v>
      </c>
      <c r="U10" s="102">
        <f>TrRail_act!U$5</f>
        <v>652.53743760399334</v>
      </c>
      <c r="V10" s="102">
        <f>TrRail_act!V$5</f>
        <v>561.67779439331071</v>
      </c>
      <c r="W10" s="102">
        <f>TrRail_act!W$5</f>
        <v>495.59805387645059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3334</v>
      </c>
      <c r="C11" s="102">
        <f>TrRail_act!C$6</f>
        <v>3222</v>
      </c>
      <c r="D11" s="102">
        <f>TrRail_act!D$6</f>
        <v>3183</v>
      </c>
      <c r="E11" s="102">
        <f>TrRail_act!E$6</f>
        <v>3138</v>
      </c>
      <c r="F11" s="102">
        <f>TrRail_act!F$6</f>
        <v>3190</v>
      </c>
      <c r="G11" s="102">
        <f>TrRail_act!G$6</f>
        <v>3167</v>
      </c>
      <c r="H11" s="102">
        <f>TrRail_act!H$6</f>
        <v>3105</v>
      </c>
      <c r="I11" s="102">
        <f>TrRail_act!I$6</f>
        <v>3198</v>
      </c>
      <c r="J11" s="102">
        <f>TrRail_act!J$6</f>
        <v>3429.9999999999995</v>
      </c>
      <c r="K11" s="102">
        <f>TrRail_act!K$6</f>
        <v>3272</v>
      </c>
      <c r="L11" s="102">
        <f>TrRail_act!L$6</f>
        <v>3308</v>
      </c>
      <c r="M11" s="102">
        <f>TrRail_act!M$6</f>
        <v>3173</v>
      </c>
      <c r="N11" s="102">
        <f>TrRail_act!N$6</f>
        <v>3327</v>
      </c>
      <c r="O11" s="102">
        <f>TrRail_act!O$6</f>
        <v>3296</v>
      </c>
      <c r="P11" s="102">
        <f>TrRail_act!P$6</f>
        <v>3223</v>
      </c>
      <c r="Q11" s="102">
        <f>TrRail_act!Q$6</f>
        <v>3543</v>
      </c>
      <c r="R11" s="102">
        <f>TrRail_act!R$6</f>
        <v>3255</v>
      </c>
      <c r="S11" s="102">
        <f>TrRail_act!S$6</f>
        <v>3593</v>
      </c>
      <c r="T11" s="102">
        <f>TrRail_act!T$6</f>
        <v>3740</v>
      </c>
      <c r="U11" s="102">
        <f>TrRail_act!U$6</f>
        <v>4110</v>
      </c>
      <c r="V11" s="102">
        <f>TrRail_act!V$6</f>
        <v>2495</v>
      </c>
      <c r="W11" s="102">
        <f>TrRail_act!W$6</f>
        <v>2563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71</v>
      </c>
      <c r="C12" s="102">
        <f>TrRail_act!C$9</f>
        <v>60</v>
      </c>
      <c r="D12" s="102">
        <f>TrRail_act!D$9</f>
        <v>135</v>
      </c>
      <c r="E12" s="102">
        <f>TrRail_act!E$9</f>
        <v>200</v>
      </c>
      <c r="F12" s="102">
        <f>TrRail_act!F$9</f>
        <v>162</v>
      </c>
      <c r="G12" s="102">
        <f>TrRail_act!G$9</f>
        <v>311</v>
      </c>
      <c r="H12" s="102">
        <f>TrRail_act!H$9</f>
        <v>435</v>
      </c>
      <c r="I12" s="102">
        <f>TrRail_act!I$9</f>
        <v>580</v>
      </c>
      <c r="J12" s="102">
        <f>TrRail_act!J$9</f>
        <v>622</v>
      </c>
      <c r="K12" s="102">
        <f>TrRail_act!K$9</f>
        <v>604</v>
      </c>
      <c r="L12" s="102">
        <f>TrRail_act!L$9</f>
        <v>651</v>
      </c>
      <c r="M12" s="102">
        <f>TrRail_act!M$9</f>
        <v>709</v>
      </c>
      <c r="N12" s="102">
        <f>TrRail_act!N$9</f>
        <v>708</v>
      </c>
      <c r="O12" s="102">
        <f>TrRail_act!O$9</f>
        <v>757</v>
      </c>
      <c r="P12" s="102">
        <f>TrRail_act!P$9</f>
        <v>651</v>
      </c>
      <c r="Q12" s="102">
        <f>TrRail_act!Q$9</f>
        <v>571</v>
      </c>
      <c r="R12" s="102">
        <f>TrRail_act!R$9</f>
        <v>613</v>
      </c>
      <c r="S12" s="102">
        <f>TrRail_act!S$9</f>
        <v>678</v>
      </c>
      <c r="T12" s="102">
        <f>TrRail_act!T$9</f>
        <v>795</v>
      </c>
      <c r="U12" s="102">
        <f>TrRail_act!U$9</f>
        <v>814</v>
      </c>
      <c r="V12" s="102">
        <f>TrRail_act!V$9</f>
        <v>325</v>
      </c>
      <c r="W12" s="102">
        <f>TrRail_act!W$9</f>
        <v>340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10353.001770387067</v>
      </c>
      <c r="C13" s="110">
        <f t="shared" ref="C13:V13" si="10">C14+C15+C16</f>
        <v>10407.823765800382</v>
      </c>
      <c r="D13" s="110">
        <f t="shared" si="10"/>
        <v>10233.352921681777</v>
      </c>
      <c r="E13" s="110">
        <f t="shared" si="10"/>
        <v>10110.727815185104</v>
      </c>
      <c r="F13" s="110">
        <f t="shared" si="10"/>
        <v>11471.056255560108</v>
      </c>
      <c r="G13" s="110">
        <f t="shared" si="10"/>
        <v>12425.615994127456</v>
      </c>
      <c r="H13" s="110">
        <f t="shared" si="10"/>
        <v>13683.136022151975</v>
      </c>
      <c r="I13" s="110">
        <f t="shared" si="10"/>
        <v>15857.51741262856</v>
      </c>
      <c r="J13" s="110">
        <f t="shared" si="10"/>
        <v>16473.935485181872</v>
      </c>
      <c r="K13" s="110">
        <f t="shared" si="10"/>
        <v>15675.845964201817</v>
      </c>
      <c r="L13" s="110">
        <f t="shared" si="10"/>
        <v>16517.499736426562</v>
      </c>
      <c r="M13" s="110">
        <f t="shared" si="10"/>
        <v>18944.839665435869</v>
      </c>
      <c r="N13" s="110">
        <f t="shared" si="10"/>
        <v>19787.546077131599</v>
      </c>
      <c r="O13" s="110">
        <f t="shared" si="10"/>
        <v>20123.364881229325</v>
      </c>
      <c r="P13" s="110">
        <f t="shared" si="10"/>
        <v>20863.30938790099</v>
      </c>
      <c r="Q13" s="110">
        <f t="shared" si="10"/>
        <v>20732.439035838201</v>
      </c>
      <c r="R13" s="110">
        <f t="shared" si="10"/>
        <v>21689.315637835472</v>
      </c>
      <c r="S13" s="110">
        <f t="shared" si="10"/>
        <v>24893.708640615881</v>
      </c>
      <c r="T13" s="110">
        <f t="shared" si="10"/>
        <v>27679.972286590579</v>
      </c>
      <c r="U13" s="110">
        <f t="shared" si="10"/>
        <v>29707.303843648773</v>
      </c>
      <c r="V13" s="110">
        <f t="shared" si="10"/>
        <v>7031.4372827511634</v>
      </c>
      <c r="W13" s="110">
        <f t="shared" ref="W13" si="11">W14+W15+W16</f>
        <v>4794.8437865843971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1581.7238574533208</v>
      </c>
      <c r="C14" s="102">
        <f>TrAvia_act!C$5</f>
        <v>1555.0931924780418</v>
      </c>
      <c r="D14" s="102">
        <f>TrAvia_act!D$5</f>
        <v>1560.5016762693785</v>
      </c>
      <c r="E14" s="102">
        <f>TrAvia_act!E$5</f>
        <v>1349.3612681248931</v>
      </c>
      <c r="F14" s="102">
        <f>TrAvia_act!F$5</f>
        <v>1427.6370187749658</v>
      </c>
      <c r="G14" s="102">
        <f>TrAvia_act!G$5</f>
        <v>1416.5376334822263</v>
      </c>
      <c r="H14" s="102">
        <f>TrAvia_act!H$5</f>
        <v>1383.2669553704632</v>
      </c>
      <c r="I14" s="102">
        <f>TrAvia_act!I$5</f>
        <v>1454.948591500977</v>
      </c>
      <c r="J14" s="102">
        <f>TrAvia_act!J$5</f>
        <v>1348.6660830597605</v>
      </c>
      <c r="K14" s="102">
        <f>TrAvia_act!K$5</f>
        <v>1227.996803990661</v>
      </c>
      <c r="L14" s="102">
        <f>TrAvia_act!L$5</f>
        <v>1193.0116949863016</v>
      </c>
      <c r="M14" s="102">
        <f>TrAvia_act!M$5</f>
        <v>1415.1752012033153</v>
      </c>
      <c r="N14" s="102">
        <f>TrAvia_act!N$5</f>
        <v>1413.9089597816592</v>
      </c>
      <c r="O14" s="102">
        <f>TrAvia_act!O$5</f>
        <v>1276.125496875545</v>
      </c>
      <c r="P14" s="102">
        <f>TrAvia_act!P$5</f>
        <v>1329.6104518585662</v>
      </c>
      <c r="Q14" s="102">
        <f>TrAvia_act!Q$5</f>
        <v>1339.2269261952556</v>
      </c>
      <c r="R14" s="102">
        <f>TrAvia_act!R$5</f>
        <v>1409.515561635744</v>
      </c>
      <c r="S14" s="102">
        <f>TrAvia_act!S$5</f>
        <v>1509.8542840339583</v>
      </c>
      <c r="T14" s="102">
        <f>TrAvia_act!T$5</f>
        <v>1690.3659844694091</v>
      </c>
      <c r="U14" s="102">
        <f>TrAvia_act!U$5</f>
        <v>1694.5390770315578</v>
      </c>
      <c r="V14" s="102">
        <f>TrAvia_act!V$5</f>
        <v>634.13033037192974</v>
      </c>
      <c r="W14" s="102">
        <f>TrAvia_act!W$5</f>
        <v>558.76842118009063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5826.1683499899627</v>
      </c>
      <c r="C15" s="102">
        <f>TrAvia_act!C$6</f>
        <v>5992.6413450937507</v>
      </c>
      <c r="D15" s="102">
        <f>TrAvia_act!D$6</f>
        <v>5846.1499419412658</v>
      </c>
      <c r="E15" s="102">
        <f>TrAvia_act!E$6</f>
        <v>5927.9101324965104</v>
      </c>
      <c r="F15" s="102">
        <f>TrAvia_act!F$6</f>
        <v>6428.8300983602976</v>
      </c>
      <c r="G15" s="102">
        <f>TrAvia_act!G$6</f>
        <v>6810.3898423823566</v>
      </c>
      <c r="H15" s="102">
        <f>TrAvia_act!H$6</f>
        <v>7367.6841119735182</v>
      </c>
      <c r="I15" s="102">
        <f>TrAvia_act!I$6</f>
        <v>7720.1224092972925</v>
      </c>
      <c r="J15" s="102">
        <f>TrAvia_act!J$6</f>
        <v>7445.4059920519476</v>
      </c>
      <c r="K15" s="102">
        <f>TrAvia_act!K$6</f>
        <v>7076.1838767936706</v>
      </c>
      <c r="L15" s="102">
        <f>TrAvia_act!L$6</f>
        <v>7198.4637167074034</v>
      </c>
      <c r="M15" s="102">
        <f>TrAvia_act!M$6</f>
        <v>8177.9951703814186</v>
      </c>
      <c r="N15" s="102">
        <f>TrAvia_act!N$6</f>
        <v>8207.7728542902514</v>
      </c>
      <c r="O15" s="102">
        <f>TrAvia_act!O$6</f>
        <v>8661.637965951033</v>
      </c>
      <c r="P15" s="102">
        <f>TrAvia_act!P$6</f>
        <v>9651.1993962608831</v>
      </c>
      <c r="Q15" s="102">
        <f>TrAvia_act!Q$6</f>
        <v>9374.7506054840105</v>
      </c>
      <c r="R15" s="102">
        <f>TrAvia_act!R$6</f>
        <v>9796.2197917799094</v>
      </c>
      <c r="S15" s="102">
        <f>TrAvia_act!S$6</f>
        <v>11108.70983557571</v>
      </c>
      <c r="T15" s="102">
        <f>TrAvia_act!T$6</f>
        <v>12063.778768940178</v>
      </c>
      <c r="U15" s="102">
        <f>TrAvia_act!U$6</f>
        <v>12412.891908649453</v>
      </c>
      <c r="V15" s="102">
        <f>TrAvia_act!V$6</f>
        <v>2726.2833397589202</v>
      </c>
      <c r="W15" s="102">
        <f>TrAvia_act!W$6</f>
        <v>2443.6853759126293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2945.1095629437841</v>
      </c>
      <c r="C16" s="102">
        <f>TrAvia_act!C$7</f>
        <v>2860.0892282285886</v>
      </c>
      <c r="D16" s="102">
        <f>TrAvia_act!D$7</f>
        <v>2826.7013034711317</v>
      </c>
      <c r="E16" s="102">
        <f>TrAvia_act!E$7</f>
        <v>2833.4564145637005</v>
      </c>
      <c r="F16" s="102">
        <f>TrAvia_act!F$7</f>
        <v>3614.5891384248444</v>
      </c>
      <c r="G16" s="102">
        <f>TrAvia_act!G$7</f>
        <v>4198.688518262873</v>
      </c>
      <c r="H16" s="102">
        <f>TrAvia_act!H$7</f>
        <v>4932.1849548079936</v>
      </c>
      <c r="I16" s="102">
        <f>TrAvia_act!I$7</f>
        <v>6682.4464118302922</v>
      </c>
      <c r="J16" s="102">
        <f>TrAvia_act!J$7</f>
        <v>7679.8634100701647</v>
      </c>
      <c r="K16" s="102">
        <f>TrAvia_act!K$7</f>
        <v>7371.6652834174865</v>
      </c>
      <c r="L16" s="102">
        <f>TrAvia_act!L$7</f>
        <v>8126.0243247328572</v>
      </c>
      <c r="M16" s="102">
        <f>TrAvia_act!M$7</f>
        <v>9351.6692938511351</v>
      </c>
      <c r="N16" s="102">
        <f>TrAvia_act!N$7</f>
        <v>10165.864263059688</v>
      </c>
      <c r="O16" s="102">
        <f>TrAvia_act!O$7</f>
        <v>10185.601418402748</v>
      </c>
      <c r="P16" s="102">
        <f>TrAvia_act!P$7</f>
        <v>9882.4995397815383</v>
      </c>
      <c r="Q16" s="102">
        <f>TrAvia_act!Q$7</f>
        <v>10018.461504158935</v>
      </c>
      <c r="R16" s="102">
        <f>TrAvia_act!R$7</f>
        <v>10483.580284419819</v>
      </c>
      <c r="S16" s="102">
        <f>TrAvia_act!S$7</f>
        <v>12275.144521006214</v>
      </c>
      <c r="T16" s="102">
        <f>TrAvia_act!T$7</f>
        <v>13925.827533180995</v>
      </c>
      <c r="U16" s="102">
        <f>TrAvia_act!U$7</f>
        <v>15599.872857967763</v>
      </c>
      <c r="V16" s="102">
        <f>TrAvia_act!V$7</f>
        <v>3671.0236126203131</v>
      </c>
      <c r="W16" s="102">
        <f>TrAvia_act!W$7</f>
        <v>1792.3899894916774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40902.361495412792</v>
      </c>
      <c r="C17" s="28">
        <f t="shared" si="12"/>
        <v>39585.510856617024</v>
      </c>
      <c r="D17" s="28">
        <f t="shared" si="12"/>
        <v>40908.240623222562</v>
      </c>
      <c r="E17" s="28">
        <f t="shared" si="12"/>
        <v>40082.223317404212</v>
      </c>
      <c r="F17" s="28">
        <f t="shared" si="12"/>
        <v>40821.001689412726</v>
      </c>
      <c r="G17" s="28">
        <f t="shared" si="12"/>
        <v>40906.017554207276</v>
      </c>
      <c r="H17" s="28">
        <f t="shared" si="12"/>
        <v>40079.71799045735</v>
      </c>
      <c r="I17" s="28">
        <f t="shared" si="12"/>
        <v>40169.672950582142</v>
      </c>
      <c r="J17" s="28">
        <f t="shared" si="12"/>
        <v>42253.571813913331</v>
      </c>
      <c r="K17" s="28">
        <f t="shared" si="12"/>
        <v>36895.04148177366</v>
      </c>
      <c r="L17" s="28">
        <f t="shared" si="12"/>
        <v>39335.676534114951</v>
      </c>
      <c r="M17" s="28">
        <f t="shared" si="12"/>
        <v>37290.527050211087</v>
      </c>
      <c r="N17" s="28">
        <f t="shared" si="12"/>
        <v>35344.877488680679</v>
      </c>
      <c r="O17" s="28">
        <f t="shared" si="12"/>
        <v>34287.277361749475</v>
      </c>
      <c r="P17" s="28">
        <f t="shared" si="12"/>
        <v>34111.671250634288</v>
      </c>
      <c r="Q17" s="28">
        <f t="shared" si="12"/>
        <v>34387.118384669411</v>
      </c>
      <c r="R17" s="28">
        <f t="shared" ref="R17:V17" si="13">R18+R21+R22+R26</f>
        <v>38479.746699059884</v>
      </c>
      <c r="S17" s="28">
        <f t="shared" si="13"/>
        <v>41280.513302917316</v>
      </c>
      <c r="T17" s="28">
        <f t="shared" si="13"/>
        <v>42132.888178186186</v>
      </c>
      <c r="U17" s="28">
        <f t="shared" si="13"/>
        <v>42540.975949403648</v>
      </c>
      <c r="V17" s="28">
        <f t="shared" si="13"/>
        <v>42779.616309578276</v>
      </c>
      <c r="W17" s="28">
        <f t="shared" ref="W17" si="14">W18+W21+W22+W26</f>
        <v>43230.426813264748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29689.54939412489</v>
      </c>
      <c r="C18" s="137">
        <f t="shared" si="15"/>
        <v>28733.850148893438</v>
      </c>
      <c r="D18" s="137">
        <f t="shared" si="15"/>
        <v>30194.840147131705</v>
      </c>
      <c r="E18" s="137">
        <f t="shared" si="15"/>
        <v>29051.17338723956</v>
      </c>
      <c r="F18" s="137">
        <f t="shared" si="15"/>
        <v>29724.822423972655</v>
      </c>
      <c r="G18" s="137">
        <f t="shared" si="15"/>
        <v>30283.724677968909</v>
      </c>
      <c r="H18" s="137">
        <f t="shared" si="15"/>
        <v>28020.816072914586</v>
      </c>
      <c r="I18" s="137">
        <f t="shared" si="15"/>
        <v>28616.136555509307</v>
      </c>
      <c r="J18" s="137">
        <f t="shared" si="15"/>
        <v>30408.301866843107</v>
      </c>
      <c r="K18" s="137">
        <f t="shared" si="15"/>
        <v>27124.345020142042</v>
      </c>
      <c r="L18" s="137">
        <f t="shared" si="15"/>
        <v>28300.603121215809</v>
      </c>
      <c r="M18" s="137">
        <f t="shared" si="15"/>
        <v>26500.777334784689</v>
      </c>
      <c r="N18" s="137">
        <f t="shared" si="15"/>
        <v>24944.226034206982</v>
      </c>
      <c r="O18" s="137">
        <f t="shared" si="15"/>
        <v>23925.178626892222</v>
      </c>
      <c r="P18" s="137">
        <f t="shared" si="15"/>
        <v>23559.455750603775</v>
      </c>
      <c r="Q18" s="137">
        <f t="shared" si="15"/>
        <v>24910.189243367793</v>
      </c>
      <c r="R18" s="137">
        <f t="shared" ref="R18:V18" si="16">R19+R20</f>
        <v>27921.968309816606</v>
      </c>
      <c r="S18" s="137">
        <f t="shared" si="16"/>
        <v>29753.873440165917</v>
      </c>
      <c r="T18" s="137">
        <f t="shared" si="16"/>
        <v>29624.237845132629</v>
      </c>
      <c r="U18" s="137">
        <f t="shared" si="16"/>
        <v>30222.965532507304</v>
      </c>
      <c r="V18" s="137">
        <f t="shared" si="16"/>
        <v>31398.681197613019</v>
      </c>
      <c r="W18" s="137">
        <f t="shared" ref="W18" si="17">W19+W20</f>
        <v>31586.303464157081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1251.1007954956558</v>
      </c>
      <c r="C19" s="102">
        <f>TrRoad_act!C$20</f>
        <v>1283.6187514744313</v>
      </c>
      <c r="D19" s="102">
        <f>TrRoad_act!D$20</f>
        <v>1306.2409354654494</v>
      </c>
      <c r="E19" s="102">
        <f>TrRoad_act!E$20</f>
        <v>1324.6489791068061</v>
      </c>
      <c r="F19" s="102">
        <f>TrRoad_act!F$20</f>
        <v>1430.7145951089356</v>
      </c>
      <c r="G19" s="102">
        <f>TrRoad_act!G$20</f>
        <v>1474.7608352214306</v>
      </c>
      <c r="H19" s="102">
        <f>TrRoad_act!H$20</f>
        <v>1497.1588348440569</v>
      </c>
      <c r="I19" s="102">
        <f>TrRoad_act!I$20</f>
        <v>1566.1163882169574</v>
      </c>
      <c r="J19" s="102">
        <f>TrRoad_act!J$20</f>
        <v>1693.9809735703066</v>
      </c>
      <c r="K19" s="102">
        <f>TrRoad_act!K$20</f>
        <v>1727.2748869294282</v>
      </c>
      <c r="L19" s="102">
        <f>TrRoad_act!L$20</f>
        <v>1811.8391652407781</v>
      </c>
      <c r="M19" s="102">
        <f>TrRoad_act!M$20</f>
        <v>1905.5423352303094</v>
      </c>
      <c r="N19" s="102">
        <f>TrRoad_act!N$20</f>
        <v>1950.1569967583612</v>
      </c>
      <c r="O19" s="102">
        <f>TrRoad_act!O$20</f>
        <v>2031.8381314439353</v>
      </c>
      <c r="P19" s="102">
        <f>TrRoad_act!P$20</f>
        <v>2073.7941990069139</v>
      </c>
      <c r="Q19" s="102">
        <f>TrRoad_act!Q$20</f>
        <v>2133.5844235725499</v>
      </c>
      <c r="R19" s="102">
        <f>TrRoad_act!R$20</f>
        <v>2208.6742429494225</v>
      </c>
      <c r="S19" s="102">
        <f>TrRoad_act!S$20</f>
        <v>2290.0159715245995</v>
      </c>
      <c r="T19" s="102">
        <f>TrRoad_act!T$20</f>
        <v>2368.2378451326308</v>
      </c>
      <c r="U19" s="102">
        <f>TrRoad_act!U$20</f>
        <v>2440.9655325073036</v>
      </c>
      <c r="V19" s="102">
        <f>TrRoad_act!V$20</f>
        <v>2456.6811976130189</v>
      </c>
      <c r="W19" s="102">
        <f>TrRoad_act!W$20</f>
        <v>2556.3034641570812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28438.448598629235</v>
      </c>
      <c r="C20" s="102">
        <f>TrRoad_act!C$26</f>
        <v>27450.231397419007</v>
      </c>
      <c r="D20" s="102">
        <f>TrRoad_act!D$26</f>
        <v>28888.599211666256</v>
      </c>
      <c r="E20" s="102">
        <f>TrRoad_act!E$26</f>
        <v>27726.524408132755</v>
      </c>
      <c r="F20" s="102">
        <f>TrRoad_act!F$26</f>
        <v>28294.107828863718</v>
      </c>
      <c r="G20" s="102">
        <f>TrRoad_act!G$26</f>
        <v>28808.963842747478</v>
      </c>
      <c r="H20" s="102">
        <f>TrRoad_act!H$26</f>
        <v>26523.657238070529</v>
      </c>
      <c r="I20" s="102">
        <f>TrRoad_act!I$26</f>
        <v>27050.02016729235</v>
      </c>
      <c r="J20" s="102">
        <f>TrRoad_act!J$26</f>
        <v>28714.320893272801</v>
      </c>
      <c r="K20" s="102">
        <f>TrRoad_act!K$26</f>
        <v>25397.070133212612</v>
      </c>
      <c r="L20" s="102">
        <f>TrRoad_act!L$26</f>
        <v>26488.763955975031</v>
      </c>
      <c r="M20" s="102">
        <f>TrRoad_act!M$26</f>
        <v>24595.234999554381</v>
      </c>
      <c r="N20" s="102">
        <f>TrRoad_act!N$26</f>
        <v>22994.069037448622</v>
      </c>
      <c r="O20" s="102">
        <f>TrRoad_act!O$26</f>
        <v>21893.340495448287</v>
      </c>
      <c r="P20" s="102">
        <f>TrRoad_act!P$26</f>
        <v>21485.661551596859</v>
      </c>
      <c r="Q20" s="102">
        <f>TrRoad_act!Q$26</f>
        <v>22776.604819795244</v>
      </c>
      <c r="R20" s="102">
        <f>TrRoad_act!R$26</f>
        <v>25713.294066867184</v>
      </c>
      <c r="S20" s="102">
        <f>TrRoad_act!S$26</f>
        <v>27463.857468641316</v>
      </c>
      <c r="T20" s="102">
        <f>TrRoad_act!T$26</f>
        <v>27256</v>
      </c>
      <c r="U20" s="102">
        <f>TrRoad_act!U$26</f>
        <v>27782</v>
      </c>
      <c r="V20" s="102">
        <f>TrRoad_act!V$26</f>
        <v>28942</v>
      </c>
      <c r="W20" s="102">
        <f>TrRoad_act!W$26</f>
        <v>29030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10107</v>
      </c>
      <c r="C21" s="110">
        <f>TrRail_act!C$10</f>
        <v>9857</v>
      </c>
      <c r="D21" s="110">
        <f>TrRail_act!D$10</f>
        <v>9664</v>
      </c>
      <c r="E21" s="110">
        <f>TrRail_act!E$10</f>
        <v>10047</v>
      </c>
      <c r="F21" s="110">
        <f>TrRail_act!F$10</f>
        <v>10105</v>
      </c>
      <c r="G21" s="110">
        <f>TrRail_act!G$10</f>
        <v>9706</v>
      </c>
      <c r="H21" s="110">
        <f>TrRail_act!H$10</f>
        <v>11060</v>
      </c>
      <c r="I21" s="110">
        <f>TrRail_act!I$10</f>
        <v>10434</v>
      </c>
      <c r="J21" s="110">
        <f>TrRail_act!J$10</f>
        <v>10777</v>
      </c>
      <c r="K21" s="110">
        <f>TrRail_act!K$10</f>
        <v>8872</v>
      </c>
      <c r="L21" s="110">
        <f>TrRail_act!L$10</f>
        <v>9750</v>
      </c>
      <c r="M21" s="110">
        <f>TrRail_act!M$10</f>
        <v>9395</v>
      </c>
      <c r="N21" s="110">
        <f>TrRail_act!N$10</f>
        <v>9275</v>
      </c>
      <c r="O21" s="110">
        <f>TrRail_act!O$10</f>
        <v>9470</v>
      </c>
      <c r="P21" s="110">
        <f>TrRail_act!P$10</f>
        <v>9597</v>
      </c>
      <c r="Q21" s="110">
        <f>TrRail_act!Q$10</f>
        <v>8468</v>
      </c>
      <c r="R21" s="110">
        <f>TrRail_act!R$10</f>
        <v>9456</v>
      </c>
      <c r="S21" s="110">
        <f>TrRail_act!S$10</f>
        <v>10362</v>
      </c>
      <c r="T21" s="110">
        <f>TrRail_act!T$10</f>
        <v>11175</v>
      </c>
      <c r="U21" s="110">
        <f>TrRail_act!U$10</f>
        <v>10271</v>
      </c>
      <c r="V21" s="110">
        <f>TrRail_act!V$10</f>
        <v>10137</v>
      </c>
      <c r="W21" s="110">
        <f>TrRail_act!W$10</f>
        <v>10750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128.74610128790547</v>
      </c>
      <c r="C22" s="110">
        <f t="shared" ref="C22:V22" si="19">C23+C24+C25</f>
        <v>107.06970772358019</v>
      </c>
      <c r="D22" s="110">
        <f t="shared" si="19"/>
        <v>101.77847609085096</v>
      </c>
      <c r="E22" s="110">
        <f t="shared" si="19"/>
        <v>116.65593016465691</v>
      </c>
      <c r="F22" s="110">
        <f t="shared" si="19"/>
        <v>146.17626544007368</v>
      </c>
      <c r="G22" s="110">
        <f t="shared" si="19"/>
        <v>162.76587623836184</v>
      </c>
      <c r="H22" s="110">
        <f t="shared" si="19"/>
        <v>151.45091754276078</v>
      </c>
      <c r="I22" s="110">
        <f t="shared" si="19"/>
        <v>169.82939507283044</v>
      </c>
      <c r="J22" s="110">
        <f t="shared" si="19"/>
        <v>140.0079470702255</v>
      </c>
      <c r="K22" s="110">
        <f t="shared" si="19"/>
        <v>99.304461631619731</v>
      </c>
      <c r="L22" s="110">
        <f t="shared" si="19"/>
        <v>96.623412899139325</v>
      </c>
      <c r="M22" s="110">
        <f t="shared" si="19"/>
        <v>130.62771542639311</v>
      </c>
      <c r="N22" s="110">
        <f t="shared" si="19"/>
        <v>176.44645447369859</v>
      </c>
      <c r="O22" s="110">
        <f t="shared" si="19"/>
        <v>162.9947348572513</v>
      </c>
      <c r="P22" s="110">
        <f t="shared" si="19"/>
        <v>145.96750003051341</v>
      </c>
      <c r="Q22" s="110">
        <f t="shared" si="19"/>
        <v>129.61914130161713</v>
      </c>
      <c r="R22" s="110">
        <f t="shared" si="19"/>
        <v>148.29338924327689</v>
      </c>
      <c r="S22" s="110">
        <f t="shared" si="19"/>
        <v>150.42952941806331</v>
      </c>
      <c r="T22" s="110">
        <f t="shared" si="19"/>
        <v>142.31455527577506</v>
      </c>
      <c r="U22" s="110">
        <f t="shared" si="19"/>
        <v>164.45241689634702</v>
      </c>
      <c r="V22" s="110">
        <f t="shared" si="19"/>
        <v>112.68811196525499</v>
      </c>
      <c r="W22" s="110">
        <f t="shared" ref="W22" si="20">W23+W24+W25</f>
        <v>103.84934910766434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2.9315649657376506</v>
      </c>
      <c r="C23" s="102">
        <f>TrAvia_act!C$9</f>
        <v>2.2016485222813249</v>
      </c>
      <c r="D23" s="102">
        <f>TrAvia_act!D$9</f>
        <v>2.1422305104099548</v>
      </c>
      <c r="E23" s="102">
        <f>TrAvia_act!E$9</f>
        <v>1.9099586253492435</v>
      </c>
      <c r="F23" s="102">
        <f>TrAvia_act!F$9</f>
        <v>1.7985280936149504</v>
      </c>
      <c r="G23" s="102">
        <f>TrAvia_act!G$9</f>
        <v>1.7840100595015349</v>
      </c>
      <c r="H23" s="102">
        <f>TrAvia_act!H$9</f>
        <v>1.4721985542424845</v>
      </c>
      <c r="I23" s="102">
        <f>TrAvia_act!I$9</f>
        <v>1.1925421683137485</v>
      </c>
      <c r="J23" s="102">
        <f>TrAvia_act!J$9</f>
        <v>0.81362850082849814</v>
      </c>
      <c r="K23" s="102">
        <f>TrAvia_act!K$9</f>
        <v>0.82183492446642548</v>
      </c>
      <c r="L23" s="102">
        <f>TrAvia_act!L$9</f>
        <v>0.60029156246327531</v>
      </c>
      <c r="M23" s="102">
        <f>TrAvia_act!M$9</f>
        <v>0.75663126909621958</v>
      </c>
      <c r="N23" s="102">
        <f>TrAvia_act!N$9</f>
        <v>1.0555292102715659</v>
      </c>
      <c r="O23" s="102">
        <f>TrAvia_act!O$9</f>
        <v>0.91763552534753368</v>
      </c>
      <c r="P23" s="102">
        <f>TrAvia_act!P$9</f>
        <v>0.78849551915543692</v>
      </c>
      <c r="Q23" s="102">
        <f>TrAvia_act!Q$9</f>
        <v>0.76132297599969601</v>
      </c>
      <c r="R23" s="102">
        <f>TrAvia_act!R$9</f>
        <v>0.92915146598357579</v>
      </c>
      <c r="S23" s="102">
        <f>TrAvia_act!S$9</f>
        <v>0.68326314168642699</v>
      </c>
      <c r="T23" s="102">
        <f>TrAvia_act!T$9</f>
        <v>0.46878329478029701</v>
      </c>
      <c r="U23" s="102">
        <f>TrAvia_act!U$9</f>
        <v>0.53007279109928618</v>
      </c>
      <c r="V23" s="102">
        <f>TrAvia_act!V$9</f>
        <v>0.57757494859956715</v>
      </c>
      <c r="W23" s="102">
        <f>TrAvia_act!W$9</f>
        <v>0.48007127587212545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35.170367044307788</v>
      </c>
      <c r="C24" s="102">
        <f>TrAvia_act!C$10</f>
        <v>33.588747746067654</v>
      </c>
      <c r="D24" s="102">
        <f>TrAvia_act!D$10</f>
        <v>27.846346711379557</v>
      </c>
      <c r="E24" s="102">
        <f>TrAvia_act!E$10</f>
        <v>46.510541960785652</v>
      </c>
      <c r="F24" s="102">
        <f>TrAvia_act!F$10</f>
        <v>56.756720086566908</v>
      </c>
      <c r="G24" s="102">
        <f>TrAvia_act!G$10</f>
        <v>56.014872652168165</v>
      </c>
      <c r="H24" s="102">
        <f>TrAvia_act!H$10</f>
        <v>54.4308258717681</v>
      </c>
      <c r="I24" s="102">
        <f>TrAvia_act!I$10</f>
        <v>56.340729215164394</v>
      </c>
      <c r="J24" s="102">
        <f>TrAvia_act!J$10</f>
        <v>43.278838032243094</v>
      </c>
      <c r="K24" s="102">
        <f>TrAvia_act!K$10</f>
        <v>39.144877890942112</v>
      </c>
      <c r="L24" s="102">
        <f>TrAvia_act!L$10</f>
        <v>38.228970292750894</v>
      </c>
      <c r="M24" s="102">
        <f>TrAvia_act!M$10</f>
        <v>34.894100049683239</v>
      </c>
      <c r="N24" s="102">
        <f>TrAvia_act!N$10</f>
        <v>36.853422449972648</v>
      </c>
      <c r="O24" s="102">
        <f>TrAvia_act!O$10</f>
        <v>44.054092696021179</v>
      </c>
      <c r="P24" s="102">
        <f>TrAvia_act!P$10</f>
        <v>54.997516928545124</v>
      </c>
      <c r="Q24" s="102">
        <f>TrAvia_act!Q$10</f>
        <v>57.242995579649772</v>
      </c>
      <c r="R24" s="102">
        <f>TrAvia_act!R$10</f>
        <v>54.941141680033311</v>
      </c>
      <c r="S24" s="102">
        <f>TrAvia_act!S$10</f>
        <v>52.283351228877017</v>
      </c>
      <c r="T24" s="102">
        <f>TrAvia_act!T$10</f>
        <v>45.698654237876433</v>
      </c>
      <c r="U24" s="102">
        <f>TrAvia_act!U$10</f>
        <v>60.661379937634266</v>
      </c>
      <c r="V24" s="102">
        <f>TrAvia_act!V$10</f>
        <v>33.036239217442649</v>
      </c>
      <c r="W24" s="102">
        <f>TrAvia_act!W$10</f>
        <v>25.953192428768382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90.644169277860044</v>
      </c>
      <c r="C25" s="102">
        <f>TrAvia_act!C$11</f>
        <v>71.279311455231209</v>
      </c>
      <c r="D25" s="102">
        <f>TrAvia_act!D$11</f>
        <v>71.789898869061446</v>
      </c>
      <c r="E25" s="102">
        <f>TrAvia_act!E$11</f>
        <v>68.235429578522016</v>
      </c>
      <c r="F25" s="102">
        <f>TrAvia_act!F$11</f>
        <v>87.621017259891815</v>
      </c>
      <c r="G25" s="102">
        <f>TrAvia_act!G$11</f>
        <v>104.96699352669215</v>
      </c>
      <c r="H25" s="102">
        <f>TrAvia_act!H$11</f>
        <v>95.547893116750188</v>
      </c>
      <c r="I25" s="102">
        <f>TrAvia_act!I$11</f>
        <v>112.2961236893523</v>
      </c>
      <c r="J25" s="102">
        <f>TrAvia_act!J$11</f>
        <v>95.915480537153897</v>
      </c>
      <c r="K25" s="102">
        <f>TrAvia_act!K$11</f>
        <v>59.337748816211196</v>
      </c>
      <c r="L25" s="102">
        <f>TrAvia_act!L$11</f>
        <v>57.794151043925154</v>
      </c>
      <c r="M25" s="102">
        <f>TrAvia_act!M$11</f>
        <v>94.97698410761366</v>
      </c>
      <c r="N25" s="102">
        <f>TrAvia_act!N$11</f>
        <v>138.53750281345438</v>
      </c>
      <c r="O25" s="102">
        <f>TrAvia_act!O$11</f>
        <v>118.0230066358826</v>
      </c>
      <c r="P25" s="102">
        <f>TrAvia_act!P$11</f>
        <v>90.181487582812849</v>
      </c>
      <c r="Q25" s="102">
        <f>TrAvia_act!Q$11</f>
        <v>71.614822745967672</v>
      </c>
      <c r="R25" s="102">
        <f>TrAvia_act!R$11</f>
        <v>92.423096097260014</v>
      </c>
      <c r="S25" s="102">
        <f>TrAvia_act!S$11</f>
        <v>97.462915047499877</v>
      </c>
      <c r="T25" s="102">
        <f>TrAvia_act!T$11</f>
        <v>96.147117743118343</v>
      </c>
      <c r="U25" s="102">
        <f>TrAvia_act!U$11</f>
        <v>103.26096416761348</v>
      </c>
      <c r="V25" s="102">
        <f>TrAvia_act!V$11</f>
        <v>79.074297799212772</v>
      </c>
      <c r="W25" s="102">
        <f>TrAvia_act!W$11</f>
        <v>77.416085403023828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977.06600000000003</v>
      </c>
      <c r="C26" s="110">
        <f t="shared" si="21"/>
        <v>887.59100000000001</v>
      </c>
      <c r="D26" s="110">
        <f t="shared" si="21"/>
        <v>947.62199999999996</v>
      </c>
      <c r="E26" s="110">
        <f t="shared" si="21"/>
        <v>867.39400000000001</v>
      </c>
      <c r="F26" s="110">
        <f t="shared" si="21"/>
        <v>845.00300000000004</v>
      </c>
      <c r="G26" s="110">
        <f t="shared" si="21"/>
        <v>753.52700000000004</v>
      </c>
      <c r="H26" s="110">
        <f t="shared" si="21"/>
        <v>847.45100000000002</v>
      </c>
      <c r="I26" s="110">
        <f t="shared" si="21"/>
        <v>949.70699999999999</v>
      </c>
      <c r="J26" s="110">
        <f t="shared" si="21"/>
        <v>928.26199999999994</v>
      </c>
      <c r="K26" s="110">
        <f t="shared" si="21"/>
        <v>799.39200000000005</v>
      </c>
      <c r="L26" s="110">
        <f t="shared" si="21"/>
        <v>1188.45</v>
      </c>
      <c r="M26" s="110">
        <f t="shared" si="21"/>
        <v>1264.1220000000001</v>
      </c>
      <c r="N26" s="110">
        <f t="shared" si="21"/>
        <v>949.20500000000004</v>
      </c>
      <c r="O26" s="110">
        <f t="shared" si="21"/>
        <v>729.10400000000004</v>
      </c>
      <c r="P26" s="110">
        <f t="shared" si="21"/>
        <v>809.24800000000005</v>
      </c>
      <c r="Q26" s="110">
        <f t="shared" si="21"/>
        <v>879.31</v>
      </c>
      <c r="R26" s="110">
        <f t="shared" ref="R26:V26" si="22">R27+R28</f>
        <v>953.48500000000001</v>
      </c>
      <c r="S26" s="110">
        <f t="shared" si="22"/>
        <v>1014.2103333333333</v>
      </c>
      <c r="T26" s="110">
        <f t="shared" si="22"/>
        <v>1191.3357777777778</v>
      </c>
      <c r="U26" s="110">
        <f t="shared" si="22"/>
        <v>1882.558</v>
      </c>
      <c r="V26" s="110">
        <f t="shared" si="22"/>
        <v>1131.2469999999998</v>
      </c>
      <c r="W26" s="110">
        <f t="shared" ref="W26" si="23">W27+W28</f>
        <v>790.274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859.06600000000003</v>
      </c>
      <c r="C27" s="102">
        <f>TrNavi_act!C4</f>
        <v>786.59100000000001</v>
      </c>
      <c r="D27" s="102">
        <f>TrNavi_act!D4</f>
        <v>835.62199999999996</v>
      </c>
      <c r="E27" s="102">
        <f>TrNavi_act!E4</f>
        <v>758.39400000000001</v>
      </c>
      <c r="F27" s="102">
        <f>TrNavi_act!F4</f>
        <v>727.00300000000004</v>
      </c>
      <c r="G27" s="102">
        <f>TrNavi_act!G4</f>
        <v>678.52700000000004</v>
      </c>
      <c r="H27" s="102">
        <f>TrNavi_act!H4</f>
        <v>781.45100000000002</v>
      </c>
      <c r="I27" s="102">
        <f>TrNavi_act!I4</f>
        <v>847.70699999999999</v>
      </c>
      <c r="J27" s="102">
        <f>TrNavi_act!J4</f>
        <v>848.26199999999994</v>
      </c>
      <c r="K27" s="102">
        <f>TrNavi_act!K4</f>
        <v>738.39200000000005</v>
      </c>
      <c r="L27" s="102">
        <f>TrNavi_act!L4</f>
        <v>1112.45</v>
      </c>
      <c r="M27" s="102">
        <f>TrNavi_act!M4</f>
        <v>1174.1220000000001</v>
      </c>
      <c r="N27" s="102">
        <f>TrNavi_act!N4</f>
        <v>825.20500000000004</v>
      </c>
      <c r="O27" s="102">
        <f>TrNavi_act!O4</f>
        <v>608.10400000000004</v>
      </c>
      <c r="P27" s="102">
        <f>TrNavi_act!P4</f>
        <v>673.24800000000005</v>
      </c>
      <c r="Q27" s="102">
        <f>TrNavi_act!Q4</f>
        <v>751.31</v>
      </c>
      <c r="R27" s="102">
        <f>TrNavi_act!R4</f>
        <v>850.48500000000001</v>
      </c>
      <c r="S27" s="102">
        <f>TrNavi_act!S4</f>
        <v>891.87699999999995</v>
      </c>
      <c r="T27" s="102">
        <f>TrNavi_act!T4</f>
        <v>1073.558</v>
      </c>
      <c r="U27" s="102">
        <f>TrNavi_act!U4</f>
        <v>1760.558</v>
      </c>
      <c r="V27" s="102">
        <f>TrNavi_act!V4</f>
        <v>1004.247</v>
      </c>
      <c r="W27" s="102">
        <f>TrNavi_act!W4</f>
        <v>642.274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118</v>
      </c>
      <c r="C28" s="169">
        <f>TrNavi_act!C5</f>
        <v>101</v>
      </c>
      <c r="D28" s="169">
        <f>TrNavi_act!D5</f>
        <v>112</v>
      </c>
      <c r="E28" s="169">
        <f>TrNavi_act!E5</f>
        <v>109</v>
      </c>
      <c r="F28" s="169">
        <f>TrNavi_act!F5</f>
        <v>118</v>
      </c>
      <c r="G28" s="169">
        <f>TrNavi_act!G5</f>
        <v>75</v>
      </c>
      <c r="H28" s="169">
        <f>TrNavi_act!H5</f>
        <v>66</v>
      </c>
      <c r="I28" s="169">
        <f>TrNavi_act!I5</f>
        <v>102</v>
      </c>
      <c r="J28" s="169">
        <f>TrNavi_act!J5</f>
        <v>80</v>
      </c>
      <c r="K28" s="169">
        <f>TrNavi_act!K5</f>
        <v>61</v>
      </c>
      <c r="L28" s="169">
        <f>TrNavi_act!L5</f>
        <v>76</v>
      </c>
      <c r="M28" s="169">
        <f>TrNavi_act!M5</f>
        <v>90</v>
      </c>
      <c r="N28" s="169">
        <f>TrNavi_act!N5</f>
        <v>124</v>
      </c>
      <c r="O28" s="169">
        <f>TrNavi_act!O5</f>
        <v>121</v>
      </c>
      <c r="P28" s="169">
        <f>TrNavi_act!P5</f>
        <v>136</v>
      </c>
      <c r="Q28" s="169">
        <f>TrNavi_act!Q5</f>
        <v>128</v>
      </c>
      <c r="R28" s="169">
        <f>TrNavi_act!R5</f>
        <v>103</v>
      </c>
      <c r="S28" s="169">
        <f>TrNavi_act!S5</f>
        <v>122.33333333333333</v>
      </c>
      <c r="T28" s="169">
        <f>TrNavi_act!T5</f>
        <v>117.77777777777777</v>
      </c>
      <c r="U28" s="169">
        <f>TrNavi_act!U5</f>
        <v>122</v>
      </c>
      <c r="V28" s="169">
        <f>TrNavi_act!V5</f>
        <v>127</v>
      </c>
      <c r="W28" s="169">
        <f>TrNavi_act!W5</f>
        <v>148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114311.951642</v>
      </c>
      <c r="C29" s="28">
        <f t="shared" si="24"/>
        <v>132044.14726300002</v>
      </c>
      <c r="D29" s="28">
        <f t="shared" si="24"/>
        <v>149399.20454900002</v>
      </c>
      <c r="E29" s="28">
        <f t="shared" si="24"/>
        <v>162369.50329999998</v>
      </c>
      <c r="F29" s="28">
        <f t="shared" si="24"/>
        <v>166973.96856800001</v>
      </c>
      <c r="G29" s="28">
        <f t="shared" si="24"/>
        <v>152912.612517</v>
      </c>
      <c r="H29" s="28">
        <f t="shared" si="24"/>
        <v>163665.43560699999</v>
      </c>
      <c r="I29" s="28">
        <f t="shared" si="24"/>
        <v>168976.64244699999</v>
      </c>
      <c r="J29" s="28">
        <f t="shared" si="24"/>
        <v>183894.454486</v>
      </c>
      <c r="K29" s="28">
        <f t="shared" si="24"/>
        <v>157682.84138699999</v>
      </c>
      <c r="L29" s="28">
        <f t="shared" si="24"/>
        <v>177635.146832</v>
      </c>
      <c r="M29" s="28">
        <f t="shared" si="24"/>
        <v>192443.118136</v>
      </c>
      <c r="N29" s="28">
        <f t="shared" si="24"/>
        <v>182630.12815899999</v>
      </c>
      <c r="O29" s="28">
        <f t="shared" si="24"/>
        <v>188716.55197999999</v>
      </c>
      <c r="P29" s="28">
        <f t="shared" si="24"/>
        <v>186497.899393</v>
      </c>
      <c r="Q29" s="28">
        <f t="shared" si="24"/>
        <v>153546.57262599998</v>
      </c>
      <c r="R29" s="28">
        <f t="shared" si="24"/>
        <v>174951.282129</v>
      </c>
      <c r="S29" s="28">
        <f t="shared" si="24"/>
        <v>177950.76034899999</v>
      </c>
      <c r="T29" s="28">
        <f t="shared" si="24"/>
        <v>187099.230622</v>
      </c>
      <c r="U29" s="28">
        <f t="shared" si="24"/>
        <v>194413.003161</v>
      </c>
      <c r="V29" s="28">
        <f t="shared" si="24"/>
        <v>177000.00344599999</v>
      </c>
      <c r="W29" s="28">
        <f t="shared" si="24"/>
        <v>165294.57199299999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56515.607217000004</v>
      </c>
      <c r="C30" s="102">
        <f>MBunk_act!C$4</f>
        <v>54445.728969999996</v>
      </c>
      <c r="D30" s="102">
        <f>MBunk_act!D$4</f>
        <v>55928.535715999999</v>
      </c>
      <c r="E30" s="102">
        <f>MBunk_act!E$4</f>
        <v>57491.764978000007</v>
      </c>
      <c r="F30" s="102">
        <f>MBunk_act!F$4</f>
        <v>59341.023832999999</v>
      </c>
      <c r="G30" s="102">
        <f>MBunk_act!G$4</f>
        <v>55498.506164999999</v>
      </c>
      <c r="H30" s="102">
        <f>MBunk_act!H$4</f>
        <v>63809.77003</v>
      </c>
      <c r="I30" s="102">
        <f>MBunk_act!I$4</f>
        <v>64006.124450999996</v>
      </c>
      <c r="J30" s="102">
        <f>MBunk_act!J$4</f>
        <v>65254.399216999998</v>
      </c>
      <c r="K30" s="102">
        <f>MBunk_act!K$4</f>
        <v>48467.442371999998</v>
      </c>
      <c r="L30" s="102">
        <f>MBunk_act!L$4</f>
        <v>57600.035831999994</v>
      </c>
      <c r="M30" s="102">
        <f>MBunk_act!M$4</f>
        <v>57854.305908000002</v>
      </c>
      <c r="N30" s="102">
        <f>MBunk_act!N$4</f>
        <v>56365.691634999996</v>
      </c>
      <c r="O30" s="102">
        <f>MBunk_act!O$4</f>
        <v>57378.213283999998</v>
      </c>
      <c r="P30" s="102">
        <f>MBunk_act!P$4</f>
        <v>55537.508907000003</v>
      </c>
      <c r="Q30" s="102">
        <f>MBunk_act!Q$4</f>
        <v>52846.969085999997</v>
      </c>
      <c r="R30" s="102">
        <f>MBunk_act!R$4</f>
        <v>57125.338234000003</v>
      </c>
      <c r="S30" s="102">
        <f>MBunk_act!S$4</f>
        <v>59578.571152000004</v>
      </c>
      <c r="T30" s="102">
        <f>MBunk_act!T$4</f>
        <v>60739.414655</v>
      </c>
      <c r="U30" s="102">
        <f>MBunk_act!U$4</f>
        <v>59527.559879</v>
      </c>
      <c r="V30" s="102">
        <f>MBunk_act!V$4</f>
        <v>57556.723450999998</v>
      </c>
      <c r="W30" s="102">
        <f>MBunk_act!W$4</f>
        <v>56069.846175999999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57796.344425000003</v>
      </c>
      <c r="C31" s="86">
        <f>MBunk_act!C$5</f>
        <v>77598.41829300001</v>
      </c>
      <c r="D31" s="86">
        <f>MBunk_act!D$5</f>
        <v>93470.668833000003</v>
      </c>
      <c r="E31" s="86">
        <f>MBunk_act!E$5</f>
        <v>104877.73832199999</v>
      </c>
      <c r="F31" s="86">
        <f>MBunk_act!F$5</f>
        <v>107632.944735</v>
      </c>
      <c r="G31" s="86">
        <f>MBunk_act!G$5</f>
        <v>97414.106352000003</v>
      </c>
      <c r="H31" s="86">
        <f>MBunk_act!H$5</f>
        <v>99855.665576999992</v>
      </c>
      <c r="I31" s="86">
        <f>MBunk_act!I$5</f>
        <v>104970.517996</v>
      </c>
      <c r="J31" s="86">
        <f>MBunk_act!J$5</f>
        <v>118640.055269</v>
      </c>
      <c r="K31" s="86">
        <f>MBunk_act!K$5</f>
        <v>109215.399015</v>
      </c>
      <c r="L31" s="86">
        <f>MBunk_act!L$5</f>
        <v>120035.111</v>
      </c>
      <c r="M31" s="86">
        <f>MBunk_act!M$5</f>
        <v>134588.812228</v>
      </c>
      <c r="N31" s="86">
        <f>MBunk_act!N$5</f>
        <v>126264.43652399999</v>
      </c>
      <c r="O31" s="86">
        <f>MBunk_act!O$5</f>
        <v>131338.33869599999</v>
      </c>
      <c r="P31" s="86">
        <f>MBunk_act!P$5</f>
        <v>130960.39048599999</v>
      </c>
      <c r="Q31" s="86">
        <f>MBunk_act!Q$5</f>
        <v>100699.60354</v>
      </c>
      <c r="R31" s="86">
        <f>MBunk_act!R$5</f>
        <v>117825.94389499999</v>
      </c>
      <c r="S31" s="86">
        <f>MBunk_act!S$5</f>
        <v>118372.189197</v>
      </c>
      <c r="T31" s="86">
        <f>MBunk_act!T$5</f>
        <v>126359.815967</v>
      </c>
      <c r="U31" s="86">
        <f>MBunk_act!U$5</f>
        <v>134885.44328199999</v>
      </c>
      <c r="V31" s="86">
        <f>MBunk_act!V$5</f>
        <v>119443.279995</v>
      </c>
      <c r="W31" s="86">
        <f>MBunk_act!W$5</f>
        <v>109224.725817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2836.5962927216578</v>
      </c>
      <c r="C34" s="28">
        <f t="shared" si="25"/>
        <v>2872.9050487213908</v>
      </c>
      <c r="D34" s="28">
        <f t="shared" si="25"/>
        <v>2913.020129407776</v>
      </c>
      <c r="E34" s="28">
        <f t="shared" si="25"/>
        <v>2974.5841849644567</v>
      </c>
      <c r="F34" s="28">
        <f t="shared" si="25"/>
        <v>3089.0562499060629</v>
      </c>
      <c r="G34" s="28">
        <f t="shared" si="25"/>
        <v>3102.4082515937034</v>
      </c>
      <c r="H34" s="28">
        <f t="shared" si="25"/>
        <v>3201.132966012111</v>
      </c>
      <c r="I34" s="28">
        <f t="shared" si="25"/>
        <v>3352.3411029493154</v>
      </c>
      <c r="J34" s="28">
        <f t="shared" si="25"/>
        <v>3328.1296087279052</v>
      </c>
      <c r="K34" s="28">
        <f t="shared" si="25"/>
        <v>3268.1479143670795</v>
      </c>
      <c r="L34" s="28">
        <f t="shared" si="25"/>
        <v>3350.60321950563</v>
      </c>
      <c r="M34" s="28">
        <f t="shared" si="25"/>
        <v>3495.5474364301426</v>
      </c>
      <c r="N34" s="28">
        <f t="shared" si="25"/>
        <v>3450.5341960148771</v>
      </c>
      <c r="O34" s="28">
        <f t="shared" si="25"/>
        <v>3469.8837576056276</v>
      </c>
      <c r="P34" s="28">
        <f t="shared" si="25"/>
        <v>3438.6498018961993</v>
      </c>
      <c r="Q34" s="28">
        <f t="shared" si="25"/>
        <v>3487.6594819083875</v>
      </c>
      <c r="R34" s="28">
        <f t="shared" ref="R34:V34" si="26">R35+R39+R43</f>
        <v>3471.7304214810592</v>
      </c>
      <c r="S34" s="28">
        <f t="shared" si="26"/>
        <v>3529.9660344264521</v>
      </c>
      <c r="T34" s="28">
        <f t="shared" si="26"/>
        <v>3649.8540090013512</v>
      </c>
      <c r="U34" s="28">
        <f t="shared" si="26"/>
        <v>3653.6795379500909</v>
      </c>
      <c r="V34" s="28">
        <f t="shared" si="26"/>
        <v>2862.1641631487728</v>
      </c>
      <c r="W34" s="28">
        <f t="shared" ref="W34" si="27">W35+W39+W43</f>
        <v>2884.9417504525854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2335.2684596597119</v>
      </c>
      <c r="C35" s="137">
        <f t="shared" si="28"/>
        <v>2361.9402816709348</v>
      </c>
      <c r="D35" s="137">
        <f t="shared" si="28"/>
        <v>2419.4644419097272</v>
      </c>
      <c r="E35" s="137">
        <f t="shared" si="28"/>
        <v>2468.2109080149412</v>
      </c>
      <c r="F35" s="137">
        <f t="shared" si="28"/>
        <v>2529.0327302436676</v>
      </c>
      <c r="G35" s="137">
        <f t="shared" si="28"/>
        <v>2545.8015531204492</v>
      </c>
      <c r="H35" s="137">
        <f t="shared" si="28"/>
        <v>2602.6610795839592</v>
      </c>
      <c r="I35" s="137">
        <f t="shared" si="28"/>
        <v>2688.7979184564356</v>
      </c>
      <c r="J35" s="137">
        <f t="shared" si="28"/>
        <v>2619.4114770407577</v>
      </c>
      <c r="K35" s="137">
        <f t="shared" si="28"/>
        <v>2635.3590134945102</v>
      </c>
      <c r="L35" s="137">
        <f t="shared" si="28"/>
        <v>2691.1178549479496</v>
      </c>
      <c r="M35" s="137">
        <f t="shared" si="28"/>
        <v>2728.1164482554491</v>
      </c>
      <c r="N35" s="137">
        <f t="shared" si="28"/>
        <v>2720.4263966351473</v>
      </c>
      <c r="O35" s="137">
        <f t="shared" si="28"/>
        <v>2731.8717744908072</v>
      </c>
      <c r="P35" s="137">
        <f t="shared" si="28"/>
        <v>2710.4539921659011</v>
      </c>
      <c r="Q35" s="137">
        <f t="shared" si="28"/>
        <v>2746.9914254335908</v>
      </c>
      <c r="R35" s="137">
        <f t="shared" ref="R35:V35" si="29">R36+R37+R38</f>
        <v>2730.6235183936506</v>
      </c>
      <c r="S35" s="137">
        <f t="shared" si="29"/>
        <v>2746.9610460047638</v>
      </c>
      <c r="T35" s="137">
        <f t="shared" si="29"/>
        <v>2759.6898444745798</v>
      </c>
      <c r="U35" s="137">
        <f t="shared" si="29"/>
        <v>2709.9524193115576</v>
      </c>
      <c r="V35" s="137">
        <f t="shared" si="29"/>
        <v>2516.4984013485964</v>
      </c>
      <c r="W35" s="137">
        <f t="shared" ref="W35" si="30">W36+W37+W38</f>
        <v>2547.7220686023052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39.47603358400351</v>
      </c>
      <c r="C36" s="102">
        <f>TrRoad_ene!C$19</f>
        <v>38.962899956726176</v>
      </c>
      <c r="D36" s="102">
        <f>TrRoad_ene!D$19</f>
        <v>38.401675221345243</v>
      </c>
      <c r="E36" s="102">
        <f>TrRoad_ene!E$19</f>
        <v>37.814966912611879</v>
      </c>
      <c r="F36" s="102">
        <f>TrRoad_ene!F$19</f>
        <v>37.328158551797117</v>
      </c>
      <c r="G36" s="102">
        <f>TrRoad_ene!G$19</f>
        <v>36.862710673633984</v>
      </c>
      <c r="H36" s="102">
        <f>TrRoad_ene!H$19</f>
        <v>36.459840805516734</v>
      </c>
      <c r="I36" s="102">
        <f>TrRoad_ene!I$19</f>
        <v>36.23370104522477</v>
      </c>
      <c r="J36" s="102">
        <f>TrRoad_ene!J$19</f>
        <v>35.678252337084459</v>
      </c>
      <c r="K36" s="102">
        <f>TrRoad_ene!K$19</f>
        <v>35.181231209468685</v>
      </c>
      <c r="L36" s="102">
        <f>TrRoad_ene!L$19</f>
        <v>46.143503291004151</v>
      </c>
      <c r="M36" s="102">
        <f>TrRoad_ene!M$19</f>
        <v>45.41819023854557</v>
      </c>
      <c r="N36" s="102">
        <f>TrRoad_ene!N$19</f>
        <v>44.762809146392065</v>
      </c>
      <c r="O36" s="102">
        <f>TrRoad_ene!O$19</f>
        <v>44.361541318166452</v>
      </c>
      <c r="P36" s="102">
        <f>TrRoad_ene!P$19</f>
        <v>43.8569827258397</v>
      </c>
      <c r="Q36" s="102">
        <f>TrRoad_ene!Q$19</f>
        <v>43.505302069241687</v>
      </c>
      <c r="R36" s="102">
        <f>TrRoad_ene!R$19</f>
        <v>44.163883381932635</v>
      </c>
      <c r="S36" s="102">
        <f>TrRoad_ene!S$19</f>
        <v>41.409958143077191</v>
      </c>
      <c r="T36" s="102">
        <f>TrRoad_ene!T$19</f>
        <v>39.181973982917164</v>
      </c>
      <c r="U36" s="102">
        <f>TrRoad_ene!U$19</f>
        <v>41.261943765286333</v>
      </c>
      <c r="V36" s="102">
        <f>TrRoad_ene!V$19</f>
        <v>36.677778975655031</v>
      </c>
      <c r="W36" s="102">
        <f>TrRoad_ene!W$19</f>
        <v>36.625032282431768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2078.2599342563194</v>
      </c>
      <c r="C37" s="102">
        <f>TrRoad_ene!C$21</f>
        <v>2109.9163652175889</v>
      </c>
      <c r="D37" s="102">
        <f>TrRoad_ene!D$21</f>
        <v>2165.8834438987997</v>
      </c>
      <c r="E37" s="102">
        <f>TrRoad_ene!E$21</f>
        <v>2209.2448803330817</v>
      </c>
      <c r="F37" s="102">
        <f>TrRoad_ene!F$21</f>
        <v>2262.1892100338173</v>
      </c>
      <c r="G37" s="102">
        <f>TrRoad_ene!G$21</f>
        <v>2282.4160054035556</v>
      </c>
      <c r="H37" s="102">
        <f>TrRoad_ene!H$21</f>
        <v>2331.4187472753297</v>
      </c>
      <c r="I37" s="102">
        <f>TrRoad_ene!I$21</f>
        <v>2408.8730014567295</v>
      </c>
      <c r="J37" s="102">
        <f>TrRoad_ene!J$21</f>
        <v>2339.0081293545877</v>
      </c>
      <c r="K37" s="102">
        <f>TrRoad_ene!K$21</f>
        <v>2346.0769857160517</v>
      </c>
      <c r="L37" s="102">
        <f>TrRoad_ene!L$21</f>
        <v>2379.1973541568882</v>
      </c>
      <c r="M37" s="102">
        <f>TrRoad_ene!M$21</f>
        <v>2410.5947909889383</v>
      </c>
      <c r="N37" s="102">
        <f>TrRoad_ene!N$21</f>
        <v>2391.9700462138439</v>
      </c>
      <c r="O37" s="102">
        <f>TrRoad_ene!O$21</f>
        <v>2394.8235043460336</v>
      </c>
      <c r="P37" s="102">
        <f>TrRoad_ene!P$21</f>
        <v>2364.5677934840951</v>
      </c>
      <c r="Q37" s="102">
        <f>TrRoad_ene!Q$21</f>
        <v>2389.5772691616526</v>
      </c>
      <c r="R37" s="102">
        <f>TrRoad_ene!R$21</f>
        <v>2349.1991183060818</v>
      </c>
      <c r="S37" s="102">
        <f>TrRoad_ene!S$21</f>
        <v>2368.1131034961345</v>
      </c>
      <c r="T37" s="102">
        <f>TrRoad_ene!T$21</f>
        <v>2385.1776907412054</v>
      </c>
      <c r="U37" s="102">
        <f>TrRoad_ene!U$21</f>
        <v>2342.7362972572323</v>
      </c>
      <c r="V37" s="102">
        <f>TrRoad_ene!V$21</f>
        <v>2195.9878598947389</v>
      </c>
      <c r="W37" s="102">
        <f>TrRoad_ene!W$21</f>
        <v>2250.6632527570605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217.53249181938909</v>
      </c>
      <c r="C38" s="102">
        <f>TrRoad_ene!C$33</f>
        <v>213.06101649661974</v>
      </c>
      <c r="D38" s="102">
        <f>TrRoad_ene!D$33</f>
        <v>215.17932278958253</v>
      </c>
      <c r="E38" s="102">
        <f>TrRoad_ene!E$33</f>
        <v>221.15106076924741</v>
      </c>
      <c r="F38" s="102">
        <f>TrRoad_ene!F$33</f>
        <v>229.51536165805314</v>
      </c>
      <c r="G38" s="102">
        <f>TrRoad_ene!G$33</f>
        <v>226.52283704325941</v>
      </c>
      <c r="H38" s="102">
        <f>TrRoad_ene!H$33</f>
        <v>234.78249150311277</v>
      </c>
      <c r="I38" s="102">
        <f>TrRoad_ene!I$33</f>
        <v>243.69121595448149</v>
      </c>
      <c r="J38" s="102">
        <f>TrRoad_ene!J$33</f>
        <v>244.72509534908588</v>
      </c>
      <c r="K38" s="102">
        <f>TrRoad_ene!K$33</f>
        <v>254.10079656898992</v>
      </c>
      <c r="L38" s="102">
        <f>TrRoad_ene!L$33</f>
        <v>265.77699750005758</v>
      </c>
      <c r="M38" s="102">
        <f>TrRoad_ene!M$33</f>
        <v>272.10346702796517</v>
      </c>
      <c r="N38" s="102">
        <f>TrRoad_ene!N$33</f>
        <v>283.6935412749113</v>
      </c>
      <c r="O38" s="102">
        <f>TrRoad_ene!O$33</f>
        <v>292.68672882660695</v>
      </c>
      <c r="P38" s="102">
        <f>TrRoad_ene!P$33</f>
        <v>302.02921595596638</v>
      </c>
      <c r="Q38" s="102">
        <f>TrRoad_ene!Q$33</f>
        <v>313.90885420269638</v>
      </c>
      <c r="R38" s="102">
        <f>TrRoad_ene!R$33</f>
        <v>337.26051670563606</v>
      </c>
      <c r="S38" s="102">
        <f>TrRoad_ene!S$33</f>
        <v>337.43798436555187</v>
      </c>
      <c r="T38" s="102">
        <f>TrRoad_ene!T$33</f>
        <v>335.33017975045749</v>
      </c>
      <c r="U38" s="102">
        <f>TrRoad_ene!U$33</f>
        <v>325.95417828903942</v>
      </c>
      <c r="V38" s="102">
        <f>TrRoad_ene!V$33</f>
        <v>283.83276247820214</v>
      </c>
      <c r="W38" s="102">
        <f>TrRoad_ene!W$33</f>
        <v>260.43378356281301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40.931072245575898</v>
      </c>
      <c r="C39" s="110">
        <f t="shared" si="31"/>
        <v>41.4780330104916</v>
      </c>
      <c r="D39" s="110">
        <f t="shared" si="31"/>
        <v>43.704218698474975</v>
      </c>
      <c r="E39" s="110">
        <f t="shared" si="31"/>
        <v>46.871600135365881</v>
      </c>
      <c r="F39" s="110">
        <f t="shared" si="31"/>
        <v>45.998948645406102</v>
      </c>
      <c r="G39" s="110">
        <f t="shared" si="31"/>
        <v>46.534716620221154</v>
      </c>
      <c r="H39" s="110">
        <f t="shared" si="31"/>
        <v>46.707673410767882</v>
      </c>
      <c r="I39" s="110">
        <f t="shared" si="31"/>
        <v>47.990763785013037</v>
      </c>
      <c r="J39" s="110">
        <f t="shared" si="31"/>
        <v>49.404375353034972</v>
      </c>
      <c r="K39" s="110">
        <f t="shared" si="31"/>
        <v>50.894707392328769</v>
      </c>
      <c r="L39" s="110">
        <f t="shared" si="31"/>
        <v>52.229595380323147</v>
      </c>
      <c r="M39" s="110">
        <f t="shared" si="31"/>
        <v>53.082162394065087</v>
      </c>
      <c r="N39" s="110">
        <f t="shared" si="31"/>
        <v>53.240436851788715</v>
      </c>
      <c r="O39" s="110">
        <f t="shared" si="31"/>
        <v>52.552833500888539</v>
      </c>
      <c r="P39" s="110">
        <f t="shared" si="31"/>
        <v>50.560126422096999</v>
      </c>
      <c r="Q39" s="110">
        <f t="shared" si="31"/>
        <v>52.337801332851498</v>
      </c>
      <c r="R39" s="110">
        <f t="shared" ref="R39:V39" si="32">R40+R41+R42</f>
        <v>49.049268198261601</v>
      </c>
      <c r="S39" s="110">
        <f t="shared" si="32"/>
        <v>51.578251685632779</v>
      </c>
      <c r="T39" s="110">
        <f t="shared" si="32"/>
        <v>53.86462301847024</v>
      </c>
      <c r="U39" s="110">
        <f t="shared" si="32"/>
        <v>54.741776535607642</v>
      </c>
      <c r="V39" s="110">
        <f t="shared" si="32"/>
        <v>43.628037271387058</v>
      </c>
      <c r="W39" s="110">
        <f t="shared" ref="W39" si="33">W40+W41+W42</f>
        <v>44.541547696120688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2.7432333412541614</v>
      </c>
      <c r="C40" s="102">
        <f>TrRail_ene!C$12</f>
        <v>2.8149983596136656</v>
      </c>
      <c r="D40" s="102">
        <f>TrRail_ene!D$12</f>
        <v>2.8998637001471681</v>
      </c>
      <c r="E40" s="102">
        <f>TrRail_ene!E$12</f>
        <v>2.9150874897019552</v>
      </c>
      <c r="F40" s="102">
        <f>TrRail_ene!F$12</f>
        <v>2.8935610199919237</v>
      </c>
      <c r="G40" s="102">
        <f>TrRail_ene!G$12</f>
        <v>2.8609959553419326</v>
      </c>
      <c r="H40" s="102">
        <f>TrRail_ene!H$12</f>
        <v>2.8377972591319609</v>
      </c>
      <c r="I40" s="102">
        <f>TrRail_ene!I$12</f>
        <v>2.7910642901967435</v>
      </c>
      <c r="J40" s="102">
        <f>TrRail_ene!J$12</f>
        <v>2.7927770575598361</v>
      </c>
      <c r="K40" s="102">
        <f>TrRail_ene!K$12</f>
        <v>2.8074170960742397</v>
      </c>
      <c r="L40" s="102">
        <f>TrRail_ene!L$12</f>
        <v>2.7657661916049356</v>
      </c>
      <c r="M40" s="102">
        <f>TrRail_ene!M$12</f>
        <v>2.7010493295213069</v>
      </c>
      <c r="N40" s="102">
        <f>TrRail_ene!N$12</f>
        <v>2.7289327281413409</v>
      </c>
      <c r="O40" s="102">
        <f>TrRail_ene!O$12</f>
        <v>2.7070627419568898</v>
      </c>
      <c r="P40" s="102">
        <f>TrRail_ene!P$12</f>
        <v>2.643684939476814</v>
      </c>
      <c r="Q40" s="102">
        <f>TrRail_ene!Q$12</f>
        <v>2.5589028680296177</v>
      </c>
      <c r="R40" s="102">
        <f>TrRail_ene!R$12</f>
        <v>2.565844329821378</v>
      </c>
      <c r="S40" s="102">
        <f>TrRail_ene!S$12</f>
        <v>2.620636148925342</v>
      </c>
      <c r="T40" s="102">
        <f>TrRail_ene!T$12</f>
        <v>3.0253253078858502</v>
      </c>
      <c r="U40" s="102">
        <f>TrRail_ene!U$12</f>
        <v>2.968245577385336</v>
      </c>
      <c r="V40" s="102">
        <f>TrRail_ene!V$12</f>
        <v>2.9142478281776678</v>
      </c>
      <c r="W40" s="102">
        <f>TrRail_ene!W$12</f>
        <v>2.8410680876336727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37.120511087137373</v>
      </c>
      <c r="C41" s="102">
        <f>TrRail_ene!C$13</f>
        <v>37.774915137408797</v>
      </c>
      <c r="D41" s="102">
        <f>TrRail_ene!D$13</f>
        <v>38.823231228790803</v>
      </c>
      <c r="E41" s="102">
        <f>TrRail_ene!E$13</f>
        <v>41.072230248504226</v>
      </c>
      <c r="F41" s="102">
        <f>TrRail_ene!F$13</f>
        <v>40.84052897265407</v>
      </c>
      <c r="G41" s="102">
        <f>TrRail_ene!G$13</f>
        <v>39.389879029350809</v>
      </c>
      <c r="H41" s="102">
        <f>TrRail_ene!H$13</f>
        <v>38.043226633955562</v>
      </c>
      <c r="I41" s="102">
        <f>TrRail_ene!I$13</f>
        <v>37.54234609923688</v>
      </c>
      <c r="J41" s="102">
        <f>TrRail_ene!J$13</f>
        <v>38.325237385151382</v>
      </c>
      <c r="K41" s="102">
        <f>TrRail_ene!K$13</f>
        <v>40.069177802428186</v>
      </c>
      <c r="L41" s="102">
        <f>TrRail_ene!L$13</f>
        <v>40.969501780501027</v>
      </c>
      <c r="M41" s="102">
        <f>TrRail_ene!M$13</f>
        <v>40.901898767487829</v>
      </c>
      <c r="N41" s="102">
        <f>TrRail_ene!N$13</f>
        <v>41.548241112893386</v>
      </c>
      <c r="O41" s="102">
        <f>TrRail_ene!O$13</f>
        <v>40.908180462711748</v>
      </c>
      <c r="P41" s="102">
        <f>TrRail_ene!P$13</f>
        <v>39.412519285381094</v>
      </c>
      <c r="Q41" s="102">
        <f>TrRail_ene!Q$13</f>
        <v>41.813701253930105</v>
      </c>
      <c r="R41" s="102">
        <f>TrRail_ene!R$13</f>
        <v>38.333550000219546</v>
      </c>
      <c r="S41" s="102">
        <f>TrRail_ene!S$13</f>
        <v>39.42405234695245</v>
      </c>
      <c r="T41" s="102">
        <f>TrRail_ene!T$13</f>
        <v>40.884918770822267</v>
      </c>
      <c r="U41" s="102">
        <f>TrRail_ene!U$13</f>
        <v>41.392260133648975</v>
      </c>
      <c r="V41" s="102">
        <f>TrRail_ene!V$13</f>
        <v>33.668127514141233</v>
      </c>
      <c r="W41" s="102">
        <f>TrRail_ene!W$13</f>
        <v>33.813215140954632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1.0673278171843654</v>
      </c>
      <c r="C42" s="102">
        <f>TrRail_ene!C$16</f>
        <v>0.88811951346913653</v>
      </c>
      <c r="D42" s="102">
        <f>TrRail_ene!D$16</f>
        <v>1.9811237695370032</v>
      </c>
      <c r="E42" s="102">
        <f>TrRail_ene!E$16</f>
        <v>2.8842823971597031</v>
      </c>
      <c r="F42" s="102">
        <f>TrRail_ene!F$16</f>
        <v>2.2648586527601107</v>
      </c>
      <c r="G42" s="102">
        <f>TrRail_ene!G$16</f>
        <v>4.283841635528411</v>
      </c>
      <c r="H42" s="102">
        <f>TrRail_ene!H$16</f>
        <v>5.8266495176803623</v>
      </c>
      <c r="I42" s="102">
        <f>TrRail_ene!I$16</f>
        <v>7.6573533955794142</v>
      </c>
      <c r="J42" s="102">
        <f>TrRail_ene!J$16</f>
        <v>8.2863609103237525</v>
      </c>
      <c r="K42" s="102">
        <f>TrRail_ene!K$16</f>
        <v>8.0181124938263455</v>
      </c>
      <c r="L42" s="102">
        <f>TrRail_ene!L$16</f>
        <v>8.4943274082171865</v>
      </c>
      <c r="M42" s="102">
        <f>TrRail_ene!M$16</f>
        <v>9.4792142970559539</v>
      </c>
      <c r="N42" s="102">
        <f>TrRail_ene!N$16</f>
        <v>8.9632630107539892</v>
      </c>
      <c r="O42" s="102">
        <f>TrRail_ene!O$16</f>
        <v>8.9375902962199003</v>
      </c>
      <c r="P42" s="102">
        <f>TrRail_ene!P$16</f>
        <v>8.5039221972390955</v>
      </c>
      <c r="Q42" s="102">
        <f>TrRail_ene!Q$16</f>
        <v>7.9651972108917732</v>
      </c>
      <c r="R42" s="102">
        <f>TrRail_ene!R$16</f>
        <v>8.1498738682206753</v>
      </c>
      <c r="S42" s="102">
        <f>TrRail_ene!S$16</f>
        <v>9.533563189754986</v>
      </c>
      <c r="T42" s="102">
        <f>TrRail_ene!T$16</f>
        <v>9.954378939762119</v>
      </c>
      <c r="U42" s="102">
        <f>TrRail_ene!U$16</f>
        <v>10.381270824573326</v>
      </c>
      <c r="V42" s="102">
        <f>TrRail_ene!V$16</f>
        <v>7.0456619290681592</v>
      </c>
      <c r="W42" s="102">
        <f>TrRail_ene!W$16</f>
        <v>7.8872644675323791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460.39676081637026</v>
      </c>
      <c r="C43" s="110">
        <f t="shared" si="34"/>
        <v>469.48673403996418</v>
      </c>
      <c r="D43" s="110">
        <f t="shared" si="34"/>
        <v>449.85146879957415</v>
      </c>
      <c r="E43" s="110">
        <f t="shared" si="34"/>
        <v>459.50167681414939</v>
      </c>
      <c r="F43" s="110">
        <f t="shared" si="34"/>
        <v>514.02457101698928</v>
      </c>
      <c r="G43" s="110">
        <f t="shared" si="34"/>
        <v>510.07198185303332</v>
      </c>
      <c r="H43" s="110">
        <f t="shared" si="34"/>
        <v>551.76421301738401</v>
      </c>
      <c r="I43" s="110">
        <f t="shared" si="34"/>
        <v>615.5524207078671</v>
      </c>
      <c r="J43" s="110">
        <f t="shared" si="34"/>
        <v>659.31375633411267</v>
      </c>
      <c r="K43" s="110">
        <f t="shared" si="34"/>
        <v>581.8941934802408</v>
      </c>
      <c r="L43" s="110">
        <f t="shared" si="34"/>
        <v>607.25576917735714</v>
      </c>
      <c r="M43" s="110">
        <f t="shared" si="34"/>
        <v>714.34882578062832</v>
      </c>
      <c r="N43" s="110">
        <f t="shared" si="34"/>
        <v>676.86736252794105</v>
      </c>
      <c r="O43" s="110">
        <f t="shared" si="34"/>
        <v>685.45914961393214</v>
      </c>
      <c r="P43" s="110">
        <f t="shared" si="34"/>
        <v>677.63568330820112</v>
      </c>
      <c r="Q43" s="110">
        <f t="shared" si="34"/>
        <v>688.33025514194526</v>
      </c>
      <c r="R43" s="110">
        <f t="shared" ref="R43:V43" si="35">R44+R45+R46</f>
        <v>692.05763488914727</v>
      </c>
      <c r="S43" s="110">
        <f t="shared" si="35"/>
        <v>731.42673673605532</v>
      </c>
      <c r="T43" s="110">
        <f t="shared" si="35"/>
        <v>836.29954150830088</v>
      </c>
      <c r="U43" s="110">
        <f t="shared" si="35"/>
        <v>888.98534210292587</v>
      </c>
      <c r="V43" s="110">
        <f t="shared" si="35"/>
        <v>302.03772452878923</v>
      </c>
      <c r="W43" s="110">
        <f t="shared" ref="W43" si="36">W44+W45+W46</f>
        <v>292.67813415415969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122.56534882800047</v>
      </c>
      <c r="C44" s="102">
        <f>TrAvia_ene!C$7</f>
        <v>120.86186208810759</v>
      </c>
      <c r="D44" s="102">
        <f>TrAvia_ene!D$7</f>
        <v>105.48955151892343</v>
      </c>
      <c r="E44" s="102">
        <f>TrAvia_ene!E$7</f>
        <v>105.65890021703829</v>
      </c>
      <c r="F44" s="102">
        <f>TrAvia_ene!F$7</f>
        <v>107.72447054755888</v>
      </c>
      <c r="G44" s="102">
        <f>TrAvia_ene!G$7</f>
        <v>102.60279222264047</v>
      </c>
      <c r="H44" s="102">
        <f>TrAvia_ene!H$7</f>
        <v>97.484788166300888</v>
      </c>
      <c r="I44" s="102">
        <f>TrAvia_ene!I$7</f>
        <v>91.422744252676054</v>
      </c>
      <c r="J44" s="102">
        <f>TrAvia_ene!J$7</f>
        <v>88.445984440203986</v>
      </c>
      <c r="K44" s="102">
        <f>TrAvia_ene!K$7</f>
        <v>80.185821767915186</v>
      </c>
      <c r="L44" s="102">
        <f>TrAvia_ene!L$7</f>
        <v>78.231166129543084</v>
      </c>
      <c r="M44" s="102">
        <f>TrAvia_ene!M$7</f>
        <v>87.569619748309549</v>
      </c>
      <c r="N44" s="102">
        <f>TrAvia_ene!N$7</f>
        <v>73.059521641655195</v>
      </c>
      <c r="O44" s="102">
        <f>TrAvia_ene!O$7</f>
        <v>62.782086564021434</v>
      </c>
      <c r="P44" s="102">
        <f>TrAvia_ene!P$7</f>
        <v>62.847388052559559</v>
      </c>
      <c r="Q44" s="102">
        <f>TrAvia_ene!Q$7</f>
        <v>60.788942397267995</v>
      </c>
      <c r="R44" s="102">
        <f>TrAvia_ene!R$7</f>
        <v>61.799117937684414</v>
      </c>
      <c r="S44" s="102">
        <f>TrAvia_ene!S$7</f>
        <v>63.92262127680722</v>
      </c>
      <c r="T44" s="102">
        <f>TrAvia_ene!T$7</f>
        <v>70.19351235312746</v>
      </c>
      <c r="U44" s="102">
        <f>TrAvia_ene!U$7</f>
        <v>67.083041115053064</v>
      </c>
      <c r="V44" s="102">
        <f>TrAvia_ene!V$7</f>
        <v>28.804383867055108</v>
      </c>
      <c r="W44" s="102">
        <f>TrAvia_ene!W$7</f>
        <v>25.748136393361111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219.90767879912212</v>
      </c>
      <c r="C45" s="102">
        <f>TrAvia_ene!C$8</f>
        <v>229.36201768534079</v>
      </c>
      <c r="D45" s="102">
        <f>TrAvia_ene!D$8</f>
        <v>221.07703618292655</v>
      </c>
      <c r="E45" s="102">
        <f>TrAvia_ene!E$8</f>
        <v>231.01537768653833</v>
      </c>
      <c r="F45" s="102">
        <f>TrAvia_ene!F$8</f>
        <v>258.03714445019511</v>
      </c>
      <c r="G45" s="102">
        <f>TrAvia_ene!G$8</f>
        <v>258.19726909971143</v>
      </c>
      <c r="H45" s="102">
        <f>TrAvia_ene!H$8</f>
        <v>292.70176190962997</v>
      </c>
      <c r="I45" s="102">
        <f>TrAvia_ene!I$8</f>
        <v>341.53419912123758</v>
      </c>
      <c r="J45" s="102">
        <f>TrAvia_ene!J$8</f>
        <v>369.54365170095593</v>
      </c>
      <c r="K45" s="102">
        <f>TrAvia_ene!K$8</f>
        <v>318.8983298612751</v>
      </c>
      <c r="L45" s="102">
        <f>TrAvia_ene!L$8</f>
        <v>336.26128455137422</v>
      </c>
      <c r="M45" s="102">
        <f>TrAvia_ene!M$8</f>
        <v>398.37845896453979</v>
      </c>
      <c r="N45" s="102">
        <f>TrAvia_ene!N$8</f>
        <v>377.50286925740198</v>
      </c>
      <c r="O45" s="102">
        <f>TrAvia_ene!O$8</f>
        <v>389.12269481692027</v>
      </c>
      <c r="P45" s="102">
        <f>TrAvia_ene!P$8</f>
        <v>387.38226252014175</v>
      </c>
      <c r="Q45" s="102">
        <f>TrAvia_ene!Q$8</f>
        <v>397.67167903789652</v>
      </c>
      <c r="R45" s="102">
        <f>TrAvia_ene!R$8</f>
        <v>408.62160566877282</v>
      </c>
      <c r="S45" s="102">
        <f>TrAvia_ene!S$8</f>
        <v>440.36352692939636</v>
      </c>
      <c r="T45" s="102">
        <f>TrAvia_ene!T$8</f>
        <v>504.17486308631055</v>
      </c>
      <c r="U45" s="102">
        <f>TrAvia_ene!U$8</f>
        <v>535.90228338199097</v>
      </c>
      <c r="V45" s="102">
        <f>TrAvia_ene!V$8</f>
        <v>160.56446440586052</v>
      </c>
      <c r="W45" s="102">
        <f>TrAvia_ene!W$8</f>
        <v>165.49030886964297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117.92373318924766</v>
      </c>
      <c r="C46" s="102">
        <f>TrAvia_ene!C$9</f>
        <v>119.26285426651579</v>
      </c>
      <c r="D46" s="102">
        <f>TrAvia_ene!D$9</f>
        <v>123.28488109772415</v>
      </c>
      <c r="E46" s="102">
        <f>TrAvia_ene!E$9</f>
        <v>122.82739891057275</v>
      </c>
      <c r="F46" s="102">
        <f>TrAvia_ene!F$9</f>
        <v>148.26295601923528</v>
      </c>
      <c r="G46" s="102">
        <f>TrAvia_ene!G$9</f>
        <v>149.27192053068146</v>
      </c>
      <c r="H46" s="102">
        <f>TrAvia_ene!H$9</f>
        <v>161.57766294145318</v>
      </c>
      <c r="I46" s="102">
        <f>TrAvia_ene!I$9</f>
        <v>182.59547733395348</v>
      </c>
      <c r="J46" s="102">
        <f>TrAvia_ene!J$9</f>
        <v>201.32412019295271</v>
      </c>
      <c r="K46" s="102">
        <f>TrAvia_ene!K$9</f>
        <v>182.81004185105056</v>
      </c>
      <c r="L46" s="102">
        <f>TrAvia_ene!L$9</f>
        <v>192.76331849643984</v>
      </c>
      <c r="M46" s="102">
        <f>TrAvia_ene!M$9</f>
        <v>228.40074706777895</v>
      </c>
      <c r="N46" s="102">
        <f>TrAvia_ene!N$9</f>
        <v>226.30497162888392</v>
      </c>
      <c r="O46" s="102">
        <f>TrAvia_ene!O$9</f>
        <v>233.55436823299047</v>
      </c>
      <c r="P46" s="102">
        <f>TrAvia_ene!P$9</f>
        <v>227.40603273549985</v>
      </c>
      <c r="Q46" s="102">
        <f>TrAvia_ene!Q$9</f>
        <v>229.86963370678072</v>
      </c>
      <c r="R46" s="102">
        <f>TrAvia_ene!R$9</f>
        <v>221.63691128269005</v>
      </c>
      <c r="S46" s="102">
        <f>TrAvia_ene!S$9</f>
        <v>227.14058852985181</v>
      </c>
      <c r="T46" s="102">
        <f>TrAvia_ene!T$9</f>
        <v>261.93116606886281</v>
      </c>
      <c r="U46" s="102">
        <f>TrAvia_ene!U$9</f>
        <v>286.00001760588174</v>
      </c>
      <c r="V46" s="102">
        <f>TrAvia_ene!V$9</f>
        <v>112.66887625587358</v>
      </c>
      <c r="W46" s="102">
        <f>TrAvia_ene!W$9</f>
        <v>101.43968889115563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1430.2762367113378</v>
      </c>
      <c r="C47" s="28">
        <f t="shared" si="37"/>
        <v>1447.253450363221</v>
      </c>
      <c r="D47" s="28">
        <f t="shared" si="37"/>
        <v>1467.1398586891039</v>
      </c>
      <c r="E47" s="28">
        <f t="shared" si="37"/>
        <v>1483.5227457014544</v>
      </c>
      <c r="F47" s="28">
        <f t="shared" si="37"/>
        <v>1531.5156039660351</v>
      </c>
      <c r="G47" s="28">
        <f t="shared" si="37"/>
        <v>1523.982540282323</v>
      </c>
      <c r="H47" s="28">
        <f t="shared" si="37"/>
        <v>1533.6958483604944</v>
      </c>
      <c r="I47" s="28">
        <f t="shared" si="37"/>
        <v>1572.480802268396</v>
      </c>
      <c r="J47" s="28">
        <f t="shared" si="37"/>
        <v>1505.8420992382999</v>
      </c>
      <c r="K47" s="28">
        <f t="shared" si="37"/>
        <v>1366.4648020543482</v>
      </c>
      <c r="L47" s="28">
        <f t="shared" si="37"/>
        <v>1484.5509596829422</v>
      </c>
      <c r="M47" s="28">
        <f t="shared" si="37"/>
        <v>1435.3550769985086</v>
      </c>
      <c r="N47" s="28">
        <f t="shared" si="37"/>
        <v>1356.0798750583053</v>
      </c>
      <c r="O47" s="28">
        <f t="shared" si="37"/>
        <v>1370.3694791341545</v>
      </c>
      <c r="P47" s="28">
        <f t="shared" si="37"/>
        <v>1295.8675078653782</v>
      </c>
      <c r="Q47" s="28">
        <f t="shared" si="37"/>
        <v>1254.7882041455709</v>
      </c>
      <c r="R47" s="28">
        <f t="shared" ref="R47:V47" si="38">R48+R51+R52+R56</f>
        <v>1346.3766396158035</v>
      </c>
      <c r="S47" s="28">
        <f t="shared" si="38"/>
        <v>1341.3855583370032</v>
      </c>
      <c r="T47" s="28">
        <f t="shared" si="38"/>
        <v>1363.9322273133523</v>
      </c>
      <c r="U47" s="28">
        <f t="shared" si="38"/>
        <v>1356.2020226175664</v>
      </c>
      <c r="V47" s="28">
        <f t="shared" si="38"/>
        <v>1297.1024236013029</v>
      </c>
      <c r="W47" s="28">
        <f t="shared" ref="W47" si="39">W48+W51+W52+W56</f>
        <v>1407.5342631381554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1204.616795482656</v>
      </c>
      <c r="C48" s="137">
        <f t="shared" si="40"/>
        <v>1238.5396275598505</v>
      </c>
      <c r="D48" s="137">
        <f t="shared" si="40"/>
        <v>1254.4234051725357</v>
      </c>
      <c r="E48" s="137">
        <f t="shared" si="40"/>
        <v>1264.4254293577626</v>
      </c>
      <c r="F48" s="137">
        <f t="shared" si="40"/>
        <v>1313.1088570764098</v>
      </c>
      <c r="G48" s="137">
        <f t="shared" si="40"/>
        <v>1303.7023084030411</v>
      </c>
      <c r="H48" s="137">
        <f t="shared" si="40"/>
        <v>1297.4400477723093</v>
      </c>
      <c r="I48" s="137">
        <f t="shared" si="40"/>
        <v>1335.0894209831163</v>
      </c>
      <c r="J48" s="137">
        <f t="shared" si="40"/>
        <v>1298.5837906846907</v>
      </c>
      <c r="K48" s="137">
        <f t="shared" si="40"/>
        <v>1166.9379677592478</v>
      </c>
      <c r="L48" s="137">
        <f t="shared" si="40"/>
        <v>1261.1133663730388</v>
      </c>
      <c r="M48" s="137">
        <f t="shared" si="40"/>
        <v>1220.7372259642596</v>
      </c>
      <c r="N48" s="137">
        <f t="shared" si="40"/>
        <v>1150.6856967940114</v>
      </c>
      <c r="O48" s="137">
        <f t="shared" si="40"/>
        <v>1168.2747554561979</v>
      </c>
      <c r="P48" s="137">
        <f t="shared" si="40"/>
        <v>1114.3560089112398</v>
      </c>
      <c r="Q48" s="137">
        <f t="shared" si="40"/>
        <v>1079.6193732600927</v>
      </c>
      <c r="R48" s="137">
        <f t="shared" ref="R48:V48" si="41">R49+R50</f>
        <v>1178.0278247324472</v>
      </c>
      <c r="S48" s="137">
        <f t="shared" si="41"/>
        <v>1165.5447170080465</v>
      </c>
      <c r="T48" s="137">
        <f t="shared" si="41"/>
        <v>1185.0251966552569</v>
      </c>
      <c r="U48" s="137">
        <f t="shared" si="41"/>
        <v>1170.7315488227378</v>
      </c>
      <c r="V48" s="137">
        <f t="shared" si="41"/>
        <v>1137.982372847739</v>
      </c>
      <c r="W48" s="137">
        <f t="shared" ref="W48" si="42">W49+W50</f>
        <v>1241.3129303710671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410.40850695164488</v>
      </c>
      <c r="C49" s="102">
        <f>TrRoad_ene!C$43</f>
        <v>409.03830997320199</v>
      </c>
      <c r="D49" s="102">
        <f>TrRoad_ene!D$43</f>
        <v>408.91813957431856</v>
      </c>
      <c r="E49" s="102">
        <f>TrRoad_ene!E$43</f>
        <v>409.17948993989353</v>
      </c>
      <c r="F49" s="102">
        <f>TrRoad_ene!F$43</f>
        <v>436.087045569586</v>
      </c>
      <c r="G49" s="102">
        <f>TrRoad_ene!G$43</f>
        <v>436.57669744889512</v>
      </c>
      <c r="H49" s="102">
        <f>TrRoad_ene!H$43</f>
        <v>446.25354908651502</v>
      </c>
      <c r="I49" s="102">
        <f>TrRoad_ene!I$43</f>
        <v>471.03853053673907</v>
      </c>
      <c r="J49" s="102">
        <f>TrRoad_ene!J$43</f>
        <v>483.5862015100052</v>
      </c>
      <c r="K49" s="102">
        <f>TrRoad_ene!K$43</f>
        <v>482.06360294133265</v>
      </c>
      <c r="L49" s="102">
        <f>TrRoad_ene!L$43</f>
        <v>509.64428524122309</v>
      </c>
      <c r="M49" s="102">
        <f>TrRoad_ene!M$43</f>
        <v>535.92358895908217</v>
      </c>
      <c r="N49" s="102">
        <f>TrRoad_ene!N$43</f>
        <v>542.8054805980164</v>
      </c>
      <c r="O49" s="102">
        <f>TrRoad_ene!O$43</f>
        <v>563.25905681539939</v>
      </c>
      <c r="P49" s="102">
        <f>TrRoad_ene!P$43</f>
        <v>565.36756142472143</v>
      </c>
      <c r="Q49" s="102">
        <f>TrRoad_ene!Q$43</f>
        <v>579.28312283181276</v>
      </c>
      <c r="R49" s="102">
        <f>TrRoad_ene!R$43</f>
        <v>601.41839743563207</v>
      </c>
      <c r="S49" s="102">
        <f>TrRoad_ene!S$43</f>
        <v>601.5381883254056</v>
      </c>
      <c r="T49" s="102">
        <f>TrRoad_ene!T$43</f>
        <v>624.69518699675666</v>
      </c>
      <c r="U49" s="102">
        <f>TrRoad_ene!U$43</f>
        <v>631.99786928836693</v>
      </c>
      <c r="V49" s="102">
        <f>TrRoad_ene!V$43</f>
        <v>627.11572862668413</v>
      </c>
      <c r="W49" s="102">
        <f>TrRoad_ene!W$43</f>
        <v>675.48685548387812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794.20828853101125</v>
      </c>
      <c r="C50" s="102">
        <f>TrRoad_ene!C$52</f>
        <v>829.50131758664861</v>
      </c>
      <c r="D50" s="102">
        <f>TrRoad_ene!D$52</f>
        <v>845.50526559821708</v>
      </c>
      <c r="E50" s="102">
        <f>TrRoad_ene!E$52</f>
        <v>855.24593941786907</v>
      </c>
      <c r="F50" s="102">
        <f>TrRoad_ene!F$52</f>
        <v>877.02181150682372</v>
      </c>
      <c r="G50" s="102">
        <f>TrRoad_ene!G$52</f>
        <v>867.12561095414594</v>
      </c>
      <c r="H50" s="102">
        <f>TrRoad_ene!H$52</f>
        <v>851.18649868579416</v>
      </c>
      <c r="I50" s="102">
        <f>TrRoad_ene!I$52</f>
        <v>864.05089044637725</v>
      </c>
      <c r="J50" s="102">
        <f>TrRoad_ene!J$52</f>
        <v>814.99758917468546</v>
      </c>
      <c r="K50" s="102">
        <f>TrRoad_ene!K$52</f>
        <v>684.87436481791531</v>
      </c>
      <c r="L50" s="102">
        <f>TrRoad_ene!L$52</f>
        <v>751.46908113181564</v>
      </c>
      <c r="M50" s="102">
        <f>TrRoad_ene!M$52</f>
        <v>684.81363700517738</v>
      </c>
      <c r="N50" s="102">
        <f>TrRoad_ene!N$52</f>
        <v>607.88021619599499</v>
      </c>
      <c r="O50" s="102">
        <f>TrRoad_ene!O$52</f>
        <v>605.0156986407984</v>
      </c>
      <c r="P50" s="102">
        <f>TrRoad_ene!P$52</f>
        <v>548.98844748651823</v>
      </c>
      <c r="Q50" s="102">
        <f>TrRoad_ene!Q$52</f>
        <v>500.33625042828004</v>
      </c>
      <c r="R50" s="102">
        <f>TrRoad_ene!R$52</f>
        <v>576.60942729681506</v>
      </c>
      <c r="S50" s="102">
        <f>TrRoad_ene!S$52</f>
        <v>564.00652868264092</v>
      </c>
      <c r="T50" s="102">
        <f>TrRoad_ene!T$52</f>
        <v>560.33000965850033</v>
      </c>
      <c r="U50" s="102">
        <f>TrRoad_ene!U$52</f>
        <v>538.73367953437094</v>
      </c>
      <c r="V50" s="102">
        <f>TrRoad_ene!V$52</f>
        <v>510.86664422105491</v>
      </c>
      <c r="W50" s="102">
        <f>TrRoad_ene!W$52</f>
        <v>565.82607488718884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53.599366275490297</v>
      </c>
      <c r="C51" s="110">
        <f>TrRail_ene!C$17</f>
        <v>52.292904220806761</v>
      </c>
      <c r="D51" s="110">
        <f>TrRail_ene!D$17</f>
        <v>50.420200905996211</v>
      </c>
      <c r="E51" s="110">
        <f>TrRail_ene!E$17</f>
        <v>50.176293243825853</v>
      </c>
      <c r="F51" s="110">
        <f>TrRail_ene!F$17</f>
        <v>52.128480417362596</v>
      </c>
      <c r="G51" s="110">
        <f>TrRail_ene!G$17</f>
        <v>51.095893869890624</v>
      </c>
      <c r="H51" s="110">
        <f>TrRail_ene!H$17</f>
        <v>55.261372161029179</v>
      </c>
      <c r="I51" s="110">
        <f>TrRail_ene!I$17</f>
        <v>50.021102079131403</v>
      </c>
      <c r="J51" s="110">
        <f>TrRail_ene!J$17</f>
        <v>50.489863683938367</v>
      </c>
      <c r="K51" s="110">
        <f>TrRail_ene!K$17</f>
        <v>41.324381171729684</v>
      </c>
      <c r="L51" s="110">
        <f>TrRail_ene!L$17</f>
        <v>43.078659133864278</v>
      </c>
      <c r="M51" s="110">
        <f>TrRail_ene!M$17</f>
        <v>42.383615765866111</v>
      </c>
      <c r="N51" s="110">
        <f>TrRail_ene!N$17</f>
        <v>42.827232967643766</v>
      </c>
      <c r="O51" s="110">
        <f>TrRail_ene!O$17</f>
        <v>40.396435630667767</v>
      </c>
      <c r="P51" s="110">
        <f>TrRail_ene!P$17</f>
        <v>39.293699889166959</v>
      </c>
      <c r="Q51" s="110">
        <f>TrRail_ene!Q$17</f>
        <v>30.607856448747814</v>
      </c>
      <c r="R51" s="110">
        <f>TrRail_ene!R$17</f>
        <v>32.587877115581897</v>
      </c>
      <c r="S51" s="110">
        <f>TrRail_ene!S$17</f>
        <v>34.726821401211566</v>
      </c>
      <c r="T51" s="110">
        <f>TrRail_ene!T$17</f>
        <v>38.267707162097253</v>
      </c>
      <c r="U51" s="110">
        <f>TrRail_ene!U$17</f>
        <v>35.511791822087986</v>
      </c>
      <c r="V51" s="110">
        <f>TrRail_ene!V$17</f>
        <v>36.233441662404843</v>
      </c>
      <c r="W51" s="110">
        <f>TrRail_ene!W$17</f>
        <v>38.491642329674669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10.184666526707971</v>
      </c>
      <c r="C52" s="110">
        <f t="shared" si="43"/>
        <v>8.3340742145497977</v>
      </c>
      <c r="D52" s="110">
        <f t="shared" si="43"/>
        <v>8.3194684317243688</v>
      </c>
      <c r="E52" s="110">
        <f t="shared" si="43"/>
        <v>10.035898422307993</v>
      </c>
      <c r="F52" s="110">
        <f t="shared" si="43"/>
        <v>13.428395449046747</v>
      </c>
      <c r="G52" s="110">
        <f t="shared" si="43"/>
        <v>14.268860795289875</v>
      </c>
      <c r="H52" s="110">
        <f t="shared" si="43"/>
        <v>14.988409510561031</v>
      </c>
      <c r="I52" s="110">
        <f t="shared" si="43"/>
        <v>16.354973961092526</v>
      </c>
      <c r="J52" s="110">
        <f t="shared" si="43"/>
        <v>13.961738076893393</v>
      </c>
      <c r="K52" s="110">
        <f t="shared" si="43"/>
        <v>10.713545126809903</v>
      </c>
      <c r="L52" s="110">
        <f t="shared" si="43"/>
        <v>11.206999524276512</v>
      </c>
      <c r="M52" s="110">
        <f t="shared" si="43"/>
        <v>11.671036644135244</v>
      </c>
      <c r="N52" s="110">
        <f t="shared" si="43"/>
        <v>12.955423370597028</v>
      </c>
      <c r="O52" s="110">
        <f t="shared" si="43"/>
        <v>13.671460876179509</v>
      </c>
      <c r="P52" s="110">
        <f t="shared" si="43"/>
        <v>12.187102590336956</v>
      </c>
      <c r="Q52" s="110">
        <f t="shared" si="43"/>
        <v>12.868713043781165</v>
      </c>
      <c r="R52" s="110">
        <f t="shared" si="43"/>
        <v>12.24399881678543</v>
      </c>
      <c r="S52" s="110">
        <f t="shared" si="43"/>
        <v>13.2087748718551</v>
      </c>
      <c r="T52" s="110">
        <f t="shared" si="43"/>
        <v>12.790484287056008</v>
      </c>
      <c r="U52" s="110">
        <f t="shared" si="43"/>
        <v>18.020074922009872</v>
      </c>
      <c r="V52" s="110">
        <f t="shared" si="43"/>
        <v>10.301054490987191</v>
      </c>
      <c r="W52" s="110">
        <f t="shared" ref="W52" si="44">W53+W54+W55</f>
        <v>10.352820274043193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1.5581249467200677</v>
      </c>
      <c r="C53" s="102">
        <f>TrAvia_ene!C$11</f>
        <v>1.1931680064753614</v>
      </c>
      <c r="D53" s="102">
        <f>TrAvia_ene!D$11</f>
        <v>1.0524949127189105</v>
      </c>
      <c r="E53" s="102">
        <f>TrAvia_ene!E$11</f>
        <v>0.87351594805202537</v>
      </c>
      <c r="F53" s="102">
        <f>TrAvia_ene!F$11</f>
        <v>0.87638929766893348</v>
      </c>
      <c r="G53" s="102">
        <f>TrAvia_ene!G$11</f>
        <v>0.8175001247370226</v>
      </c>
      <c r="H53" s="102">
        <f>TrAvia_ene!H$11</f>
        <v>0.77402524728467037</v>
      </c>
      <c r="I53" s="102">
        <f>TrAvia_ene!I$11</f>
        <v>0.63082410501955921</v>
      </c>
      <c r="J53" s="102">
        <f>TrAvia_ene!J$11</f>
        <v>0.50500438180805274</v>
      </c>
      <c r="K53" s="102">
        <f>TrAvia_ene!K$11</f>
        <v>0.49156430259211514</v>
      </c>
      <c r="L53" s="102">
        <f>TrAvia_ene!L$11</f>
        <v>0.37777626082663807</v>
      </c>
      <c r="M53" s="102">
        <f>TrAvia_ene!M$11</f>
        <v>0.34714723363369765</v>
      </c>
      <c r="N53" s="102">
        <f>TrAvia_ene!N$11</f>
        <v>0.37839753289336825</v>
      </c>
      <c r="O53" s="102">
        <f>TrAvia_ene!O$11</f>
        <v>0.31387216340762181</v>
      </c>
      <c r="P53" s="102">
        <f>TrAvia_ene!P$11</f>
        <v>0.2485706748695001</v>
      </c>
      <c r="Q53" s="102">
        <f>TrAvia_ene!Q$11</f>
        <v>0.23857265002348824</v>
      </c>
      <c r="R53" s="102">
        <f>TrAvia_ene!R$11</f>
        <v>0.26261894967585431</v>
      </c>
      <c r="S53" s="102">
        <f>TrAvia_ene!S$11</f>
        <v>0.20747330616782977</v>
      </c>
      <c r="T53" s="102">
        <f>TrAvia_ene!T$11</f>
        <v>0.14182728573753822</v>
      </c>
      <c r="U53" s="102">
        <f>TrAvia_ene!U$11</f>
        <v>0.14971898812835494</v>
      </c>
      <c r="V53" s="102">
        <f>TrAvia_ene!V$11</f>
        <v>0.16285602976345898</v>
      </c>
      <c r="W53" s="102">
        <f>TrAvia_ene!W$11</f>
        <v>0.1165239677738845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4.563849640169896</v>
      </c>
      <c r="C54" s="102">
        <f>TrAvia_ene!C$12</f>
        <v>4.0637338951354263</v>
      </c>
      <c r="D54" s="102">
        <f>TrAvia_ene!D$12</f>
        <v>3.8217459705385841</v>
      </c>
      <c r="E54" s="102">
        <f>TrAvia_ene!E$12</f>
        <v>5.7196363755623718</v>
      </c>
      <c r="F54" s="102">
        <f>TrAvia_ene!F$12</f>
        <v>7.8779444928807711</v>
      </c>
      <c r="G54" s="102">
        <f>TrAvia_ene!G$12</f>
        <v>8.0028043235305688</v>
      </c>
      <c r="H54" s="102">
        <f>TrAvia_ene!H$12</f>
        <v>9.9169518116878397</v>
      </c>
      <c r="I54" s="102">
        <f>TrAvia_ene!I$12</f>
        <v>11.433909465410485</v>
      </c>
      <c r="J54" s="102">
        <f>TrAvia_ene!J$12</f>
        <v>9.7170585172855652</v>
      </c>
      <c r="K54" s="102">
        <f>TrAvia_ene!K$12</f>
        <v>8.0017037184725925</v>
      </c>
      <c r="L54" s="102">
        <f>TrAvia_ene!L$12</f>
        <v>8.374231520293284</v>
      </c>
      <c r="M54" s="102">
        <f>TrAvia_ene!M$12</f>
        <v>7.6727031715018086</v>
      </c>
      <c r="N54" s="102">
        <f>TrAvia_ene!N$12</f>
        <v>7.5431763680382211</v>
      </c>
      <c r="O54" s="102">
        <f>TrAvia_ene!O$12</f>
        <v>9.0103639297636118</v>
      </c>
      <c r="P54" s="102">
        <f>TrAvia_ene!P$12</f>
        <v>8.9421726601718827</v>
      </c>
      <c r="Q54" s="102">
        <f>TrAvia_ene!Q$12</f>
        <v>10.160595329076649</v>
      </c>
      <c r="R54" s="102">
        <f>TrAvia_ene!R$12</f>
        <v>9.6085252742751628</v>
      </c>
      <c r="S54" s="102">
        <f>TrAvia_ene!S$12</f>
        <v>10.692450507079688</v>
      </c>
      <c r="T54" s="102">
        <f>TrAvia_ene!T$12</f>
        <v>10.276292023985683</v>
      </c>
      <c r="U54" s="102">
        <f>TrAvia_ene!U$12</f>
        <v>15.7220403788745</v>
      </c>
      <c r="V54" s="102">
        <f>TrAvia_ene!V$12</f>
        <v>7.3450491101301374</v>
      </c>
      <c r="W54" s="102">
        <f>TrAvia_ene!W$12</f>
        <v>7.0038588740679906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4.0626919398180075</v>
      </c>
      <c r="C55" s="102">
        <f>TrAvia_ene!C$13</f>
        <v>3.0771723129390103</v>
      </c>
      <c r="D55" s="102">
        <f>TrAvia_ene!D$13</f>
        <v>3.4452275484668751</v>
      </c>
      <c r="E55" s="102">
        <f>TrAvia_ene!E$13</f>
        <v>3.4427460986935956</v>
      </c>
      <c r="F55" s="102">
        <f>TrAvia_ene!F$13</f>
        <v>4.6740616584970409</v>
      </c>
      <c r="G55" s="102">
        <f>TrAvia_ene!G$13</f>
        <v>5.448556347022282</v>
      </c>
      <c r="H55" s="102">
        <f>TrAvia_ene!H$13</f>
        <v>4.2974324515885209</v>
      </c>
      <c r="I55" s="102">
        <f>TrAvia_ene!I$13</f>
        <v>4.29024039066248</v>
      </c>
      <c r="J55" s="102">
        <f>TrAvia_ene!J$13</f>
        <v>3.7396751777997745</v>
      </c>
      <c r="K55" s="102">
        <f>TrAvia_ene!K$13</f>
        <v>2.2202771057451951</v>
      </c>
      <c r="L55" s="102">
        <f>TrAvia_ene!L$13</f>
        <v>2.4549917431565906</v>
      </c>
      <c r="M55" s="102">
        <f>TrAvia_ene!M$13</f>
        <v>3.6511862389997387</v>
      </c>
      <c r="N55" s="102">
        <f>TrAvia_ene!N$13</f>
        <v>5.0338494696654381</v>
      </c>
      <c r="O55" s="102">
        <f>TrAvia_ene!O$13</f>
        <v>4.3472247830082758</v>
      </c>
      <c r="P55" s="102">
        <f>TrAvia_ene!P$13</f>
        <v>2.9963592552955736</v>
      </c>
      <c r="Q55" s="102">
        <f>TrAvia_ene!Q$13</f>
        <v>2.4695450646810273</v>
      </c>
      <c r="R55" s="102">
        <f>TrAvia_ene!R$13</f>
        <v>2.3728545928344125</v>
      </c>
      <c r="S55" s="102">
        <f>TrAvia_ene!S$13</f>
        <v>2.308851058607583</v>
      </c>
      <c r="T55" s="102">
        <f>TrAvia_ene!T$13</f>
        <v>2.3723649773327882</v>
      </c>
      <c r="U55" s="102">
        <f>TrAvia_ene!U$13</f>
        <v>2.1483155550070197</v>
      </c>
      <c r="V55" s="102">
        <f>TrAvia_ene!V$13</f>
        <v>2.7931493510935952</v>
      </c>
      <c r="W55" s="102">
        <f>TrAvia_ene!W$13</f>
        <v>3.2324374322013183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161.8754084264832</v>
      </c>
      <c r="C56" s="110">
        <f t="shared" si="45"/>
        <v>148.08684436801371</v>
      </c>
      <c r="D56" s="110">
        <f t="shared" si="45"/>
        <v>153.97678417884779</v>
      </c>
      <c r="E56" s="110">
        <f t="shared" si="45"/>
        <v>158.88512467755805</v>
      </c>
      <c r="F56" s="110">
        <f t="shared" si="45"/>
        <v>152.84987102321583</v>
      </c>
      <c r="G56" s="110">
        <f t="shared" si="45"/>
        <v>154.91547721410149</v>
      </c>
      <c r="H56" s="110">
        <f t="shared" si="45"/>
        <v>166.006018916595</v>
      </c>
      <c r="I56" s="110">
        <f t="shared" si="45"/>
        <v>171.01530524505586</v>
      </c>
      <c r="J56" s="110">
        <f t="shared" si="45"/>
        <v>142.80670679277731</v>
      </c>
      <c r="K56" s="110">
        <f t="shared" si="45"/>
        <v>147.48890799656061</v>
      </c>
      <c r="L56" s="110">
        <f t="shared" si="45"/>
        <v>169.1519346517627</v>
      </c>
      <c r="M56" s="110">
        <f t="shared" si="45"/>
        <v>160.5631986242476</v>
      </c>
      <c r="N56" s="110">
        <f t="shared" si="45"/>
        <v>149.61152192605331</v>
      </c>
      <c r="O56" s="110">
        <f t="shared" si="45"/>
        <v>148.0268271711092</v>
      </c>
      <c r="P56" s="110">
        <f t="shared" si="45"/>
        <v>130.03069647463457</v>
      </c>
      <c r="Q56" s="110">
        <f t="shared" si="45"/>
        <v>131.69226139294926</v>
      </c>
      <c r="R56" s="110">
        <f t="shared" ref="R56:V56" si="46">R57+R58</f>
        <v>123.51693895098884</v>
      </c>
      <c r="S56" s="110">
        <f t="shared" si="46"/>
        <v>127.90524505588996</v>
      </c>
      <c r="T56" s="110">
        <f t="shared" si="46"/>
        <v>127.84883920894239</v>
      </c>
      <c r="U56" s="110">
        <f t="shared" si="46"/>
        <v>131.93860705073087</v>
      </c>
      <c r="V56" s="110">
        <f t="shared" si="46"/>
        <v>112.58555460017195</v>
      </c>
      <c r="W56" s="110">
        <f t="shared" ref="W56" si="47">W57+W58</f>
        <v>117.37687016337057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138.80776418512909</v>
      </c>
      <c r="C57" s="102">
        <f>TrNavi_ene!C4</f>
        <v>128.78717148522759</v>
      </c>
      <c r="D57" s="102">
        <f>TrNavi_ene!D4</f>
        <v>134.25698258475603</v>
      </c>
      <c r="E57" s="102">
        <f>TrNavi_ene!E4</f>
        <v>134.48847025712769</v>
      </c>
      <c r="F57" s="102">
        <f>TrNavi_ene!F4</f>
        <v>126.2403391873324</v>
      </c>
      <c r="G57" s="102">
        <f>TrNavi_ene!G4</f>
        <v>133.96795048039189</v>
      </c>
      <c r="H57" s="102">
        <f>TrNavi_ene!H4</f>
        <v>149.27785410523069</v>
      </c>
      <c r="I57" s="102">
        <f>TrNavi_ene!I4</f>
        <v>146.95566707877708</v>
      </c>
      <c r="J57" s="102">
        <f>TrNavi_ene!J4</f>
        <v>129.55163859506902</v>
      </c>
      <c r="K57" s="102">
        <f>TrNavi_ene!K4</f>
        <v>134.49025854431903</v>
      </c>
      <c r="L57" s="102">
        <f>TrNavi_ene!L4</f>
        <v>160.27087596806291</v>
      </c>
      <c r="M57" s="102">
        <f>TrNavi_ene!M4</f>
        <v>151.5477251185246</v>
      </c>
      <c r="N57" s="102">
        <f>TrNavi_ene!N4</f>
        <v>132.49133783453291</v>
      </c>
      <c r="O57" s="102">
        <f>TrNavi_ene!O4</f>
        <v>125.67074067197984</v>
      </c>
      <c r="P57" s="102">
        <f>TrNavi_ene!P4</f>
        <v>113.13041591887469</v>
      </c>
      <c r="Q57" s="102">
        <f>TrNavi_ene!Q4</f>
        <v>117.08560218655992</v>
      </c>
      <c r="R57" s="102">
        <f>TrNavi_ene!R4</f>
        <v>113.45046349309969</v>
      </c>
      <c r="S57" s="102">
        <f>TrNavi_ene!S4</f>
        <v>116.98251324095446</v>
      </c>
      <c r="T57" s="102">
        <f>TrNavi_ene!T4</f>
        <v>118.90853589794575</v>
      </c>
      <c r="U57" s="102">
        <f>TrNavi_ene!U4</f>
        <v>125.92486366566352</v>
      </c>
      <c r="V57" s="102">
        <f>TrNavi_ene!V4</f>
        <v>102.48561814339617</v>
      </c>
      <c r="W57" s="102">
        <f>TrNavi_ene!W4</f>
        <v>99.830288732596244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23.06764424135411</v>
      </c>
      <c r="C58" s="169">
        <f>TrNavi_ene!C10</f>
        <v>19.299672882786126</v>
      </c>
      <c r="D58" s="169">
        <f>TrNavi_ene!D10</f>
        <v>19.71980159409177</v>
      </c>
      <c r="E58" s="169">
        <f>TrNavi_ene!E10</f>
        <v>24.396654420430352</v>
      </c>
      <c r="F58" s="169">
        <f>TrNavi_ene!F10</f>
        <v>26.609531835883427</v>
      </c>
      <c r="G58" s="169">
        <f>TrNavi_ene!G10</f>
        <v>20.947526733709608</v>
      </c>
      <c r="H58" s="169">
        <f>TrNavi_ene!H10</f>
        <v>16.728164811364302</v>
      </c>
      <c r="I58" s="169">
        <f>TrNavi_ene!I10</f>
        <v>24.059638166278759</v>
      </c>
      <c r="J58" s="169">
        <f>TrNavi_ene!J10</f>
        <v>13.255068197708288</v>
      </c>
      <c r="K58" s="169">
        <f>TrNavi_ene!K10</f>
        <v>12.998649452241594</v>
      </c>
      <c r="L58" s="169">
        <f>TrNavi_ene!L10</f>
        <v>8.8810586836997842</v>
      </c>
      <c r="M58" s="169">
        <f>TrNavi_ene!M10</f>
        <v>9.0154735057230067</v>
      </c>
      <c r="N58" s="169">
        <f>TrNavi_ene!N10</f>
        <v>17.1201840915204</v>
      </c>
      <c r="O58" s="169">
        <f>TrNavi_ene!O10</f>
        <v>22.356086499129351</v>
      </c>
      <c r="P58" s="169">
        <f>TrNavi_ene!P10</f>
        <v>16.900280555759871</v>
      </c>
      <c r="Q58" s="169">
        <f>TrNavi_ene!Q10</f>
        <v>14.606659206389343</v>
      </c>
      <c r="R58" s="169">
        <f>TrNavi_ene!R10</f>
        <v>10.066475457889149</v>
      </c>
      <c r="S58" s="169">
        <f>TrNavi_ene!S10</f>
        <v>10.922731814935496</v>
      </c>
      <c r="T58" s="169">
        <f>TrNavi_ene!T10</f>
        <v>8.9403033109966348</v>
      </c>
      <c r="U58" s="169">
        <f>TrNavi_ene!U10</f>
        <v>6.0137433850673574</v>
      </c>
      <c r="V58" s="169">
        <f>TrNavi_ene!V10</f>
        <v>10.099936456775785</v>
      </c>
      <c r="W58" s="169">
        <f>TrNavi_ene!W10</f>
        <v>17.546581430774332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678.02141014617371</v>
      </c>
      <c r="C59" s="28">
        <f t="shared" ref="C59:W59" si="48">C60+C61</f>
        <v>579.73155631986242</v>
      </c>
      <c r="D59" s="28">
        <f t="shared" si="48"/>
        <v>650.55889939810822</v>
      </c>
      <c r="E59" s="28">
        <f t="shared" si="48"/>
        <v>646.26921754084253</v>
      </c>
      <c r="F59" s="28">
        <f t="shared" si="48"/>
        <v>519.32269991401552</v>
      </c>
      <c r="G59" s="28">
        <f t="shared" si="48"/>
        <v>510.48779019776441</v>
      </c>
      <c r="H59" s="28">
        <f t="shared" si="48"/>
        <v>561.98177128116936</v>
      </c>
      <c r="I59" s="28">
        <f t="shared" si="48"/>
        <v>461.4760103181427</v>
      </c>
      <c r="J59" s="28">
        <f t="shared" si="48"/>
        <v>403.14135855545987</v>
      </c>
      <c r="K59" s="28">
        <f t="shared" si="48"/>
        <v>250.45614789337915</v>
      </c>
      <c r="L59" s="28">
        <f t="shared" si="48"/>
        <v>212.99415305245057</v>
      </c>
      <c r="M59" s="28">
        <f t="shared" si="48"/>
        <v>201.22201203783322</v>
      </c>
      <c r="N59" s="28">
        <f t="shared" si="48"/>
        <v>123.22854686156489</v>
      </c>
      <c r="O59" s="28">
        <f t="shared" si="48"/>
        <v>130.46423043852104</v>
      </c>
      <c r="P59" s="28">
        <f t="shared" si="48"/>
        <v>96.735081685296649</v>
      </c>
      <c r="Q59" s="28">
        <f t="shared" si="48"/>
        <v>295.95769561478926</v>
      </c>
      <c r="R59" s="28">
        <f t="shared" si="48"/>
        <v>286.54849527085128</v>
      </c>
      <c r="S59" s="28">
        <f t="shared" si="48"/>
        <v>354.47214101461725</v>
      </c>
      <c r="T59" s="28">
        <f t="shared" si="48"/>
        <v>326.06552020636286</v>
      </c>
      <c r="U59" s="28">
        <f t="shared" si="48"/>
        <v>335.77781599312118</v>
      </c>
      <c r="V59" s="28">
        <f t="shared" si="48"/>
        <v>308.87386070507296</v>
      </c>
      <c r="W59" s="28">
        <f t="shared" si="48"/>
        <v>280.56311263972475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352.40620135612591</v>
      </c>
      <c r="C60" s="102">
        <f>MBunk_ene!C$4</f>
        <v>287.28318098056673</v>
      </c>
      <c r="D60" s="102">
        <f>MBunk_ene!D$4</f>
        <v>316.67406735852313</v>
      </c>
      <c r="E60" s="102">
        <f>MBunk_ene!E$4</f>
        <v>306.69331520804525</v>
      </c>
      <c r="F60" s="102">
        <f>MBunk_ene!F$4</f>
        <v>247.98434454456518</v>
      </c>
      <c r="G60" s="102">
        <f>MBunk_ene!G$4</f>
        <v>246.05799298869522</v>
      </c>
      <c r="H60" s="102">
        <f>MBunk_ene!H$4</f>
        <v>276.50156512989929</v>
      </c>
      <c r="I60" s="102">
        <f>MBunk_ene!I$4</f>
        <v>225.99056747271035</v>
      </c>
      <c r="J60" s="102">
        <f>MBunk_ene!J$4</f>
        <v>196.2799450698746</v>
      </c>
      <c r="K60" s="102">
        <f>MBunk_ene!K$4</f>
        <v>116.62735725959922</v>
      </c>
      <c r="L60" s="102">
        <f>MBunk_ene!L$4</f>
        <v>102.28288765289426</v>
      </c>
      <c r="M60" s="102">
        <f>MBunk_ene!M$4</f>
        <v>94.239043623106625</v>
      </c>
      <c r="N60" s="102">
        <f>MBunk_ene!N$4</f>
        <v>58.632028734040006</v>
      </c>
      <c r="O60" s="102">
        <f>MBunk_ene!O$4</f>
        <v>61.375791459658814</v>
      </c>
      <c r="P60" s="102">
        <f>MBunk_ene!P$4</f>
        <v>44.740355372746507</v>
      </c>
      <c r="Q60" s="102">
        <f>MBunk_ene!Q$4</f>
        <v>144.73055692136816</v>
      </c>
      <c r="R60" s="102">
        <f>MBunk_ene!R$4</f>
        <v>137.01685468213367</v>
      </c>
      <c r="S60" s="102">
        <f>MBunk_ene!S$4</f>
        <v>171.87351189463968</v>
      </c>
      <c r="T60" s="102">
        <f>MBunk_ene!T$4</f>
        <v>156.64361208740908</v>
      </c>
      <c r="U60" s="102">
        <f>MBunk_ene!U$4</f>
        <v>159.02632096553063</v>
      </c>
      <c r="V60" s="102">
        <f>MBunk_ene!V$4</f>
        <v>137.00505327857346</v>
      </c>
      <c r="W60" s="102">
        <f>MBunk_ene!W$4</f>
        <v>124.94219847777103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325.6152087900478</v>
      </c>
      <c r="C61" s="86">
        <f>MBunk_ene!C$10</f>
        <v>292.44837533929569</v>
      </c>
      <c r="D61" s="86">
        <f>MBunk_ene!D$10</f>
        <v>333.88483203958515</v>
      </c>
      <c r="E61" s="86">
        <f>MBunk_ene!E$10</f>
        <v>339.57590233279728</v>
      </c>
      <c r="F61" s="86">
        <f>MBunk_ene!F$10</f>
        <v>271.33835536945037</v>
      </c>
      <c r="G61" s="86">
        <f>MBunk_ene!G$10</f>
        <v>264.42979720906919</v>
      </c>
      <c r="H61" s="86">
        <f>MBunk_ene!H$10</f>
        <v>285.48020615127012</v>
      </c>
      <c r="I61" s="86">
        <f>MBunk_ene!I$10</f>
        <v>235.48544284543232</v>
      </c>
      <c r="J61" s="86">
        <f>MBunk_ene!J$10</f>
        <v>206.8614134855853</v>
      </c>
      <c r="K61" s="86">
        <f>MBunk_ene!K$10</f>
        <v>133.82879063377993</v>
      </c>
      <c r="L61" s="86">
        <f>MBunk_ene!L$10</f>
        <v>110.71126539955631</v>
      </c>
      <c r="M61" s="86">
        <f>MBunk_ene!M$10</f>
        <v>106.98296841472659</v>
      </c>
      <c r="N61" s="86">
        <f>MBunk_ene!N$10</f>
        <v>64.596518127524888</v>
      </c>
      <c r="O61" s="86">
        <f>MBunk_ene!O$10</f>
        <v>69.088438978862229</v>
      </c>
      <c r="P61" s="86">
        <f>MBunk_ene!P$10</f>
        <v>51.994726312550135</v>
      </c>
      <c r="Q61" s="86">
        <f>MBunk_ene!Q$10</f>
        <v>151.2271386934211</v>
      </c>
      <c r="R61" s="86">
        <f>MBunk_ene!R$10</f>
        <v>149.53164058871761</v>
      </c>
      <c r="S61" s="86">
        <f>MBunk_ene!S$10</f>
        <v>182.5986291199776</v>
      </c>
      <c r="T61" s="86">
        <f>MBunk_ene!T$10</f>
        <v>169.42190811895381</v>
      </c>
      <c r="U61" s="86">
        <f>MBunk_ene!U$10</f>
        <v>176.75149502759052</v>
      </c>
      <c r="V61" s="86">
        <f>MBunk_ene!V$10</f>
        <v>171.8688074264995</v>
      </c>
      <c r="W61" s="86">
        <f>MBunk_ene!W$10</f>
        <v>155.62091416195372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8346.4127268971642</v>
      </c>
      <c r="C64" s="28">
        <f t="shared" si="49"/>
        <v>8444.7471704551663</v>
      </c>
      <c r="D64" s="28">
        <f t="shared" si="49"/>
        <v>8555.1434276275959</v>
      </c>
      <c r="E64" s="28">
        <f t="shared" si="49"/>
        <v>8725.316525930135</v>
      </c>
      <c r="F64" s="28">
        <f t="shared" si="49"/>
        <v>9067.628808882826</v>
      </c>
      <c r="G64" s="28">
        <f t="shared" si="49"/>
        <v>9116.5543046691146</v>
      </c>
      <c r="H64" s="28">
        <f t="shared" si="49"/>
        <v>9419.3619948274209</v>
      </c>
      <c r="I64" s="28">
        <f t="shared" si="49"/>
        <v>9869.7156389364245</v>
      </c>
      <c r="J64" s="28">
        <f t="shared" si="49"/>
        <v>9629.1286343593856</v>
      </c>
      <c r="K64" s="28">
        <f t="shared" si="49"/>
        <v>9342.5482401660774</v>
      </c>
      <c r="L64" s="28">
        <f t="shared" si="49"/>
        <v>9584.3915566549713</v>
      </c>
      <c r="M64" s="28">
        <f t="shared" si="49"/>
        <v>9929.9034175092202</v>
      </c>
      <c r="N64" s="28">
        <f t="shared" si="49"/>
        <v>9790.6346702535084</v>
      </c>
      <c r="O64" s="28">
        <f t="shared" si="49"/>
        <v>9830.491952626493</v>
      </c>
      <c r="P64" s="28">
        <f t="shared" si="49"/>
        <v>9277.3759710220875</v>
      </c>
      <c r="Q64" s="28">
        <f t="shared" si="49"/>
        <v>9407.1683440383313</v>
      </c>
      <c r="R64" s="28">
        <f t="shared" ref="R64:V64" si="50">R65+R69+R73</f>
        <v>9927.586150127745</v>
      </c>
      <c r="S64" s="28">
        <f t="shared" si="50"/>
        <v>9719.1507260577891</v>
      </c>
      <c r="T64" s="28">
        <f t="shared" si="50"/>
        <v>10102.516065806325</v>
      </c>
      <c r="U64" s="28">
        <f t="shared" si="50"/>
        <v>9984.8083658839623</v>
      </c>
      <c r="V64" s="28">
        <f t="shared" si="50"/>
        <v>7679.4640817913332</v>
      </c>
      <c r="W64" s="28">
        <f t="shared" ref="W64" si="51">W65+W69+W73</f>
        <v>7273.9529376330702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6909.4453186684023</v>
      </c>
      <c r="C65" s="137">
        <f t="shared" si="52"/>
        <v>6986.9898604236914</v>
      </c>
      <c r="D65" s="137">
        <f t="shared" si="52"/>
        <v>7156.1688385433072</v>
      </c>
      <c r="E65" s="137">
        <f t="shared" si="52"/>
        <v>7295.7987385862298</v>
      </c>
      <c r="F65" s="137">
        <f t="shared" si="52"/>
        <v>7475.5728486367016</v>
      </c>
      <c r="G65" s="137">
        <f t="shared" si="52"/>
        <v>7542.2990663264054</v>
      </c>
      <c r="H65" s="137">
        <f t="shared" si="52"/>
        <v>7718.6681019165871</v>
      </c>
      <c r="I65" s="137">
        <f t="shared" si="52"/>
        <v>7984.41235075858</v>
      </c>
      <c r="J65" s="137">
        <f t="shared" si="52"/>
        <v>7611.203577904972</v>
      </c>
      <c r="K65" s="137">
        <f t="shared" si="52"/>
        <v>7563.2500240326899</v>
      </c>
      <c r="L65" s="137">
        <f t="shared" si="52"/>
        <v>7725.5910041527823</v>
      </c>
      <c r="M65" s="137">
        <f t="shared" si="52"/>
        <v>7745.4837346657123</v>
      </c>
      <c r="N65" s="137">
        <f t="shared" si="52"/>
        <v>7723.1945625712906</v>
      </c>
      <c r="O65" s="137">
        <f t="shared" si="52"/>
        <v>7742.0884881104994</v>
      </c>
      <c r="P65" s="137">
        <f t="shared" si="52"/>
        <v>7208.8917538574033</v>
      </c>
      <c r="Q65" s="137">
        <f t="shared" si="52"/>
        <v>7305.8827993492614</v>
      </c>
      <c r="R65" s="137">
        <f t="shared" ref="R65:V65" si="53">R66+R67+R68</f>
        <v>7819.1798473669105</v>
      </c>
      <c r="S65" s="137">
        <f t="shared" si="53"/>
        <v>7490.2944801016856</v>
      </c>
      <c r="T65" s="137">
        <f t="shared" si="53"/>
        <v>7564.5140476568049</v>
      </c>
      <c r="U65" s="137">
        <f t="shared" si="53"/>
        <v>7294.2840830399218</v>
      </c>
      <c r="V65" s="137">
        <f t="shared" si="53"/>
        <v>6757.1883090379697</v>
      </c>
      <c r="W65" s="137">
        <f t="shared" ref="W65" si="54">W66+W67+W68</f>
        <v>6380.4195171078854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114.53783238478759</v>
      </c>
      <c r="C66" s="102">
        <f>TrRoad_emi!C$19</f>
        <v>113.04899959040304</v>
      </c>
      <c r="D66" s="102">
        <f>TrRoad_emi!D$19</f>
        <v>111.37890586166816</v>
      </c>
      <c r="E66" s="102">
        <f>TrRoad_emi!E$19</f>
        <v>109.47296158887876</v>
      </c>
      <c r="F66" s="102">
        <f>TrRoad_emi!F$19</f>
        <v>108.02844760039748</v>
      </c>
      <c r="G66" s="102">
        <f>TrRoad_emi!G$19</f>
        <v>106.95540035452095</v>
      </c>
      <c r="H66" s="102">
        <f>TrRoad_emi!H$19</f>
        <v>105.74518002046815</v>
      </c>
      <c r="I66" s="102">
        <f>TrRoad_emi!I$19</f>
        <v>105.04806224660564</v>
      </c>
      <c r="J66" s="102">
        <f>TrRoad_emi!J$19</f>
        <v>99.757168715775606</v>
      </c>
      <c r="K66" s="102">
        <f>TrRoad_emi!K$19</f>
        <v>97.513696023278982</v>
      </c>
      <c r="L66" s="102">
        <f>TrRoad_emi!L$19</f>
        <v>127.44208468137427</v>
      </c>
      <c r="M66" s="102">
        <f>TrRoad_emi!M$19</f>
        <v>124.2050021944773</v>
      </c>
      <c r="N66" s="102">
        <f>TrRoad_emi!N$19</f>
        <v>121.83989976607104</v>
      </c>
      <c r="O66" s="102">
        <f>TrRoad_emi!O$19</f>
        <v>122.95070219749522</v>
      </c>
      <c r="P66" s="102">
        <f>TrRoad_emi!P$19</f>
        <v>121.07963394354687</v>
      </c>
      <c r="Q66" s="102">
        <f>TrRoad_emi!Q$19</f>
        <v>120.40041652607965</v>
      </c>
      <c r="R66" s="102">
        <f>TrRoad_emi!R$19</f>
        <v>122.0269789862522</v>
      </c>
      <c r="S66" s="102">
        <f>TrRoad_emi!S$19</f>
        <v>113.13518108314851</v>
      </c>
      <c r="T66" s="102">
        <f>TrRoad_emi!T$19</f>
        <v>106.65927934926133</v>
      </c>
      <c r="U66" s="102">
        <f>TrRoad_emi!U$19</f>
        <v>111.75605052157057</v>
      </c>
      <c r="V66" s="102">
        <f>TrRoad_emi!V$19</f>
        <v>98.495594564154302</v>
      </c>
      <c r="W66" s="102">
        <f>TrRoad_emi!W$19</f>
        <v>96.946905595020766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6121.3445544347178</v>
      </c>
      <c r="C67" s="102">
        <f>TrRoad_emi!C$20</f>
        <v>6214.2486075642346</v>
      </c>
      <c r="D67" s="102">
        <f>TrRoad_emi!D$20</f>
        <v>6379.1732609467417</v>
      </c>
      <c r="E67" s="102">
        <f>TrRoad_emi!E$20</f>
        <v>6502.1828259906506</v>
      </c>
      <c r="F67" s="102">
        <f>TrRoad_emi!F$20</f>
        <v>6657.4527820309158</v>
      </c>
      <c r="G67" s="102">
        <f>TrRoad_emi!G$20</f>
        <v>6734.5359130315037</v>
      </c>
      <c r="H67" s="102">
        <f>TrRoad_emi!H$20</f>
        <v>6887.1347920805538</v>
      </c>
      <c r="I67" s="102">
        <f>TrRoad_emi!I$20</f>
        <v>7125.8434491547969</v>
      </c>
      <c r="J67" s="102">
        <f>TrRoad_emi!J$20</f>
        <v>6758.9384791764542</v>
      </c>
      <c r="K67" s="102">
        <f>TrRoad_emi!K$20</f>
        <v>6701.6502812037161</v>
      </c>
      <c r="L67" s="102">
        <f>TrRoad_emi!L$20</f>
        <v>6798.4180251715088</v>
      </c>
      <c r="M67" s="102">
        <f>TrRoad_emi!M$20</f>
        <v>6816.6545233378911</v>
      </c>
      <c r="N67" s="102">
        <f>TrRoad_emi!N$20</f>
        <v>6761.6837569596046</v>
      </c>
      <c r="O67" s="102">
        <f>TrRoad_emi!O$20</f>
        <v>6770.7897950251936</v>
      </c>
      <c r="P67" s="102">
        <f>TrRoad_emi!P$20</f>
        <v>6316.9173288481197</v>
      </c>
      <c r="Q67" s="102">
        <f>TrRoad_emi!Q$20</f>
        <v>6384.8551598115764</v>
      </c>
      <c r="R67" s="102">
        <f>TrRoad_emi!R$20</f>
        <v>6698.6102845104733</v>
      </c>
      <c r="S67" s="102">
        <f>TrRoad_emi!S$20</f>
        <v>6459.4180012082479</v>
      </c>
      <c r="T67" s="102">
        <f>TrRoad_emi!T$20</f>
        <v>6532.7791793201486</v>
      </c>
      <c r="U67" s="102">
        <f>TrRoad_emi!U$20</f>
        <v>6309.5491760757604</v>
      </c>
      <c r="V67" s="102">
        <f>TrRoad_emi!V$20</f>
        <v>5894.0440574115246</v>
      </c>
      <c r="W67" s="102">
        <f>TrRoad_emi!W$20</f>
        <v>5664.9340176965652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673.56293184889694</v>
      </c>
      <c r="C68" s="102">
        <f>TrRoad_emi!C$27</f>
        <v>659.69225326905428</v>
      </c>
      <c r="D68" s="102">
        <f>TrRoad_emi!D$27</f>
        <v>665.61667173489673</v>
      </c>
      <c r="E68" s="102">
        <f>TrRoad_emi!E$27</f>
        <v>684.14295100670029</v>
      </c>
      <c r="F68" s="102">
        <f>TrRoad_emi!F$27</f>
        <v>710.09161900538857</v>
      </c>
      <c r="G68" s="102">
        <f>TrRoad_emi!G$27</f>
        <v>700.80775294038108</v>
      </c>
      <c r="H68" s="102">
        <f>TrRoad_emi!H$27</f>
        <v>725.78812981556553</v>
      </c>
      <c r="I68" s="102">
        <f>TrRoad_emi!I$27</f>
        <v>753.52083935717746</v>
      </c>
      <c r="J68" s="102">
        <f>TrRoad_emi!J$27</f>
        <v>752.50793001274303</v>
      </c>
      <c r="K68" s="102">
        <f>TrRoad_emi!K$27</f>
        <v>764.08604680569397</v>
      </c>
      <c r="L68" s="102">
        <f>TrRoad_emi!L$27</f>
        <v>799.73089429989875</v>
      </c>
      <c r="M68" s="102">
        <f>TrRoad_emi!M$27</f>
        <v>804.62420913334461</v>
      </c>
      <c r="N68" s="102">
        <f>TrRoad_emi!N$27</f>
        <v>839.67090584561504</v>
      </c>
      <c r="O68" s="102">
        <f>TrRoad_emi!O$27</f>
        <v>848.34799088781119</v>
      </c>
      <c r="P68" s="102">
        <f>TrRoad_emi!P$27</f>
        <v>770.89479106573685</v>
      </c>
      <c r="Q68" s="102">
        <f>TrRoad_emi!Q$27</f>
        <v>800.62722301160511</v>
      </c>
      <c r="R68" s="102">
        <f>TrRoad_emi!R$27</f>
        <v>998.54258387018479</v>
      </c>
      <c r="S68" s="102">
        <f>TrRoad_emi!S$27</f>
        <v>917.74129781028967</v>
      </c>
      <c r="T68" s="102">
        <f>TrRoad_emi!T$27</f>
        <v>925.07558898739524</v>
      </c>
      <c r="U68" s="102">
        <f>TrRoad_emi!U$27</f>
        <v>872.97885644259088</v>
      </c>
      <c r="V68" s="102">
        <f>TrRoad_emi!V$27</f>
        <v>764.64865706229114</v>
      </c>
      <c r="W68" s="102">
        <f>TrRoad_emi!W$27</f>
        <v>618.53859381629991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51.194780438794844</v>
      </c>
      <c r="C69" s="110">
        <f t="shared" si="55"/>
        <v>44.621513432695345</v>
      </c>
      <c r="D69" s="110">
        <f t="shared" si="55"/>
        <v>44.946994974599384</v>
      </c>
      <c r="E69" s="110">
        <f t="shared" si="55"/>
        <v>46.358012161476466</v>
      </c>
      <c r="F69" s="110">
        <f t="shared" si="55"/>
        <v>44.765425804411585</v>
      </c>
      <c r="G69" s="110">
        <f t="shared" si="55"/>
        <v>38.780858708289415</v>
      </c>
      <c r="H69" s="110">
        <f t="shared" si="55"/>
        <v>39.795382926260018</v>
      </c>
      <c r="I69" s="110">
        <f t="shared" si="55"/>
        <v>32.382634806020043</v>
      </c>
      <c r="J69" s="110">
        <f t="shared" si="55"/>
        <v>33.269349442003929</v>
      </c>
      <c r="K69" s="110">
        <f t="shared" si="55"/>
        <v>27.699296929915214</v>
      </c>
      <c r="L69" s="110">
        <f t="shared" si="55"/>
        <v>30.855555528028603</v>
      </c>
      <c r="M69" s="110">
        <f t="shared" si="55"/>
        <v>34.091543492487702</v>
      </c>
      <c r="N69" s="110">
        <f t="shared" si="55"/>
        <v>29.942662018845414</v>
      </c>
      <c r="O69" s="110">
        <f t="shared" si="55"/>
        <v>25.042097930748586</v>
      </c>
      <c r="P69" s="110">
        <f t="shared" si="55"/>
        <v>28.673989108585189</v>
      </c>
      <c r="Q69" s="110">
        <f t="shared" si="55"/>
        <v>29.281351167788657</v>
      </c>
      <c r="R69" s="110">
        <f t="shared" ref="R69:V69" si="56">R70+R71+R72</f>
        <v>25.181516932829865</v>
      </c>
      <c r="S69" s="110">
        <f t="shared" si="56"/>
        <v>27.118373372949247</v>
      </c>
      <c r="T69" s="110">
        <f t="shared" si="56"/>
        <v>20.564677724409357</v>
      </c>
      <c r="U69" s="110">
        <f t="shared" si="56"/>
        <v>14.486374707287636</v>
      </c>
      <c r="V69" s="110">
        <f t="shared" si="56"/>
        <v>13.131395812024918</v>
      </c>
      <c r="W69" s="110">
        <f t="shared" ref="W69" si="57">W70+W71+W72</f>
        <v>12.564397336718605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51.194780438794844</v>
      </c>
      <c r="C71" s="102">
        <f>TrRail_emi!C$11</f>
        <v>44.621513432695345</v>
      </c>
      <c r="D71" s="102">
        <f>TrRail_emi!D$11</f>
        <v>44.946994974599384</v>
      </c>
      <c r="E71" s="102">
        <f>TrRail_emi!E$11</f>
        <v>46.358012161476466</v>
      </c>
      <c r="F71" s="102">
        <f>TrRail_emi!F$11</f>
        <v>44.765425804411585</v>
      </c>
      <c r="G71" s="102">
        <f>TrRail_emi!G$11</f>
        <v>38.780858708289415</v>
      </c>
      <c r="H71" s="102">
        <f>TrRail_emi!H$11</f>
        <v>39.795382926260018</v>
      </c>
      <c r="I71" s="102">
        <f>TrRail_emi!I$11</f>
        <v>32.382634806020043</v>
      </c>
      <c r="J71" s="102">
        <f>TrRail_emi!J$11</f>
        <v>33.269349442003929</v>
      </c>
      <c r="K71" s="102">
        <f>TrRail_emi!K$11</f>
        <v>27.699296929915214</v>
      </c>
      <c r="L71" s="102">
        <f>TrRail_emi!L$11</f>
        <v>30.855555528028603</v>
      </c>
      <c r="M71" s="102">
        <f>TrRail_emi!M$11</f>
        <v>34.091543492487702</v>
      </c>
      <c r="N71" s="102">
        <f>TrRail_emi!N$11</f>
        <v>29.942662018845414</v>
      </c>
      <c r="O71" s="102">
        <f>TrRail_emi!O$11</f>
        <v>25.042097930748586</v>
      </c>
      <c r="P71" s="102">
        <f>TrRail_emi!P$11</f>
        <v>28.673989108585189</v>
      </c>
      <c r="Q71" s="102">
        <f>TrRail_emi!Q$11</f>
        <v>29.281351167788657</v>
      </c>
      <c r="R71" s="102">
        <f>TrRail_emi!R$11</f>
        <v>25.181516932829865</v>
      </c>
      <c r="S71" s="102">
        <f>TrRail_emi!S$11</f>
        <v>27.118373372949247</v>
      </c>
      <c r="T71" s="102">
        <f>TrRail_emi!T$11</f>
        <v>20.564677724409357</v>
      </c>
      <c r="U71" s="102">
        <f>TrRail_emi!U$11</f>
        <v>14.486374707287636</v>
      </c>
      <c r="V71" s="102">
        <f>TrRail_emi!V$11</f>
        <v>13.131395812024918</v>
      </c>
      <c r="W71" s="102">
        <f>TrRail_emi!W$11</f>
        <v>12.564397336718605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1385.7726277899671</v>
      </c>
      <c r="C73" s="110">
        <f t="shared" si="58"/>
        <v>1413.1357965987784</v>
      </c>
      <c r="D73" s="110">
        <f t="shared" si="58"/>
        <v>1354.0275941096893</v>
      </c>
      <c r="E73" s="110">
        <f t="shared" si="58"/>
        <v>1383.1597751824288</v>
      </c>
      <c r="F73" s="110">
        <f t="shared" si="58"/>
        <v>1547.2905344417127</v>
      </c>
      <c r="G73" s="110">
        <f t="shared" si="58"/>
        <v>1535.4743796344201</v>
      </c>
      <c r="H73" s="110">
        <f t="shared" si="58"/>
        <v>1660.8985099845736</v>
      </c>
      <c r="I73" s="110">
        <f t="shared" si="58"/>
        <v>1852.9206533718252</v>
      </c>
      <c r="J73" s="110">
        <f t="shared" si="58"/>
        <v>1984.6557070124095</v>
      </c>
      <c r="K73" s="110">
        <f t="shared" si="58"/>
        <v>1751.5989192034713</v>
      </c>
      <c r="L73" s="110">
        <f t="shared" si="58"/>
        <v>1827.9449969741609</v>
      </c>
      <c r="M73" s="110">
        <f t="shared" si="58"/>
        <v>2150.3281393510206</v>
      </c>
      <c r="N73" s="110">
        <f t="shared" si="58"/>
        <v>2037.4974456633722</v>
      </c>
      <c r="O73" s="110">
        <f t="shared" si="58"/>
        <v>2063.3613665852454</v>
      </c>
      <c r="P73" s="110">
        <f t="shared" si="58"/>
        <v>2039.8102280560988</v>
      </c>
      <c r="Q73" s="110">
        <f t="shared" si="58"/>
        <v>2072.0041935212821</v>
      </c>
      <c r="R73" s="110">
        <f t="shared" ref="R73:V73" si="59">R74+R75+R76</f>
        <v>2083.2247858280039</v>
      </c>
      <c r="S73" s="110">
        <f t="shared" si="59"/>
        <v>2201.7378725831541</v>
      </c>
      <c r="T73" s="110">
        <f t="shared" si="59"/>
        <v>2517.4373404251119</v>
      </c>
      <c r="U73" s="110">
        <f t="shared" si="59"/>
        <v>2676.0379081367528</v>
      </c>
      <c r="V73" s="110">
        <f t="shared" si="59"/>
        <v>909.14437694133881</v>
      </c>
      <c r="W73" s="110">
        <f t="shared" ref="W73" si="60">W74+W75+W76</f>
        <v>880.96902318846571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368.79562023238708</v>
      </c>
      <c r="C74" s="102">
        <f>TrAvia_emi!C$7</f>
        <v>363.66713721328205</v>
      </c>
      <c r="D74" s="102">
        <f>TrAvia_emi!D$7</f>
        <v>317.39174639010747</v>
      </c>
      <c r="E74" s="102">
        <f>TrAvia_emi!E$7</f>
        <v>317.9836094386003</v>
      </c>
      <c r="F74" s="102">
        <f>TrAvia_emi!F$7</f>
        <v>324.20160403766204</v>
      </c>
      <c r="G74" s="102">
        <f>TrAvia_emi!G$7</f>
        <v>308.8661293735031</v>
      </c>
      <c r="H74" s="102">
        <f>TrAvia_emi!H$7</f>
        <v>293.37697798464916</v>
      </c>
      <c r="I74" s="102">
        <f>TrAvia_emi!I$7</f>
        <v>275.12826634573946</v>
      </c>
      <c r="J74" s="102">
        <f>TrAvia_emi!J$7</f>
        <v>266.16720129667448</v>
      </c>
      <c r="K74" s="102">
        <f>TrAvia_emi!K$7</f>
        <v>241.30159212083757</v>
      </c>
      <c r="L74" s="102">
        <f>TrAvia_emi!L$7</f>
        <v>235.41736739297792</v>
      </c>
      <c r="M74" s="102">
        <f>TrAvia_emi!M$7</f>
        <v>263.52892906323513</v>
      </c>
      <c r="N74" s="102">
        <f>TrAvia_emi!N$7</f>
        <v>219.84914721124952</v>
      </c>
      <c r="O74" s="102">
        <f>TrAvia_emi!O$7</f>
        <v>188.91087505711849</v>
      </c>
      <c r="P74" s="102">
        <f>TrAvia_emi!P$7</f>
        <v>189.10736679572437</v>
      </c>
      <c r="Q74" s="102">
        <f>TrAvia_emi!Q$7</f>
        <v>182.91080638590302</v>
      </c>
      <c r="R74" s="102">
        <f>TrAvia_emi!R$7</f>
        <v>185.95177387065885</v>
      </c>
      <c r="S74" s="102">
        <f>TrAvia_emi!S$7</f>
        <v>192.34409277831674</v>
      </c>
      <c r="T74" s="102">
        <f>TrAvia_emi!T$7</f>
        <v>211.22131268382543</v>
      </c>
      <c r="U74" s="102">
        <f>TrAvia_emi!U$7</f>
        <v>201.85784997179005</v>
      </c>
      <c r="V74" s="102">
        <f>TrAvia_emi!V$7</f>
        <v>86.627537800586566</v>
      </c>
      <c r="W74" s="102">
        <f>TrAvia_emi!W$7</f>
        <v>77.427195173154161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661.99010863964236</v>
      </c>
      <c r="C75" s="102">
        <f>TrAvia_emi!C$8</f>
        <v>690.45059196874445</v>
      </c>
      <c r="D75" s="102">
        <f>TrAvia_emi!D$8</f>
        <v>665.5102359301967</v>
      </c>
      <c r="E75" s="102">
        <f>TrAvia_emi!E$8</f>
        <v>695.42771679126122</v>
      </c>
      <c r="F75" s="102">
        <f>TrAvia_emi!F$8</f>
        <v>776.77158988015128</v>
      </c>
      <c r="G75" s="102">
        <f>TrAvia_emi!G$8</f>
        <v>777.25361458573752</v>
      </c>
      <c r="H75" s="102">
        <f>TrAvia_emi!H$8</f>
        <v>881.12280673276882</v>
      </c>
      <c r="I75" s="102">
        <f>TrAvia_emi!I$8</f>
        <v>1028.1235417292937</v>
      </c>
      <c r="J75" s="102">
        <f>TrAvia_emi!J$8</f>
        <v>1112.4406545169836</v>
      </c>
      <c r="K75" s="102">
        <f>TrAvia_emi!K$8</f>
        <v>959.98257624603116</v>
      </c>
      <c r="L75" s="102">
        <f>TrAvia_emi!L$8</f>
        <v>1012.2504384888198</v>
      </c>
      <c r="M75" s="102">
        <f>TrAvia_emi!M$8</f>
        <v>1199.242340102777</v>
      </c>
      <c r="N75" s="102">
        <f>TrAvia_emi!N$8</f>
        <v>1136.4003603519545</v>
      </c>
      <c r="O75" s="102">
        <f>TrAvia_emi!O$8</f>
        <v>1171.3796281361676</v>
      </c>
      <c r="P75" s="102">
        <f>TrAvia_emi!P$8</f>
        <v>1166.140388781198</v>
      </c>
      <c r="Q75" s="102">
        <f>TrAvia_emi!Q$8</f>
        <v>1197.1147139872271</v>
      </c>
      <c r="R75" s="102">
        <f>TrAvia_emi!R$8</f>
        <v>1230.0773788634792</v>
      </c>
      <c r="S75" s="102">
        <f>TrAvia_emi!S$8</f>
        <v>1325.63037646001</v>
      </c>
      <c r="T75" s="102">
        <f>TrAvia_emi!T$8</f>
        <v>1517.7222287574612</v>
      </c>
      <c r="U75" s="102">
        <f>TrAvia_emi!U$8</f>
        <v>1613.2315739658147</v>
      </c>
      <c r="V75" s="102">
        <f>TrAvia_emi!V$8</f>
        <v>483.34868439403442</v>
      </c>
      <c r="W75" s="102">
        <f>TrAvia_emi!W$8</f>
        <v>498.17699930112792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354.98689891793765</v>
      </c>
      <c r="C76" s="102">
        <f>TrAvia_emi!C$9</f>
        <v>359.01806741675188</v>
      </c>
      <c r="D76" s="102">
        <f>TrAvia_emi!D$9</f>
        <v>371.12561178938518</v>
      </c>
      <c r="E76" s="102">
        <f>TrAvia_emi!E$9</f>
        <v>369.74844895256717</v>
      </c>
      <c r="F76" s="102">
        <f>TrAvia_emi!F$9</f>
        <v>446.31734052389936</v>
      </c>
      <c r="G76" s="102">
        <f>TrAvia_emi!G$9</f>
        <v>449.35463567517945</v>
      </c>
      <c r="H76" s="102">
        <f>TrAvia_emi!H$9</f>
        <v>486.39872526715561</v>
      </c>
      <c r="I76" s="102">
        <f>TrAvia_emi!I$9</f>
        <v>549.6688452967918</v>
      </c>
      <c r="J76" s="102">
        <f>TrAvia_emi!J$9</f>
        <v>606.04785119875146</v>
      </c>
      <c r="K76" s="102">
        <f>TrAvia_emi!K$9</f>
        <v>550.31475083660257</v>
      </c>
      <c r="L76" s="102">
        <f>TrAvia_emi!L$9</f>
        <v>580.27719109236318</v>
      </c>
      <c r="M76" s="102">
        <f>TrAvia_emi!M$9</f>
        <v>687.55687018500828</v>
      </c>
      <c r="N76" s="102">
        <f>TrAvia_emi!N$9</f>
        <v>681.2479381001682</v>
      </c>
      <c r="O76" s="102">
        <f>TrAvia_emi!O$9</f>
        <v>703.07086339195916</v>
      </c>
      <c r="P76" s="102">
        <f>TrAvia_emi!P$9</f>
        <v>684.56247247917645</v>
      </c>
      <c r="Q76" s="102">
        <f>TrAvia_emi!Q$9</f>
        <v>691.97867314815221</v>
      </c>
      <c r="R76" s="102">
        <f>TrAvia_emi!R$9</f>
        <v>667.19563309386592</v>
      </c>
      <c r="S76" s="102">
        <f>TrAvia_emi!S$9</f>
        <v>683.76340334482757</v>
      </c>
      <c r="T76" s="102">
        <f>TrAvia_emi!T$9</f>
        <v>788.49379898382551</v>
      </c>
      <c r="U76" s="102">
        <f>TrAvia_emi!U$9</f>
        <v>860.94848419914786</v>
      </c>
      <c r="V76" s="102">
        <f>TrAvia_emi!V$9</f>
        <v>339.16815474671779</v>
      </c>
      <c r="W76" s="102">
        <f>TrAvia_emi!W$9</f>
        <v>305.36482871418366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4358.8521497028341</v>
      </c>
      <c r="C77" s="28">
        <f t="shared" si="61"/>
        <v>4411.4552697448335</v>
      </c>
      <c r="D77" s="28">
        <f t="shared" si="61"/>
        <v>4473.4893447724071</v>
      </c>
      <c r="E77" s="28">
        <f t="shared" si="61"/>
        <v>4524.550461789865</v>
      </c>
      <c r="F77" s="28">
        <f t="shared" si="61"/>
        <v>4670.5482376371729</v>
      </c>
      <c r="G77" s="28">
        <f t="shared" si="61"/>
        <v>4650.1591638908831</v>
      </c>
      <c r="H77" s="28">
        <f t="shared" si="61"/>
        <v>4673.2106908525748</v>
      </c>
      <c r="I77" s="28">
        <f t="shared" si="61"/>
        <v>4792.229911143575</v>
      </c>
      <c r="J77" s="28">
        <f t="shared" si="61"/>
        <v>4561.4540365606144</v>
      </c>
      <c r="K77" s="28">
        <f t="shared" si="61"/>
        <v>4067.1472660739237</v>
      </c>
      <c r="L77" s="28">
        <f t="shared" si="61"/>
        <v>4420.674372025027</v>
      </c>
      <c r="M77" s="28">
        <f t="shared" si="61"/>
        <v>4207.7472196907802</v>
      </c>
      <c r="N77" s="28">
        <f t="shared" si="61"/>
        <v>3980.7158315864917</v>
      </c>
      <c r="O77" s="28">
        <f t="shared" si="61"/>
        <v>3951.7012347735067</v>
      </c>
      <c r="P77" s="28">
        <f t="shared" si="61"/>
        <v>3339.0369963379144</v>
      </c>
      <c r="Q77" s="28">
        <f t="shared" si="61"/>
        <v>3239.4180416816675</v>
      </c>
      <c r="R77" s="28">
        <f t="shared" ref="R77:V77" si="62">R78+R81+R82+R86+R92</f>
        <v>3944.6144734322552</v>
      </c>
      <c r="S77" s="28">
        <f t="shared" si="62"/>
        <v>3642.3933430622119</v>
      </c>
      <c r="T77" s="28">
        <f t="shared" si="62"/>
        <v>3753.7457208336737</v>
      </c>
      <c r="U77" s="28">
        <f t="shared" si="62"/>
        <v>3657.9535822360399</v>
      </c>
      <c r="V77" s="28">
        <f t="shared" si="62"/>
        <v>3502.0425813686666</v>
      </c>
      <c r="W77" s="28">
        <f t="shared" ref="W77" si="63">W78+W81+W82+W86+W92</f>
        <v>3426.5050938869294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3729.3925593715962</v>
      </c>
      <c r="C78" s="137">
        <f t="shared" si="64"/>
        <v>3835.0927116563071</v>
      </c>
      <c r="D78" s="137">
        <f t="shared" si="64"/>
        <v>3884.7820428966952</v>
      </c>
      <c r="E78" s="137">
        <f t="shared" si="64"/>
        <v>3916.1803466937699</v>
      </c>
      <c r="F78" s="137">
        <f t="shared" si="64"/>
        <v>4067.6451969232976</v>
      </c>
      <c r="G78" s="137">
        <f t="shared" si="64"/>
        <v>4038.9346293135918</v>
      </c>
      <c r="H78" s="137">
        <f t="shared" si="64"/>
        <v>4019.9721323234085</v>
      </c>
      <c r="I78" s="137">
        <f t="shared" si="64"/>
        <v>4137.0734957214199</v>
      </c>
      <c r="J78" s="137">
        <f t="shared" si="64"/>
        <v>4001.8944193750272</v>
      </c>
      <c r="K78" s="137">
        <f t="shared" si="64"/>
        <v>3517.9195832873106</v>
      </c>
      <c r="L78" s="137">
        <f t="shared" si="64"/>
        <v>3803.714725487217</v>
      </c>
      <c r="M78" s="137">
        <f t="shared" si="64"/>
        <v>3613.1027704942881</v>
      </c>
      <c r="N78" s="137">
        <f t="shared" si="64"/>
        <v>3412.7544245887093</v>
      </c>
      <c r="O78" s="137">
        <f t="shared" si="64"/>
        <v>3390.4631873295002</v>
      </c>
      <c r="P78" s="137">
        <f t="shared" si="64"/>
        <v>2851.8612061425988</v>
      </c>
      <c r="Q78" s="137">
        <f t="shared" si="64"/>
        <v>2760.6676200907391</v>
      </c>
      <c r="R78" s="137">
        <f t="shared" ref="R78:V78" si="65">R79+R80</f>
        <v>3492.4128057130893</v>
      </c>
      <c r="S78" s="137">
        <f t="shared" si="65"/>
        <v>3177.250424338315</v>
      </c>
      <c r="T78" s="137">
        <f t="shared" si="65"/>
        <v>3277.0689396231946</v>
      </c>
      <c r="U78" s="137">
        <f t="shared" si="65"/>
        <v>3149.8517211600797</v>
      </c>
      <c r="V78" s="137">
        <f t="shared" si="65"/>
        <v>3086.4069114820304</v>
      </c>
      <c r="W78" s="137">
        <f t="shared" ref="W78" si="66">W79+W80</f>
        <v>2999.5796640521139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1265.4258339171629</v>
      </c>
      <c r="C79" s="102">
        <f>TrRoad_emi!C$34</f>
        <v>1261.6322293507176</v>
      </c>
      <c r="D79" s="102">
        <f>TrRoad_emi!D$34</f>
        <v>1261.6706114057936</v>
      </c>
      <c r="E79" s="102">
        <f>TrRoad_emi!E$34</f>
        <v>1262.8492656201117</v>
      </c>
      <c r="F79" s="102">
        <f>TrRoad_emi!F$34</f>
        <v>1346.7562408944707</v>
      </c>
      <c r="G79" s="102">
        <f>TrRoad_emi!G$34</f>
        <v>1348.747831927963</v>
      </c>
      <c r="H79" s="102">
        <f>TrRoad_emi!H$34</f>
        <v>1379.2351364944252</v>
      </c>
      <c r="I79" s="102">
        <f>TrRoad_emi!I$34</f>
        <v>1456.4257690438387</v>
      </c>
      <c r="J79" s="102">
        <f>TrRoad_emi!J$34</f>
        <v>1485.8940006124617</v>
      </c>
      <c r="K79" s="102">
        <f>TrRoad_emi!K$34</f>
        <v>1449.9255392477653</v>
      </c>
      <c r="L79" s="102">
        <f>TrRoad_emi!L$34</f>
        <v>1533.6718269434962</v>
      </c>
      <c r="M79" s="102">
        <f>TrRoad_emi!M$34</f>
        <v>1583.3409319739426</v>
      </c>
      <c r="N79" s="102">
        <f>TrRoad_emi!N$34</f>
        <v>1607.0133554879174</v>
      </c>
      <c r="O79" s="102">
        <f>TrRoad_emi!O$34</f>
        <v>1633.1579899196352</v>
      </c>
      <c r="P79" s="102">
        <f>TrRoad_emi!P$34</f>
        <v>1448.8161407321879</v>
      </c>
      <c r="Q79" s="102">
        <f>TrRoad_emi!Q$34</f>
        <v>1483.1055773209937</v>
      </c>
      <c r="R79" s="102">
        <f>TrRoad_emi!R$34</f>
        <v>1780.9321231661495</v>
      </c>
      <c r="S79" s="102">
        <f>TrRoad_emi!S$34</f>
        <v>1639.6529850805996</v>
      </c>
      <c r="T79" s="102">
        <f>TrRoad_emi!T$34</f>
        <v>1726.8308053629005</v>
      </c>
      <c r="U79" s="102">
        <f>TrRoad_emi!U$34</f>
        <v>1700.1139056069387</v>
      </c>
      <c r="V79" s="102">
        <f>TrRoad_emi!V$34</f>
        <v>1699.8307975247224</v>
      </c>
      <c r="W79" s="102">
        <f>TrRoad_emi!W$34</f>
        <v>1633.209722720127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2463.9667254544333</v>
      </c>
      <c r="C80" s="102">
        <f>TrRoad_emi!C$40</f>
        <v>2573.4604823055893</v>
      </c>
      <c r="D80" s="102">
        <f>TrRoad_emi!D$40</f>
        <v>2623.1114314909019</v>
      </c>
      <c r="E80" s="102">
        <f>TrRoad_emi!E$40</f>
        <v>2653.331081073658</v>
      </c>
      <c r="F80" s="102">
        <f>TrRoad_emi!F$40</f>
        <v>2720.8889560288267</v>
      </c>
      <c r="G80" s="102">
        <f>TrRoad_emi!G$40</f>
        <v>2690.1867973856288</v>
      </c>
      <c r="H80" s="102">
        <f>TrRoad_emi!H$40</f>
        <v>2640.7369958289833</v>
      </c>
      <c r="I80" s="102">
        <f>TrRoad_emi!I$40</f>
        <v>2680.647726677581</v>
      </c>
      <c r="J80" s="102">
        <f>TrRoad_emi!J$40</f>
        <v>2516.0004187625655</v>
      </c>
      <c r="K80" s="102">
        <f>TrRoad_emi!K$40</f>
        <v>2067.9940440395453</v>
      </c>
      <c r="L80" s="102">
        <f>TrRoad_emi!L$40</f>
        <v>2270.0428985437206</v>
      </c>
      <c r="M80" s="102">
        <f>TrRoad_emi!M$40</f>
        <v>2029.7618385203455</v>
      </c>
      <c r="N80" s="102">
        <f>TrRoad_emi!N$40</f>
        <v>1805.7410691007922</v>
      </c>
      <c r="O80" s="102">
        <f>TrRoad_emi!O$40</f>
        <v>1757.3051974098653</v>
      </c>
      <c r="P80" s="102">
        <f>TrRoad_emi!P$40</f>
        <v>1403.0450654104109</v>
      </c>
      <c r="Q80" s="102">
        <f>TrRoad_emi!Q$40</f>
        <v>1277.5620427697454</v>
      </c>
      <c r="R80" s="102">
        <f>TrRoad_emi!R$40</f>
        <v>1711.48068254694</v>
      </c>
      <c r="S80" s="102">
        <f>TrRoad_emi!S$40</f>
        <v>1537.5974392577155</v>
      </c>
      <c r="T80" s="102">
        <f>TrRoad_emi!T$40</f>
        <v>1550.2381342602941</v>
      </c>
      <c r="U80" s="102">
        <f>TrRoad_emi!U$40</f>
        <v>1449.737815553141</v>
      </c>
      <c r="V80" s="102">
        <f>TrRoad_emi!V$40</f>
        <v>1386.5761139573083</v>
      </c>
      <c r="W80" s="102">
        <f>TrRoad_emi!W$40</f>
        <v>1366.3699413319866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98.561349201205147</v>
      </c>
      <c r="C81" s="110">
        <f>TrRail_emi!C$15</f>
        <v>95.575805127304633</v>
      </c>
      <c r="D81" s="110">
        <f>TrRail_emi!D$15</f>
        <v>88.877693945400608</v>
      </c>
      <c r="E81" s="110">
        <f>TrRail_emi!E$15</f>
        <v>87.466676758523533</v>
      </c>
      <c r="F81" s="110">
        <f>TrRail_emi!F$15</f>
        <v>91.608154915588401</v>
      </c>
      <c r="G81" s="110">
        <f>TrRail_emi!G$15</f>
        <v>91.249702731710613</v>
      </c>
      <c r="H81" s="110">
        <f>TrRail_emi!H$15</f>
        <v>96.492301073739966</v>
      </c>
      <c r="I81" s="110">
        <f>TrRail_emi!I$15</f>
        <v>78.556980473979948</v>
      </c>
      <c r="J81" s="110">
        <f>TrRail_emi!J$15</f>
        <v>80.842575757996059</v>
      </c>
      <c r="K81" s="110">
        <f>TrRail_emi!K$15</f>
        <v>67.402777150084773</v>
      </c>
      <c r="L81" s="110">
        <f>TrRail_emi!L$15</f>
        <v>67.428165071971392</v>
      </c>
      <c r="M81" s="110">
        <f>TrRail_emi!M$15</f>
        <v>67.348481427512269</v>
      </c>
      <c r="N81" s="110">
        <f>TrRail_emi!N$15</f>
        <v>71.497362901154546</v>
      </c>
      <c r="O81" s="110">
        <f>TrRail_emi!O$15</f>
        <v>67.790382069251422</v>
      </c>
      <c r="P81" s="110">
        <f>TrRail_emi!P$15</f>
        <v>57.756250891414837</v>
      </c>
      <c r="Q81" s="110">
        <f>TrRail_emi!Q$15</f>
        <v>41.052056912211356</v>
      </c>
      <c r="R81" s="110">
        <f>TrRail_emi!R$15</f>
        <v>41.89261746717014</v>
      </c>
      <c r="S81" s="110">
        <f>TrRail_emi!S$15</f>
        <v>39.765827907050763</v>
      </c>
      <c r="T81" s="110">
        <f>TrRail_emi!T$15</f>
        <v>52.66067551559064</v>
      </c>
      <c r="U81" s="110">
        <f>TrRail_emi!U$15</f>
        <v>55.577872532712341</v>
      </c>
      <c r="V81" s="110">
        <f>TrRail_emi!V$15</f>
        <v>50.567957827975064</v>
      </c>
      <c r="W81" s="110">
        <f>TrRail_emi!W$15</f>
        <v>58.374555943281379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30.656910770033065</v>
      </c>
      <c r="C82" s="110">
        <f t="shared" si="67"/>
        <v>25.086516921221559</v>
      </c>
      <c r="D82" s="110">
        <f t="shared" si="67"/>
        <v>25.042531890311245</v>
      </c>
      <c r="E82" s="110">
        <f t="shared" si="67"/>
        <v>30.210476537571353</v>
      </c>
      <c r="F82" s="110">
        <f t="shared" si="67"/>
        <v>40.422952318287095</v>
      </c>
      <c r="G82" s="110">
        <f t="shared" si="67"/>
        <v>42.953682925580438</v>
      </c>
      <c r="H82" s="110">
        <f t="shared" si="67"/>
        <v>45.119092975426952</v>
      </c>
      <c r="I82" s="110">
        <f t="shared" si="67"/>
        <v>49.23295958817571</v>
      </c>
      <c r="J82" s="110">
        <f t="shared" si="67"/>
        <v>42.028677187590986</v>
      </c>
      <c r="K82" s="110">
        <f t="shared" si="67"/>
        <v>32.250577556528903</v>
      </c>
      <c r="L82" s="110">
        <f t="shared" si="67"/>
        <v>33.736134745839266</v>
      </c>
      <c r="M82" s="110">
        <f t="shared" si="67"/>
        <v>35.133101128980293</v>
      </c>
      <c r="N82" s="110">
        <f t="shared" si="67"/>
        <v>38.999402336627519</v>
      </c>
      <c r="O82" s="110">
        <f t="shared" si="67"/>
        <v>41.154911414754906</v>
      </c>
      <c r="P82" s="110">
        <f t="shared" si="67"/>
        <v>36.686619943900965</v>
      </c>
      <c r="Q82" s="110">
        <f t="shared" si="67"/>
        <v>38.73848067871738</v>
      </c>
      <c r="R82" s="110">
        <f t="shared" si="67"/>
        <v>36.857870931995933</v>
      </c>
      <c r="S82" s="110">
        <f t="shared" si="67"/>
        <v>39.762227896846078</v>
      </c>
      <c r="T82" s="110">
        <f t="shared" si="67"/>
        <v>38.503145094887998</v>
      </c>
      <c r="U82" s="110">
        <f t="shared" si="67"/>
        <v>54.245812423248132</v>
      </c>
      <c r="V82" s="110">
        <f t="shared" si="67"/>
        <v>31.008892298661081</v>
      </c>
      <c r="W82" s="110">
        <f t="shared" ref="W82" si="68">W83+W84+W85</f>
        <v>31.164816051534377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4.6883532876129381</v>
      </c>
      <c r="C83" s="102">
        <f>TrAvia_emi!C$11</f>
        <v>3.5901812667179596</v>
      </c>
      <c r="D83" s="102">
        <f>TrAvia_emi!D$11</f>
        <v>3.1666946498927335</v>
      </c>
      <c r="E83" s="102">
        <f>TrAvia_emi!E$11</f>
        <v>2.6288722813998437</v>
      </c>
      <c r="F83" s="102">
        <f>TrAvia_emi!F$11</f>
        <v>2.6375327223378666</v>
      </c>
      <c r="G83" s="102">
        <f>TrAvia_emi!G$11</f>
        <v>2.460928146497007</v>
      </c>
      <c r="H83" s="102">
        <f>TrAvia_emi!H$11</f>
        <v>2.3294012553508949</v>
      </c>
      <c r="I83" s="102">
        <f>TrAvia_emi!I$11</f>
        <v>1.898406614260584</v>
      </c>
      <c r="J83" s="102">
        <f>TrAvia_emi!J$11</f>
        <v>1.519747943325584</v>
      </c>
      <c r="K83" s="102">
        <f>TrAvia_emi!K$11</f>
        <v>1.4792546391625077</v>
      </c>
      <c r="L83" s="102">
        <f>TrAvia_emi!L$11</f>
        <v>1.1368243270220768</v>
      </c>
      <c r="M83" s="102">
        <f>TrAvia_emi!M$11</f>
        <v>1.0446926567648938</v>
      </c>
      <c r="N83" s="102">
        <f>TrAvia_emi!N$11</f>
        <v>1.1386657487504874</v>
      </c>
      <c r="O83" s="102">
        <f>TrAvia_emi!O$11</f>
        <v>0.94443922288151994</v>
      </c>
      <c r="P83" s="102">
        <f>TrAvia_emi!P$11</f>
        <v>0.74794748427564739</v>
      </c>
      <c r="Q83" s="102">
        <f>TrAvia_emi!Q$11</f>
        <v>0.71785285409701804</v>
      </c>
      <c r="R83" s="102">
        <f>TrAvia_emi!R$11</f>
        <v>0.79021288934118727</v>
      </c>
      <c r="S83" s="102">
        <f>TrAvia_emi!S$11</f>
        <v>0.62429018168327499</v>
      </c>
      <c r="T83" s="102">
        <f>TrAvia_emi!T$11</f>
        <v>0.42677655617459764</v>
      </c>
      <c r="U83" s="102">
        <f>TrAvia_emi!U$11</f>
        <v>0.45051554820999379</v>
      </c>
      <c r="V83" s="102">
        <f>TrAvia_emi!V$11</f>
        <v>0.48978019941343887</v>
      </c>
      <c r="W83" s="102">
        <f>TrAvia_emi!W$11</f>
        <v>0.35039910684585085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13.738598559220129</v>
      </c>
      <c r="C84" s="102">
        <f>TrAvia_emi!C$12</f>
        <v>12.233095530878014</v>
      </c>
      <c r="D84" s="102">
        <f>TrAvia_emi!D$12</f>
        <v>11.50463705517523</v>
      </c>
      <c r="E84" s="102">
        <f>TrAvia_emi!E$12</f>
        <v>17.217874002010067</v>
      </c>
      <c r="F84" s="102">
        <f>TrAvia_emi!F$12</f>
        <v>23.715048784008324</v>
      </c>
      <c r="G84" s="102">
        <f>TrAvia_emi!G$12</f>
        <v>24.090915480923858</v>
      </c>
      <c r="H84" s="102">
        <f>TrAvia_emi!H$12</f>
        <v>29.853091274680576</v>
      </c>
      <c r="I84" s="102">
        <f>TrAvia_emi!I$12</f>
        <v>34.419602855692261</v>
      </c>
      <c r="J84" s="102">
        <f>TrAvia_emi!J$12</f>
        <v>29.251350651523101</v>
      </c>
      <c r="K84" s="102">
        <f>TrAvia_emi!K$12</f>
        <v>24.087602319392257</v>
      </c>
      <c r="L84" s="102">
        <f>TrAvia_emi!L$12</f>
        <v>25.209026188468865</v>
      </c>
      <c r="M84" s="102">
        <f>TrAvia_emi!M$12</f>
        <v>23.097208946041082</v>
      </c>
      <c r="N84" s="102">
        <f>TrAvia_emi!N$12</f>
        <v>22.707293217928044</v>
      </c>
      <c r="O84" s="102">
        <f>TrAvia_emi!O$12</f>
        <v>27.123981433115567</v>
      </c>
      <c r="P84" s="102">
        <f>TrAvia_emi!P$12</f>
        <v>26.918704626903899</v>
      </c>
      <c r="Q84" s="102">
        <f>TrAvia_emi!Q$12</f>
        <v>30.586533596596468</v>
      </c>
      <c r="R84" s="102">
        <f>TrAvia_emi!R$12</f>
        <v>28.924632031583055</v>
      </c>
      <c r="S84" s="102">
        <f>TrAvia_emi!S$12</f>
        <v>32.187582132006654</v>
      </c>
      <c r="T84" s="102">
        <f>TrAvia_emi!T$12</f>
        <v>30.934816421690719</v>
      </c>
      <c r="U84" s="102">
        <f>TrAvia_emi!U$12</f>
        <v>47.3282027952974</v>
      </c>
      <c r="V84" s="102">
        <f>TrAvia_emi!V$12</f>
        <v>22.110868910676565</v>
      </c>
      <c r="W84" s="102">
        <f>TrAvia_emi!W$12</f>
        <v>21.083780804108518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12.229958923199996</v>
      </c>
      <c r="C85" s="102">
        <f>TrAvia_emi!C$13</f>
        <v>9.2632401236255859</v>
      </c>
      <c r="D85" s="102">
        <f>TrAvia_emi!D$13</f>
        <v>10.37120018524328</v>
      </c>
      <c r="E85" s="102">
        <f>TrAvia_emi!E$13</f>
        <v>10.363730254161441</v>
      </c>
      <c r="F85" s="102">
        <f>TrAvia_emi!F$13</f>
        <v>14.070370811940903</v>
      </c>
      <c r="G85" s="102">
        <f>TrAvia_emi!G$13</f>
        <v>16.401839298159576</v>
      </c>
      <c r="H85" s="102">
        <f>TrAvia_emi!H$13</f>
        <v>12.936600445395481</v>
      </c>
      <c r="I85" s="102">
        <f>TrAvia_emi!I$13</f>
        <v>12.91495011822286</v>
      </c>
      <c r="J85" s="102">
        <f>TrAvia_emi!J$13</f>
        <v>11.2575785927423</v>
      </c>
      <c r="K85" s="102">
        <f>TrAvia_emi!K$13</f>
        <v>6.6837205979741343</v>
      </c>
      <c r="L85" s="102">
        <f>TrAvia_emi!L$13</f>
        <v>7.3902842303483229</v>
      </c>
      <c r="M85" s="102">
        <f>TrAvia_emi!M$13</f>
        <v>10.991199526174317</v>
      </c>
      <c r="N85" s="102">
        <f>TrAvia_emi!N$13</f>
        <v>15.15344336994899</v>
      </c>
      <c r="O85" s="102">
        <f>TrAvia_emi!O$13</f>
        <v>13.086490758757819</v>
      </c>
      <c r="P85" s="102">
        <f>TrAvia_emi!P$13</f>
        <v>9.0199678327214166</v>
      </c>
      <c r="Q85" s="102">
        <f>TrAvia_emi!Q$13</f>
        <v>7.4340942280238931</v>
      </c>
      <c r="R85" s="102">
        <f>TrAvia_emi!R$13</f>
        <v>7.1430260110716883</v>
      </c>
      <c r="S85" s="102">
        <f>TrAvia_emi!S$13</f>
        <v>6.9503555831561474</v>
      </c>
      <c r="T85" s="102">
        <f>TrAvia_emi!T$13</f>
        <v>7.1415521170226839</v>
      </c>
      <c r="U85" s="102">
        <f>TrAvia_emi!U$13</f>
        <v>6.4670940797407379</v>
      </c>
      <c r="V85" s="102">
        <f>TrAvia_emi!V$13</f>
        <v>8.4082431885710793</v>
      </c>
      <c r="W85" s="102">
        <f>TrAvia_emi!W$13</f>
        <v>9.7306361405800068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500.24133035999995</v>
      </c>
      <c r="C86" s="110">
        <f t="shared" si="69"/>
        <v>455.70023603999988</v>
      </c>
      <c r="D86" s="110">
        <f t="shared" si="69"/>
        <v>474.78707603999999</v>
      </c>
      <c r="E86" s="110">
        <f t="shared" si="69"/>
        <v>490.69296180000009</v>
      </c>
      <c r="F86" s="110">
        <f t="shared" si="69"/>
        <v>470.87193348000005</v>
      </c>
      <c r="G86" s="110">
        <f t="shared" si="69"/>
        <v>477.02114892000009</v>
      </c>
      <c r="H86" s="110">
        <f t="shared" si="69"/>
        <v>511.62716448000003</v>
      </c>
      <c r="I86" s="110">
        <f t="shared" si="69"/>
        <v>527.36647535999998</v>
      </c>
      <c r="J86" s="110">
        <f t="shared" si="69"/>
        <v>436.68836424000011</v>
      </c>
      <c r="K86" s="110">
        <f t="shared" si="69"/>
        <v>449.57432807999999</v>
      </c>
      <c r="L86" s="110">
        <f t="shared" si="69"/>
        <v>515.79534672</v>
      </c>
      <c r="M86" s="110">
        <f t="shared" si="69"/>
        <v>492.16286663999995</v>
      </c>
      <c r="N86" s="110">
        <f t="shared" si="69"/>
        <v>457.46464176000001</v>
      </c>
      <c r="O86" s="110">
        <f t="shared" si="69"/>
        <v>452.29275396000003</v>
      </c>
      <c r="P86" s="110">
        <f t="shared" si="69"/>
        <v>392.73291935999998</v>
      </c>
      <c r="Q86" s="110">
        <f t="shared" si="69"/>
        <v>398.95988399999993</v>
      </c>
      <c r="R86" s="110">
        <f t="shared" ref="R86:V86" si="70">R87+R88</f>
        <v>373.45117932000005</v>
      </c>
      <c r="S86" s="110">
        <f t="shared" si="70"/>
        <v>385.61486292000012</v>
      </c>
      <c r="T86" s="110">
        <f t="shared" si="70"/>
        <v>385.51296060000004</v>
      </c>
      <c r="U86" s="110">
        <f t="shared" si="70"/>
        <v>398.27817611999996</v>
      </c>
      <c r="V86" s="110">
        <f t="shared" si="70"/>
        <v>334.05881976000001</v>
      </c>
      <c r="W86" s="110">
        <f t="shared" ref="W86" si="71">W87+W88</f>
        <v>337.38605783999992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428.95570917927034</v>
      </c>
      <c r="C87" s="102">
        <f>TrNavi_emi!C$4</f>
        <v>396.31031841622962</v>
      </c>
      <c r="D87" s="102">
        <f>TrNavi_emi!D$4</f>
        <v>413.98111110912606</v>
      </c>
      <c r="E87" s="102">
        <f>TrNavi_emi!E$4</f>
        <v>415.34754076158282</v>
      </c>
      <c r="F87" s="102">
        <f>TrNavi_emi!F$4</f>
        <v>388.89815345203419</v>
      </c>
      <c r="G87" s="102">
        <f>TrNavi_emi!G$4</f>
        <v>412.51879286595312</v>
      </c>
      <c r="H87" s="102">
        <f>TrNavi_emi!H$4</f>
        <v>460.07130171521408</v>
      </c>
      <c r="I87" s="102">
        <f>TrNavi_emi!I$4</f>
        <v>453.17284362624508</v>
      </c>
      <c r="J87" s="102">
        <f>TrNavi_emi!J$4</f>
        <v>396.15571574509318</v>
      </c>
      <c r="K87" s="102">
        <f>TrNavi_emi!K$4</f>
        <v>409.9519647930249</v>
      </c>
      <c r="L87" s="102">
        <f>TrNavi_emi!L$4</f>
        <v>488.7143159742966</v>
      </c>
      <c r="M87" s="102">
        <f>TrNavi_emi!M$4</f>
        <v>464.5283817598293</v>
      </c>
      <c r="N87" s="102">
        <f>TrNavi_emi!N$4</f>
        <v>405.11654195145985</v>
      </c>
      <c r="O87" s="102">
        <f>TrNavi_emi!O$4</f>
        <v>383.98421743525932</v>
      </c>
      <c r="P87" s="102">
        <f>TrNavi_emi!P$4</f>
        <v>341.68884514817438</v>
      </c>
      <c r="Q87" s="102">
        <f>TrNavi_emi!Q$4</f>
        <v>354.70921200933259</v>
      </c>
      <c r="R87" s="102">
        <f>TrNavi_emi!R$4</f>
        <v>343.01537704646546</v>
      </c>
      <c r="S87" s="102">
        <f>TrNavi_emi!S$4</f>
        <v>352.68448754964061</v>
      </c>
      <c r="T87" s="102">
        <f>TrNavi_emi!T$4</f>
        <v>358.55453986337108</v>
      </c>
      <c r="U87" s="102">
        <f>TrNavi_emi!U$4</f>
        <v>380.12471216734963</v>
      </c>
      <c r="V87" s="102">
        <f>TrNavi_emi!V$4</f>
        <v>304.09074024585988</v>
      </c>
      <c r="W87" s="102">
        <f>TrNavi_emi!W$4</f>
        <v>286.95046580847099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71.285621180729621</v>
      </c>
      <c r="C88" s="169">
        <f>TrNavi_emi!C$5</f>
        <v>59.389917623770273</v>
      </c>
      <c r="D88" s="169">
        <f>TrNavi_emi!D$5</f>
        <v>60.80596493087392</v>
      </c>
      <c r="E88" s="169">
        <f>TrNavi_emi!E$5</f>
        <v>75.345421038417257</v>
      </c>
      <c r="F88" s="169">
        <f>TrNavi_emi!F$5</f>
        <v>81.973780027965859</v>
      </c>
      <c r="G88" s="169">
        <f>TrNavi_emi!G$5</f>
        <v>64.50235605404697</v>
      </c>
      <c r="H88" s="169">
        <f>TrNavi_emi!H$5</f>
        <v>51.555862764785964</v>
      </c>
      <c r="I88" s="169">
        <f>TrNavi_emi!I$5</f>
        <v>74.193631733754927</v>
      </c>
      <c r="J88" s="169">
        <f>TrNavi_emi!J$5</f>
        <v>40.532648494906915</v>
      </c>
      <c r="K88" s="169">
        <f>TrNavi_emi!K$5</f>
        <v>39.622363286975116</v>
      </c>
      <c r="L88" s="169">
        <f>TrNavi_emi!L$5</f>
        <v>27.081030745703394</v>
      </c>
      <c r="M88" s="169">
        <f>TrNavi_emi!M$5</f>
        <v>27.634484880170639</v>
      </c>
      <c r="N88" s="169">
        <f>TrNavi_emi!N$5</f>
        <v>52.348099808540134</v>
      </c>
      <c r="O88" s="169">
        <f>TrNavi_emi!O$5</f>
        <v>68.308536524740703</v>
      </c>
      <c r="P88" s="169">
        <f>TrNavi_emi!P$5</f>
        <v>51.044074211825617</v>
      </c>
      <c r="Q88" s="169">
        <f>TrNavi_emi!Q$5</f>
        <v>44.250671990667357</v>
      </c>
      <c r="R88" s="169">
        <f>TrNavi_emi!R$5</f>
        <v>30.435802273534605</v>
      </c>
      <c r="S88" s="169">
        <f>TrNavi_emi!S$5</f>
        <v>32.930375370359499</v>
      </c>
      <c r="T88" s="169">
        <f>TrNavi_emi!T$5</f>
        <v>26.95842073662897</v>
      </c>
      <c r="U88" s="169">
        <f>TrNavi_emi!U$5</f>
        <v>18.153463952650345</v>
      </c>
      <c r="V88" s="169">
        <f>TrNavi_emi!V$5</f>
        <v>29.968079514140104</v>
      </c>
      <c r="W88" s="169">
        <f>TrNavi_emi!W$5</f>
        <v>50.43559203152892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2170.5075856800004</v>
      </c>
      <c r="C89" s="28">
        <f t="shared" si="72"/>
        <v>1858.5185432400003</v>
      </c>
      <c r="D89" s="28">
        <f t="shared" si="72"/>
        <v>2093.7164439599997</v>
      </c>
      <c r="E89" s="28">
        <f t="shared" si="72"/>
        <v>2080.9505663999998</v>
      </c>
      <c r="F89" s="28">
        <f t="shared" si="72"/>
        <v>1675.9876514400005</v>
      </c>
      <c r="G89" s="28">
        <f t="shared" si="72"/>
        <v>1647.3573914400004</v>
      </c>
      <c r="H89" s="28">
        <f t="shared" si="72"/>
        <v>1812.5384785200001</v>
      </c>
      <c r="I89" s="28">
        <f t="shared" si="72"/>
        <v>1484.72318412</v>
      </c>
      <c r="J89" s="28">
        <f t="shared" si="72"/>
        <v>1295.9669703599996</v>
      </c>
      <c r="K89" s="28">
        <f t="shared" si="72"/>
        <v>804.84747876000006</v>
      </c>
      <c r="L89" s="28">
        <f t="shared" si="72"/>
        <v>681.33006468000008</v>
      </c>
      <c r="M89" s="28">
        <f t="shared" si="72"/>
        <v>643.46506164000016</v>
      </c>
      <c r="N89" s="28">
        <f t="shared" si="72"/>
        <v>393.40305072000001</v>
      </c>
      <c r="O89" s="28">
        <f t="shared" si="72"/>
        <v>416.07987336000008</v>
      </c>
      <c r="P89" s="28">
        <f t="shared" si="72"/>
        <v>308.77360055999998</v>
      </c>
      <c r="Q89" s="28">
        <f t="shared" si="72"/>
        <v>952.81102223999972</v>
      </c>
      <c r="R89" s="28">
        <f t="shared" si="72"/>
        <v>922.56056460000013</v>
      </c>
      <c r="S89" s="28">
        <f t="shared" si="72"/>
        <v>1134.5693943599999</v>
      </c>
      <c r="T89" s="28">
        <f t="shared" si="72"/>
        <v>1047.44657196</v>
      </c>
      <c r="U89" s="28">
        <f t="shared" si="72"/>
        <v>1077.6617308799998</v>
      </c>
      <c r="V89" s="28">
        <f t="shared" si="72"/>
        <v>989.43184692</v>
      </c>
      <c r="W89" s="28">
        <f t="shared" si="72"/>
        <v>893.83156560000009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1119.2862889806631</v>
      </c>
      <c r="C90" s="102">
        <f>MBunk_emi!C$4</f>
        <v>914.06802344224229</v>
      </c>
      <c r="D90" s="102">
        <f>MBunk_emi!D$4</f>
        <v>1014.1324635352706</v>
      </c>
      <c r="E90" s="102">
        <f>MBunk_emi!E$4</f>
        <v>982.8575409320033</v>
      </c>
      <c r="F90" s="102">
        <f>MBunk_emi!F$4</f>
        <v>797.89490019752236</v>
      </c>
      <c r="G90" s="102">
        <f>MBunk_emi!G$4</f>
        <v>791.63912790454265</v>
      </c>
      <c r="H90" s="102">
        <f>MBunk_emi!H$4</f>
        <v>888.83847060379856</v>
      </c>
      <c r="I90" s="102">
        <f>MBunk_emi!I$4</f>
        <v>723.41207985014341</v>
      </c>
      <c r="J90" s="102">
        <f>MBunk_emi!J$4</f>
        <v>627.36263763656279</v>
      </c>
      <c r="K90" s="102">
        <f>MBunk_emi!K$4</f>
        <v>372.37884335016656</v>
      </c>
      <c r="L90" s="102">
        <f>MBunk_emi!L$4</f>
        <v>324.06760416080391</v>
      </c>
      <c r="M90" s="102">
        <f>MBunk_emi!M$4</f>
        <v>298.2934857814999</v>
      </c>
      <c r="N90" s="102">
        <f>MBunk_emi!N$4</f>
        <v>185.08385771198741</v>
      </c>
      <c r="O90" s="102">
        <f>MBunk_emi!O$4</f>
        <v>193.38585102448226</v>
      </c>
      <c r="P90" s="102">
        <f>MBunk_emi!P$4</f>
        <v>141.12880819596796</v>
      </c>
      <c r="Q90" s="102">
        <f>MBunk_emi!Q$4</f>
        <v>463.79018095852462</v>
      </c>
      <c r="R90" s="102">
        <f>MBunk_emi!R$4</f>
        <v>439.09433472627654</v>
      </c>
      <c r="S90" s="102">
        <f>MBunk_emi!S$4</f>
        <v>546.65905671040719</v>
      </c>
      <c r="T90" s="102">
        <f>MBunk_emi!T$4</f>
        <v>500.35426957820874</v>
      </c>
      <c r="U90" s="102">
        <f>MBunk_emi!U$4</f>
        <v>506.8385455819739</v>
      </c>
      <c r="V90" s="102">
        <f>MBunk_emi!V$4</f>
        <v>435.15254660040421</v>
      </c>
      <c r="W90" s="102">
        <f>MBunk_emi!W$4</f>
        <v>392.89869080387967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1051.2212966993372</v>
      </c>
      <c r="C91" s="86">
        <f>MBunk_emi!C$5</f>
        <v>944.45051979775803</v>
      </c>
      <c r="D91" s="86">
        <f>MBunk_emi!D$5</f>
        <v>1079.5839804247291</v>
      </c>
      <c r="E91" s="86">
        <f>MBunk_emi!E$5</f>
        <v>1098.0930254679963</v>
      </c>
      <c r="F91" s="86">
        <f>MBunk_emi!F$5</f>
        <v>878.09275124247813</v>
      </c>
      <c r="G91" s="86">
        <f>MBunk_emi!G$5</f>
        <v>855.71826353545771</v>
      </c>
      <c r="H91" s="86">
        <f>MBunk_emi!H$5</f>
        <v>923.70000791620157</v>
      </c>
      <c r="I91" s="86">
        <f>MBunk_emi!I$5</f>
        <v>761.31110426985651</v>
      </c>
      <c r="J91" s="86">
        <f>MBunk_emi!J$5</f>
        <v>668.60433272343676</v>
      </c>
      <c r="K91" s="86">
        <f>MBunk_emi!K$5</f>
        <v>432.4686354098335</v>
      </c>
      <c r="L91" s="86">
        <f>MBunk_emi!L$5</f>
        <v>357.26246051919611</v>
      </c>
      <c r="M91" s="86">
        <f>MBunk_emi!M$5</f>
        <v>345.1715758585002</v>
      </c>
      <c r="N91" s="86">
        <f>MBunk_emi!N$5</f>
        <v>208.31919300801263</v>
      </c>
      <c r="O91" s="86">
        <f>MBunk_emi!O$5</f>
        <v>222.69402233551781</v>
      </c>
      <c r="P91" s="86">
        <f>MBunk_emi!P$5</f>
        <v>167.64479236403204</v>
      </c>
      <c r="Q91" s="86">
        <f>MBunk_emi!Q$5</f>
        <v>489.0208412814751</v>
      </c>
      <c r="R91" s="86">
        <f>MBunk_emi!R$5</f>
        <v>483.46622987372365</v>
      </c>
      <c r="S91" s="86">
        <f>MBunk_emi!S$5</f>
        <v>587.91033764959263</v>
      </c>
      <c r="T91" s="86">
        <f>MBunk_emi!T$5</f>
        <v>547.09230238179134</v>
      </c>
      <c r="U91" s="86">
        <f>MBunk_emi!U$5</f>
        <v>570.82318529802592</v>
      </c>
      <c r="V91" s="86">
        <f>MBunk_emi!V$5</f>
        <v>554.27930031959579</v>
      </c>
      <c r="W91" s="86">
        <f>MBunk_emi!W$5</f>
        <v>500.93287479612042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0.8185437096157282</v>
      </c>
      <c r="C97" s="139">
        <f t="shared" si="76"/>
        <v>0.82212117748479274</v>
      </c>
      <c r="D97" s="139">
        <f t="shared" si="76"/>
        <v>0.82625157699916418</v>
      </c>
      <c r="E97" s="139">
        <f t="shared" si="76"/>
        <v>0.82990186884988548</v>
      </c>
      <c r="F97" s="139">
        <f t="shared" si="76"/>
        <v>0.81902222720017526</v>
      </c>
      <c r="G97" s="139">
        <f t="shared" si="76"/>
        <v>0.81068162078900119</v>
      </c>
      <c r="H97" s="139">
        <f t="shared" si="76"/>
        <v>0.79979714115251044</v>
      </c>
      <c r="I97" s="139">
        <f t="shared" si="76"/>
        <v>0.78183269220732743</v>
      </c>
      <c r="J97" s="139">
        <f t="shared" si="76"/>
        <v>0.7733353750689973</v>
      </c>
      <c r="K97" s="139">
        <f t="shared" si="76"/>
        <v>0.78371870659104048</v>
      </c>
      <c r="L97" s="139">
        <f t="shared" si="76"/>
        <v>0.77770291524225799</v>
      </c>
      <c r="M97" s="139">
        <f t="shared" si="76"/>
        <v>0.76078469389747838</v>
      </c>
      <c r="N97" s="139">
        <f t="shared" si="76"/>
        <v>0.75244465057962806</v>
      </c>
      <c r="O97" s="139">
        <f t="shared" si="76"/>
        <v>0.74936001929171381</v>
      </c>
      <c r="P97" s="139">
        <f t="shared" si="76"/>
        <v>0.74624799055058089</v>
      </c>
      <c r="Q97" s="139">
        <f t="shared" si="76"/>
        <v>0.74738462173174047</v>
      </c>
      <c r="R97" s="139">
        <f t="shared" ref="R97:V97" si="77">IF(R5=0,0,R5/R$4)</f>
        <v>0.71824586461079343</v>
      </c>
      <c r="S97" s="139">
        <f t="shared" si="77"/>
        <v>0.71887730588961052</v>
      </c>
      <c r="T97" s="139">
        <f t="shared" si="77"/>
        <v>0.69782906924704891</v>
      </c>
      <c r="U97" s="139">
        <f t="shared" si="77"/>
        <v>0.68258846753278524</v>
      </c>
      <c r="V97" s="139">
        <f t="shared" si="77"/>
        <v>0.8735756490685922</v>
      </c>
      <c r="W97" s="139">
        <f t="shared" ref="W97" si="78">IF(W5=0,0,W5/W$4)</f>
        <v>0.89613504225079588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1.1505661099901953E-2</v>
      </c>
      <c r="C98" s="140">
        <f t="shared" si="79"/>
        <v>1.1326741118677508E-2</v>
      </c>
      <c r="D98" s="140">
        <f t="shared" si="79"/>
        <v>1.1160539947909904E-2</v>
      </c>
      <c r="E98" s="140">
        <f t="shared" si="79"/>
        <v>1.1007192488157765E-2</v>
      </c>
      <c r="F98" s="140">
        <f t="shared" si="79"/>
        <v>1.0663308792755458E-2</v>
      </c>
      <c r="G98" s="140">
        <f t="shared" si="79"/>
        <v>1.0409633853731271E-2</v>
      </c>
      <c r="H98" s="140">
        <f t="shared" si="79"/>
        <v>1.0193732042513316E-2</v>
      </c>
      <c r="I98" s="140">
        <f t="shared" si="79"/>
        <v>9.7967821511223529E-3</v>
      </c>
      <c r="J98" s="140">
        <f t="shared" si="79"/>
        <v>9.7472966498061975E-3</v>
      </c>
      <c r="K98" s="140">
        <f t="shared" si="79"/>
        <v>9.7565588525861426E-3</v>
      </c>
      <c r="L98" s="140">
        <f t="shared" si="79"/>
        <v>1.2761350805932978E-2</v>
      </c>
      <c r="M98" s="140">
        <f t="shared" si="79"/>
        <v>1.2347807385220382E-2</v>
      </c>
      <c r="N98" s="140">
        <f t="shared" si="79"/>
        <v>1.2174371845159E-2</v>
      </c>
      <c r="O98" s="140">
        <f t="shared" si="79"/>
        <v>1.2143760760243752E-2</v>
      </c>
      <c r="P98" s="140">
        <f t="shared" si="79"/>
        <v>1.2053064151922152E-2</v>
      </c>
      <c r="Q98" s="140">
        <f t="shared" si="79"/>
        <v>1.1967058912574914E-2</v>
      </c>
      <c r="R98" s="140">
        <f t="shared" ref="R98:V98" si="80">IF(R6=0,0,R6/R$4)</f>
        <v>1.3323133354377644E-2</v>
      </c>
      <c r="S98" s="140">
        <f t="shared" si="80"/>
        <v>1.1011977193162159E-2</v>
      </c>
      <c r="T98" s="140">
        <f t="shared" si="80"/>
        <v>1.0193038741764573E-2</v>
      </c>
      <c r="U98" s="140">
        <f t="shared" si="80"/>
        <v>1.0591297885073906E-2</v>
      </c>
      <c r="V98" s="140">
        <f t="shared" si="80"/>
        <v>1.2787458922631922E-2</v>
      </c>
      <c r="W98" s="140">
        <f t="shared" ref="W98" si="81">IF(W6=0,0,W6/W$4)</f>
        <v>1.3843912331944024E-2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0.70902238647210603</v>
      </c>
      <c r="C99" s="140">
        <f t="shared" si="82"/>
        <v>0.71430112631945231</v>
      </c>
      <c r="D99" s="140">
        <f t="shared" si="82"/>
        <v>0.71999708272860796</v>
      </c>
      <c r="E99" s="140">
        <f t="shared" si="82"/>
        <v>0.72551195010995173</v>
      </c>
      <c r="F99" s="140">
        <f t="shared" si="82"/>
        <v>0.7186722953935103</v>
      </c>
      <c r="G99" s="140">
        <f t="shared" si="82"/>
        <v>0.71338860635223267</v>
      </c>
      <c r="H99" s="140">
        <f t="shared" si="82"/>
        <v>0.70454576635423771</v>
      </c>
      <c r="I99" s="140">
        <f t="shared" si="82"/>
        <v>0.69042145843582248</v>
      </c>
      <c r="J99" s="140">
        <f t="shared" si="82"/>
        <v>0.68242858996020184</v>
      </c>
      <c r="K99" s="140">
        <f t="shared" si="82"/>
        <v>0.69276450485619534</v>
      </c>
      <c r="L99" s="140">
        <f t="shared" si="82"/>
        <v>0.68515102150418294</v>
      </c>
      <c r="M99" s="140">
        <f t="shared" si="82"/>
        <v>0.6711643392809501</v>
      </c>
      <c r="N99" s="140">
        <f t="shared" si="82"/>
        <v>0.66360995870071149</v>
      </c>
      <c r="O99" s="140">
        <f t="shared" si="82"/>
        <v>0.66070933417213784</v>
      </c>
      <c r="P99" s="140">
        <f t="shared" si="82"/>
        <v>0.6584239197596512</v>
      </c>
      <c r="Q99" s="140">
        <f t="shared" si="82"/>
        <v>0.6603170221046466</v>
      </c>
      <c r="R99" s="140">
        <f t="shared" ref="R99:V99" si="83">IF(R7=0,0,R7/R$4)</f>
        <v>0.61575558477503012</v>
      </c>
      <c r="S99" s="140">
        <f t="shared" si="83"/>
        <v>0.62998604973857031</v>
      </c>
      <c r="T99" s="140">
        <f t="shared" si="83"/>
        <v>0.61409207002343569</v>
      </c>
      <c r="U99" s="140">
        <f t="shared" si="83"/>
        <v>0.6009291958830939</v>
      </c>
      <c r="V99" s="140">
        <f t="shared" si="83"/>
        <v>0.77823022550572729</v>
      </c>
      <c r="W99" s="140">
        <f t="shared" ref="W99" si="84">IF(W7=0,0,W7/W$4)</f>
        <v>0.80623154975343359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9.8015662043720239E-2</v>
      </c>
      <c r="C100" s="140">
        <f t="shared" si="85"/>
        <v>9.6493310046662867E-2</v>
      </c>
      <c r="D100" s="140">
        <f t="shared" si="85"/>
        <v>9.5093954322646349E-2</v>
      </c>
      <c r="E100" s="140">
        <f t="shared" si="85"/>
        <v>9.338272625177596E-2</v>
      </c>
      <c r="F100" s="140">
        <f t="shared" si="85"/>
        <v>8.9686623013909519E-2</v>
      </c>
      <c r="G100" s="140">
        <f t="shared" si="85"/>
        <v>8.6883380583037226E-2</v>
      </c>
      <c r="H100" s="140">
        <f t="shared" si="85"/>
        <v>8.5057642755759388E-2</v>
      </c>
      <c r="I100" s="140">
        <f t="shared" si="85"/>
        <v>8.1614451620382555E-2</v>
      </c>
      <c r="J100" s="140">
        <f t="shared" si="85"/>
        <v>8.1159488458989307E-2</v>
      </c>
      <c r="K100" s="140">
        <f t="shared" si="85"/>
        <v>8.1197642882258877E-2</v>
      </c>
      <c r="L100" s="140">
        <f t="shared" si="85"/>
        <v>7.9790542932142064E-2</v>
      </c>
      <c r="M100" s="140">
        <f t="shared" si="85"/>
        <v>7.7272547231308053E-2</v>
      </c>
      <c r="N100" s="140">
        <f t="shared" si="85"/>
        <v>7.6660320033757695E-2</v>
      </c>
      <c r="O100" s="140">
        <f t="shared" si="85"/>
        <v>7.6506924359332248E-2</v>
      </c>
      <c r="P100" s="140">
        <f t="shared" si="85"/>
        <v>7.5771006639007488E-2</v>
      </c>
      <c r="Q100" s="140">
        <f t="shared" si="85"/>
        <v>7.5100540714518951E-2</v>
      </c>
      <c r="R100" s="140">
        <f t="shared" ref="R100:V100" si="86">IF(R8=0,0,R8/R$4)</f>
        <v>8.9167146481385726E-2</v>
      </c>
      <c r="S100" s="140">
        <f t="shared" si="86"/>
        <v>7.7879278957878134E-2</v>
      </c>
      <c r="T100" s="140">
        <f t="shared" si="86"/>
        <v>7.354396048184858E-2</v>
      </c>
      <c r="U100" s="140">
        <f t="shared" si="86"/>
        <v>7.1067973764617418E-2</v>
      </c>
      <c r="V100" s="140">
        <f t="shared" si="86"/>
        <v>8.2557964640233156E-2</v>
      </c>
      <c r="W100" s="140">
        <f t="shared" ref="W100" si="87">IF(W8=0,0,W8/W$4)</f>
        <v>7.6059580165418264E-2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4.9669754973324202E-2</v>
      </c>
      <c r="C101" s="124">
        <f t="shared" si="88"/>
        <v>4.7452151665284881E-2</v>
      </c>
      <c r="D101" s="124">
        <f t="shared" si="88"/>
        <v>4.736790413045585E-2</v>
      </c>
      <c r="E101" s="124">
        <f t="shared" si="88"/>
        <v>4.6999392196835826E-2</v>
      </c>
      <c r="F101" s="124">
        <f t="shared" si="88"/>
        <v>4.5698312186574538E-2</v>
      </c>
      <c r="G101" s="124">
        <f t="shared" si="88"/>
        <v>4.613807106823356E-2</v>
      </c>
      <c r="H101" s="124">
        <f t="shared" si="88"/>
        <v>4.5845392594085696E-2</v>
      </c>
      <c r="I101" s="124">
        <f t="shared" si="88"/>
        <v>4.6522402263183583E-2</v>
      </c>
      <c r="J101" s="124">
        <f t="shared" si="88"/>
        <v>4.9341524548542036E-2</v>
      </c>
      <c r="K101" s="124">
        <f t="shared" si="88"/>
        <v>4.7469391223474412E-2</v>
      </c>
      <c r="L101" s="124">
        <f t="shared" si="88"/>
        <v>4.7503945254958324E-2</v>
      </c>
      <c r="M101" s="124">
        <f t="shared" si="88"/>
        <v>4.5061988087010806E-2</v>
      </c>
      <c r="N101" s="124">
        <f t="shared" si="88"/>
        <v>4.637237661458473E-2</v>
      </c>
      <c r="O101" s="124">
        <f t="shared" si="88"/>
        <v>4.6452082190586615E-2</v>
      </c>
      <c r="P101" s="124">
        <f t="shared" si="88"/>
        <v>4.409233383372764E-2</v>
      </c>
      <c r="Q101" s="124">
        <f t="shared" si="88"/>
        <v>4.6114399233478667E-2</v>
      </c>
      <c r="R101" s="124">
        <f t="shared" ref="R101:V101" si="89">IF(R9=0,0,R9/R$4)</f>
        <v>4.7474985230528573E-2</v>
      </c>
      <c r="S101" s="124">
        <f t="shared" si="89"/>
        <v>4.5671627858426253E-2</v>
      </c>
      <c r="T101" s="124">
        <f t="shared" si="89"/>
        <v>4.7709082254990973E-2</v>
      </c>
      <c r="U101" s="124">
        <f t="shared" si="89"/>
        <v>5.016622991304398E-2</v>
      </c>
      <c r="V101" s="124">
        <f t="shared" si="89"/>
        <v>4.1056534672674207E-2</v>
      </c>
      <c r="W101" s="124">
        <f t="shared" ref="W101" si="90">IF(W9=0,0,W9/W$4)</f>
        <v>4.3082656854808395E-2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6.3264654591855783E-3</v>
      </c>
      <c r="C102" s="140">
        <f t="shared" si="91"/>
        <v>6.3234447077332558E-3</v>
      </c>
      <c r="D102" s="140">
        <f t="shared" si="91"/>
        <v>6.3910547223336982E-3</v>
      </c>
      <c r="E102" s="140">
        <f t="shared" si="91"/>
        <v>6.3590349310694372E-3</v>
      </c>
      <c r="F102" s="140">
        <f t="shared" si="91"/>
        <v>6.1677980060847702E-3</v>
      </c>
      <c r="G102" s="140">
        <f t="shared" si="91"/>
        <v>6.061095250222491E-3</v>
      </c>
      <c r="H102" s="140">
        <f t="shared" si="91"/>
        <v>5.9111677458909707E-3</v>
      </c>
      <c r="I102" s="140">
        <f t="shared" si="91"/>
        <v>5.6285828703712109E-3</v>
      </c>
      <c r="J102" s="140">
        <f t="shared" si="91"/>
        <v>5.7263723952496433E-3</v>
      </c>
      <c r="K102" s="140">
        <f t="shared" si="91"/>
        <v>5.7290644580055327E-3</v>
      </c>
      <c r="L102" s="140">
        <f t="shared" si="91"/>
        <v>5.6086190655219234E-3</v>
      </c>
      <c r="M102" s="140">
        <f t="shared" si="91"/>
        <v>5.2778994461702448E-3</v>
      </c>
      <c r="N102" s="140">
        <f t="shared" si="91"/>
        <v>5.3479215302064389E-3</v>
      </c>
      <c r="O102" s="140">
        <f t="shared" si="91"/>
        <v>5.3270736457094736E-3</v>
      </c>
      <c r="P102" s="140">
        <f t="shared" si="91"/>
        <v>5.1617131812720651E-3</v>
      </c>
      <c r="Q102" s="140">
        <f t="shared" si="91"/>
        <v>5.1377912096681935E-3</v>
      </c>
      <c r="R102" s="140">
        <f t="shared" ref="R102:V102" si="92">IF(R10=0,0,R10/R$4)</f>
        <v>5.694425255967704E-3</v>
      </c>
      <c r="S102" s="140">
        <f t="shared" si="92"/>
        <v>5.2754169731824424E-3</v>
      </c>
      <c r="T102" s="140">
        <f t="shared" si="92"/>
        <v>6.0188496568430536E-3</v>
      </c>
      <c r="U102" s="140">
        <f t="shared" si="92"/>
        <v>5.8701915817811739E-3</v>
      </c>
      <c r="V102" s="140">
        <f t="shared" si="92"/>
        <v>6.8192611012833967E-3</v>
      </c>
      <c r="W102" s="140">
        <f t="shared" ref="W102" si="93">IF(W10=0,0,W10/W$4)</f>
        <v>6.2824966514401955E-3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4.243950873425497E-2</v>
      </c>
      <c r="C103" s="140">
        <f t="shared" si="94"/>
        <v>4.0376811035110094E-2</v>
      </c>
      <c r="D103" s="140">
        <f t="shared" si="94"/>
        <v>3.9309617741426404E-2</v>
      </c>
      <c r="E103" s="140">
        <f t="shared" si="94"/>
        <v>3.8205344847206384E-2</v>
      </c>
      <c r="F103" s="140">
        <f t="shared" si="94"/>
        <v>3.7620029903270395E-2</v>
      </c>
      <c r="G103" s="140">
        <f t="shared" si="94"/>
        <v>3.6493324443830091E-2</v>
      </c>
      <c r="H103" s="140">
        <f t="shared" si="94"/>
        <v>3.502705315074707E-2</v>
      </c>
      <c r="I103" s="140">
        <f t="shared" si="94"/>
        <v>3.4615784652782942E-2</v>
      </c>
      <c r="J103" s="140">
        <f t="shared" si="94"/>
        <v>3.6920032548320061E-2</v>
      </c>
      <c r="K103" s="140">
        <f t="shared" si="94"/>
        <v>3.5235900200364857E-2</v>
      </c>
      <c r="L103" s="140">
        <f t="shared" si="94"/>
        <v>3.5006248808955705E-2</v>
      </c>
      <c r="M103" s="140">
        <f t="shared" si="94"/>
        <v>3.2518009597472204E-2</v>
      </c>
      <c r="N103" s="140">
        <f t="shared" si="94"/>
        <v>3.382611203611563E-2</v>
      </c>
      <c r="O103" s="140">
        <f t="shared" si="94"/>
        <v>3.3443875688111288E-2</v>
      </c>
      <c r="P103" s="140">
        <f t="shared" si="94"/>
        <v>3.2388588116382115E-2</v>
      </c>
      <c r="Q103" s="140">
        <f t="shared" si="94"/>
        <v>3.5289285908692396E-2</v>
      </c>
      <c r="R103" s="140">
        <f t="shared" ref="R103:V103" si="95">IF(R11=0,0,R11/R$4)</f>
        <v>3.5159183742811691E-2</v>
      </c>
      <c r="S103" s="140">
        <f t="shared" si="95"/>
        <v>3.3983513395148914E-2</v>
      </c>
      <c r="T103" s="140">
        <f t="shared" si="95"/>
        <v>3.4381801525264211E-2</v>
      </c>
      <c r="U103" s="140">
        <f t="shared" si="95"/>
        <v>3.6973338249693365E-2</v>
      </c>
      <c r="V103" s="140">
        <f t="shared" si="95"/>
        <v>3.0291488496673787E-2</v>
      </c>
      <c r="W103" s="140">
        <f t="shared" ref="W103" si="96">IF(W11=0,0,W11/W$4)</f>
        <v>3.249011732732783E-2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9.0378077988365405E-4</v>
      </c>
      <c r="C104" s="140">
        <f t="shared" si="97"/>
        <v>7.518959224415288E-4</v>
      </c>
      <c r="D104" s="140">
        <f t="shared" si="97"/>
        <v>1.6672316666957474E-3</v>
      </c>
      <c r="E104" s="140">
        <f t="shared" si="97"/>
        <v>2.435012418559999E-3</v>
      </c>
      <c r="F104" s="140">
        <f t="shared" si="97"/>
        <v>1.9104842772193742E-3</v>
      </c>
      <c r="G104" s="140">
        <f t="shared" si="97"/>
        <v>3.5836513741809785E-3</v>
      </c>
      <c r="H104" s="140">
        <f t="shared" si="97"/>
        <v>4.907171697447657E-3</v>
      </c>
      <c r="I104" s="140">
        <f t="shared" si="97"/>
        <v>6.2780347400294275E-3</v>
      </c>
      <c r="J104" s="140">
        <f t="shared" si="97"/>
        <v>6.6951196049723268E-3</v>
      </c>
      <c r="K104" s="140">
        <f t="shared" si="97"/>
        <v>6.5044265651040259E-3</v>
      </c>
      <c r="L104" s="140">
        <f t="shared" si="97"/>
        <v>6.889077380480702E-3</v>
      </c>
      <c r="M104" s="140">
        <f t="shared" si="97"/>
        <v>7.2660790433683566E-3</v>
      </c>
      <c r="N104" s="140">
        <f t="shared" si="97"/>
        <v>7.1983430482626598E-3</v>
      </c>
      <c r="O104" s="140">
        <f t="shared" si="97"/>
        <v>7.6811328567658512E-3</v>
      </c>
      <c r="P104" s="140">
        <f t="shared" si="97"/>
        <v>6.5420325360734588E-3</v>
      </c>
      <c r="Q104" s="140">
        <f t="shared" si="97"/>
        <v>5.6873221151180799E-3</v>
      </c>
      <c r="R104" s="140">
        <f t="shared" ref="R104:V104" si="98">IF(R12=0,0,R12/R$4)</f>
        <v>6.6213762317491763E-3</v>
      </c>
      <c r="S104" s="140">
        <f t="shared" si="98"/>
        <v>6.4126974900948963E-3</v>
      </c>
      <c r="T104" s="140">
        <f t="shared" si="98"/>
        <v>7.3084310728837032E-3</v>
      </c>
      <c r="U104" s="140">
        <f t="shared" si="98"/>
        <v>7.3227000815694401E-3</v>
      </c>
      <c r="V104" s="140">
        <f t="shared" si="98"/>
        <v>3.9457850747170262E-3</v>
      </c>
      <c r="W104" s="140">
        <f t="shared" ref="W104" si="99">IF(W12=0,0,W12/W$4)</f>
        <v>4.3100428760403679E-3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0.13178653541094754</v>
      </c>
      <c r="C105" s="124">
        <f t="shared" si="100"/>
        <v>0.1304266708499224</v>
      </c>
      <c r="D105" s="124">
        <f t="shared" si="100"/>
        <v>0.12638051887038004</v>
      </c>
      <c r="E105" s="124">
        <f t="shared" si="100"/>
        <v>0.12309873895327868</v>
      </c>
      <c r="F105" s="124">
        <f t="shared" si="100"/>
        <v>0.13527946061325022</v>
      </c>
      <c r="G105" s="124">
        <f t="shared" si="100"/>
        <v>0.14318030814276528</v>
      </c>
      <c r="H105" s="124">
        <f t="shared" si="100"/>
        <v>0.15435746625340388</v>
      </c>
      <c r="I105" s="124">
        <f t="shared" si="100"/>
        <v>0.17164490552948905</v>
      </c>
      <c r="J105" s="124">
        <f t="shared" si="100"/>
        <v>0.17732310038246055</v>
      </c>
      <c r="K105" s="124">
        <f t="shared" si="100"/>
        <v>0.16881190218548514</v>
      </c>
      <c r="L105" s="124">
        <f t="shared" si="100"/>
        <v>0.17479313950278369</v>
      </c>
      <c r="M105" s="124">
        <f t="shared" si="100"/>
        <v>0.19415331801551081</v>
      </c>
      <c r="N105" s="124">
        <f t="shared" si="100"/>
        <v>0.20118297280578715</v>
      </c>
      <c r="O105" s="124">
        <f t="shared" si="100"/>
        <v>0.20418789851769961</v>
      </c>
      <c r="P105" s="124">
        <f t="shared" si="100"/>
        <v>0.2096596756156914</v>
      </c>
      <c r="Q105" s="124">
        <f t="shared" si="100"/>
        <v>0.20650097903478101</v>
      </c>
      <c r="R105" s="124">
        <f t="shared" ref="R105:V105" si="101">IF(R13=0,0,R13/R$4)</f>
        <v>0.23427915015867784</v>
      </c>
      <c r="S105" s="124">
        <f t="shared" si="101"/>
        <v>0.23545106625196327</v>
      </c>
      <c r="T105" s="124">
        <f t="shared" si="101"/>
        <v>0.25446184849796016</v>
      </c>
      <c r="U105" s="124">
        <f t="shared" si="101"/>
        <v>0.26724530255417078</v>
      </c>
      <c r="V105" s="124">
        <f t="shared" si="101"/>
        <v>8.5367816258733492E-2</v>
      </c>
      <c r="W105" s="124">
        <f t="shared" ref="W105" si="102">IF(W13=0,0,W13/W$4)</f>
        <v>6.0782300894395597E-2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2.0134248189433011E-2</v>
      </c>
      <c r="C106" s="140">
        <f t="shared" si="103"/>
        <v>1.9487803840680318E-2</v>
      </c>
      <c r="D106" s="140">
        <f t="shared" si="103"/>
        <v>1.9271983782282249E-2</v>
      </c>
      <c r="E106" s="140">
        <f t="shared" si="103"/>
        <v>1.6428557225039917E-2</v>
      </c>
      <c r="F106" s="140">
        <f t="shared" si="103"/>
        <v>1.6836284431764895E-2</v>
      </c>
      <c r="G106" s="140">
        <f t="shared" si="103"/>
        <v>1.6322755745362221E-2</v>
      </c>
      <c r="H106" s="140">
        <f t="shared" si="103"/>
        <v>1.56044332262265E-2</v>
      </c>
      <c r="I106" s="140">
        <f t="shared" si="103"/>
        <v>1.5748651383448307E-2</v>
      </c>
      <c r="J106" s="140">
        <f t="shared" si="103"/>
        <v>1.451685005346405E-2</v>
      </c>
      <c r="K106" s="140">
        <f t="shared" si="103"/>
        <v>1.3224197075727974E-2</v>
      </c>
      <c r="L106" s="140">
        <f t="shared" si="103"/>
        <v>1.2624807807341125E-2</v>
      </c>
      <c r="M106" s="140">
        <f t="shared" si="103"/>
        <v>1.4503208564397753E-2</v>
      </c>
      <c r="N106" s="140">
        <f t="shared" si="103"/>
        <v>1.4375426174464117E-2</v>
      </c>
      <c r="O106" s="140">
        <f t="shared" si="103"/>
        <v>1.2948599053378329E-2</v>
      </c>
      <c r="P106" s="140">
        <f t="shared" si="103"/>
        <v>1.3361528166454797E-2</v>
      </c>
      <c r="Q106" s="140">
        <f t="shared" si="103"/>
        <v>1.3339080410703828E-2</v>
      </c>
      <c r="R106" s="140">
        <f t="shared" ref="R106:V106" si="104">IF(R14=0,0,R14/R$4)</f>
        <v>1.5225012786452701E-2</v>
      </c>
      <c r="S106" s="140">
        <f t="shared" si="104"/>
        <v>1.4280588167601166E-2</v>
      </c>
      <c r="T106" s="140">
        <f t="shared" si="104"/>
        <v>1.5539526145209913E-2</v>
      </c>
      <c r="U106" s="140">
        <f t="shared" si="104"/>
        <v>1.5243982110075665E-2</v>
      </c>
      <c r="V106" s="140">
        <f t="shared" si="104"/>
        <v>7.6988984400213458E-3</v>
      </c>
      <c r="W106" s="140">
        <f t="shared" ref="W106" si="105">IF(W14=0,0,W14/W$4)</f>
        <v>7.0832819207752159E-3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7.4163084156160436E-2</v>
      </c>
      <c r="C107" s="140">
        <f t="shared" si="106"/>
        <v>7.5097376533841825E-2</v>
      </c>
      <c r="D107" s="140">
        <f t="shared" si="106"/>
        <v>7.219915786263692E-2</v>
      </c>
      <c r="E107" s="140">
        <f t="shared" si="106"/>
        <v>7.2172673943683263E-2</v>
      </c>
      <c r="F107" s="140">
        <f t="shared" si="106"/>
        <v>7.5815918665629825E-2</v>
      </c>
      <c r="G107" s="140">
        <f t="shared" si="106"/>
        <v>7.8476086551002272E-2</v>
      </c>
      <c r="H107" s="140">
        <f t="shared" si="106"/>
        <v>8.3113772298876371E-2</v>
      </c>
      <c r="I107" s="140">
        <f t="shared" si="106"/>
        <v>8.3564132211807043E-2</v>
      </c>
      <c r="J107" s="140">
        <f t="shared" si="106"/>
        <v>8.0141292000587505E-2</v>
      </c>
      <c r="K107" s="140">
        <f t="shared" si="106"/>
        <v>7.6202845012876733E-2</v>
      </c>
      <c r="L107" s="140">
        <f t="shared" si="106"/>
        <v>7.6176303479231974E-2</v>
      </c>
      <c r="M107" s="140">
        <f t="shared" si="106"/>
        <v>8.3810944039881596E-2</v>
      </c>
      <c r="N107" s="140">
        <f t="shared" si="106"/>
        <v>8.3449667609320904E-2</v>
      </c>
      <c r="O107" s="140">
        <f t="shared" si="106"/>
        <v>8.7887968261132113E-2</v>
      </c>
      <c r="P107" s="140">
        <f t="shared" si="106"/>
        <v>9.6986882430831367E-2</v>
      </c>
      <c r="Q107" s="140">
        <f t="shared" si="106"/>
        <v>9.3375177657243125E-2</v>
      </c>
      <c r="R107" s="140">
        <f t="shared" ref="R107:V107" si="107">IF(R15=0,0,R15/R$4)</f>
        <v>0.10581477469866615</v>
      </c>
      <c r="S107" s="140">
        <f t="shared" si="107"/>
        <v>0.10506902017815463</v>
      </c>
      <c r="T107" s="140">
        <f t="shared" si="107"/>
        <v>0.11090225863058754</v>
      </c>
      <c r="U107" s="140">
        <f t="shared" si="107"/>
        <v>0.11166570588695331</v>
      </c>
      <c r="V107" s="140">
        <f t="shared" si="107"/>
        <v>3.309947111221672E-2</v>
      </c>
      <c r="W107" s="140">
        <f t="shared" ref="W107" si="108">IF(W15=0,0,W15/W$4)</f>
        <v>3.0977613958047816E-2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3.7489203065354096E-2</v>
      </c>
      <c r="C108" s="140">
        <f t="shared" si="109"/>
        <v>3.5841490475400244E-2</v>
      </c>
      <c r="D108" s="140">
        <f t="shared" si="109"/>
        <v>3.4909377225460864E-2</v>
      </c>
      <c r="E108" s="140">
        <f t="shared" si="109"/>
        <v>3.4497507784555501E-2</v>
      </c>
      <c r="F108" s="140">
        <f t="shared" si="109"/>
        <v>4.2627257515855492E-2</v>
      </c>
      <c r="G108" s="140">
        <f t="shared" si="109"/>
        <v>4.8381465846400774E-2</v>
      </c>
      <c r="H108" s="140">
        <f t="shared" si="109"/>
        <v>5.5639260728300999E-2</v>
      </c>
      <c r="I108" s="140">
        <f t="shared" si="109"/>
        <v>7.2332121934233731E-2</v>
      </c>
      <c r="J108" s="140">
        <f t="shared" si="109"/>
        <v>8.2664958328408991E-2</v>
      </c>
      <c r="K108" s="140">
        <f t="shared" si="109"/>
        <v>7.9384860096880464E-2</v>
      </c>
      <c r="L108" s="140">
        <f t="shared" si="109"/>
        <v>8.5992028216210589E-2</v>
      </c>
      <c r="M108" s="140">
        <f t="shared" si="109"/>
        <v>9.5839165411231442E-2</v>
      </c>
      <c r="N108" s="140">
        <f t="shared" si="109"/>
        <v>0.10335787902200212</v>
      </c>
      <c r="O108" s="140">
        <f t="shared" si="109"/>
        <v>0.10335133120318918</v>
      </c>
      <c r="P108" s="140">
        <f t="shared" si="109"/>
        <v>9.9311265018405231E-2</v>
      </c>
      <c r="Q108" s="140">
        <f t="shared" si="109"/>
        <v>9.9786720966834067E-2</v>
      </c>
      <c r="R108" s="140">
        <f t="shared" ref="R108:V108" si="110">IF(R16=0,0,R16/R$4)</f>
        <v>0.11323936267355898</v>
      </c>
      <c r="S108" s="140">
        <f t="shared" si="110"/>
        <v>0.11610145790620748</v>
      </c>
      <c r="T108" s="140">
        <f t="shared" si="110"/>
        <v>0.12802006372216276</v>
      </c>
      <c r="U108" s="140">
        <f t="shared" si="110"/>
        <v>0.1403356145571418</v>
      </c>
      <c r="V108" s="140">
        <f t="shared" si="110"/>
        <v>4.4569446706495416E-2</v>
      </c>
      <c r="W108" s="140">
        <f t="shared" ref="W108" si="111">IF(W16=0,0,W16/W$4)</f>
        <v>2.2721405015572571E-2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0.72586394302574875</v>
      </c>
      <c r="C110" s="139">
        <f t="shared" si="115"/>
        <v>0.72586786243508472</v>
      </c>
      <c r="D110" s="139">
        <f t="shared" si="115"/>
        <v>0.73811143395863532</v>
      </c>
      <c r="E110" s="139">
        <f t="shared" si="115"/>
        <v>0.72478946981529269</v>
      </c>
      <c r="F110" s="139">
        <f t="shared" si="115"/>
        <v>0.72817474323963105</v>
      </c>
      <c r="G110" s="139">
        <f t="shared" si="115"/>
        <v>0.74032444341075099</v>
      </c>
      <c r="H110" s="139">
        <f t="shared" si="115"/>
        <v>0.69912707668217899</v>
      </c>
      <c r="I110" s="139">
        <f t="shared" si="115"/>
        <v>0.71238161661693589</v>
      </c>
      <c r="J110" s="139">
        <f t="shared" si="115"/>
        <v>0.71966228087799688</v>
      </c>
      <c r="K110" s="139">
        <f t="shared" si="115"/>
        <v>0.73517589168565123</v>
      </c>
      <c r="L110" s="139">
        <f t="shared" si="115"/>
        <v>0.71946399845624442</v>
      </c>
      <c r="M110" s="139">
        <f t="shared" si="115"/>
        <v>0.71065708723027232</v>
      </c>
      <c r="N110" s="139">
        <f t="shared" si="115"/>
        <v>0.70573808162711715</v>
      </c>
      <c r="O110" s="139">
        <f t="shared" si="115"/>
        <v>0.69778589808891911</v>
      </c>
      <c r="P110" s="139">
        <f t="shared" si="115"/>
        <v>0.69065674259995979</v>
      </c>
      <c r="Q110" s="139">
        <f t="shared" si="115"/>
        <v>0.72440467284031984</v>
      </c>
      <c r="R110" s="139">
        <f t="shared" ref="R110:V110" si="116">IF(R18=0,0,R18/R$17)</f>
        <v>0.72562765363782344</v>
      </c>
      <c r="S110" s="139">
        <f t="shared" si="116"/>
        <v>0.72077285526542123</v>
      </c>
      <c r="T110" s="139">
        <f t="shared" si="116"/>
        <v>0.70311433955933345</v>
      </c>
      <c r="U110" s="139">
        <f t="shared" si="116"/>
        <v>0.71044363364989938</v>
      </c>
      <c r="V110" s="139">
        <f t="shared" si="116"/>
        <v>0.73396360010323214</v>
      </c>
      <c r="W110" s="139">
        <f t="shared" ref="W110" si="117">IF(W18=0,0,W18/W$17)</f>
        <v>0.7306498175600985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3.0587495434364273E-2</v>
      </c>
      <c r="C111" s="140">
        <f t="shared" si="118"/>
        <v>3.2426479378372466E-2</v>
      </c>
      <c r="D111" s="140">
        <f t="shared" si="118"/>
        <v>3.1930997656348235E-2</v>
      </c>
      <c r="E111" s="140">
        <f t="shared" si="118"/>
        <v>3.3048290974708149E-2</v>
      </c>
      <c r="F111" s="140">
        <f t="shared" si="118"/>
        <v>3.5048493077033033E-2</v>
      </c>
      <c r="G111" s="140">
        <f t="shared" si="118"/>
        <v>3.6052417795673392E-2</v>
      </c>
      <c r="H111" s="140">
        <f t="shared" si="118"/>
        <v>3.7354525179057352E-2</v>
      </c>
      <c r="I111" s="140">
        <f t="shared" si="118"/>
        <v>3.8987531467922026E-2</v>
      </c>
      <c r="J111" s="140">
        <f t="shared" si="118"/>
        <v>4.0090834948360729E-2</v>
      </c>
      <c r="K111" s="140">
        <f t="shared" si="118"/>
        <v>4.6815908522089909E-2</v>
      </c>
      <c r="L111" s="140">
        <f t="shared" si="118"/>
        <v>4.6060963605631916E-2</v>
      </c>
      <c r="M111" s="140">
        <f t="shared" si="118"/>
        <v>5.109990354023497E-2</v>
      </c>
      <c r="N111" s="140">
        <f t="shared" si="118"/>
        <v>5.5175095666491016E-2</v>
      </c>
      <c r="O111" s="140">
        <f t="shared" si="118"/>
        <v>5.9259243888248547E-2</v>
      </c>
      <c r="P111" s="140">
        <f t="shared" si="118"/>
        <v>6.0794271373272361E-2</v>
      </c>
      <c r="Q111" s="140">
        <f t="shared" si="118"/>
        <v>6.2046037114984083E-2</v>
      </c>
      <c r="R111" s="140">
        <f t="shared" ref="R111:V111" si="119">IF(R19=0,0,R19/R$17)</f>
        <v>5.7398357120770328E-2</v>
      </c>
      <c r="S111" s="140">
        <f t="shared" si="119"/>
        <v>5.5474503301846369E-2</v>
      </c>
      <c r="T111" s="140">
        <f t="shared" si="119"/>
        <v>5.6208770571744442E-2</v>
      </c>
      <c r="U111" s="140">
        <f t="shared" si="119"/>
        <v>5.7379161573784296E-2</v>
      </c>
      <c r="V111" s="140">
        <f t="shared" si="119"/>
        <v>5.742644300114895E-2</v>
      </c>
      <c r="W111" s="140">
        <f t="shared" ref="W111" si="120">IF(W19=0,0,W19/W$17)</f>
        <v>5.9132043160228749E-2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0.69527644759138452</v>
      </c>
      <c r="C112" s="140">
        <f t="shared" si="121"/>
        <v>0.69344138305671221</v>
      </c>
      <c r="D112" s="140">
        <f t="shared" si="121"/>
        <v>0.70618043630228711</v>
      </c>
      <c r="E112" s="140">
        <f t="shared" si="121"/>
        <v>0.6917411788405845</v>
      </c>
      <c r="F112" s="140">
        <f t="shared" si="121"/>
        <v>0.69312625016259799</v>
      </c>
      <c r="G112" s="140">
        <f t="shared" si="121"/>
        <v>0.70427202561507751</v>
      </c>
      <c r="H112" s="140">
        <f t="shared" si="121"/>
        <v>0.66177255150312164</v>
      </c>
      <c r="I112" s="140">
        <f t="shared" si="121"/>
        <v>0.67339408514901389</v>
      </c>
      <c r="J112" s="140">
        <f t="shared" si="121"/>
        <v>0.67957144592963614</v>
      </c>
      <c r="K112" s="140">
        <f t="shared" si="121"/>
        <v>0.68835998316356128</v>
      </c>
      <c r="L112" s="140">
        <f t="shared" si="121"/>
        <v>0.67340303485061248</v>
      </c>
      <c r="M112" s="140">
        <f t="shared" si="121"/>
        <v>0.65955718369003735</v>
      </c>
      <c r="N112" s="140">
        <f t="shared" si="121"/>
        <v>0.65056298596062623</v>
      </c>
      <c r="O112" s="140">
        <f t="shared" si="121"/>
        <v>0.63852665420067056</v>
      </c>
      <c r="P112" s="140">
        <f t="shared" si="121"/>
        <v>0.62986247122668737</v>
      </c>
      <c r="Q112" s="140">
        <f t="shared" si="121"/>
        <v>0.66235863572533582</v>
      </c>
      <c r="R112" s="140">
        <f t="shared" ref="R112:V112" si="122">IF(R20=0,0,R20/R$17)</f>
        <v>0.6682292965170531</v>
      </c>
      <c r="S112" s="140">
        <f t="shared" si="122"/>
        <v>0.66529835196357479</v>
      </c>
      <c r="T112" s="140">
        <f t="shared" si="122"/>
        <v>0.64690556898758911</v>
      </c>
      <c r="U112" s="140">
        <f t="shared" si="122"/>
        <v>0.65306447207611507</v>
      </c>
      <c r="V112" s="140">
        <f t="shared" si="122"/>
        <v>0.67653715710208318</v>
      </c>
      <c r="W112" s="140">
        <f t="shared" ref="W112" si="123">IF(W20=0,0,W20/W$17)</f>
        <v>0.67151777439986982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0.24710064726051337</v>
      </c>
      <c r="C113" s="124">
        <f t="shared" si="124"/>
        <v>0.24900524931213125</v>
      </c>
      <c r="D113" s="124">
        <f t="shared" si="124"/>
        <v>0.23623602122145518</v>
      </c>
      <c r="E113" s="124">
        <f t="shared" si="124"/>
        <v>0.25065974809928931</v>
      </c>
      <c r="F113" s="124">
        <f t="shared" si="124"/>
        <v>0.24754414594928517</v>
      </c>
      <c r="G113" s="124">
        <f t="shared" si="124"/>
        <v>0.23727560345218002</v>
      </c>
      <c r="H113" s="124">
        <f t="shared" si="124"/>
        <v>0.27595004542280699</v>
      </c>
      <c r="I113" s="124">
        <f t="shared" si="124"/>
        <v>0.25974819393815329</v>
      </c>
      <c r="J113" s="124">
        <f t="shared" si="124"/>
        <v>0.25505536070328921</v>
      </c>
      <c r="K113" s="124">
        <f t="shared" si="124"/>
        <v>0.24046591746977203</v>
      </c>
      <c r="L113" s="124">
        <f t="shared" si="124"/>
        <v>0.2478665898003316</v>
      </c>
      <c r="M113" s="124">
        <f t="shared" si="124"/>
        <v>0.2519406600864017</v>
      </c>
      <c r="N113" s="124">
        <f t="shared" si="124"/>
        <v>0.26241426365023762</v>
      </c>
      <c r="O113" s="124">
        <f t="shared" si="124"/>
        <v>0.27619574164744359</v>
      </c>
      <c r="P113" s="124">
        <f t="shared" si="124"/>
        <v>0.28134065697005534</v>
      </c>
      <c r="Q113" s="124">
        <f t="shared" si="124"/>
        <v>0.24625500471639503</v>
      </c>
      <c r="R113" s="124">
        <f t="shared" ref="R113:V113" si="125">IF(R21=0,0,R21/R$17)</f>
        <v>0.24573966335986883</v>
      </c>
      <c r="S113" s="124">
        <f t="shared" si="125"/>
        <v>0.25101432058180612</v>
      </c>
      <c r="T113" s="124">
        <f t="shared" si="125"/>
        <v>0.26523223266203066</v>
      </c>
      <c r="U113" s="124">
        <f t="shared" si="125"/>
        <v>0.24143780839010071</v>
      </c>
      <c r="V113" s="124">
        <f t="shared" si="125"/>
        <v>0.23695864700241234</v>
      </c>
      <c r="W113" s="124">
        <f t="shared" ref="W113" si="126">IF(W21=0,0,W21/W$17)</f>
        <v>0.24866745004473306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3.1476446977846103E-3</v>
      </c>
      <c r="C114" s="124">
        <f t="shared" si="127"/>
        <v>2.704770139544193E-3</v>
      </c>
      <c r="D114" s="124">
        <f t="shared" si="127"/>
        <v>2.4879700163168085E-3</v>
      </c>
      <c r="E114" s="124">
        <f t="shared" si="127"/>
        <v>2.9104156533653015E-3</v>
      </c>
      <c r="F114" s="124">
        <f t="shared" si="127"/>
        <v>3.5809083410607667E-3</v>
      </c>
      <c r="G114" s="124">
        <f t="shared" si="127"/>
        <v>3.9790203488440298E-3</v>
      </c>
      <c r="H114" s="124">
        <f t="shared" si="127"/>
        <v>3.7787420954114494E-3</v>
      </c>
      <c r="I114" s="124">
        <f t="shared" si="127"/>
        <v>4.2278012888419406E-3</v>
      </c>
      <c r="J114" s="124">
        <f t="shared" si="127"/>
        <v>3.3135174391132403E-3</v>
      </c>
      <c r="K114" s="124">
        <f t="shared" si="127"/>
        <v>2.6915395035041942E-3</v>
      </c>
      <c r="L114" s="124">
        <f t="shared" si="127"/>
        <v>2.4563811128388755E-3</v>
      </c>
      <c r="M114" s="124">
        <f t="shared" si="127"/>
        <v>3.5029731612670699E-3</v>
      </c>
      <c r="N114" s="124">
        <f t="shared" si="127"/>
        <v>4.9921365417154489E-3</v>
      </c>
      <c r="O114" s="124">
        <f t="shared" si="127"/>
        <v>4.7537963757684218E-3</v>
      </c>
      <c r="P114" s="124">
        <f t="shared" si="127"/>
        <v>4.2791072579828294E-3</v>
      </c>
      <c r="Q114" s="124">
        <f t="shared" si="127"/>
        <v>3.7694098078135097E-3</v>
      </c>
      <c r="R114" s="124">
        <f t="shared" ref="R114:V114" si="128">IF(R22=0,0,R22/R$17)</f>
        <v>3.8538036750356236E-3</v>
      </c>
      <c r="S114" s="124">
        <f t="shared" si="128"/>
        <v>3.644080884222735E-3</v>
      </c>
      <c r="T114" s="124">
        <f t="shared" si="128"/>
        <v>3.3777545625143443E-3</v>
      </c>
      <c r="U114" s="124">
        <f t="shared" si="128"/>
        <v>3.8657415168833792E-3</v>
      </c>
      <c r="V114" s="124">
        <f t="shared" si="128"/>
        <v>2.6341543399963671E-3</v>
      </c>
      <c r="W114" s="124">
        <f t="shared" ref="W114" si="129">IF(W22=0,0,W22/W$17)</f>
        <v>2.4022281703635503E-3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7.1672266797271017E-5</v>
      </c>
      <c r="C115" s="140">
        <f t="shared" si="130"/>
        <v>5.5617534664537551E-5</v>
      </c>
      <c r="D115" s="140">
        <f t="shared" si="130"/>
        <v>5.2366723128979188E-5</v>
      </c>
      <c r="E115" s="140">
        <f t="shared" si="130"/>
        <v>4.7651015020414676E-5</v>
      </c>
      <c r="F115" s="140">
        <f t="shared" si="130"/>
        <v>4.4058891726839075E-5</v>
      </c>
      <c r="G115" s="140">
        <f t="shared" si="130"/>
        <v>4.3612411233565452E-5</v>
      </c>
      <c r="H115" s="140">
        <f t="shared" si="130"/>
        <v>3.6731759305117938E-5</v>
      </c>
      <c r="I115" s="140">
        <f t="shared" si="130"/>
        <v>2.9687624536571339E-5</v>
      </c>
      <c r="J115" s="140">
        <f t="shared" si="130"/>
        <v>1.9255851420366435E-5</v>
      </c>
      <c r="K115" s="140">
        <f t="shared" si="130"/>
        <v>2.227494241665011E-5</v>
      </c>
      <c r="L115" s="140">
        <f t="shared" si="130"/>
        <v>1.5260740766531773E-5</v>
      </c>
      <c r="M115" s="140">
        <f t="shared" si="130"/>
        <v>2.0290173643226548E-5</v>
      </c>
      <c r="N115" s="140">
        <f t="shared" si="130"/>
        <v>2.9863711102396742E-5</v>
      </c>
      <c r="O115" s="140">
        <f t="shared" si="130"/>
        <v>2.6763149364878946E-5</v>
      </c>
      <c r="P115" s="140">
        <f t="shared" si="130"/>
        <v>2.3115124244778106E-5</v>
      </c>
      <c r="Q115" s="140">
        <f t="shared" si="130"/>
        <v>2.2139772442785197E-5</v>
      </c>
      <c r="R115" s="140">
        <f t="shared" ref="R115:V116" si="131">IF(R23=0,0,R23/R$17)</f>
        <v>2.414650681695564E-5</v>
      </c>
      <c r="S115" s="140">
        <f t="shared" si="131"/>
        <v>1.6551711377051613E-5</v>
      </c>
      <c r="T115" s="140">
        <f t="shared" si="131"/>
        <v>1.1126303347583091E-5</v>
      </c>
      <c r="U115" s="140">
        <f t="shared" si="131"/>
        <v>1.2460287505621198E-5</v>
      </c>
      <c r="V115" s="140">
        <f t="shared" si="131"/>
        <v>1.350117178283923E-5</v>
      </c>
      <c r="W115" s="140">
        <f t="shared" ref="W115" si="132">IF(W23=0,0,W23/W$17)</f>
        <v>1.1104939535892373E-5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8.5986152775683017E-4</v>
      </c>
      <c r="C116" s="140">
        <f t="shared" si="133"/>
        <v>8.4851116025077232E-4</v>
      </c>
      <c r="D116" s="140">
        <f t="shared" si="133"/>
        <v>6.807026234115749E-4</v>
      </c>
      <c r="E116" s="140">
        <f t="shared" si="133"/>
        <v>1.1603782951977663E-3</v>
      </c>
      <c r="F116" s="140">
        <f t="shared" si="133"/>
        <v>1.3903803860179954E-3</v>
      </c>
      <c r="G116" s="140">
        <f t="shared" si="133"/>
        <v>1.3693553174160536E-3</v>
      </c>
      <c r="H116" s="140">
        <f t="shared" si="133"/>
        <v>1.3580640932834814E-3</v>
      </c>
      <c r="I116" s="140">
        <f t="shared" si="133"/>
        <v>1.4025687807933198E-3</v>
      </c>
      <c r="J116" s="140">
        <f t="shared" si="133"/>
        <v>1.0242646047260828E-3</v>
      </c>
      <c r="K116" s="140">
        <f t="shared" si="133"/>
        <v>1.0609793706365632E-3</v>
      </c>
      <c r="L116" s="140">
        <f t="shared" si="133"/>
        <v>9.7186507672229218E-4</v>
      </c>
      <c r="M116" s="140">
        <f t="shared" si="133"/>
        <v>9.3573630650751875E-4</v>
      </c>
      <c r="N116" s="140">
        <f t="shared" si="133"/>
        <v>1.042680724010858E-3</v>
      </c>
      <c r="O116" s="140">
        <f t="shared" si="133"/>
        <v>1.2848524609063146E-3</v>
      </c>
      <c r="P116" s="140">
        <f t="shared" si="133"/>
        <v>1.6122785812648355E-3</v>
      </c>
      <c r="Q116" s="140">
        <f t="shared" si="133"/>
        <v>1.6646639284892814E-3</v>
      </c>
      <c r="R116" s="140">
        <f t="shared" si="131"/>
        <v>1.4277937458817939E-3</v>
      </c>
      <c r="S116" s="140">
        <f t="shared" si="131"/>
        <v>1.266538302109294E-3</v>
      </c>
      <c r="T116" s="140">
        <f t="shared" si="131"/>
        <v>1.0846314177326297E-3</v>
      </c>
      <c r="U116" s="140">
        <f t="shared" si="131"/>
        <v>1.4259517696486846E-3</v>
      </c>
      <c r="V116" s="140">
        <f t="shared" si="131"/>
        <v>7.7224253201274963E-4</v>
      </c>
      <c r="W116" s="140">
        <f t="shared" ref="W116" si="134">IF(W24=0,0,W24/W$17)</f>
        <v>6.0034550528205639E-4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2.2161109032305094E-3</v>
      </c>
      <c r="C117" s="140">
        <f t="shared" si="135"/>
        <v>1.8006414446288829E-3</v>
      </c>
      <c r="D117" s="140">
        <f t="shared" si="135"/>
        <v>1.7549006697762542E-3</v>
      </c>
      <c r="E117" s="140">
        <f t="shared" si="135"/>
        <v>1.7023863431471209E-3</v>
      </c>
      <c r="F117" s="140">
        <f t="shared" si="135"/>
        <v>2.1464690633159322E-3</v>
      </c>
      <c r="G117" s="140">
        <f t="shared" si="135"/>
        <v>2.5660526201944111E-3</v>
      </c>
      <c r="H117" s="140">
        <f t="shared" si="135"/>
        <v>2.38394624282285E-3</v>
      </c>
      <c r="I117" s="140">
        <f t="shared" si="135"/>
        <v>2.79554488351205E-3</v>
      </c>
      <c r="J117" s="140">
        <f t="shared" si="135"/>
        <v>2.2699969829667911E-3</v>
      </c>
      <c r="K117" s="140">
        <f t="shared" si="135"/>
        <v>1.608285190450981E-3</v>
      </c>
      <c r="L117" s="140">
        <f t="shared" si="135"/>
        <v>1.4692552953500515E-3</v>
      </c>
      <c r="M117" s="140">
        <f t="shared" si="135"/>
        <v>2.5469466811163248E-3</v>
      </c>
      <c r="N117" s="140">
        <f t="shared" si="135"/>
        <v>3.9195921066021945E-3</v>
      </c>
      <c r="O117" s="140">
        <f t="shared" si="135"/>
        <v>3.4421807654972285E-3</v>
      </c>
      <c r="P117" s="140">
        <f t="shared" si="135"/>
        <v>2.6437135524732163E-3</v>
      </c>
      <c r="Q117" s="140">
        <f t="shared" si="135"/>
        <v>2.0826061068814432E-3</v>
      </c>
      <c r="R117" s="140">
        <f t="shared" ref="R117:V117" si="136">IF(R25=0,0,R25/R$17)</f>
        <v>2.4018634223368744E-3</v>
      </c>
      <c r="S117" s="140">
        <f t="shared" si="136"/>
        <v>2.36099087073639E-3</v>
      </c>
      <c r="T117" s="140">
        <f t="shared" si="136"/>
        <v>2.2819968414341317E-3</v>
      </c>
      <c r="U117" s="140">
        <f t="shared" si="136"/>
        <v>2.427329459729074E-3</v>
      </c>
      <c r="V117" s="140">
        <f t="shared" si="136"/>
        <v>1.8484106362007782E-3</v>
      </c>
      <c r="W117" s="140">
        <f t="shared" ref="W117" si="137">IF(W25=0,0,W25/W$17)</f>
        <v>1.7907777255456014E-3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2.3887765015953376E-2</v>
      </c>
      <c r="C118" s="124">
        <f t="shared" si="138"/>
        <v>2.2422118113239718E-2</v>
      </c>
      <c r="D118" s="124">
        <f t="shared" si="138"/>
        <v>2.3164574803592488E-2</v>
      </c>
      <c r="E118" s="124">
        <f t="shared" si="138"/>
        <v>2.1640366432052846E-2</v>
      </c>
      <c r="F118" s="124">
        <f t="shared" si="138"/>
        <v>2.0700202470023139E-2</v>
      </c>
      <c r="G118" s="124">
        <f t="shared" si="138"/>
        <v>1.8420932788224896E-2</v>
      </c>
      <c r="H118" s="124">
        <f t="shared" si="138"/>
        <v>2.1144135799602459E-2</v>
      </c>
      <c r="I118" s="124">
        <f t="shared" si="138"/>
        <v>2.3642388156068787E-2</v>
      </c>
      <c r="J118" s="124">
        <f t="shared" si="138"/>
        <v>2.1968840979600692E-2</v>
      </c>
      <c r="K118" s="124">
        <f t="shared" si="138"/>
        <v>2.1666651341072589E-2</v>
      </c>
      <c r="L118" s="124">
        <f t="shared" si="138"/>
        <v>3.0213030630585037E-2</v>
      </c>
      <c r="M118" s="124">
        <f t="shared" si="138"/>
        <v>3.3899279522058789E-2</v>
      </c>
      <c r="N118" s="124">
        <f t="shared" si="138"/>
        <v>2.685551818092979E-2</v>
      </c>
      <c r="O118" s="124">
        <f t="shared" si="138"/>
        <v>2.126456388786882E-2</v>
      </c>
      <c r="P118" s="124">
        <f t="shared" si="138"/>
        <v>2.3723493172002019E-2</v>
      </c>
      <c r="Q118" s="124">
        <f t="shared" si="138"/>
        <v>2.5570912635471576E-2</v>
      </c>
      <c r="R118" s="124">
        <f t="shared" ref="R118:V118" si="139">IF(R26=0,0,R26/R$17)</f>
        <v>2.4778879327272053E-2</v>
      </c>
      <c r="S118" s="124">
        <f t="shared" si="139"/>
        <v>2.4568743268549874E-2</v>
      </c>
      <c r="T118" s="124">
        <f t="shared" si="139"/>
        <v>2.8275673216121417E-2</v>
      </c>
      <c r="U118" s="124">
        <f t="shared" si="139"/>
        <v>4.4252816443116655E-2</v>
      </c>
      <c r="V118" s="124">
        <f t="shared" si="139"/>
        <v>2.6443598554359071E-2</v>
      </c>
      <c r="W118" s="124">
        <f t="shared" ref="W118" si="140">IF(W26=0,0,W26/W$17)</f>
        <v>1.8280504224804778E-2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2.1002846011625623E-2</v>
      </c>
      <c r="C119" s="140">
        <f t="shared" si="141"/>
        <v>1.9870679523351795E-2</v>
      </c>
      <c r="D119" s="140">
        <f t="shared" si="141"/>
        <v>2.0426740120562378E-2</v>
      </c>
      <c r="E119" s="140">
        <f t="shared" si="141"/>
        <v>1.8920956404898218E-2</v>
      </c>
      <c r="F119" s="140">
        <f t="shared" si="141"/>
        <v>1.7809533571258602E-2</v>
      </c>
      <c r="G119" s="140">
        <f t="shared" si="141"/>
        <v>1.6587461712713514E-2</v>
      </c>
      <c r="H119" s="140">
        <f t="shared" si="141"/>
        <v>1.9497417626193305E-2</v>
      </c>
      <c r="I119" s="140">
        <f t="shared" si="141"/>
        <v>2.1103159118145497E-2</v>
      </c>
      <c r="J119" s="140">
        <f t="shared" si="141"/>
        <v>2.007550991749963E-2</v>
      </c>
      <c r="K119" s="140">
        <f t="shared" si="141"/>
        <v>2.0013312638902155E-2</v>
      </c>
      <c r="L119" s="140">
        <f t="shared" si="141"/>
        <v>2.8280942340859375E-2</v>
      </c>
      <c r="M119" s="140">
        <f t="shared" si="141"/>
        <v>3.1485797945925084E-2</v>
      </c>
      <c r="N119" s="140">
        <f t="shared" si="141"/>
        <v>2.3347230451266236E-2</v>
      </c>
      <c r="O119" s="140">
        <f t="shared" si="141"/>
        <v>1.7735558107579416E-2</v>
      </c>
      <c r="P119" s="140">
        <f t="shared" si="141"/>
        <v>1.973658795704656E-2</v>
      </c>
      <c r="Q119" s="140">
        <f t="shared" si="141"/>
        <v>2.18485885207221E-2</v>
      </c>
      <c r="R119" s="140">
        <f t="shared" ref="R119:V119" si="142">IF(R27=0,0,R27/R$17)</f>
        <v>2.2102146530522213E-2</v>
      </c>
      <c r="S119" s="140">
        <f t="shared" si="142"/>
        <v>2.1605278826243919E-2</v>
      </c>
      <c r="T119" s="140">
        <f t="shared" si="142"/>
        <v>2.5480285031962802E-2</v>
      </c>
      <c r="U119" s="140">
        <f t="shared" si="142"/>
        <v>4.1384993190892699E-2</v>
      </c>
      <c r="V119" s="140">
        <f t="shared" si="142"/>
        <v>2.3474894976445847E-2</v>
      </c>
      <c r="W119" s="140">
        <f t="shared" ref="W119" si="143">IF(W27=0,0,W27/W$17)</f>
        <v>1.4856989563723803E-2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2.8849190043277509E-3</v>
      </c>
      <c r="C120" s="127">
        <f t="shared" si="144"/>
        <v>2.5514385898879229E-3</v>
      </c>
      <c r="D120" s="127">
        <f t="shared" si="144"/>
        <v>2.7378346830301097E-3</v>
      </c>
      <c r="E120" s="127">
        <f t="shared" si="144"/>
        <v>2.7194100271546269E-3</v>
      </c>
      <c r="F120" s="127">
        <f t="shared" si="144"/>
        <v>2.8906688987645375E-3</v>
      </c>
      <c r="G120" s="127">
        <f t="shared" si="144"/>
        <v>1.8334710755113848E-3</v>
      </c>
      <c r="H120" s="127">
        <f t="shared" si="144"/>
        <v>1.6467181734091557E-3</v>
      </c>
      <c r="I120" s="127">
        <f t="shared" si="144"/>
        <v>2.5392290379232926E-3</v>
      </c>
      <c r="J120" s="127">
        <f t="shared" si="144"/>
        <v>1.8933310621010613E-3</v>
      </c>
      <c r="K120" s="127">
        <f t="shared" si="144"/>
        <v>1.6533387021704343E-3</v>
      </c>
      <c r="L120" s="127">
        <f t="shared" si="144"/>
        <v>1.9320882897256616E-3</v>
      </c>
      <c r="M120" s="127">
        <f t="shared" si="144"/>
        <v>2.4134815761337044E-3</v>
      </c>
      <c r="N120" s="127">
        <f t="shared" si="144"/>
        <v>3.5082877296635541E-3</v>
      </c>
      <c r="O120" s="127">
        <f t="shared" si="144"/>
        <v>3.5290057802894064E-3</v>
      </c>
      <c r="P120" s="127">
        <f t="shared" si="144"/>
        <v>3.9869052149554577E-3</v>
      </c>
      <c r="Q120" s="127">
        <f t="shared" si="144"/>
        <v>3.7223241147494759E-3</v>
      </c>
      <c r="R120" s="127">
        <f t="shared" ref="R120:V120" si="145">IF(R28=0,0,R28/R$17)</f>
        <v>2.6767327967498404E-3</v>
      </c>
      <c r="S120" s="127">
        <f t="shared" si="145"/>
        <v>2.963464442305953E-3</v>
      </c>
      <c r="T120" s="127">
        <f t="shared" si="145"/>
        <v>2.7953881841586131E-3</v>
      </c>
      <c r="U120" s="127">
        <f t="shared" si="145"/>
        <v>2.8678232522239594E-3</v>
      </c>
      <c r="V120" s="127">
        <f t="shared" si="145"/>
        <v>2.9687035779132256E-3</v>
      </c>
      <c r="W120" s="127">
        <f t="shared" ref="W120" si="146">IF(W28=0,0,W28/W$17)</f>
        <v>3.4235146610809759E-3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0.49439806079065562</v>
      </c>
      <c r="C122" s="140">
        <f>IF(C30=0,0,C30/C$29)</f>
        <v>0.41232974045837312</v>
      </c>
      <c r="D122" s="140">
        <f t="shared" ref="D122:W122" si="150">IF(D30=0,0,D30/D$29)</f>
        <v>0.37435631524836221</v>
      </c>
      <c r="E122" s="140">
        <f t="shared" si="150"/>
        <v>0.35407982293187201</v>
      </c>
      <c r="F122" s="140">
        <f t="shared" si="150"/>
        <v>0.35539086925896124</v>
      </c>
      <c r="G122" s="140">
        <f t="shared" si="150"/>
        <v>0.36294263273299299</v>
      </c>
      <c r="H122" s="140">
        <f t="shared" si="150"/>
        <v>0.38987932786995161</v>
      </c>
      <c r="I122" s="140">
        <f t="shared" si="150"/>
        <v>0.37878681647421003</v>
      </c>
      <c r="J122" s="140">
        <f t="shared" si="150"/>
        <v>0.35484702026165699</v>
      </c>
      <c r="K122" s="140">
        <f t="shared" si="150"/>
        <v>0.30737296427229305</v>
      </c>
      <c r="L122" s="140">
        <f t="shared" si="150"/>
        <v>0.32426035533652431</v>
      </c>
      <c r="M122" s="140">
        <f t="shared" si="150"/>
        <v>0.30063068229394529</v>
      </c>
      <c r="N122" s="140">
        <f t="shared" si="150"/>
        <v>0.30863303992168994</v>
      </c>
      <c r="O122" s="140">
        <f t="shared" si="150"/>
        <v>0.30404441307342711</v>
      </c>
      <c r="P122" s="140">
        <f t="shared" si="150"/>
        <v>0.29779160563073098</v>
      </c>
      <c r="Q122" s="140">
        <f t="shared" si="150"/>
        <v>0.34417550442315403</v>
      </c>
      <c r="R122" s="140">
        <f t="shared" si="150"/>
        <v>0.32652140378073219</v>
      </c>
      <c r="S122" s="140">
        <f t="shared" si="150"/>
        <v>0.33480368971255597</v>
      </c>
      <c r="T122" s="140">
        <f t="shared" si="150"/>
        <v>0.32463743679263413</v>
      </c>
      <c r="U122" s="140">
        <f t="shared" si="150"/>
        <v>0.30619124704175887</v>
      </c>
      <c r="V122" s="140">
        <f t="shared" si="150"/>
        <v>0.32517922220583279</v>
      </c>
      <c r="W122" s="140">
        <f t="shared" si="150"/>
        <v>0.3392116601286489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0.50560193920934438</v>
      </c>
      <c r="C123" s="127">
        <f>IF(C31=0,0,C31/C$29)</f>
        <v>0.58767025954162677</v>
      </c>
      <c r="D123" s="127">
        <f t="shared" ref="D123:W123" si="152">IF(D31=0,0,D31/D$29)</f>
        <v>0.62564368475163767</v>
      </c>
      <c r="E123" s="127">
        <f t="shared" si="152"/>
        <v>0.6459201770681281</v>
      </c>
      <c r="F123" s="127">
        <f t="shared" si="152"/>
        <v>0.64460913074103865</v>
      </c>
      <c r="G123" s="127">
        <f t="shared" si="152"/>
        <v>0.63705736726700701</v>
      </c>
      <c r="H123" s="127">
        <f t="shared" si="152"/>
        <v>0.61012067213004839</v>
      </c>
      <c r="I123" s="127">
        <f t="shared" si="152"/>
        <v>0.62121318352578991</v>
      </c>
      <c r="J123" s="127">
        <f t="shared" si="152"/>
        <v>0.64515297973834307</v>
      </c>
      <c r="K123" s="127">
        <f t="shared" si="152"/>
        <v>0.69262703572770701</v>
      </c>
      <c r="L123" s="127">
        <f t="shared" si="152"/>
        <v>0.67573964466347569</v>
      </c>
      <c r="M123" s="127">
        <f t="shared" si="152"/>
        <v>0.69936931770605471</v>
      </c>
      <c r="N123" s="127">
        <f t="shared" si="152"/>
        <v>0.69136696007831</v>
      </c>
      <c r="O123" s="127">
        <f t="shared" si="152"/>
        <v>0.69595558692657289</v>
      </c>
      <c r="P123" s="127">
        <f t="shared" si="152"/>
        <v>0.70220839436926896</v>
      </c>
      <c r="Q123" s="127">
        <f t="shared" si="152"/>
        <v>0.65582449557684608</v>
      </c>
      <c r="R123" s="127">
        <f t="shared" si="152"/>
        <v>0.67347859621926776</v>
      </c>
      <c r="S123" s="127">
        <f t="shared" si="152"/>
        <v>0.66519631028744408</v>
      </c>
      <c r="T123" s="127">
        <f t="shared" si="152"/>
        <v>0.67536256320736587</v>
      </c>
      <c r="U123" s="127">
        <f t="shared" si="152"/>
        <v>0.69380875295824107</v>
      </c>
      <c r="V123" s="127">
        <f t="shared" si="152"/>
        <v>0.67482077779416727</v>
      </c>
      <c r="W123" s="127">
        <f t="shared" si="152"/>
        <v>0.6607883398713511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0.82326429941818335</v>
      </c>
      <c r="C127" s="139">
        <f t="shared" ref="C127:W127" si="155">IF(C35=0,0,C35/C$34)</f>
        <v>0.82214352427767678</v>
      </c>
      <c r="D127" s="139">
        <f t="shared" si="155"/>
        <v>0.83056907759906562</v>
      </c>
      <c r="E127" s="139">
        <f t="shared" si="155"/>
        <v>0.82976670167579536</v>
      </c>
      <c r="F127" s="139">
        <f t="shared" si="155"/>
        <v>0.8187072444279947</v>
      </c>
      <c r="G127" s="139">
        <f t="shared" si="155"/>
        <v>0.82058882863423077</v>
      </c>
      <c r="H127" s="139">
        <f t="shared" si="155"/>
        <v>0.81304372771065725</v>
      </c>
      <c r="I127" s="139">
        <f t="shared" si="155"/>
        <v>0.80206573134544412</v>
      </c>
      <c r="J127" s="139">
        <f t="shared" si="155"/>
        <v>0.78705212386303747</v>
      </c>
      <c r="K127" s="139">
        <f t="shared" si="155"/>
        <v>0.80637690904662829</v>
      </c>
      <c r="L127" s="139">
        <f t="shared" si="155"/>
        <v>0.80317413869882648</v>
      </c>
      <c r="M127" s="139">
        <f t="shared" si="155"/>
        <v>0.78045470641404346</v>
      </c>
      <c r="N127" s="139">
        <f t="shared" si="155"/>
        <v>0.78840731379420825</v>
      </c>
      <c r="O127" s="139">
        <f t="shared" si="155"/>
        <v>0.78730930640048846</v>
      </c>
      <c r="P127" s="139">
        <f t="shared" si="155"/>
        <v>0.78823205278747954</v>
      </c>
      <c r="Q127" s="139">
        <f t="shared" si="155"/>
        <v>0.7876317741692157</v>
      </c>
      <c r="R127" s="139">
        <f t="shared" si="155"/>
        <v>0.78653097645431569</v>
      </c>
      <c r="S127" s="139">
        <f t="shared" si="155"/>
        <v>0.77818342137421992</v>
      </c>
      <c r="T127" s="139">
        <f t="shared" si="155"/>
        <v>0.75610965196650914</v>
      </c>
      <c r="U127" s="139">
        <f t="shared" si="155"/>
        <v>0.74170501029545288</v>
      </c>
      <c r="V127" s="139">
        <f t="shared" si="155"/>
        <v>0.87922923281245458</v>
      </c>
      <c r="W127" s="139">
        <f t="shared" si="155"/>
        <v>0.88311040186604195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1.3916690818955784E-2</v>
      </c>
      <c r="C128" s="140">
        <f t="shared" ref="C128:W128" si="156">IF(C36=0,0,C36/C$34)</f>
        <v>1.3562195511496952E-2</v>
      </c>
      <c r="D128" s="140">
        <f t="shared" si="156"/>
        <v>1.3182770291790739E-2</v>
      </c>
      <c r="E128" s="140">
        <f t="shared" si="156"/>
        <v>1.2712690097578708E-2</v>
      </c>
      <c r="F128" s="140">
        <f t="shared" si="156"/>
        <v>1.2084000915468034E-2</v>
      </c>
      <c r="G128" s="140">
        <f t="shared" si="156"/>
        <v>1.1881966422277807E-2</v>
      </c>
      <c r="H128" s="140">
        <f t="shared" si="156"/>
        <v>1.1389667718469523E-2</v>
      </c>
      <c r="I128" s="140">
        <f t="shared" si="156"/>
        <v>1.0808476802479068E-2</v>
      </c>
      <c r="J128" s="140">
        <f t="shared" si="156"/>
        <v>1.0720211209178715E-2</v>
      </c>
      <c r="K128" s="140">
        <f t="shared" si="156"/>
        <v>1.0764883393070659E-2</v>
      </c>
      <c r="L128" s="140">
        <f t="shared" si="156"/>
        <v>1.3771700278438957E-2</v>
      </c>
      <c r="M128" s="140">
        <f t="shared" si="156"/>
        <v>1.2993155167972567E-2</v>
      </c>
      <c r="N128" s="140">
        <f t="shared" si="156"/>
        <v>1.2972718600525665E-2</v>
      </c>
      <c r="O128" s="140">
        <f t="shared" si="156"/>
        <v>1.2784734134372809E-2</v>
      </c>
      <c r="P128" s="140">
        <f t="shared" si="156"/>
        <v>1.2754128873971211E-2</v>
      </c>
      <c r="Q128" s="140">
        <f t="shared" si="156"/>
        <v>1.2474068152271658E-2</v>
      </c>
      <c r="R128" s="140">
        <f t="shared" si="156"/>
        <v>1.2721000198826521E-2</v>
      </c>
      <c r="S128" s="140">
        <f t="shared" si="156"/>
        <v>1.1730979204678232E-2</v>
      </c>
      <c r="T128" s="140">
        <f t="shared" si="156"/>
        <v>1.0735216774776664E-2</v>
      </c>
      <c r="U128" s="140">
        <f t="shared" si="156"/>
        <v>1.1293257478305414E-2</v>
      </c>
      <c r="V128" s="140">
        <f t="shared" si="156"/>
        <v>1.2814701353574509E-2</v>
      </c>
      <c r="W128" s="140">
        <f t="shared" si="156"/>
        <v>1.269524151629269E-2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0.73265975126205574</v>
      </c>
      <c r="C129" s="140">
        <f t="shared" ref="C129:W129" si="157">IF(C37=0,0,C37/C$34)</f>
        <v>0.73441910868464799</v>
      </c>
      <c r="D129" s="140">
        <f t="shared" si="157"/>
        <v>0.74351818651494483</v>
      </c>
      <c r="E129" s="140">
        <f t="shared" si="157"/>
        <v>0.74270712911743664</v>
      </c>
      <c r="F129" s="140">
        <f t="shared" si="157"/>
        <v>0.73232373483085966</v>
      </c>
      <c r="G129" s="140">
        <f t="shared" si="157"/>
        <v>0.7356917015131974</v>
      </c>
      <c r="H129" s="140">
        <f t="shared" si="157"/>
        <v>0.72831049882309362</v>
      </c>
      <c r="I129" s="140">
        <f t="shared" si="157"/>
        <v>0.7185644084181817</v>
      </c>
      <c r="J129" s="140">
        <f t="shared" si="157"/>
        <v>0.70279959146441273</v>
      </c>
      <c r="K129" s="140">
        <f t="shared" si="157"/>
        <v>0.71786132304553318</v>
      </c>
      <c r="L129" s="140">
        <f t="shared" si="157"/>
        <v>0.71008030443781722</v>
      </c>
      <c r="M129" s="140">
        <f t="shared" si="157"/>
        <v>0.68961867485076345</v>
      </c>
      <c r="N129" s="140">
        <f t="shared" si="157"/>
        <v>0.69321731370649797</v>
      </c>
      <c r="O129" s="140">
        <f t="shared" si="157"/>
        <v>0.69017398611605574</v>
      </c>
      <c r="P129" s="140">
        <f t="shared" si="157"/>
        <v>0.68764425856340028</v>
      </c>
      <c r="Q129" s="140">
        <f t="shared" si="157"/>
        <v>0.68515211463652315</v>
      </c>
      <c r="R129" s="140">
        <f t="shared" si="157"/>
        <v>0.67666518799115183</v>
      </c>
      <c r="S129" s="140">
        <f t="shared" si="157"/>
        <v>0.67086002539424006</v>
      </c>
      <c r="T129" s="140">
        <f t="shared" si="157"/>
        <v>0.6534994782966187</v>
      </c>
      <c r="U129" s="140">
        <f t="shared" si="157"/>
        <v>0.64119917275821958</v>
      </c>
      <c r="V129" s="140">
        <f t="shared" si="157"/>
        <v>0.76724734666471794</v>
      </c>
      <c r="W129" s="140">
        <f t="shared" si="157"/>
        <v>0.7801416622723768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7.6687857337171858E-2</v>
      </c>
      <c r="C130" s="140">
        <f t="shared" ref="C130:W130" si="158">IF(C38=0,0,C38/C$34)</f>
        <v>7.4162220081531838E-2</v>
      </c>
      <c r="D130" s="140">
        <f t="shared" si="158"/>
        <v>7.3868120792330058E-2</v>
      </c>
      <c r="E130" s="140">
        <f t="shared" si="158"/>
        <v>7.4346882460779959E-2</v>
      </c>
      <c r="F130" s="140">
        <f t="shared" si="158"/>
        <v>7.4299508681666973E-2</v>
      </c>
      <c r="G130" s="140">
        <f t="shared" si="158"/>
        <v>7.3015160698755521E-2</v>
      </c>
      <c r="H130" s="140">
        <f t="shared" si="158"/>
        <v>7.334356116909406E-2</v>
      </c>
      <c r="I130" s="140">
        <f t="shared" si="158"/>
        <v>7.2692846124783467E-2</v>
      </c>
      <c r="J130" s="140">
        <f t="shared" si="158"/>
        <v>7.3532321189446095E-2</v>
      </c>
      <c r="K130" s="140">
        <f t="shared" si="158"/>
        <v>7.7750702608024386E-2</v>
      </c>
      <c r="L130" s="140">
        <f t="shared" si="158"/>
        <v>7.9322133982570472E-2</v>
      </c>
      <c r="M130" s="140">
        <f t="shared" si="158"/>
        <v>7.7842876395307375E-2</v>
      </c>
      <c r="N130" s="140">
        <f t="shared" si="158"/>
        <v>8.2217281487184588E-2</v>
      </c>
      <c r="O130" s="140">
        <f t="shared" si="158"/>
        <v>8.4350586150059872E-2</v>
      </c>
      <c r="P130" s="140">
        <f t="shared" si="158"/>
        <v>8.7833665350108128E-2</v>
      </c>
      <c r="Q130" s="140">
        <f t="shared" si="158"/>
        <v>9.0005591380420788E-2</v>
      </c>
      <c r="R130" s="140">
        <f t="shared" si="158"/>
        <v>9.7144788264337326E-2</v>
      </c>
      <c r="S130" s="140">
        <f t="shared" si="158"/>
        <v>9.5592416775301545E-2</v>
      </c>
      <c r="T130" s="140">
        <f t="shared" si="158"/>
        <v>9.187495689511381E-2</v>
      </c>
      <c r="U130" s="140">
        <f t="shared" si="158"/>
        <v>8.9212580058927959E-2</v>
      </c>
      <c r="V130" s="140">
        <f t="shared" si="158"/>
        <v>9.9167184794161908E-2</v>
      </c>
      <c r="W130" s="140">
        <f t="shared" si="158"/>
        <v>9.0273498077372463E-2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1.4429643143298107E-2</v>
      </c>
      <c r="C131" s="124">
        <f t="shared" ref="C131:W131" si="159">IF(C39=0,0,C39/C$34)</f>
        <v>1.4437662333794055E-2</v>
      </c>
      <c r="D131" s="124">
        <f t="shared" si="159"/>
        <v>1.5003061000941365E-2</v>
      </c>
      <c r="E131" s="124">
        <f t="shared" si="159"/>
        <v>1.5757362112084904E-2</v>
      </c>
      <c r="F131" s="124">
        <f t="shared" si="159"/>
        <v>1.4890939149070177E-2</v>
      </c>
      <c r="G131" s="124">
        <f t="shared" si="159"/>
        <v>1.499954643181352E-2</v>
      </c>
      <c r="H131" s="124">
        <f t="shared" si="159"/>
        <v>1.4590981976282946E-2</v>
      </c>
      <c r="I131" s="124">
        <f t="shared" si="159"/>
        <v>1.4315596865364275E-2</v>
      </c>
      <c r="J131" s="124">
        <f t="shared" si="159"/>
        <v>1.4844486591950536E-2</v>
      </c>
      <c r="K131" s="124">
        <f t="shared" si="159"/>
        <v>1.5572951018707246E-2</v>
      </c>
      <c r="L131" s="124">
        <f t="shared" si="159"/>
        <v>1.558811711164936E-2</v>
      </c>
      <c r="M131" s="124">
        <f t="shared" si="159"/>
        <v>1.5185650705480254E-2</v>
      </c>
      <c r="N131" s="124">
        <f t="shared" si="159"/>
        <v>1.5429621567952479E-2</v>
      </c>
      <c r="O131" s="124">
        <f t="shared" si="159"/>
        <v>1.5145416149949733E-2</v>
      </c>
      <c r="P131" s="124">
        <f t="shared" si="159"/>
        <v>1.4703482277903458E-2</v>
      </c>
      <c r="Q131" s="124">
        <f t="shared" si="159"/>
        <v>1.5006568618394233E-2</v>
      </c>
      <c r="R131" s="124">
        <f t="shared" si="159"/>
        <v>1.4128190338389498E-2</v>
      </c>
      <c r="S131" s="124">
        <f t="shared" si="159"/>
        <v>1.461154333571745E-2</v>
      </c>
      <c r="T131" s="124">
        <f t="shared" si="159"/>
        <v>1.4758021248419281E-2</v>
      </c>
      <c r="U131" s="124">
        <f t="shared" si="159"/>
        <v>1.4982643104578542E-2</v>
      </c>
      <c r="V131" s="124">
        <f t="shared" si="159"/>
        <v>1.5243024084051923E-2</v>
      </c>
      <c r="W131" s="124">
        <f t="shared" si="159"/>
        <v>1.5439323060555062E-2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9.6708627459358466E-4</v>
      </c>
      <c r="C132" s="140">
        <f t="shared" ref="C132:W132" si="160">IF(C40=0,0,C40/C$34)</f>
        <v>9.7984385556581588E-4</v>
      </c>
      <c r="D132" s="140">
        <f t="shared" si="160"/>
        <v>9.9548357763553025E-4</v>
      </c>
      <c r="E132" s="140">
        <f t="shared" si="160"/>
        <v>9.7999831520545369E-4</v>
      </c>
      <c r="F132" s="140">
        <f t="shared" si="160"/>
        <v>9.3671360632552932E-4</v>
      </c>
      <c r="G132" s="140">
        <f t="shared" si="160"/>
        <v>9.2218551632340532E-4</v>
      </c>
      <c r="H132" s="140">
        <f t="shared" si="160"/>
        <v>8.8649777727515503E-4</v>
      </c>
      <c r="I132" s="140">
        <f t="shared" si="160"/>
        <v>8.3257168780981957E-4</v>
      </c>
      <c r="J132" s="140">
        <f t="shared" si="160"/>
        <v>8.3914311817540835E-4</v>
      </c>
      <c r="K132" s="140">
        <f t="shared" si="160"/>
        <v>8.5902387824387486E-4</v>
      </c>
      <c r="L132" s="140">
        <f t="shared" si="160"/>
        <v>8.2545321257496281E-4</v>
      </c>
      <c r="M132" s="140">
        <f t="shared" si="160"/>
        <v>7.7271139317730911E-4</v>
      </c>
      <c r="N132" s="140">
        <f t="shared" si="160"/>
        <v>7.9087253541583946E-4</v>
      </c>
      <c r="O132" s="140">
        <f t="shared" si="160"/>
        <v>7.8015948978788906E-4</v>
      </c>
      <c r="P132" s="140">
        <f t="shared" si="160"/>
        <v>7.6881482319571704E-4</v>
      </c>
      <c r="Q132" s="140">
        <f t="shared" si="160"/>
        <v>7.3370203751354471E-4</v>
      </c>
      <c r="R132" s="140">
        <f t="shared" si="160"/>
        <v>7.3906784753373063E-4</v>
      </c>
      <c r="S132" s="140">
        <f t="shared" si="160"/>
        <v>7.4239698721382803E-4</v>
      </c>
      <c r="T132" s="140">
        <f t="shared" si="160"/>
        <v>8.288894022677963E-4</v>
      </c>
      <c r="U132" s="140">
        <f t="shared" si="160"/>
        <v>8.1239899300273059E-4</v>
      </c>
      <c r="V132" s="140">
        <f t="shared" si="160"/>
        <v>1.0181973017828565E-3</v>
      </c>
      <c r="W132" s="140">
        <f t="shared" si="160"/>
        <v>9.8479218417077928E-4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1.3086286258775648E-2</v>
      </c>
      <c r="C133" s="140">
        <f t="shared" ref="C133:W133" si="161">IF(C41=0,0,C41/C$34)</f>
        <v>1.314868208199948E-2</v>
      </c>
      <c r="D133" s="140">
        <f t="shared" si="161"/>
        <v>1.3327484708004286E-2</v>
      </c>
      <c r="E133" s="140">
        <f t="shared" si="161"/>
        <v>1.3807721582099045E-2</v>
      </c>
      <c r="F133" s="140">
        <f t="shared" si="161"/>
        <v>1.3221037646658593E-2</v>
      </c>
      <c r="G133" s="140">
        <f t="shared" si="161"/>
        <v>1.2696549207898823E-2</v>
      </c>
      <c r="H133" s="140">
        <f t="shared" si="161"/>
        <v>1.1884300664132935E-2</v>
      </c>
      <c r="I133" s="140">
        <f t="shared" si="161"/>
        <v>1.1198844313965532E-2</v>
      </c>
      <c r="J133" s="140">
        <f t="shared" si="161"/>
        <v>1.1515548338215185E-2</v>
      </c>
      <c r="K133" s="140">
        <f t="shared" si="161"/>
        <v>1.2260515390469443E-2</v>
      </c>
      <c r="L133" s="140">
        <f t="shared" si="161"/>
        <v>1.2227500272785489E-2</v>
      </c>
      <c r="M133" s="140">
        <f t="shared" si="161"/>
        <v>1.1701142528124075E-2</v>
      </c>
      <c r="N133" s="140">
        <f t="shared" si="161"/>
        <v>1.2041104000904749E-2</v>
      </c>
      <c r="O133" s="140">
        <f t="shared" si="161"/>
        <v>1.1789495937160785E-2</v>
      </c>
      <c r="P133" s="140">
        <f t="shared" si="161"/>
        <v>1.1461626381275455E-2</v>
      </c>
      <c r="Q133" s="140">
        <f t="shared" si="161"/>
        <v>1.19890435034817E-2</v>
      </c>
      <c r="R133" s="140">
        <f t="shared" si="161"/>
        <v>1.1041626320705581E-2</v>
      </c>
      <c r="S133" s="140">
        <f t="shared" si="161"/>
        <v>1.1168394245855133E-2</v>
      </c>
      <c r="T133" s="140">
        <f t="shared" si="161"/>
        <v>1.1201795652645549E-2</v>
      </c>
      <c r="U133" s="140">
        <f t="shared" si="161"/>
        <v>1.1328924637126835E-2</v>
      </c>
      <c r="V133" s="140">
        <f t="shared" si="161"/>
        <v>1.1763171360898349E-2</v>
      </c>
      <c r="W133" s="140">
        <f t="shared" si="161"/>
        <v>1.1720588512974332E-2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3.7627060992887558E-4</v>
      </c>
      <c r="C134" s="140">
        <f t="shared" ref="C134:W134" si="162">IF(C42=0,0,C42/C$34)</f>
        <v>3.0913639622875847E-4</v>
      </c>
      <c r="D134" s="140">
        <f t="shared" si="162"/>
        <v>6.8009271530154866E-4</v>
      </c>
      <c r="E134" s="140">
        <f t="shared" si="162"/>
        <v>9.6964221478040554E-4</v>
      </c>
      <c r="F134" s="140">
        <f t="shared" si="162"/>
        <v>7.3318789608605676E-4</v>
      </c>
      <c r="G134" s="140">
        <f t="shared" si="162"/>
        <v>1.3808117075912903E-3</v>
      </c>
      <c r="H134" s="140">
        <f t="shared" si="162"/>
        <v>1.8201835348748579E-3</v>
      </c>
      <c r="I134" s="140">
        <f t="shared" si="162"/>
        <v>2.2841808635889241E-3</v>
      </c>
      <c r="J134" s="140">
        <f t="shared" si="162"/>
        <v>2.4897951355599426E-3</v>
      </c>
      <c r="K134" s="140">
        <f t="shared" si="162"/>
        <v>2.4534117499939289E-3</v>
      </c>
      <c r="L134" s="140">
        <f t="shared" si="162"/>
        <v>2.5351636262889092E-3</v>
      </c>
      <c r="M134" s="140">
        <f t="shared" si="162"/>
        <v>2.7117967841788701E-3</v>
      </c>
      <c r="N134" s="140">
        <f t="shared" si="162"/>
        <v>2.5976450316318915E-3</v>
      </c>
      <c r="O134" s="140">
        <f t="shared" si="162"/>
        <v>2.5757607230010582E-3</v>
      </c>
      <c r="P134" s="140">
        <f t="shared" si="162"/>
        <v>2.4730410734322863E-3</v>
      </c>
      <c r="Q134" s="140">
        <f t="shared" si="162"/>
        <v>2.2838230773989878E-3</v>
      </c>
      <c r="R134" s="140">
        <f t="shared" si="162"/>
        <v>2.3474961701501853E-3</v>
      </c>
      <c r="S134" s="140">
        <f t="shared" si="162"/>
        <v>2.7007521026484881E-3</v>
      </c>
      <c r="T134" s="140">
        <f t="shared" si="162"/>
        <v>2.7273361935059343E-3</v>
      </c>
      <c r="U134" s="140">
        <f t="shared" si="162"/>
        <v>2.841319474448975E-3</v>
      </c>
      <c r="V134" s="140">
        <f t="shared" si="162"/>
        <v>2.4616554213707175E-3</v>
      </c>
      <c r="W134" s="140">
        <f t="shared" si="162"/>
        <v>2.7339423634099498E-3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0.16230605743851859</v>
      </c>
      <c r="C135" s="124">
        <f t="shared" ref="C135:W135" si="163">IF(C43=0,0,C43/C$34)</f>
        <v>0.16341881338852915</v>
      </c>
      <c r="D135" s="124">
        <f t="shared" si="163"/>
        <v>0.15442786139999315</v>
      </c>
      <c r="E135" s="124">
        <f t="shared" si="163"/>
        <v>0.15447593621211966</v>
      </c>
      <c r="F135" s="124">
        <f t="shared" si="163"/>
        <v>0.16640181642293519</v>
      </c>
      <c r="G135" s="124">
        <f t="shared" si="163"/>
        <v>0.16441162493395572</v>
      </c>
      <c r="H135" s="124">
        <f t="shared" si="163"/>
        <v>0.17236529031305989</v>
      </c>
      <c r="I135" s="124">
        <f t="shared" si="163"/>
        <v>0.18361867178919167</v>
      </c>
      <c r="J135" s="124">
        <f t="shared" si="163"/>
        <v>0.19810338954501203</v>
      </c>
      <c r="K135" s="124">
        <f t="shared" si="163"/>
        <v>0.17805013993466462</v>
      </c>
      <c r="L135" s="124">
        <f t="shared" si="163"/>
        <v>0.18123774418952407</v>
      </c>
      <c r="M135" s="124">
        <f t="shared" si="163"/>
        <v>0.20435964288047628</v>
      </c>
      <c r="N135" s="124">
        <f t="shared" si="163"/>
        <v>0.19616306463783925</v>
      </c>
      <c r="O135" s="124">
        <f t="shared" si="163"/>
        <v>0.19754527744956191</v>
      </c>
      <c r="P135" s="124">
        <f t="shared" si="163"/>
        <v>0.19706446493461696</v>
      </c>
      <c r="Q135" s="124">
        <f t="shared" si="163"/>
        <v>0.1973616572123901</v>
      </c>
      <c r="R135" s="124">
        <f t="shared" si="163"/>
        <v>0.19934083320729484</v>
      </c>
      <c r="S135" s="124">
        <f t="shared" si="163"/>
        <v>0.20720503529006259</v>
      </c>
      <c r="T135" s="124">
        <f t="shared" si="163"/>
        <v>0.22913232678507151</v>
      </c>
      <c r="U135" s="124">
        <f t="shared" si="163"/>
        <v>0.24331234659996867</v>
      </c>
      <c r="V135" s="124">
        <f t="shared" si="163"/>
        <v>0.10552774310349353</v>
      </c>
      <c r="W135" s="124">
        <f t="shared" si="163"/>
        <v>0.10145027507340305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4.320859797444121E-2</v>
      </c>
      <c r="C136" s="140">
        <f t="shared" ref="C136:W136" si="164">IF(C44=0,0,C44/C$34)</f>
        <v>4.2069563747642168E-2</v>
      </c>
      <c r="D136" s="140">
        <f t="shared" si="164"/>
        <v>3.6213121376668864E-2</v>
      </c>
      <c r="E136" s="140">
        <f t="shared" si="164"/>
        <v>3.552056141194767E-2</v>
      </c>
      <c r="F136" s="140">
        <f t="shared" si="164"/>
        <v>3.4872939122048925E-2</v>
      </c>
      <c r="G136" s="140">
        <f t="shared" si="164"/>
        <v>3.3071982763691256E-2</v>
      </c>
      <c r="H136" s="140">
        <f t="shared" si="164"/>
        <v>3.0453214284236661E-2</v>
      </c>
      <c r="I136" s="140">
        <f t="shared" si="164"/>
        <v>2.7271313224135917E-2</v>
      </c>
      <c r="J136" s="140">
        <f t="shared" si="164"/>
        <v>2.6575282467442805E-2</v>
      </c>
      <c r="K136" s="140">
        <f t="shared" si="164"/>
        <v>2.4535554653267351E-2</v>
      </c>
      <c r="L136" s="140">
        <f t="shared" si="164"/>
        <v>2.3348382665580387E-2</v>
      </c>
      <c r="M136" s="140">
        <f t="shared" si="164"/>
        <v>2.5051761230778995E-2</v>
      </c>
      <c r="N136" s="140">
        <f t="shared" si="164"/>
        <v>2.1173394463394616E-2</v>
      </c>
      <c r="O136" s="140">
        <f t="shared" si="164"/>
        <v>1.8093426451652614E-2</v>
      </c>
      <c r="P136" s="140">
        <f t="shared" si="164"/>
        <v>1.8276763169632212E-2</v>
      </c>
      <c r="Q136" s="140">
        <f t="shared" si="164"/>
        <v>1.7429724063544566E-2</v>
      </c>
      <c r="R136" s="140">
        <f t="shared" si="164"/>
        <v>1.7800667227877841E-2</v>
      </c>
      <c r="S136" s="140">
        <f t="shared" si="164"/>
        <v>1.8108565536720057E-2</v>
      </c>
      <c r="T136" s="140">
        <f t="shared" si="164"/>
        <v>1.9231868502141362E-2</v>
      </c>
      <c r="U136" s="140">
        <f t="shared" si="164"/>
        <v>1.8360406384378809E-2</v>
      </c>
      <c r="V136" s="140">
        <f t="shared" si="164"/>
        <v>1.0063847573077827E-2</v>
      </c>
      <c r="W136" s="140">
        <f t="shared" si="164"/>
        <v>8.9250108392385334E-3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7.7525194319465557E-2</v>
      </c>
      <c r="C137" s="140">
        <f t="shared" ref="C137:W137" si="165">IF(C45=0,0,C45/C$34)</f>
        <v>7.9836268096441329E-2</v>
      </c>
      <c r="D137" s="140">
        <f t="shared" si="165"/>
        <v>7.5892725199901742E-2</v>
      </c>
      <c r="E137" s="140">
        <f t="shared" si="165"/>
        <v>7.7663082744218501E-2</v>
      </c>
      <c r="F137" s="140">
        <f t="shared" si="165"/>
        <v>8.3532679101600019E-2</v>
      </c>
      <c r="G137" s="140">
        <f t="shared" si="165"/>
        <v>8.3224788023006258E-2</v>
      </c>
      <c r="H137" s="140">
        <f t="shared" si="165"/>
        <v>9.1436927180900671E-2</v>
      </c>
      <c r="I137" s="140">
        <f t="shared" si="165"/>
        <v>0.10187931019930023</v>
      </c>
      <c r="J137" s="140">
        <f t="shared" si="165"/>
        <v>0.11103643642117797</v>
      </c>
      <c r="K137" s="140">
        <f t="shared" si="165"/>
        <v>9.7577691774404895E-2</v>
      </c>
      <c r="L137" s="140">
        <f t="shared" si="165"/>
        <v>0.10035843175754736</v>
      </c>
      <c r="M137" s="140">
        <f t="shared" si="165"/>
        <v>0.11396740173304218</v>
      </c>
      <c r="N137" s="140">
        <f t="shared" si="165"/>
        <v>0.10940418144338088</v>
      </c>
      <c r="O137" s="140">
        <f t="shared" si="165"/>
        <v>0.11214286183622245</v>
      </c>
      <c r="P137" s="140">
        <f t="shared" si="165"/>
        <v>0.11265533998446854</v>
      </c>
      <c r="Q137" s="140">
        <f t="shared" si="165"/>
        <v>0.11402250738661487</v>
      </c>
      <c r="R137" s="140">
        <f t="shared" si="165"/>
        <v>0.11769969325396314</v>
      </c>
      <c r="S137" s="140">
        <f t="shared" si="165"/>
        <v>0.12475007482641302</v>
      </c>
      <c r="T137" s="140">
        <f t="shared" si="165"/>
        <v>0.1381356245600244</v>
      </c>
      <c r="U137" s="140">
        <f t="shared" si="165"/>
        <v>0.14667468173266798</v>
      </c>
      <c r="V137" s="140">
        <f t="shared" si="165"/>
        <v>5.6098971007036022E-2</v>
      </c>
      <c r="W137" s="140">
        <f t="shared" si="165"/>
        <v>5.7363483627938451E-2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4.1572265144611813E-2</v>
      </c>
      <c r="C138" s="140">
        <f t="shared" ref="C138:W138" si="166">IF(C46=0,0,C46/C$34)</f>
        <v>4.1512981544445639E-2</v>
      </c>
      <c r="D138" s="140">
        <f t="shared" si="166"/>
        <v>4.2322014823422544E-2</v>
      </c>
      <c r="E138" s="140">
        <f t="shared" si="166"/>
        <v>4.12922920559535E-2</v>
      </c>
      <c r="F138" s="140">
        <f t="shared" si="166"/>
        <v>4.7996198199286237E-2</v>
      </c>
      <c r="G138" s="140">
        <f t="shared" si="166"/>
        <v>4.8114854147258232E-2</v>
      </c>
      <c r="H138" s="140">
        <f t="shared" si="166"/>
        <v>5.0475148847922577E-2</v>
      </c>
      <c r="I138" s="140">
        <f t="shared" si="166"/>
        <v>5.4468048365755507E-2</v>
      </c>
      <c r="J138" s="140">
        <f t="shared" si="166"/>
        <v>6.0491670656391244E-2</v>
      </c>
      <c r="K138" s="140">
        <f t="shared" si="166"/>
        <v>5.5936893506992373E-2</v>
      </c>
      <c r="L138" s="140">
        <f t="shared" si="166"/>
        <v>5.753092976639633E-2</v>
      </c>
      <c r="M138" s="140">
        <f t="shared" si="166"/>
        <v>6.5340479916655106E-2</v>
      </c>
      <c r="N138" s="140">
        <f t="shared" si="166"/>
        <v>6.5585488731063776E-2</v>
      </c>
      <c r="O138" s="140">
        <f t="shared" si="166"/>
        <v>6.7308989161686858E-2</v>
      </c>
      <c r="P138" s="140">
        <f t="shared" si="166"/>
        <v>6.6132361780516208E-2</v>
      </c>
      <c r="Q138" s="140">
        <f t="shared" si="166"/>
        <v>6.5909425762230661E-2</v>
      </c>
      <c r="R138" s="140">
        <f t="shared" si="166"/>
        <v>6.3840472725453873E-2</v>
      </c>
      <c r="S138" s="140">
        <f t="shared" si="166"/>
        <v>6.4346394926929534E-2</v>
      </c>
      <c r="T138" s="140">
        <f t="shared" si="166"/>
        <v>7.1764833722905721E-2</v>
      </c>
      <c r="U138" s="140">
        <f t="shared" si="166"/>
        <v>7.8277258482921844E-2</v>
      </c>
      <c r="V138" s="140">
        <f t="shared" si="166"/>
        <v>3.9364924523379675E-2</v>
      </c>
      <c r="W138" s="140">
        <f t="shared" si="166"/>
        <v>3.5161780606226073E-2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0.84222667241710947</v>
      </c>
      <c r="C140" s="139">
        <f t="shared" ref="C140:W140" si="169">IF(C48=0,0,C48/C$47)</f>
        <v>0.85578626691061677</v>
      </c>
      <c r="D140" s="139">
        <f t="shared" si="169"/>
        <v>0.85501283176463405</v>
      </c>
      <c r="E140" s="139">
        <f t="shared" si="169"/>
        <v>0.85231280276724308</v>
      </c>
      <c r="F140" s="139">
        <f t="shared" si="169"/>
        <v>0.85739175864481165</v>
      </c>
      <c r="G140" s="139">
        <f t="shared" si="169"/>
        <v>0.85545750948139188</v>
      </c>
      <c r="H140" s="139">
        <f t="shared" si="169"/>
        <v>0.84595654944183341</v>
      </c>
      <c r="I140" s="139">
        <f t="shared" si="169"/>
        <v>0.849033844519546</v>
      </c>
      <c r="J140" s="139">
        <f t="shared" si="169"/>
        <v>0.86236385032770257</v>
      </c>
      <c r="K140" s="139">
        <f t="shared" si="169"/>
        <v>0.85398318786175031</v>
      </c>
      <c r="L140" s="139">
        <f t="shared" si="169"/>
        <v>0.84949146282076882</v>
      </c>
      <c r="M140" s="139">
        <f t="shared" si="169"/>
        <v>0.85047751983220798</v>
      </c>
      <c r="N140" s="139">
        <f t="shared" si="169"/>
        <v>0.84853828890022953</v>
      </c>
      <c r="O140" s="139">
        <f t="shared" si="169"/>
        <v>0.85252537599885336</v>
      </c>
      <c r="P140" s="139">
        <f t="shared" si="169"/>
        <v>0.85993051152803901</v>
      </c>
      <c r="Q140" s="139">
        <f t="shared" si="169"/>
        <v>0.86039968314433046</v>
      </c>
      <c r="R140" s="139">
        <f t="shared" si="169"/>
        <v>0.87496157469621905</v>
      </c>
      <c r="S140" s="139">
        <f t="shared" si="169"/>
        <v>0.8689110373702269</v>
      </c>
      <c r="T140" s="139">
        <f t="shared" si="169"/>
        <v>0.86882997037873133</v>
      </c>
      <c r="U140" s="139">
        <f t="shared" si="169"/>
        <v>0.86324273913346816</v>
      </c>
      <c r="V140" s="139">
        <f t="shared" si="169"/>
        <v>0.8773265334654301</v>
      </c>
      <c r="W140" s="139">
        <f t="shared" si="169"/>
        <v>0.88190601314635775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0.28694352630461456</v>
      </c>
      <c r="C141" s="140">
        <f t="shared" ref="C141:W141" si="170">IF(C49=0,0,C49/C$47)</f>
        <v>0.2826307374638109</v>
      </c>
      <c r="D141" s="140">
        <f t="shared" si="170"/>
        <v>0.27871789942350061</v>
      </c>
      <c r="E141" s="140">
        <f t="shared" si="170"/>
        <v>0.27581612154279517</v>
      </c>
      <c r="F141" s="140">
        <f t="shared" si="170"/>
        <v>0.2847421498287635</v>
      </c>
      <c r="G141" s="140">
        <f t="shared" si="170"/>
        <v>0.28647093120110012</v>
      </c>
      <c r="H141" s="140">
        <f t="shared" si="170"/>
        <v>0.29096613227684981</v>
      </c>
      <c r="I141" s="140">
        <f t="shared" si="170"/>
        <v>0.29955121223562048</v>
      </c>
      <c r="J141" s="140">
        <f t="shared" si="170"/>
        <v>0.32114004632664844</v>
      </c>
      <c r="K141" s="140">
        <f t="shared" si="170"/>
        <v>0.3527815734562621</v>
      </c>
      <c r="L141" s="140">
        <f t="shared" si="170"/>
        <v>0.34329861290182223</v>
      </c>
      <c r="M141" s="140">
        <f t="shared" si="170"/>
        <v>0.37337352794944623</v>
      </c>
      <c r="N141" s="140">
        <f t="shared" si="170"/>
        <v>0.40027544880029886</v>
      </c>
      <c r="O141" s="140">
        <f t="shared" si="170"/>
        <v>0.41102714661398138</v>
      </c>
      <c r="P141" s="140">
        <f t="shared" si="170"/>
        <v>0.43628500444156121</v>
      </c>
      <c r="Q141" s="140">
        <f t="shared" si="170"/>
        <v>0.46165808772984668</v>
      </c>
      <c r="R141" s="140">
        <f t="shared" si="170"/>
        <v>0.4466940228606836</v>
      </c>
      <c r="S141" s="140">
        <f t="shared" si="170"/>
        <v>0.44844540377426523</v>
      </c>
      <c r="T141" s="140">
        <f t="shared" si="170"/>
        <v>0.45801043078751014</v>
      </c>
      <c r="U141" s="140">
        <f t="shared" si="170"/>
        <v>0.46600569734335456</v>
      </c>
      <c r="V141" s="140">
        <f t="shared" si="170"/>
        <v>0.48347433264795436</v>
      </c>
      <c r="W141" s="140">
        <f t="shared" si="170"/>
        <v>0.4799079306089874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0.55528314611249496</v>
      </c>
      <c r="C142" s="140">
        <f t="shared" ref="C142:W142" si="171">IF(C50=0,0,C50/C$47)</f>
        <v>0.57315552944680592</v>
      </c>
      <c r="D142" s="140">
        <f t="shared" si="171"/>
        <v>0.57629493234113338</v>
      </c>
      <c r="E142" s="140">
        <f t="shared" si="171"/>
        <v>0.57649668122444797</v>
      </c>
      <c r="F142" s="140">
        <f t="shared" si="171"/>
        <v>0.57264960881604821</v>
      </c>
      <c r="G142" s="140">
        <f t="shared" si="171"/>
        <v>0.56898657828029175</v>
      </c>
      <c r="H142" s="140">
        <f t="shared" si="171"/>
        <v>0.55499041716498354</v>
      </c>
      <c r="I142" s="140">
        <f t="shared" si="171"/>
        <v>0.54948263228392558</v>
      </c>
      <c r="J142" s="140">
        <f t="shared" si="171"/>
        <v>0.54122380400105408</v>
      </c>
      <c r="K142" s="140">
        <f t="shared" si="171"/>
        <v>0.50120161440548827</v>
      </c>
      <c r="L142" s="140">
        <f t="shared" si="171"/>
        <v>0.50619284991894653</v>
      </c>
      <c r="M142" s="140">
        <f t="shared" si="171"/>
        <v>0.47710399188276181</v>
      </c>
      <c r="N142" s="140">
        <f t="shared" si="171"/>
        <v>0.44826284009993062</v>
      </c>
      <c r="O142" s="140">
        <f t="shared" si="171"/>
        <v>0.44149822938487193</v>
      </c>
      <c r="P142" s="140">
        <f t="shared" si="171"/>
        <v>0.42364550708647764</v>
      </c>
      <c r="Q142" s="140">
        <f t="shared" si="171"/>
        <v>0.39874159541448384</v>
      </c>
      <c r="R142" s="140">
        <f t="shared" si="171"/>
        <v>0.42826755183553539</v>
      </c>
      <c r="S142" s="140">
        <f t="shared" si="171"/>
        <v>0.42046563359596173</v>
      </c>
      <c r="T142" s="140">
        <f t="shared" si="171"/>
        <v>0.41081953959122125</v>
      </c>
      <c r="U142" s="140">
        <f t="shared" si="171"/>
        <v>0.39723704179011371</v>
      </c>
      <c r="V142" s="140">
        <f t="shared" si="171"/>
        <v>0.39385220081747579</v>
      </c>
      <c r="W142" s="140">
        <f t="shared" si="171"/>
        <v>0.40199808253737024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3.7474835209967812E-2</v>
      </c>
      <c r="C143" s="124">
        <f t="shared" ref="C143:W143" si="172">IF(C51=0,0,C51/C$47)</f>
        <v>3.6132513076878606E-2</v>
      </c>
      <c r="D143" s="124">
        <f t="shared" si="172"/>
        <v>3.4366322070376362E-2</v>
      </c>
      <c r="E143" s="124">
        <f t="shared" si="172"/>
        <v>3.3822395638498273E-2</v>
      </c>
      <c r="F143" s="124">
        <f t="shared" si="172"/>
        <v>3.4037185310009196E-2</v>
      </c>
      <c r="G143" s="124">
        <f t="shared" si="172"/>
        <v>3.3527873528278698E-2</v>
      </c>
      <c r="H143" s="124">
        <f t="shared" si="172"/>
        <v>3.6031506651141444E-2</v>
      </c>
      <c r="I143" s="124">
        <f t="shared" si="172"/>
        <v>3.1810310184374281E-2</v>
      </c>
      <c r="J143" s="124">
        <f t="shared" si="172"/>
        <v>3.3529321374052207E-2</v>
      </c>
      <c r="K143" s="124">
        <f t="shared" si="172"/>
        <v>3.0241818969359808E-2</v>
      </c>
      <c r="L143" s="124">
        <f t="shared" si="172"/>
        <v>2.9017972642087445E-2</v>
      </c>
      <c r="M143" s="124">
        <f t="shared" si="172"/>
        <v>2.9528314244371568E-2</v>
      </c>
      <c r="N143" s="124">
        <f t="shared" si="172"/>
        <v>3.1581644824426283E-2</v>
      </c>
      <c r="O143" s="124">
        <f t="shared" si="172"/>
        <v>2.9478499226494443E-2</v>
      </c>
      <c r="P143" s="124">
        <f t="shared" si="172"/>
        <v>3.0322312775550354E-2</v>
      </c>
      <c r="Q143" s="124">
        <f t="shared" si="172"/>
        <v>2.4392846814805507E-2</v>
      </c>
      <c r="R143" s="124">
        <f t="shared" si="172"/>
        <v>2.4204131412203529E-2</v>
      </c>
      <c r="S143" s="124">
        <f t="shared" si="172"/>
        <v>2.5888769403678766E-2</v>
      </c>
      <c r="T143" s="124">
        <f t="shared" si="172"/>
        <v>2.8056897839767489E-2</v>
      </c>
      <c r="U143" s="124">
        <f t="shared" si="172"/>
        <v>2.6184735924186058E-2</v>
      </c>
      <c r="V143" s="124">
        <f t="shared" si="172"/>
        <v>2.793414074565179E-2</v>
      </c>
      <c r="W143" s="124">
        <f t="shared" si="172"/>
        <v>2.7346859922156332E-2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7.1207688873624686E-3</v>
      </c>
      <c r="C144" s="124">
        <f t="shared" ref="C144:W144" si="173">IF(C52=0,0,C52/C$47)</f>
        <v>5.7585450651081007E-3</v>
      </c>
      <c r="D144" s="124">
        <f t="shared" si="173"/>
        <v>5.6705353497503988E-3</v>
      </c>
      <c r="E144" s="124">
        <f t="shared" si="173"/>
        <v>6.7649103806377547E-3</v>
      </c>
      <c r="F144" s="124">
        <f t="shared" si="173"/>
        <v>8.7680435081904338E-3</v>
      </c>
      <c r="G144" s="124">
        <f t="shared" si="173"/>
        <v>9.3628768165851285E-3</v>
      </c>
      <c r="H144" s="124">
        <f t="shared" si="173"/>
        <v>9.7727391820115386E-3</v>
      </c>
      <c r="I144" s="124">
        <f t="shared" si="173"/>
        <v>1.0400746347745241E-2</v>
      </c>
      <c r="J144" s="124">
        <f t="shared" si="173"/>
        <v>9.2717145336524056E-3</v>
      </c>
      <c r="K144" s="124">
        <f t="shared" si="173"/>
        <v>7.8403374245008869E-3</v>
      </c>
      <c r="L144" s="124">
        <f t="shared" si="173"/>
        <v>7.5490837489809092E-3</v>
      </c>
      <c r="M144" s="124">
        <f t="shared" si="173"/>
        <v>8.1311146148872887E-3</v>
      </c>
      <c r="N144" s="124">
        <f t="shared" si="173"/>
        <v>9.5535842754395292E-3</v>
      </c>
      <c r="O144" s="124">
        <f t="shared" si="173"/>
        <v>9.976477938502832E-3</v>
      </c>
      <c r="P144" s="124">
        <f t="shared" si="173"/>
        <v>9.404589988070769E-3</v>
      </c>
      <c r="Q144" s="124">
        <f t="shared" si="173"/>
        <v>1.0255685382812409E-2</v>
      </c>
      <c r="R144" s="124">
        <f t="shared" si="173"/>
        <v>9.094036881298926E-3</v>
      </c>
      <c r="S144" s="124">
        <f t="shared" si="173"/>
        <v>9.847112778097012E-3</v>
      </c>
      <c r="T144" s="124">
        <f t="shared" si="173"/>
        <v>9.3776538386005151E-3</v>
      </c>
      <c r="U144" s="124">
        <f t="shared" si="173"/>
        <v>1.3287161220442545E-2</v>
      </c>
      <c r="V144" s="124">
        <f t="shared" si="173"/>
        <v>7.9415891170622616E-3</v>
      </c>
      <c r="W144" s="124">
        <f t="shared" si="173"/>
        <v>7.3552882833282903E-3</v>
      </c>
      <c r="DA144" s="176"/>
    </row>
    <row r="145" spans="1:105" ht="11.45" customHeight="1" x14ac:dyDescent="0.25">
      <c r="A145" s="128" t="s">
        <v>27</v>
      </c>
      <c r="B145" s="140">
        <f t="shared" si="167"/>
        <v>1.089387425119147E-3</v>
      </c>
      <c r="C145" s="140">
        <f t="shared" ref="C145:W145" si="174">IF(C53=0,0,C53/C$47)</f>
        <v>8.2443611115655586E-4</v>
      </c>
      <c r="D145" s="140">
        <f t="shared" si="174"/>
        <v>7.173787192035799E-4</v>
      </c>
      <c r="E145" s="140">
        <f t="shared" si="174"/>
        <v>5.8881196839284092E-4</v>
      </c>
      <c r="F145" s="140">
        <f t="shared" si="174"/>
        <v>5.7223661019151423E-4</v>
      </c>
      <c r="G145" s="140">
        <f t="shared" si="174"/>
        <v>5.3642355022359895E-4</v>
      </c>
      <c r="H145" s="140">
        <f t="shared" si="174"/>
        <v>5.0467975649285063E-4</v>
      </c>
      <c r="I145" s="140">
        <f t="shared" si="174"/>
        <v>4.0116490077942975E-4</v>
      </c>
      <c r="J145" s="140">
        <f t="shared" si="174"/>
        <v>3.3536343688591198E-4</v>
      </c>
      <c r="K145" s="140">
        <f t="shared" si="174"/>
        <v>3.5973433187089454E-4</v>
      </c>
      <c r="L145" s="140">
        <f t="shared" si="174"/>
        <v>2.5447173663026046E-4</v>
      </c>
      <c r="M145" s="140">
        <f t="shared" si="174"/>
        <v>2.4185460392115807E-4</v>
      </c>
      <c r="N145" s="140">
        <f t="shared" si="174"/>
        <v>2.7903779110142671E-4</v>
      </c>
      <c r="O145" s="140">
        <f t="shared" si="174"/>
        <v>2.2904199793324117E-4</v>
      </c>
      <c r="P145" s="140">
        <f t="shared" si="174"/>
        <v>1.9181797009399433E-4</v>
      </c>
      <c r="Q145" s="140">
        <f t="shared" si="174"/>
        <v>1.901298157213238E-4</v>
      </c>
      <c r="R145" s="140">
        <f t="shared" si="174"/>
        <v>1.9505608011053592E-4</v>
      </c>
      <c r="S145" s="140">
        <f t="shared" si="174"/>
        <v>1.5467089598388624E-4</v>
      </c>
      <c r="T145" s="140">
        <f t="shared" si="174"/>
        <v>1.0398411511758682E-4</v>
      </c>
      <c r="U145" s="140">
        <f t="shared" si="174"/>
        <v>1.1039578590171E-4</v>
      </c>
      <c r="V145" s="140">
        <f t="shared" si="174"/>
        <v>1.255537163451611E-4</v>
      </c>
      <c r="W145" s="140">
        <f t="shared" si="174"/>
        <v>8.2785883672976835E-5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3.1908868532023191E-3</v>
      </c>
      <c r="C146" s="140">
        <f t="shared" ref="C146:W146" si="175">IF(C54=0,0,C54/C$47)</f>
        <v>2.8078937342422921E-3</v>
      </c>
      <c r="D146" s="140">
        <f t="shared" si="175"/>
        <v>2.604895469170425E-3</v>
      </c>
      <c r="E146" s="140">
        <f t="shared" si="175"/>
        <v>3.8554423193949447E-3</v>
      </c>
      <c r="F146" s="140">
        <f t="shared" si="175"/>
        <v>5.1438878405678217E-3</v>
      </c>
      <c r="G146" s="140">
        <f t="shared" si="175"/>
        <v>5.2512441002427902E-3</v>
      </c>
      <c r="H146" s="140">
        <f t="shared" si="175"/>
        <v>6.4660485469064562E-3</v>
      </c>
      <c r="I146" s="140">
        <f t="shared" si="175"/>
        <v>7.2712553621744691E-3</v>
      </c>
      <c r="J146" s="140">
        <f t="shared" si="175"/>
        <v>6.4529066641188645E-3</v>
      </c>
      <c r="K146" s="140">
        <f t="shared" si="175"/>
        <v>5.855770091145269E-3</v>
      </c>
      <c r="L146" s="140">
        <f t="shared" si="175"/>
        <v>5.6409188688826021E-3</v>
      </c>
      <c r="M146" s="140">
        <f t="shared" si="175"/>
        <v>5.3455087834755896E-3</v>
      </c>
      <c r="N146" s="140">
        <f t="shared" si="175"/>
        <v>5.5624867729225013E-3</v>
      </c>
      <c r="O146" s="140">
        <f t="shared" si="175"/>
        <v>6.5751347114477929E-3</v>
      </c>
      <c r="P146" s="140">
        <f t="shared" si="175"/>
        <v>6.9005300355912966E-3</v>
      </c>
      <c r="Q146" s="140">
        <f t="shared" si="175"/>
        <v>8.097458436019769E-3</v>
      </c>
      <c r="R146" s="140">
        <f t="shared" si="175"/>
        <v>7.1365805017361353E-3</v>
      </c>
      <c r="S146" s="140">
        <f t="shared" si="175"/>
        <v>7.9711984676022352E-3</v>
      </c>
      <c r="T146" s="140">
        <f t="shared" si="175"/>
        <v>7.5343127893001891E-3</v>
      </c>
      <c r="U146" s="140">
        <f t="shared" si="175"/>
        <v>1.1592697928978046E-2</v>
      </c>
      <c r="V146" s="140">
        <f t="shared" si="175"/>
        <v>5.6626593062228548E-3</v>
      </c>
      <c r="W146" s="140">
        <f t="shared" si="175"/>
        <v>4.9759775356747618E-3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2.8404946090410024E-3</v>
      </c>
      <c r="C147" s="140">
        <f t="shared" ref="C147:W147" si="176">IF(C55=0,0,C55/C$47)</f>
        <v>2.1262152197092528E-3</v>
      </c>
      <c r="D147" s="140">
        <f t="shared" si="176"/>
        <v>2.3482611613763948E-3</v>
      </c>
      <c r="E147" s="140">
        <f t="shared" si="176"/>
        <v>2.3206560928499694E-3</v>
      </c>
      <c r="F147" s="140">
        <f t="shared" si="176"/>
        <v>3.0519190574310982E-3</v>
      </c>
      <c r="G147" s="140">
        <f t="shared" si="176"/>
        <v>3.5752091661187392E-3</v>
      </c>
      <c r="H147" s="140">
        <f t="shared" si="176"/>
        <v>2.8020108786122318E-3</v>
      </c>
      <c r="I147" s="140">
        <f t="shared" si="176"/>
        <v>2.7283260847913412E-3</v>
      </c>
      <c r="J147" s="140">
        <f t="shared" si="176"/>
        <v>2.4834444326476291E-3</v>
      </c>
      <c r="K147" s="140">
        <f t="shared" si="176"/>
        <v>1.6248330014847234E-3</v>
      </c>
      <c r="L147" s="140">
        <f t="shared" si="176"/>
        <v>1.653693143468047E-3</v>
      </c>
      <c r="M147" s="140">
        <f t="shared" si="176"/>
        <v>2.5437512274905428E-3</v>
      </c>
      <c r="N147" s="140">
        <f t="shared" si="176"/>
        <v>3.7120597114156015E-3</v>
      </c>
      <c r="O147" s="140">
        <f t="shared" si="176"/>
        <v>3.1723012291217973E-3</v>
      </c>
      <c r="P147" s="140">
        <f t="shared" si="176"/>
        <v>2.3122419823854799E-3</v>
      </c>
      <c r="Q147" s="140">
        <f t="shared" si="176"/>
        <v>1.9680971310713164E-3</v>
      </c>
      <c r="R147" s="140">
        <f t="shared" si="176"/>
        <v>1.7624002994522548E-3</v>
      </c>
      <c r="S147" s="140">
        <f t="shared" si="176"/>
        <v>1.7212434145108923E-3</v>
      </c>
      <c r="T147" s="140">
        <f t="shared" si="176"/>
        <v>1.7393569341827397E-3</v>
      </c>
      <c r="U147" s="140">
        <f t="shared" si="176"/>
        <v>1.5840675055627906E-3</v>
      </c>
      <c r="V147" s="140">
        <f t="shared" si="176"/>
        <v>2.1533760944942464E-3</v>
      </c>
      <c r="W147" s="140">
        <f t="shared" si="176"/>
        <v>2.2965248639805515E-3</v>
      </c>
      <c r="DA147" s="175"/>
    </row>
    <row r="148" spans="1:105" ht="11.45" customHeight="1" x14ac:dyDescent="0.25">
      <c r="A148" s="109" t="s">
        <v>142</v>
      </c>
      <c r="B148" s="124">
        <f t="shared" si="167"/>
        <v>0.11317772348556004</v>
      </c>
      <c r="C148" s="124">
        <f t="shared" ref="C148:W148" si="177">IF(C56=0,0,C56/C$47)</f>
        <v>0.10232267494739637</v>
      </c>
      <c r="D148" s="124">
        <f t="shared" si="177"/>
        <v>0.10495031081523935</v>
      </c>
      <c r="E148" s="124">
        <f t="shared" si="177"/>
        <v>0.10709989121362097</v>
      </c>
      <c r="F148" s="124">
        <f t="shared" si="177"/>
        <v>9.9803012536988575E-2</v>
      </c>
      <c r="G148" s="124">
        <f t="shared" si="177"/>
        <v>0.10165174017374429</v>
      </c>
      <c r="H148" s="124">
        <f t="shared" si="177"/>
        <v>0.10823920472501361</v>
      </c>
      <c r="I148" s="124">
        <f t="shared" si="177"/>
        <v>0.10875509894833452</v>
      </c>
      <c r="J148" s="124">
        <f t="shared" si="177"/>
        <v>9.4835113764592735E-2</v>
      </c>
      <c r="K148" s="124">
        <f t="shared" si="177"/>
        <v>0.10793465574438892</v>
      </c>
      <c r="L148" s="124">
        <f t="shared" si="177"/>
        <v>0.11394148078816287</v>
      </c>
      <c r="M148" s="124">
        <f t="shared" si="177"/>
        <v>0.11186305130853307</v>
      </c>
      <c r="N148" s="124">
        <f t="shared" si="177"/>
        <v>0.11032648199990483</v>
      </c>
      <c r="O148" s="124">
        <f t="shared" si="177"/>
        <v>0.10801964683614927</v>
      </c>
      <c r="P148" s="124">
        <f t="shared" si="177"/>
        <v>0.10034258570833991</v>
      </c>
      <c r="Q148" s="124">
        <f t="shared" si="177"/>
        <v>0.10495178465805161</v>
      </c>
      <c r="R148" s="124">
        <f t="shared" si="177"/>
        <v>9.1740257010278436E-2</v>
      </c>
      <c r="S148" s="124">
        <f t="shared" si="177"/>
        <v>9.5353080447997243E-2</v>
      </c>
      <c r="T148" s="124">
        <f t="shared" si="177"/>
        <v>9.3735477942900866E-2</v>
      </c>
      <c r="U148" s="124">
        <f t="shared" si="177"/>
        <v>9.7285363721903301E-2</v>
      </c>
      <c r="V148" s="124">
        <f t="shared" si="177"/>
        <v>8.6797736671855877E-2</v>
      </c>
      <c r="W148" s="124">
        <f t="shared" si="177"/>
        <v>8.3391838648157676E-2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9.7049619242987981E-2</v>
      </c>
      <c r="C149" s="140">
        <f t="shared" ref="C149:W149" si="178">IF(C57=0,0,C57/C$47)</f>
        <v>8.8987296214706232E-2</v>
      </c>
      <c r="D149" s="140">
        <f t="shared" si="178"/>
        <v>9.1509328023243297E-2</v>
      </c>
      <c r="E149" s="140">
        <f t="shared" si="178"/>
        <v>9.0654808392261949E-2</v>
      </c>
      <c r="F149" s="140">
        <f t="shared" si="178"/>
        <v>8.2428372822593896E-2</v>
      </c>
      <c r="G149" s="140">
        <f t="shared" si="178"/>
        <v>8.7906486419177657E-2</v>
      </c>
      <c r="H149" s="140">
        <f t="shared" si="178"/>
        <v>9.7332110708135008E-2</v>
      </c>
      <c r="I149" s="140">
        <f t="shared" si="178"/>
        <v>9.3454665307700344E-2</v>
      </c>
      <c r="J149" s="140">
        <f t="shared" si="178"/>
        <v>8.6032684742045756E-2</v>
      </c>
      <c r="K149" s="140">
        <f t="shared" si="178"/>
        <v>9.8422043760019201E-2</v>
      </c>
      <c r="L149" s="140">
        <f t="shared" si="178"/>
        <v>0.1079591609319307</v>
      </c>
      <c r="M149" s="140">
        <f t="shared" si="178"/>
        <v>0.10558204554891616</v>
      </c>
      <c r="N149" s="140">
        <f t="shared" si="178"/>
        <v>9.7701721168036937E-2</v>
      </c>
      <c r="O149" s="140">
        <f t="shared" si="178"/>
        <v>9.1705735267384125E-2</v>
      </c>
      <c r="P149" s="140">
        <f t="shared" si="178"/>
        <v>8.7300912502412467E-2</v>
      </c>
      <c r="Q149" s="140">
        <f t="shared" si="178"/>
        <v>9.3311047872248365E-2</v>
      </c>
      <c r="R149" s="140">
        <f t="shared" si="178"/>
        <v>8.426354123722278E-2</v>
      </c>
      <c r="S149" s="140">
        <f t="shared" si="178"/>
        <v>8.7210207769036041E-2</v>
      </c>
      <c r="T149" s="140">
        <f t="shared" si="178"/>
        <v>8.7180677688193875E-2</v>
      </c>
      <c r="U149" s="140">
        <f t="shared" si="178"/>
        <v>9.2851110354945185E-2</v>
      </c>
      <c r="V149" s="140">
        <f t="shared" si="178"/>
        <v>7.9011199330622561E-2</v>
      </c>
      <c r="W149" s="140">
        <f t="shared" si="178"/>
        <v>7.0925654420674999E-2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1.6128104242572047E-2</v>
      </c>
      <c r="C150" s="127">
        <f t="shared" ref="C150:W150" si="179">IF(C58=0,0,C58/C$47)</f>
        <v>1.3335378732690143E-2</v>
      </c>
      <c r="D150" s="127">
        <f t="shared" si="179"/>
        <v>1.3440982791996056E-2</v>
      </c>
      <c r="E150" s="127">
        <f t="shared" si="179"/>
        <v>1.6445082821359019E-2</v>
      </c>
      <c r="F150" s="127">
        <f t="shared" si="179"/>
        <v>1.737463971439468E-2</v>
      </c>
      <c r="G150" s="127">
        <f t="shared" si="179"/>
        <v>1.3745253754566641E-2</v>
      </c>
      <c r="H150" s="127">
        <f t="shared" si="179"/>
        <v>1.0907094016878602E-2</v>
      </c>
      <c r="I150" s="127">
        <f t="shared" si="179"/>
        <v>1.5300433640634161E-2</v>
      </c>
      <c r="J150" s="127">
        <f t="shared" si="179"/>
        <v>8.8024290225469856E-3</v>
      </c>
      <c r="K150" s="127">
        <f t="shared" si="179"/>
        <v>9.5126119843697236E-3</v>
      </c>
      <c r="L150" s="127">
        <f t="shared" si="179"/>
        <v>5.9823198562321666E-3</v>
      </c>
      <c r="M150" s="127">
        <f t="shared" si="179"/>
        <v>6.2810057596169103E-3</v>
      </c>
      <c r="N150" s="127">
        <f t="shared" si="179"/>
        <v>1.2624760831867895E-2</v>
      </c>
      <c r="O150" s="127">
        <f t="shared" si="179"/>
        <v>1.6313911568765146E-2</v>
      </c>
      <c r="P150" s="127">
        <f t="shared" si="179"/>
        <v>1.304167320592744E-2</v>
      </c>
      <c r="Q150" s="127">
        <f t="shared" si="179"/>
        <v>1.1640736785803248E-2</v>
      </c>
      <c r="R150" s="127">
        <f t="shared" si="179"/>
        <v>7.4767157730556569E-3</v>
      </c>
      <c r="S150" s="127">
        <f t="shared" si="179"/>
        <v>8.1428726789611987E-3</v>
      </c>
      <c r="T150" s="127">
        <f t="shared" si="179"/>
        <v>6.5548002547069903E-3</v>
      </c>
      <c r="U150" s="127">
        <f t="shared" si="179"/>
        <v>4.434253366958121E-3</v>
      </c>
      <c r="V150" s="127">
        <f t="shared" si="179"/>
        <v>7.7865373412333199E-3</v>
      </c>
      <c r="W150" s="127">
        <f t="shared" si="179"/>
        <v>1.2466184227482682E-2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0.51975674526288351</v>
      </c>
      <c r="C152" s="140">
        <f t="shared" ref="C152:W152" si="181">IF(C60=0,0,C60/C$59)</f>
        <v>0.49554518440265904</v>
      </c>
      <c r="D152" s="140">
        <f t="shared" si="181"/>
        <v>0.48677232399942172</v>
      </c>
      <c r="E152" s="140">
        <f t="shared" si="181"/>
        <v>0.47455968330823839</v>
      </c>
      <c r="F152" s="140">
        <f t="shared" si="181"/>
        <v>0.47751493355792851</v>
      </c>
      <c r="G152" s="140">
        <f t="shared" si="181"/>
        <v>0.4820056379671131</v>
      </c>
      <c r="H152" s="140">
        <f t="shared" si="181"/>
        <v>0.49201162610585941</v>
      </c>
      <c r="I152" s="140">
        <f t="shared" si="181"/>
        <v>0.48971249300025782</v>
      </c>
      <c r="J152" s="140">
        <f t="shared" si="181"/>
        <v>0.48687623064323354</v>
      </c>
      <c r="K152" s="140">
        <f t="shared" si="181"/>
        <v>0.46565979010923808</v>
      </c>
      <c r="L152" s="140">
        <f t="shared" si="181"/>
        <v>0.48021453259191926</v>
      </c>
      <c r="M152" s="140">
        <f t="shared" si="181"/>
        <v>0.46833367119591296</v>
      </c>
      <c r="N152" s="140">
        <f t="shared" si="181"/>
        <v>0.47579907600393356</v>
      </c>
      <c r="O152" s="140">
        <f t="shared" si="181"/>
        <v>0.47044152449572046</v>
      </c>
      <c r="P152" s="140">
        <f t="shared" si="181"/>
        <v>0.46250392921875066</v>
      </c>
      <c r="Q152" s="140">
        <f t="shared" si="181"/>
        <v>0.48902447567961077</v>
      </c>
      <c r="R152" s="140">
        <f t="shared" si="181"/>
        <v>0.47816288322373718</v>
      </c>
      <c r="S152" s="140">
        <f t="shared" si="181"/>
        <v>0.48487170642714117</v>
      </c>
      <c r="T152" s="140">
        <f t="shared" si="181"/>
        <v>0.48040532463619967</v>
      </c>
      <c r="U152" s="140">
        <f t="shared" si="181"/>
        <v>0.47360579940393821</v>
      </c>
      <c r="V152" s="140">
        <f t="shared" si="181"/>
        <v>0.44356311979857765</v>
      </c>
      <c r="W152" s="140">
        <f t="shared" si="181"/>
        <v>0.44532653384912774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0.48024325473711643</v>
      </c>
      <c r="C153" s="127">
        <f t="shared" ref="C153:W153" si="182">IF(C61=0,0,C61/C$59)</f>
        <v>0.50445481559734096</v>
      </c>
      <c r="D153" s="127">
        <f t="shared" si="182"/>
        <v>0.51322767600057839</v>
      </c>
      <c r="E153" s="127">
        <f t="shared" si="182"/>
        <v>0.52544031669176161</v>
      </c>
      <c r="F153" s="127">
        <f t="shared" si="182"/>
        <v>0.52248506644207149</v>
      </c>
      <c r="G153" s="127">
        <f t="shared" si="182"/>
        <v>0.51799436203288696</v>
      </c>
      <c r="H153" s="127">
        <f t="shared" si="182"/>
        <v>0.50798837389414075</v>
      </c>
      <c r="I153" s="127">
        <f t="shared" si="182"/>
        <v>0.51028750699974212</v>
      </c>
      <c r="J153" s="127">
        <f t="shared" si="182"/>
        <v>0.51312376935676651</v>
      </c>
      <c r="K153" s="127">
        <f t="shared" si="182"/>
        <v>0.53434020989076192</v>
      </c>
      <c r="L153" s="127">
        <f t="shared" si="182"/>
        <v>0.51978546740808074</v>
      </c>
      <c r="M153" s="127">
        <f t="shared" si="182"/>
        <v>0.53166632880408693</v>
      </c>
      <c r="N153" s="127">
        <f t="shared" si="182"/>
        <v>0.52420092399606644</v>
      </c>
      <c r="O153" s="127">
        <f t="shared" si="182"/>
        <v>0.52955847550427959</v>
      </c>
      <c r="P153" s="127">
        <f t="shared" si="182"/>
        <v>0.53749607078124928</v>
      </c>
      <c r="Q153" s="127">
        <f t="shared" si="182"/>
        <v>0.51097552432038917</v>
      </c>
      <c r="R153" s="127">
        <f t="shared" si="182"/>
        <v>0.52183711677626277</v>
      </c>
      <c r="S153" s="127">
        <f t="shared" si="182"/>
        <v>0.51512829357285894</v>
      </c>
      <c r="T153" s="127">
        <f t="shared" si="182"/>
        <v>0.51959467536380044</v>
      </c>
      <c r="U153" s="127">
        <f t="shared" si="182"/>
        <v>0.52639420059606168</v>
      </c>
      <c r="V153" s="127">
        <f t="shared" si="182"/>
        <v>0.55643688020142235</v>
      </c>
      <c r="W153" s="127">
        <f t="shared" si="182"/>
        <v>0.55467346615087221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0.82783413003313533</v>
      </c>
      <c r="C157" s="139">
        <f t="shared" ref="C157:W157" si="185">IF(C65=0,0,C65/C$64)</f>
        <v>0.82737703324836154</v>
      </c>
      <c r="D157" s="139">
        <f t="shared" si="185"/>
        <v>0.83647561248751212</v>
      </c>
      <c r="E157" s="139">
        <f t="shared" si="185"/>
        <v>0.83616436342502587</v>
      </c>
      <c r="F157" s="139">
        <f t="shared" si="185"/>
        <v>0.8244242244801071</v>
      </c>
      <c r="G157" s="139">
        <f t="shared" si="185"/>
        <v>0.82731905216245549</v>
      </c>
      <c r="H157" s="139">
        <f t="shared" si="185"/>
        <v>0.81944701840265211</v>
      </c>
      <c r="I157" s="139">
        <f t="shared" si="185"/>
        <v>0.8089809922445742</v>
      </c>
      <c r="J157" s="139">
        <f t="shared" si="185"/>
        <v>0.79043534123597636</v>
      </c>
      <c r="K157" s="139">
        <f t="shared" si="185"/>
        <v>0.80954893992586352</v>
      </c>
      <c r="L157" s="139">
        <f t="shared" si="185"/>
        <v>0.8060596187546698</v>
      </c>
      <c r="M157" s="139">
        <f t="shared" si="185"/>
        <v>0.78001601918989871</v>
      </c>
      <c r="N157" s="139">
        <f t="shared" si="185"/>
        <v>0.78883492466901683</v>
      </c>
      <c r="O157" s="139">
        <f t="shared" si="185"/>
        <v>0.78755860087368079</v>
      </c>
      <c r="P157" s="139">
        <f t="shared" si="185"/>
        <v>0.77703994926737896</v>
      </c>
      <c r="Q157" s="139">
        <f t="shared" si="185"/>
        <v>0.77662932480412861</v>
      </c>
      <c r="R157" s="139">
        <f t="shared" si="185"/>
        <v>0.78762145491593605</v>
      </c>
      <c r="S157" s="139">
        <f t="shared" si="185"/>
        <v>0.77067376473745086</v>
      </c>
      <c r="T157" s="139">
        <f t="shared" si="185"/>
        <v>0.74877525542970258</v>
      </c>
      <c r="U157" s="139">
        <f t="shared" si="185"/>
        <v>0.73053821523134999</v>
      </c>
      <c r="V157" s="139">
        <f t="shared" si="185"/>
        <v>0.87990362830914748</v>
      </c>
      <c r="W157" s="139">
        <f t="shared" si="185"/>
        <v>0.87715985679501263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1.3723001262048517E-2</v>
      </c>
      <c r="C158" s="140">
        <f t="shared" ref="C158:W158" si="186">IF(C66=0,0,C66/C$64)</f>
        <v>1.3386901621627801E-2</v>
      </c>
      <c r="D158" s="140">
        <f t="shared" si="186"/>
        <v>1.3018940804894763E-2</v>
      </c>
      <c r="E158" s="140">
        <f t="shared" si="186"/>
        <v>1.25465891424734E-2</v>
      </c>
      <c r="F158" s="140">
        <f t="shared" si="186"/>
        <v>1.1913638049957527E-2</v>
      </c>
      <c r="G158" s="140">
        <f t="shared" si="186"/>
        <v>1.173199838229921E-2</v>
      </c>
      <c r="H158" s="140">
        <f t="shared" si="186"/>
        <v>1.1226363322541103E-2</v>
      </c>
      <c r="I158" s="140">
        <f t="shared" si="186"/>
        <v>1.0643474046221435E-2</v>
      </c>
      <c r="J158" s="140">
        <f t="shared" si="186"/>
        <v>1.0359937280286663E-2</v>
      </c>
      <c r="K158" s="140">
        <f t="shared" si="186"/>
        <v>1.0437590849575911E-2</v>
      </c>
      <c r="L158" s="140">
        <f t="shared" si="186"/>
        <v>1.3296836207916005E-2</v>
      </c>
      <c r="M158" s="140">
        <f t="shared" si="186"/>
        <v>1.2508178274470309E-2</v>
      </c>
      <c r="N158" s="140">
        <f t="shared" si="186"/>
        <v>1.2444535402413932E-2</v>
      </c>
      <c r="O158" s="140">
        <f t="shared" si="186"/>
        <v>1.2507075209460445E-2</v>
      </c>
      <c r="P158" s="140">
        <f t="shared" si="186"/>
        <v>1.3051064689168519E-2</v>
      </c>
      <c r="Q158" s="140">
        <f t="shared" si="186"/>
        <v>1.2798794719388841E-2</v>
      </c>
      <c r="R158" s="140">
        <f t="shared" si="186"/>
        <v>1.2291706880295569E-2</v>
      </c>
      <c r="S158" s="140">
        <f t="shared" si="186"/>
        <v>1.1640438992249025E-2</v>
      </c>
      <c r="T158" s="140">
        <f t="shared" si="186"/>
        <v>1.0557694603453065E-2</v>
      </c>
      <c r="U158" s="140">
        <f t="shared" si="186"/>
        <v>1.1192608453399869E-2</v>
      </c>
      <c r="V158" s="140">
        <f t="shared" si="186"/>
        <v>1.2825842209184335E-2</v>
      </c>
      <c r="W158" s="140">
        <f t="shared" si="186"/>
        <v>1.3327953373666877E-2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0.73341023919270876</v>
      </c>
      <c r="C159" s="140">
        <f t="shared" ref="C159:W159" si="187">IF(C67=0,0,C67/C$64)</f>
        <v>0.73587148106759614</v>
      </c>
      <c r="D159" s="140">
        <f t="shared" si="187"/>
        <v>0.74565357260360199</v>
      </c>
      <c r="E159" s="140">
        <f t="shared" si="187"/>
        <v>0.74520881926372362</v>
      </c>
      <c r="F159" s="140">
        <f t="shared" si="187"/>
        <v>0.73419996807866084</v>
      </c>
      <c r="G159" s="140">
        <f t="shared" si="187"/>
        <v>0.73871505482969135</v>
      </c>
      <c r="H159" s="140">
        <f t="shared" si="187"/>
        <v>0.73116786422080149</v>
      </c>
      <c r="I159" s="140">
        <f t="shared" si="187"/>
        <v>0.72199075534081836</v>
      </c>
      <c r="J159" s="140">
        <f t="shared" si="187"/>
        <v>0.70192628386526046</v>
      </c>
      <c r="K159" s="140">
        <f t="shared" si="187"/>
        <v>0.71732573479166584</v>
      </c>
      <c r="L159" s="140">
        <f t="shared" si="187"/>
        <v>0.70932181609911304</v>
      </c>
      <c r="M159" s="140">
        <f t="shared" si="187"/>
        <v>0.68647742447506654</v>
      </c>
      <c r="N159" s="140">
        <f t="shared" si="187"/>
        <v>0.69062772585145649</v>
      </c>
      <c r="O159" s="140">
        <f t="shared" si="187"/>
        <v>0.68875391258686558</v>
      </c>
      <c r="P159" s="140">
        <f t="shared" si="187"/>
        <v>0.68089482937621915</v>
      </c>
      <c r="Q159" s="140">
        <f t="shared" si="187"/>
        <v>0.67872232390290899</v>
      </c>
      <c r="R159" s="140">
        <f t="shared" si="187"/>
        <v>0.67474713220436544</v>
      </c>
      <c r="S159" s="140">
        <f t="shared" si="187"/>
        <v>0.66460724638111146</v>
      </c>
      <c r="T159" s="140">
        <f t="shared" si="187"/>
        <v>0.64664872956069286</v>
      </c>
      <c r="U159" s="140">
        <f t="shared" si="187"/>
        <v>0.63191489960229907</v>
      </c>
      <c r="V159" s="140">
        <f t="shared" si="187"/>
        <v>0.76750721074232353</v>
      </c>
      <c r="W159" s="140">
        <f t="shared" si="187"/>
        <v>0.77879717758249933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8.070088957837801E-2</v>
      </c>
      <c r="C160" s="140">
        <f t="shared" ref="C160:W160" si="188">IF(C68=0,0,C68/C$64)</f>
        <v>7.8118650559137734E-2</v>
      </c>
      <c r="D160" s="140">
        <f t="shared" si="188"/>
        <v>7.7803099079015337E-2</v>
      </c>
      <c r="E160" s="140">
        <f t="shared" si="188"/>
        <v>7.8408955018828885E-2</v>
      </c>
      <c r="F160" s="140">
        <f t="shared" si="188"/>
        <v>7.8310618351488864E-2</v>
      </c>
      <c r="G160" s="140">
        <f t="shared" si="188"/>
        <v>7.6871998950464968E-2</v>
      </c>
      <c r="H160" s="140">
        <f t="shared" si="188"/>
        <v>7.7052790859309495E-2</v>
      </c>
      <c r="I160" s="140">
        <f t="shared" si="188"/>
        <v>7.6346762857534362E-2</v>
      </c>
      <c r="J160" s="140">
        <f t="shared" si="188"/>
        <v>7.8149120090429292E-2</v>
      </c>
      <c r="K160" s="140">
        <f t="shared" si="188"/>
        <v>8.1785614284621694E-2</v>
      </c>
      <c r="L160" s="140">
        <f t="shared" si="188"/>
        <v>8.3440966447640749E-2</v>
      </c>
      <c r="M160" s="140">
        <f t="shared" si="188"/>
        <v>8.1030416440361866E-2</v>
      </c>
      <c r="N160" s="140">
        <f t="shared" si="188"/>
        <v>8.5762663415146462E-2</v>
      </c>
      <c r="O160" s="140">
        <f t="shared" si="188"/>
        <v>8.6297613077354798E-2</v>
      </c>
      <c r="P160" s="140">
        <f t="shared" si="188"/>
        <v>8.3094055201991285E-2</v>
      </c>
      <c r="Q160" s="140">
        <f t="shared" si="188"/>
        <v>8.5108206181830695E-2</v>
      </c>
      <c r="R160" s="140">
        <f t="shared" si="188"/>
        <v>0.10058261583127494</v>
      </c>
      <c r="S160" s="140">
        <f t="shared" si="188"/>
        <v>9.4426079364090407E-2</v>
      </c>
      <c r="T160" s="140">
        <f t="shared" si="188"/>
        <v>9.1568831265556719E-2</v>
      </c>
      <c r="U160" s="140">
        <f t="shared" si="188"/>
        <v>8.7430707175650976E-2</v>
      </c>
      <c r="V160" s="140">
        <f t="shared" si="188"/>
        <v>9.9570575357639676E-2</v>
      </c>
      <c r="W160" s="140">
        <f t="shared" si="188"/>
        <v>8.5034725838846456E-2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6.1337465704055655E-3</v>
      </c>
      <c r="C161" s="124">
        <f t="shared" ref="C161:W161" si="189">IF(C69=0,0,C69/C$64)</f>
        <v>5.2839371661484889E-3</v>
      </c>
      <c r="D161" s="124">
        <f t="shared" si="189"/>
        <v>5.2537979467941563E-3</v>
      </c>
      <c r="E161" s="124">
        <f t="shared" si="189"/>
        <v>5.3130464692837734E-3</v>
      </c>
      <c r="F161" s="124">
        <f t="shared" si="189"/>
        <v>4.9368392495906426E-3</v>
      </c>
      <c r="G161" s="124">
        <f t="shared" si="189"/>
        <v>4.253894334664084E-3</v>
      </c>
      <c r="H161" s="124">
        <f t="shared" si="189"/>
        <v>4.2248490872432111E-3</v>
      </c>
      <c r="I161" s="124">
        <f t="shared" si="189"/>
        <v>3.2810099085600042E-3</v>
      </c>
      <c r="J161" s="124">
        <f t="shared" si="189"/>
        <v>3.4550737356742454E-3</v>
      </c>
      <c r="K161" s="124">
        <f t="shared" si="189"/>
        <v>2.9648545790567755E-3</v>
      </c>
      <c r="L161" s="124">
        <f t="shared" si="189"/>
        <v>3.2193546502807357E-3</v>
      </c>
      <c r="M161" s="124">
        <f t="shared" si="189"/>
        <v>3.4332200484825156E-3</v>
      </c>
      <c r="N161" s="124">
        <f t="shared" si="189"/>
        <v>3.0582963237121901E-3</v>
      </c>
      <c r="O161" s="124">
        <f t="shared" si="189"/>
        <v>2.547390105340342E-3</v>
      </c>
      <c r="P161" s="124">
        <f t="shared" si="189"/>
        <v>3.0907434600202129E-3</v>
      </c>
      <c r="Q161" s="124">
        <f t="shared" si="189"/>
        <v>3.1126636727347745E-3</v>
      </c>
      <c r="R161" s="124">
        <f t="shared" si="189"/>
        <v>2.5365196082942918E-3</v>
      </c>
      <c r="S161" s="124">
        <f t="shared" si="189"/>
        <v>2.7901998988700532E-3</v>
      </c>
      <c r="T161" s="124">
        <f t="shared" si="189"/>
        <v>2.0355996061232695E-3</v>
      </c>
      <c r="U161" s="124">
        <f t="shared" si="189"/>
        <v>1.4508415361064516E-3</v>
      </c>
      <c r="V161" s="124">
        <f t="shared" si="189"/>
        <v>1.7099364841305243E-3</v>
      </c>
      <c r="W161" s="124">
        <f t="shared" si="189"/>
        <v>1.7273135315069876E-3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6.1337465704055655E-3</v>
      </c>
      <c r="C163" s="140">
        <f t="shared" ref="C163:W163" si="191">IF(C71=0,0,C71/C$64)</f>
        <v>5.2839371661484889E-3</v>
      </c>
      <c r="D163" s="140">
        <f t="shared" si="191"/>
        <v>5.2537979467941563E-3</v>
      </c>
      <c r="E163" s="140">
        <f t="shared" si="191"/>
        <v>5.3130464692837734E-3</v>
      </c>
      <c r="F163" s="140">
        <f t="shared" si="191"/>
        <v>4.9368392495906426E-3</v>
      </c>
      <c r="G163" s="140">
        <f t="shared" si="191"/>
        <v>4.253894334664084E-3</v>
      </c>
      <c r="H163" s="140">
        <f t="shared" si="191"/>
        <v>4.2248490872432111E-3</v>
      </c>
      <c r="I163" s="140">
        <f t="shared" si="191"/>
        <v>3.2810099085600042E-3</v>
      </c>
      <c r="J163" s="140">
        <f t="shared" si="191"/>
        <v>3.4550737356742454E-3</v>
      </c>
      <c r="K163" s="140">
        <f t="shared" si="191"/>
        <v>2.9648545790567755E-3</v>
      </c>
      <c r="L163" s="140">
        <f t="shared" si="191"/>
        <v>3.2193546502807357E-3</v>
      </c>
      <c r="M163" s="140">
        <f t="shared" si="191"/>
        <v>3.4332200484825156E-3</v>
      </c>
      <c r="N163" s="140">
        <f t="shared" si="191"/>
        <v>3.0582963237121901E-3</v>
      </c>
      <c r="O163" s="140">
        <f t="shared" si="191"/>
        <v>2.547390105340342E-3</v>
      </c>
      <c r="P163" s="140">
        <f t="shared" si="191"/>
        <v>3.0907434600202129E-3</v>
      </c>
      <c r="Q163" s="140">
        <f t="shared" si="191"/>
        <v>3.1126636727347745E-3</v>
      </c>
      <c r="R163" s="140">
        <f t="shared" si="191"/>
        <v>2.5365196082942918E-3</v>
      </c>
      <c r="S163" s="140">
        <f t="shared" si="191"/>
        <v>2.7901998988700532E-3</v>
      </c>
      <c r="T163" s="140">
        <f t="shared" si="191"/>
        <v>2.0355996061232695E-3</v>
      </c>
      <c r="U163" s="140">
        <f t="shared" si="191"/>
        <v>1.4508415361064516E-3</v>
      </c>
      <c r="V163" s="140">
        <f t="shared" si="191"/>
        <v>1.7099364841305243E-3</v>
      </c>
      <c r="W163" s="140">
        <f t="shared" si="191"/>
        <v>1.7273135315069876E-3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0.16603212339645915</v>
      </c>
      <c r="C165" s="124">
        <f t="shared" ref="C165:W165" si="193">IF(C73=0,0,C73/C$64)</f>
        <v>0.1673390295854898</v>
      </c>
      <c r="D165" s="124">
        <f t="shared" si="193"/>
        <v>0.1582705895656937</v>
      </c>
      <c r="E165" s="124">
        <f t="shared" si="193"/>
        <v>0.15852259010569034</v>
      </c>
      <c r="F165" s="124">
        <f t="shared" si="193"/>
        <v>0.17063893627030219</v>
      </c>
      <c r="G165" s="124">
        <f t="shared" si="193"/>
        <v>0.16842705350288045</v>
      </c>
      <c r="H165" s="124">
        <f t="shared" si="193"/>
        <v>0.17632813251010471</v>
      </c>
      <c r="I165" s="124">
        <f t="shared" si="193"/>
        <v>0.1877379978468659</v>
      </c>
      <c r="J165" s="124">
        <f t="shared" si="193"/>
        <v>0.20610958502834936</v>
      </c>
      <c r="K165" s="124">
        <f t="shared" si="193"/>
        <v>0.18748620549507958</v>
      </c>
      <c r="L165" s="124">
        <f t="shared" si="193"/>
        <v>0.19072102659504953</v>
      </c>
      <c r="M165" s="124">
        <f t="shared" si="193"/>
        <v>0.21655076076161886</v>
      </c>
      <c r="N165" s="124">
        <f t="shared" si="193"/>
        <v>0.20810677900727098</v>
      </c>
      <c r="O165" s="124">
        <f t="shared" si="193"/>
        <v>0.20989400902097888</v>
      </c>
      <c r="P165" s="124">
        <f t="shared" si="193"/>
        <v>0.21986930727260082</v>
      </c>
      <c r="Q165" s="124">
        <f t="shared" si="193"/>
        <v>0.22025801152313676</v>
      </c>
      <c r="R165" s="124">
        <f t="shared" si="193"/>
        <v>0.20984202547576961</v>
      </c>
      <c r="S165" s="124">
        <f t="shared" si="193"/>
        <v>0.22653603536367903</v>
      </c>
      <c r="T165" s="124">
        <f t="shared" si="193"/>
        <v>0.24918914496417427</v>
      </c>
      <c r="U165" s="124">
        <f t="shared" si="193"/>
        <v>0.2680109432325436</v>
      </c>
      <c r="V165" s="124">
        <f t="shared" si="193"/>
        <v>0.11838643520672204</v>
      </c>
      <c r="W165" s="124">
        <f t="shared" si="193"/>
        <v>0.1211128296734803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4.4186123104589074E-2</v>
      </c>
      <c r="C166" s="140">
        <f t="shared" ref="C166:W166" si="194">IF(C74=0,0,C74/C$64)</f>
        <v>4.3064301378448563E-2</v>
      </c>
      <c r="D166" s="140">
        <f t="shared" si="194"/>
        <v>3.7099523704668333E-2</v>
      </c>
      <c r="E166" s="140">
        <f t="shared" si="194"/>
        <v>3.6443790720211457E-2</v>
      </c>
      <c r="F166" s="140">
        <f t="shared" si="194"/>
        <v>3.5753735719758158E-2</v>
      </c>
      <c r="G166" s="140">
        <f t="shared" si="194"/>
        <v>3.3879700493344829E-2</v>
      </c>
      <c r="H166" s="140">
        <f t="shared" si="194"/>
        <v>3.1146162356405365E-2</v>
      </c>
      <c r="I166" s="140">
        <f t="shared" si="194"/>
        <v>2.7876007416094889E-2</v>
      </c>
      <c r="J166" s="140">
        <f t="shared" si="194"/>
        <v>2.7641878242950928E-2</v>
      </c>
      <c r="K166" s="140">
        <f t="shared" si="194"/>
        <v>2.5828241494479893E-2</v>
      </c>
      <c r="L166" s="140">
        <f t="shared" si="194"/>
        <v>2.4562578229550176E-2</v>
      </c>
      <c r="M166" s="140">
        <f t="shared" si="194"/>
        <v>2.6538921677582414E-2</v>
      </c>
      <c r="N166" s="140">
        <f t="shared" si="194"/>
        <v>2.2455045522146621E-2</v>
      </c>
      <c r="O166" s="140">
        <f t="shared" si="194"/>
        <v>1.9216828208342678E-2</v>
      </c>
      <c r="P166" s="140">
        <f t="shared" si="194"/>
        <v>2.038371274231009E-2</v>
      </c>
      <c r="Q166" s="140">
        <f t="shared" si="194"/>
        <v>1.9443768804437343E-2</v>
      </c>
      <c r="R166" s="140">
        <f t="shared" si="194"/>
        <v>1.873081442544481E-2</v>
      </c>
      <c r="S166" s="140">
        <f t="shared" si="194"/>
        <v>1.9790216058963615E-2</v>
      </c>
      <c r="T166" s="140">
        <f t="shared" si="194"/>
        <v>2.0907792802105973E-2</v>
      </c>
      <c r="U166" s="140">
        <f t="shared" si="194"/>
        <v>2.0216497159975231E-2</v>
      </c>
      <c r="V166" s="140">
        <f t="shared" si="194"/>
        <v>1.1280414476576286E-2</v>
      </c>
      <c r="W166" s="140">
        <f t="shared" si="194"/>
        <v>1.06444454393664E-2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7.9314327040922852E-2</v>
      </c>
      <c r="C167" s="140">
        <f t="shared" ref="C167:W167" si="195">IF(C75=0,0,C75/C$64)</f>
        <v>8.1760954831703939E-2</v>
      </c>
      <c r="D167" s="140">
        <f t="shared" si="195"/>
        <v>7.7790657931114032E-2</v>
      </c>
      <c r="E167" s="140">
        <f t="shared" si="195"/>
        <v>7.9702290997073863E-2</v>
      </c>
      <c r="F167" s="140">
        <f t="shared" si="195"/>
        <v>8.5664246546926434E-2</v>
      </c>
      <c r="G167" s="140">
        <f t="shared" si="195"/>
        <v>8.5257388768875217E-2</v>
      </c>
      <c r="H167" s="140">
        <f t="shared" si="195"/>
        <v>9.3543788551351092E-2</v>
      </c>
      <c r="I167" s="140">
        <f t="shared" si="195"/>
        <v>0.10416952010991128</v>
      </c>
      <c r="J167" s="140">
        <f t="shared" si="195"/>
        <v>0.11552869389941356</v>
      </c>
      <c r="K167" s="140">
        <f t="shared" si="195"/>
        <v>0.10275382599779502</v>
      </c>
      <c r="L167" s="140">
        <f t="shared" si="195"/>
        <v>0.10561447041319577</v>
      </c>
      <c r="M167" s="140">
        <f t="shared" si="195"/>
        <v>0.12077079601682475</v>
      </c>
      <c r="N167" s="140">
        <f t="shared" si="195"/>
        <v>0.1160701423989023</v>
      </c>
      <c r="O167" s="140">
        <f t="shared" si="195"/>
        <v>0.1191577831283612</v>
      </c>
      <c r="P167" s="140">
        <f t="shared" si="195"/>
        <v>0.12569722219123608</v>
      </c>
      <c r="Q167" s="140">
        <f t="shared" si="195"/>
        <v>0.12725558533731171</v>
      </c>
      <c r="R167" s="140">
        <f t="shared" si="195"/>
        <v>0.12390498155965647</v>
      </c>
      <c r="S167" s="140">
        <f t="shared" si="195"/>
        <v>0.1363936432126619</v>
      </c>
      <c r="T167" s="140">
        <f t="shared" si="195"/>
        <v>0.15023210246548865</v>
      </c>
      <c r="U167" s="140">
        <f t="shared" si="195"/>
        <v>0.1615686065120584</v>
      </c>
      <c r="V167" s="140">
        <f t="shared" si="195"/>
        <v>6.2940418660215561E-2</v>
      </c>
      <c r="W167" s="140">
        <f t="shared" si="195"/>
        <v>6.8487795229430465E-2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4.2531673250947227E-2</v>
      </c>
      <c r="C168" s="140">
        <f t="shared" ref="C168:W168" si="196">IF(C76=0,0,C76/C$64)</f>
        <v>4.2513773375337301E-2</v>
      </c>
      <c r="D168" s="140">
        <f t="shared" si="196"/>
        <v>4.3380407929911352E-2</v>
      </c>
      <c r="E168" s="140">
        <f t="shared" si="196"/>
        <v>4.2376508388405003E-2</v>
      </c>
      <c r="F168" s="140">
        <f t="shared" si="196"/>
        <v>4.9220954003617597E-2</v>
      </c>
      <c r="G168" s="140">
        <f t="shared" si="196"/>
        <v>4.9289964240660414E-2</v>
      </c>
      <c r="H168" s="140">
        <f t="shared" si="196"/>
        <v>5.1638181602348246E-2</v>
      </c>
      <c r="I168" s="140">
        <f t="shared" si="196"/>
        <v>5.5692470320859715E-2</v>
      </c>
      <c r="J168" s="140">
        <f t="shared" si="196"/>
        <v>6.2939012885984885E-2</v>
      </c>
      <c r="K168" s="140">
        <f t="shared" si="196"/>
        <v>5.8904138002804675E-2</v>
      </c>
      <c r="L168" s="140">
        <f t="shared" si="196"/>
        <v>6.0543977952303582E-2</v>
      </c>
      <c r="M168" s="140">
        <f t="shared" si="196"/>
        <v>6.9241043067211669E-2</v>
      </c>
      <c r="N168" s="140">
        <f t="shared" si="196"/>
        <v>6.9581591086222055E-2</v>
      </c>
      <c r="O168" s="140">
        <f t="shared" si="196"/>
        <v>7.1519397684274996E-2</v>
      </c>
      <c r="P168" s="140">
        <f t="shared" si="196"/>
        <v>7.378837233905465E-2</v>
      </c>
      <c r="Q168" s="140">
        <f t="shared" si="196"/>
        <v>7.3558657381387726E-2</v>
      </c>
      <c r="R168" s="140">
        <f t="shared" si="196"/>
        <v>6.7206229490668346E-2</v>
      </c>
      <c r="S168" s="140">
        <f t="shared" si="196"/>
        <v>7.0352176092053534E-2</v>
      </c>
      <c r="T168" s="140">
        <f t="shared" si="196"/>
        <v>7.804924969657967E-2</v>
      </c>
      <c r="U168" s="140">
        <f t="shared" si="196"/>
        <v>8.6225839560509929E-2</v>
      </c>
      <c r="V168" s="140">
        <f t="shared" si="196"/>
        <v>4.4165602069930185E-2</v>
      </c>
      <c r="W168" s="140">
        <f t="shared" si="196"/>
        <v>4.198058900468344E-2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0.85559051587144297</v>
      </c>
      <c r="C170" s="139">
        <f t="shared" ref="C170:W170" si="199">IF(C78=0,0,C78/C$77)</f>
        <v>0.86934865643058779</v>
      </c>
      <c r="D170" s="139">
        <f t="shared" si="199"/>
        <v>0.86840087088535067</v>
      </c>
      <c r="E170" s="139">
        <f t="shared" si="199"/>
        <v>0.86554020775459972</v>
      </c>
      <c r="F170" s="139">
        <f t="shared" si="199"/>
        <v>0.87091386063515241</v>
      </c>
      <c r="G170" s="139">
        <f t="shared" si="199"/>
        <v>0.86855836262045982</v>
      </c>
      <c r="H170" s="139">
        <f t="shared" si="199"/>
        <v>0.86021632625983946</v>
      </c>
      <c r="I170" s="139">
        <f t="shared" si="199"/>
        <v>0.86328777467485607</v>
      </c>
      <c r="J170" s="139">
        <f t="shared" si="199"/>
        <v>0.87732867355438682</v>
      </c>
      <c r="K170" s="139">
        <f t="shared" si="199"/>
        <v>0.86495997148468373</v>
      </c>
      <c r="L170" s="139">
        <f t="shared" si="199"/>
        <v>0.86043766298597735</v>
      </c>
      <c r="M170" s="139">
        <f t="shared" si="199"/>
        <v>0.85867866624359823</v>
      </c>
      <c r="N170" s="139">
        <f t="shared" si="199"/>
        <v>0.85732179059578217</v>
      </c>
      <c r="O170" s="139">
        <f t="shared" si="199"/>
        <v>0.85797558719639033</v>
      </c>
      <c r="P170" s="139">
        <f t="shared" si="199"/>
        <v>0.85409691754550032</v>
      </c>
      <c r="Q170" s="139">
        <f t="shared" si="199"/>
        <v>0.85221097881445507</v>
      </c>
      <c r="R170" s="139">
        <f t="shared" si="199"/>
        <v>0.8853622652442128</v>
      </c>
      <c r="S170" s="139">
        <f t="shared" si="199"/>
        <v>0.87229744980457147</v>
      </c>
      <c r="T170" s="139">
        <f t="shared" si="199"/>
        <v>0.87301303373724171</v>
      </c>
      <c r="U170" s="139">
        <f t="shared" si="199"/>
        <v>0.86109668981491916</v>
      </c>
      <c r="V170" s="139">
        <f t="shared" si="199"/>
        <v>0.88131621468628818</v>
      </c>
      <c r="W170" s="139">
        <f t="shared" si="199"/>
        <v>0.87540499192705901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0.2903117129135554</v>
      </c>
      <c r="C171" s="140">
        <f t="shared" ref="C171:W171" si="200">IF(C79=0,0,C79/C$77)</f>
        <v>0.28599003100028997</v>
      </c>
      <c r="D171" s="140">
        <f t="shared" si="200"/>
        <v>0.28203277445606217</v>
      </c>
      <c r="E171" s="140">
        <f t="shared" si="200"/>
        <v>0.27911043898945526</v>
      </c>
      <c r="F171" s="140">
        <f t="shared" si="200"/>
        <v>0.28835078289990934</v>
      </c>
      <c r="G171" s="140">
        <f t="shared" si="200"/>
        <v>0.29004336935414449</v>
      </c>
      <c r="H171" s="140">
        <f t="shared" si="200"/>
        <v>0.29513651913750955</v>
      </c>
      <c r="I171" s="140">
        <f t="shared" si="200"/>
        <v>0.30391400163359239</v>
      </c>
      <c r="J171" s="140">
        <f t="shared" si="200"/>
        <v>0.32575007633593123</v>
      </c>
      <c r="K171" s="140">
        <f t="shared" si="200"/>
        <v>0.35649693615530165</v>
      </c>
      <c r="L171" s="140">
        <f t="shared" si="200"/>
        <v>0.34693164387969844</v>
      </c>
      <c r="M171" s="140">
        <f t="shared" si="200"/>
        <v>0.37629183724831727</v>
      </c>
      <c r="N171" s="140">
        <f t="shared" si="200"/>
        <v>0.40369959160020003</v>
      </c>
      <c r="O171" s="140">
        <f t="shared" si="200"/>
        <v>0.41327972255302348</v>
      </c>
      <c r="P171" s="140">
        <f t="shared" si="200"/>
        <v>0.43390239231286615</v>
      </c>
      <c r="Q171" s="140">
        <f t="shared" si="200"/>
        <v>0.45783086907519793</v>
      </c>
      <c r="R171" s="140">
        <f t="shared" si="200"/>
        <v>0.45148445688699701</v>
      </c>
      <c r="S171" s="140">
        <f t="shared" si="200"/>
        <v>0.45015813248278125</v>
      </c>
      <c r="T171" s="140">
        <f t="shared" si="200"/>
        <v>0.46002871099627568</v>
      </c>
      <c r="U171" s="140">
        <f t="shared" si="200"/>
        <v>0.46477186420930205</v>
      </c>
      <c r="V171" s="140">
        <f t="shared" si="200"/>
        <v>0.48538267540436225</v>
      </c>
      <c r="W171" s="140">
        <f t="shared" si="200"/>
        <v>0.47664009770009141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0.56527880295788768</v>
      </c>
      <c r="C172" s="140">
        <f t="shared" ref="C172:W172" si="201">IF(C80=0,0,C80/C$77)</f>
        <v>0.58335862543029771</v>
      </c>
      <c r="D172" s="140">
        <f t="shared" si="201"/>
        <v>0.58636809642928855</v>
      </c>
      <c r="E172" s="140">
        <f t="shared" si="201"/>
        <v>0.58642976876514441</v>
      </c>
      <c r="F172" s="140">
        <f t="shared" si="201"/>
        <v>0.58256307773524307</v>
      </c>
      <c r="G172" s="140">
        <f t="shared" si="201"/>
        <v>0.57851499326631539</v>
      </c>
      <c r="H172" s="140">
        <f t="shared" si="201"/>
        <v>0.56507980712232997</v>
      </c>
      <c r="I172" s="140">
        <f t="shared" si="201"/>
        <v>0.55937377304126357</v>
      </c>
      <c r="J172" s="140">
        <f t="shared" si="201"/>
        <v>0.55157859721845559</v>
      </c>
      <c r="K172" s="140">
        <f t="shared" si="201"/>
        <v>0.50846303532938208</v>
      </c>
      <c r="L172" s="140">
        <f t="shared" si="201"/>
        <v>0.5135060191062788</v>
      </c>
      <c r="M172" s="140">
        <f t="shared" si="201"/>
        <v>0.48238682899528101</v>
      </c>
      <c r="N172" s="140">
        <f t="shared" si="201"/>
        <v>0.45362219899558226</v>
      </c>
      <c r="O172" s="140">
        <f t="shared" si="201"/>
        <v>0.44469586464336691</v>
      </c>
      <c r="P172" s="140">
        <f t="shared" si="201"/>
        <v>0.42019452523263418</v>
      </c>
      <c r="Q172" s="140">
        <f t="shared" si="201"/>
        <v>0.39438010973925713</v>
      </c>
      <c r="R172" s="140">
        <f t="shared" si="201"/>
        <v>0.43387780835721584</v>
      </c>
      <c r="S172" s="140">
        <f t="shared" si="201"/>
        <v>0.42213931732179022</v>
      </c>
      <c r="T172" s="140">
        <f t="shared" si="201"/>
        <v>0.41298432274096608</v>
      </c>
      <c r="U172" s="140">
        <f t="shared" si="201"/>
        <v>0.39632482560561716</v>
      </c>
      <c r="V172" s="140">
        <f t="shared" si="201"/>
        <v>0.39593353928192593</v>
      </c>
      <c r="W172" s="140">
        <f t="shared" si="201"/>
        <v>0.39876489422696748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2.2611767001072654E-2</v>
      </c>
      <c r="C173" s="124">
        <f t="shared" ref="C173:W173" si="202">IF(C81=0,0,C81/C$77)</f>
        <v>2.1665368746407558E-2</v>
      </c>
      <c r="D173" s="124">
        <f t="shared" si="202"/>
        <v>1.9867644045975109E-2</v>
      </c>
      <c r="E173" s="124">
        <f t="shared" si="202"/>
        <v>1.9331572826336126E-2</v>
      </c>
      <c r="F173" s="124">
        <f t="shared" si="202"/>
        <v>1.9614004663814993E-2</v>
      </c>
      <c r="G173" s="124">
        <f t="shared" si="202"/>
        <v>1.9622920316422057E-2</v>
      </c>
      <c r="H173" s="124">
        <f t="shared" si="202"/>
        <v>2.0647967202209759E-2</v>
      </c>
      <c r="I173" s="124">
        <f t="shared" si="202"/>
        <v>1.6392573380360587E-2</v>
      </c>
      <c r="J173" s="124">
        <f t="shared" si="202"/>
        <v>1.772298374817172E-2</v>
      </c>
      <c r="K173" s="124">
        <f t="shared" si="202"/>
        <v>1.657249485710156E-2</v>
      </c>
      <c r="L173" s="124">
        <f t="shared" si="202"/>
        <v>1.525291378588553E-2</v>
      </c>
      <c r="M173" s="124">
        <f t="shared" si="202"/>
        <v>1.6005828751391008E-2</v>
      </c>
      <c r="N173" s="124">
        <f t="shared" si="202"/>
        <v>1.7960931130484557E-2</v>
      </c>
      <c r="O173" s="124">
        <f t="shared" si="202"/>
        <v>1.7154733630346641E-2</v>
      </c>
      <c r="P173" s="124">
        <f t="shared" si="202"/>
        <v>1.7297277914188718E-2</v>
      </c>
      <c r="Q173" s="124">
        <f t="shared" si="202"/>
        <v>1.2672664158806793E-2</v>
      </c>
      <c r="R173" s="124">
        <f t="shared" si="202"/>
        <v>1.0620205789266621E-2</v>
      </c>
      <c r="S173" s="124">
        <f t="shared" si="202"/>
        <v>1.0917499611291038E-2</v>
      </c>
      <c r="T173" s="124">
        <f t="shared" si="202"/>
        <v>1.4028833978635923E-2</v>
      </c>
      <c r="U173" s="124">
        <f t="shared" si="202"/>
        <v>1.5193706339690239E-2</v>
      </c>
      <c r="V173" s="124">
        <f t="shared" si="202"/>
        <v>1.4439561099857364E-2</v>
      </c>
      <c r="W173" s="124">
        <f t="shared" si="202"/>
        <v>1.7036179530981799E-2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7.0332531861910267E-3</v>
      </c>
      <c r="C174" s="124">
        <f t="shared" ref="C174:W174" si="203">IF(C82=0,0,C82/C$77)</f>
        <v>5.686676025771561E-3</v>
      </c>
      <c r="D174" s="124">
        <f t="shared" si="203"/>
        <v>5.5979862608983829E-3</v>
      </c>
      <c r="E174" s="124">
        <f t="shared" si="203"/>
        <v>6.6770117369009084E-3</v>
      </c>
      <c r="F174" s="124">
        <f t="shared" si="203"/>
        <v>8.6548623976394345E-3</v>
      </c>
      <c r="G174" s="124">
        <f t="shared" si="203"/>
        <v>9.2370349942259219E-3</v>
      </c>
      <c r="H174" s="124">
        <f t="shared" si="203"/>
        <v>9.6548381744790291E-3</v>
      </c>
      <c r="I174" s="124">
        <f t="shared" si="203"/>
        <v>1.027349699430994E-2</v>
      </c>
      <c r="J174" s="124">
        <f t="shared" si="203"/>
        <v>9.2138771652034591E-3</v>
      </c>
      <c r="K174" s="124">
        <f t="shared" si="203"/>
        <v>7.9295327773220396E-3</v>
      </c>
      <c r="L174" s="124">
        <f t="shared" si="203"/>
        <v>7.6314453195939387E-3</v>
      </c>
      <c r="M174" s="124">
        <f t="shared" si="203"/>
        <v>8.3496225639624246E-3</v>
      </c>
      <c r="N174" s="124">
        <f t="shared" si="203"/>
        <v>9.7970827325005328E-3</v>
      </c>
      <c r="O174" s="124">
        <f t="shared" si="203"/>
        <v>1.0414479478510909E-2</v>
      </c>
      <c r="P174" s="124">
        <f t="shared" si="203"/>
        <v>1.0987185821581785E-2</v>
      </c>
      <c r="Q174" s="124">
        <f t="shared" si="203"/>
        <v>1.1958469138675048E-2</v>
      </c>
      <c r="R174" s="124">
        <f t="shared" si="203"/>
        <v>9.3438461933963018E-3</v>
      </c>
      <c r="S174" s="124">
        <f t="shared" si="203"/>
        <v>1.091651124735952E-2</v>
      </c>
      <c r="T174" s="124">
        <f t="shared" si="203"/>
        <v>1.0257259803505494E-2</v>
      </c>
      <c r="U174" s="124">
        <f t="shared" si="203"/>
        <v>1.4829551880231532E-2</v>
      </c>
      <c r="V174" s="124">
        <f t="shared" si="203"/>
        <v>8.8545160654620592E-3</v>
      </c>
      <c r="W174" s="124">
        <f t="shared" si="203"/>
        <v>9.0952195305747819E-3</v>
      </c>
      <c r="DA174" s="176"/>
    </row>
    <row r="175" spans="1:105" ht="11.45" customHeight="1" x14ac:dyDescent="0.25">
      <c r="A175" s="128" t="s">
        <v>27</v>
      </c>
      <c r="B175" s="140">
        <f t="shared" si="197"/>
        <v>1.0755935568800075E-3</v>
      </c>
      <c r="C175" s="140">
        <f t="shared" ref="C175:W175" si="204">IF(C83=0,0,C83/C$77)</f>
        <v>8.1383150166807025E-4</v>
      </c>
      <c r="D175" s="140">
        <f t="shared" si="204"/>
        <v>7.0788022633679526E-4</v>
      </c>
      <c r="E175" s="140">
        <f t="shared" si="204"/>
        <v>5.8102397212736337E-4</v>
      </c>
      <c r="F175" s="140">
        <f t="shared" si="204"/>
        <v>5.6471587234311336E-4</v>
      </c>
      <c r="G175" s="140">
        <f t="shared" si="204"/>
        <v>5.2921374511359697E-4</v>
      </c>
      <c r="H175" s="140">
        <f t="shared" si="204"/>
        <v>4.9845842814459575E-4</v>
      </c>
      <c r="I175" s="140">
        <f t="shared" si="204"/>
        <v>3.9614264120470071E-4</v>
      </c>
      <c r="J175" s="140">
        <f t="shared" si="204"/>
        <v>3.3317182002594298E-4</v>
      </c>
      <c r="K175" s="140">
        <f t="shared" si="204"/>
        <v>3.637081576813553E-4</v>
      </c>
      <c r="L175" s="140">
        <f t="shared" si="204"/>
        <v>2.5716083822326845E-4</v>
      </c>
      <c r="M175" s="140">
        <f t="shared" si="204"/>
        <v>2.4827837848150639E-4</v>
      </c>
      <c r="N175" s="140">
        <f t="shared" si="204"/>
        <v>2.8604547446349081E-4</v>
      </c>
      <c r="O175" s="140">
        <f t="shared" si="204"/>
        <v>2.3899560386063721E-4</v>
      </c>
      <c r="P175" s="140">
        <f t="shared" si="204"/>
        <v>2.2400095749042557E-4</v>
      </c>
      <c r="Q175" s="140">
        <f t="shared" si="204"/>
        <v>2.2159932582346232E-4</v>
      </c>
      <c r="R175" s="140">
        <f t="shared" si="204"/>
        <v>2.0032702680158597E-4</v>
      </c>
      <c r="S175" s="140">
        <f t="shared" si="204"/>
        <v>1.7139559703851901E-4</v>
      </c>
      <c r="T175" s="140">
        <f t="shared" si="204"/>
        <v>1.1369351786561993E-4</v>
      </c>
      <c r="U175" s="140">
        <f t="shared" si="204"/>
        <v>1.2316054265910117E-4</v>
      </c>
      <c r="V175" s="140">
        <f t="shared" si="204"/>
        <v>1.3985558085990581E-4</v>
      </c>
      <c r="W175" s="140">
        <f t="shared" si="204"/>
        <v>1.0226137047657738E-4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3.1518845070615119E-3</v>
      </c>
      <c r="C176" s="140">
        <f t="shared" ref="C176:W176" si="205">IF(C84=0,0,C84/C$77)</f>
        <v>2.7730294841197831E-3</v>
      </c>
      <c r="D176" s="140">
        <f t="shared" si="205"/>
        <v>2.5717367738048204E-3</v>
      </c>
      <c r="E176" s="140">
        <f t="shared" si="205"/>
        <v>3.8054330805714688E-3</v>
      </c>
      <c r="F176" s="140">
        <f t="shared" si="205"/>
        <v>5.0775728195895375E-3</v>
      </c>
      <c r="G176" s="140">
        <f t="shared" si="205"/>
        <v>5.1806647110045363E-3</v>
      </c>
      <c r="H176" s="140">
        <f t="shared" si="205"/>
        <v>6.3881329667236156E-3</v>
      </c>
      <c r="I176" s="140">
        <f t="shared" si="205"/>
        <v>7.1823772009883963E-3</v>
      </c>
      <c r="J176" s="140">
        <f t="shared" si="205"/>
        <v>6.4127250690393751E-3</v>
      </c>
      <c r="K176" s="140">
        <f t="shared" si="205"/>
        <v>5.9224809783306343E-3</v>
      </c>
      <c r="L176" s="140">
        <f t="shared" si="205"/>
        <v>5.7025295389312039E-3</v>
      </c>
      <c r="M176" s="140">
        <f t="shared" si="205"/>
        <v>5.489210197312769E-3</v>
      </c>
      <c r="N176" s="140">
        <f t="shared" si="205"/>
        <v>5.7043240910964951E-3</v>
      </c>
      <c r="O176" s="140">
        <f t="shared" si="205"/>
        <v>6.863874524327543E-3</v>
      </c>
      <c r="P176" s="140">
        <f t="shared" si="205"/>
        <v>8.0618168221636838E-3</v>
      </c>
      <c r="Q176" s="140">
        <f t="shared" si="205"/>
        <v>9.4419840857335562E-3</v>
      </c>
      <c r="R176" s="140">
        <f t="shared" si="205"/>
        <v>7.3326892213158145E-3</v>
      </c>
      <c r="S176" s="140">
        <f t="shared" si="205"/>
        <v>8.8369319566530113E-3</v>
      </c>
      <c r="T176" s="140">
        <f t="shared" si="205"/>
        <v>8.2410527303432724E-3</v>
      </c>
      <c r="U176" s="140">
        <f t="shared" si="205"/>
        <v>1.2938437224883137E-2</v>
      </c>
      <c r="V176" s="140">
        <f t="shared" si="205"/>
        <v>6.3137064718485538E-3</v>
      </c>
      <c r="W176" s="140">
        <f t="shared" si="205"/>
        <v>6.1531444508059023E-3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2.8057751222495073E-3</v>
      </c>
      <c r="C177" s="140">
        <f t="shared" ref="C177:W177" si="206">IF(C85=0,0,C85/C$77)</f>
        <v>2.0998150399837079E-3</v>
      </c>
      <c r="D177" s="140">
        <f t="shared" si="206"/>
        <v>2.3183692607567671E-3</v>
      </c>
      <c r="E177" s="140">
        <f t="shared" si="206"/>
        <v>2.2905546842020758E-3</v>
      </c>
      <c r="F177" s="140">
        <f t="shared" si="206"/>
        <v>3.0125737057067831E-3</v>
      </c>
      <c r="G177" s="140">
        <f t="shared" si="206"/>
        <v>3.5271565381077888E-3</v>
      </c>
      <c r="H177" s="140">
        <f t="shared" si="206"/>
        <v>2.7682467796108167E-3</v>
      </c>
      <c r="I177" s="140">
        <f t="shared" si="206"/>
        <v>2.6949771521168424E-3</v>
      </c>
      <c r="J177" s="140">
        <f t="shared" si="206"/>
        <v>2.4679802761381404E-3</v>
      </c>
      <c r="K177" s="140">
        <f t="shared" si="206"/>
        <v>1.6433436413100494E-3</v>
      </c>
      <c r="L177" s="140">
        <f t="shared" si="206"/>
        <v>1.6717549424394664E-3</v>
      </c>
      <c r="M177" s="140">
        <f t="shared" si="206"/>
        <v>2.6121339881681484E-3</v>
      </c>
      <c r="N177" s="140">
        <f t="shared" si="206"/>
        <v>3.8067131669405475E-3</v>
      </c>
      <c r="O177" s="140">
        <f t="shared" si="206"/>
        <v>3.3116093503227292E-3</v>
      </c>
      <c r="P177" s="140">
        <f t="shared" si="206"/>
        <v>2.7013680419276749E-3</v>
      </c>
      <c r="Q177" s="140">
        <f t="shared" si="206"/>
        <v>2.2948857271180285E-3</v>
      </c>
      <c r="R177" s="140">
        <f t="shared" si="206"/>
        <v>1.8108299452789002E-3</v>
      </c>
      <c r="S177" s="140">
        <f t="shared" si="206"/>
        <v>1.9081836936679893E-3</v>
      </c>
      <c r="T177" s="140">
        <f t="shared" si="206"/>
        <v>1.9025135552966034E-3</v>
      </c>
      <c r="U177" s="140">
        <f t="shared" si="206"/>
        <v>1.7679541126892928E-3</v>
      </c>
      <c r="V177" s="140">
        <f t="shared" si="206"/>
        <v>2.400954012753601E-3</v>
      </c>
      <c r="W177" s="140">
        <f t="shared" si="206"/>
        <v>2.8398137092923016E-3</v>
      </c>
      <c r="DA177" s="175"/>
    </row>
    <row r="178" spans="1:105" ht="11.45" customHeight="1" x14ac:dyDescent="0.25">
      <c r="A178" s="109" t="s">
        <v>142</v>
      </c>
      <c r="B178" s="124">
        <f t="shared" si="197"/>
        <v>0.11476446394129336</v>
      </c>
      <c r="C178" s="124">
        <f t="shared" ref="C178:W178" si="207">IF(C86=0,0,C86/C$77)</f>
        <v>0.10329929879723306</v>
      </c>
      <c r="D178" s="124">
        <f t="shared" si="207"/>
        <v>0.1061334988077758</v>
      </c>
      <c r="E178" s="124">
        <f t="shared" si="207"/>
        <v>0.10845120768216321</v>
      </c>
      <c r="F178" s="124">
        <f t="shared" si="207"/>
        <v>0.1008172723033932</v>
      </c>
      <c r="G178" s="124">
        <f t="shared" si="207"/>
        <v>0.10258168206889219</v>
      </c>
      <c r="H178" s="124">
        <f t="shared" si="207"/>
        <v>0.10948086836347184</v>
      </c>
      <c r="I178" s="124">
        <f t="shared" si="207"/>
        <v>0.11004615495047355</v>
      </c>
      <c r="J178" s="124">
        <f t="shared" si="207"/>
        <v>9.5734465532238022E-2</v>
      </c>
      <c r="K178" s="124">
        <f t="shared" si="207"/>
        <v>0.11053800088089277</v>
      </c>
      <c r="L178" s="124">
        <f t="shared" si="207"/>
        <v>0.11667797790854338</v>
      </c>
      <c r="M178" s="124">
        <f t="shared" si="207"/>
        <v>0.11696588244104837</v>
      </c>
      <c r="N178" s="124">
        <f t="shared" si="207"/>
        <v>0.1149201955412326</v>
      </c>
      <c r="O178" s="124">
        <f t="shared" si="207"/>
        <v>0.11445519969475207</v>
      </c>
      <c r="P178" s="124">
        <f t="shared" si="207"/>
        <v>0.11761861871872921</v>
      </c>
      <c r="Q178" s="124">
        <f t="shared" si="207"/>
        <v>0.12315788788806316</v>
      </c>
      <c r="R178" s="124">
        <f t="shared" si="207"/>
        <v>9.4673682773124296E-2</v>
      </c>
      <c r="S178" s="124">
        <f t="shared" si="207"/>
        <v>0.10586853933677801</v>
      </c>
      <c r="T178" s="124">
        <f t="shared" si="207"/>
        <v>0.10270087248061678</v>
      </c>
      <c r="U178" s="124">
        <f t="shared" si="207"/>
        <v>0.10888005196515911</v>
      </c>
      <c r="V178" s="124">
        <f t="shared" si="207"/>
        <v>9.5389708148392441E-2</v>
      </c>
      <c r="W178" s="124">
        <f t="shared" si="207"/>
        <v>9.8463609011384484E-2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9.8410245277191721E-2</v>
      </c>
      <c r="C179" s="140">
        <f t="shared" ref="C179:W179" si="208">IF(C87=0,0,C87/C$77)</f>
        <v>8.9836639880325239E-2</v>
      </c>
      <c r="D179" s="140">
        <f t="shared" si="208"/>
        <v>9.2540985169192957E-2</v>
      </c>
      <c r="E179" s="140">
        <f t="shared" si="208"/>
        <v>9.1798631547867771E-2</v>
      </c>
      <c r="F179" s="140">
        <f t="shared" si="208"/>
        <v>8.3266060784499579E-2</v>
      </c>
      <c r="G179" s="140">
        <f t="shared" si="208"/>
        <v>8.8710682436252408E-2</v>
      </c>
      <c r="H179" s="140">
        <f t="shared" si="208"/>
        <v>9.8448653859276189E-2</v>
      </c>
      <c r="I179" s="140">
        <f t="shared" si="208"/>
        <v>9.4564086454296176E-2</v>
      </c>
      <c r="J179" s="140">
        <f t="shared" si="208"/>
        <v>8.6848560255097712E-2</v>
      </c>
      <c r="K179" s="140">
        <f t="shared" si="208"/>
        <v>0.10079594811150211</v>
      </c>
      <c r="L179" s="140">
        <f t="shared" si="208"/>
        <v>0.11055198253619071</v>
      </c>
      <c r="M179" s="140">
        <f t="shared" si="208"/>
        <v>0.11039835748354833</v>
      </c>
      <c r="N179" s="140">
        <f t="shared" si="208"/>
        <v>0.10176977184277003</v>
      </c>
      <c r="O179" s="140">
        <f t="shared" si="208"/>
        <v>9.7169344194429602E-2</v>
      </c>
      <c r="P179" s="140">
        <f t="shared" si="208"/>
        <v>0.10233155413459669</v>
      </c>
      <c r="Q179" s="140">
        <f t="shared" si="208"/>
        <v>0.10949781949883618</v>
      </c>
      <c r="R179" s="140">
        <f t="shared" si="208"/>
        <v>8.6957896483101371E-2</v>
      </c>
      <c r="S179" s="140">
        <f t="shared" si="208"/>
        <v>9.6827677390035463E-2</v>
      </c>
      <c r="T179" s="140">
        <f t="shared" si="208"/>
        <v>9.5519133827674213E-2</v>
      </c>
      <c r="U179" s="140">
        <f t="shared" si="208"/>
        <v>0.10391731431840269</v>
      </c>
      <c r="V179" s="140">
        <f t="shared" si="208"/>
        <v>8.6832393718929396E-2</v>
      </c>
      <c r="W179" s="140">
        <f t="shared" si="208"/>
        <v>8.3744356989401872E-2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1.6354218664101635E-2</v>
      </c>
      <c r="C180" s="127">
        <f t="shared" ref="C180:W180" si="209">IF(C88=0,0,C88/C$77)</f>
        <v>1.3462658916907819E-2</v>
      </c>
      <c r="D180" s="127">
        <f t="shared" si="209"/>
        <v>1.3592513638582831E-2</v>
      </c>
      <c r="E180" s="127">
        <f t="shared" si="209"/>
        <v>1.6652576134295428E-2</v>
      </c>
      <c r="F180" s="127">
        <f t="shared" si="209"/>
        <v>1.7551211518893623E-2</v>
      </c>
      <c r="G180" s="127">
        <f t="shared" si="209"/>
        <v>1.3870999632639784E-2</v>
      </c>
      <c r="H180" s="127">
        <f t="shared" si="209"/>
        <v>1.1032214504195652E-2</v>
      </c>
      <c r="I180" s="127">
        <f t="shared" si="209"/>
        <v>1.5482068496177392E-2</v>
      </c>
      <c r="J180" s="127">
        <f t="shared" si="209"/>
        <v>8.8859052771403067E-3</v>
      </c>
      <c r="K180" s="127">
        <f t="shared" si="209"/>
        <v>9.7420527693906599E-3</v>
      </c>
      <c r="L180" s="127">
        <f t="shared" si="209"/>
        <v>6.1259953723526777E-3</v>
      </c>
      <c r="M180" s="127">
        <f t="shared" si="209"/>
        <v>6.5675249575000488E-3</v>
      </c>
      <c r="N180" s="127">
        <f t="shared" si="209"/>
        <v>1.3150423698462569E-2</v>
      </c>
      <c r="O180" s="127">
        <f t="shared" si="209"/>
        <v>1.7285855500322467E-2</v>
      </c>
      <c r="P180" s="127">
        <f t="shared" si="209"/>
        <v>1.5287064584132537E-2</v>
      </c>
      <c r="Q180" s="127">
        <f t="shared" si="209"/>
        <v>1.3660068389226994E-2</v>
      </c>
      <c r="R180" s="127">
        <f t="shared" si="209"/>
        <v>7.7157862900229281E-3</v>
      </c>
      <c r="S180" s="127">
        <f t="shared" si="209"/>
        <v>9.040861946742541E-3</v>
      </c>
      <c r="T180" s="127">
        <f t="shared" si="209"/>
        <v>7.1817386529425715E-3</v>
      </c>
      <c r="U180" s="127">
        <f t="shared" si="209"/>
        <v>4.9627376467564314E-3</v>
      </c>
      <c r="V180" s="127">
        <f t="shared" si="209"/>
        <v>8.5573144294630466E-3</v>
      </c>
      <c r="W180" s="127">
        <f t="shared" si="209"/>
        <v>1.4719252021982616E-2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0.51567951034366044</v>
      </c>
      <c r="C182" s="140">
        <f t="shared" ref="C182:W182" si="211">IF(C90=0,0,C90/C$89)</f>
        <v>0.49182615194612234</v>
      </c>
      <c r="D182" s="140">
        <f t="shared" si="211"/>
        <v>0.48436953650570153</v>
      </c>
      <c r="E182" s="140">
        <f t="shared" si="211"/>
        <v>0.47231181595645777</v>
      </c>
      <c r="F182" s="140">
        <f t="shared" si="211"/>
        <v>0.47607445049608504</v>
      </c>
      <c r="G182" s="140">
        <f t="shared" si="211"/>
        <v>0.4805509308532917</v>
      </c>
      <c r="H182" s="140">
        <f t="shared" si="211"/>
        <v>0.49038322834920761</v>
      </c>
      <c r="I182" s="140">
        <f t="shared" si="211"/>
        <v>0.4872370065931933</v>
      </c>
      <c r="J182" s="140">
        <f t="shared" si="211"/>
        <v>0.48408844668494228</v>
      </c>
      <c r="K182" s="140">
        <f t="shared" si="211"/>
        <v>0.46267007498598051</v>
      </c>
      <c r="L182" s="140">
        <f t="shared" si="211"/>
        <v>0.47563966564870225</v>
      </c>
      <c r="M182" s="140">
        <f t="shared" si="211"/>
        <v>0.46357370984718105</v>
      </c>
      <c r="N182" s="140">
        <f t="shared" si="211"/>
        <v>0.4704687911627779</v>
      </c>
      <c r="O182" s="140">
        <f t="shared" si="211"/>
        <v>0.46478059479979034</v>
      </c>
      <c r="P182" s="140">
        <f t="shared" si="211"/>
        <v>0.45706241705901351</v>
      </c>
      <c r="Q182" s="140">
        <f t="shared" si="211"/>
        <v>0.48675988221482014</v>
      </c>
      <c r="R182" s="140">
        <f t="shared" si="211"/>
        <v>0.47595177116274984</v>
      </c>
      <c r="S182" s="140">
        <f t="shared" si="211"/>
        <v>0.48182073254212227</v>
      </c>
      <c r="T182" s="140">
        <f t="shared" si="211"/>
        <v>0.47768953851453944</v>
      </c>
      <c r="U182" s="140">
        <f t="shared" si="211"/>
        <v>0.47031320780788827</v>
      </c>
      <c r="V182" s="140">
        <f t="shared" si="211"/>
        <v>0.43980042481449277</v>
      </c>
      <c r="W182" s="140">
        <f t="shared" si="211"/>
        <v>0.43956681093505523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0.48432048965633961</v>
      </c>
      <c r="C183" s="127">
        <f t="shared" ref="C183:W183" si="212">IF(C91=0,0,C91/C$89)</f>
        <v>0.50817384805387766</v>
      </c>
      <c r="D183" s="127">
        <f t="shared" si="212"/>
        <v>0.51563046349429853</v>
      </c>
      <c r="E183" s="127">
        <f t="shared" si="212"/>
        <v>0.52768818404354212</v>
      </c>
      <c r="F183" s="127">
        <f t="shared" si="212"/>
        <v>0.5239255495039149</v>
      </c>
      <c r="G183" s="127">
        <f t="shared" si="212"/>
        <v>0.5194490691467083</v>
      </c>
      <c r="H183" s="127">
        <f t="shared" si="212"/>
        <v>0.50961677165079244</v>
      </c>
      <c r="I183" s="127">
        <f t="shared" si="212"/>
        <v>0.51276299340680664</v>
      </c>
      <c r="J183" s="127">
        <f t="shared" si="212"/>
        <v>0.51591155331505778</v>
      </c>
      <c r="K183" s="127">
        <f t="shared" si="212"/>
        <v>0.53732992501401955</v>
      </c>
      <c r="L183" s="127">
        <f t="shared" si="212"/>
        <v>0.5243603343512977</v>
      </c>
      <c r="M183" s="127">
        <f t="shared" si="212"/>
        <v>0.53642629015281884</v>
      </c>
      <c r="N183" s="127">
        <f t="shared" si="212"/>
        <v>0.52953120883722216</v>
      </c>
      <c r="O183" s="127">
        <f t="shared" si="212"/>
        <v>0.53521940520020972</v>
      </c>
      <c r="P183" s="127">
        <f t="shared" si="212"/>
        <v>0.5429375829409866</v>
      </c>
      <c r="Q183" s="127">
        <f t="shared" si="212"/>
        <v>0.51324011778517986</v>
      </c>
      <c r="R183" s="127">
        <f t="shared" si="212"/>
        <v>0.52404822883725022</v>
      </c>
      <c r="S183" s="127">
        <f t="shared" si="212"/>
        <v>0.51817926745787757</v>
      </c>
      <c r="T183" s="127">
        <f t="shared" si="212"/>
        <v>0.52231046148546056</v>
      </c>
      <c r="U183" s="127">
        <f t="shared" si="212"/>
        <v>0.52968679219211179</v>
      </c>
      <c r="V183" s="127">
        <f t="shared" si="212"/>
        <v>0.56019957518550723</v>
      </c>
      <c r="W183" s="127">
        <f t="shared" si="212"/>
        <v>0.56043318906494477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36.107904361282564</v>
      </c>
      <c r="C186" s="32">
        <f t="shared" si="213"/>
        <v>36.002093194921592</v>
      </c>
      <c r="D186" s="32">
        <f t="shared" si="213"/>
        <v>35.975403003487322</v>
      </c>
      <c r="E186" s="32">
        <f t="shared" si="213"/>
        <v>36.215747152203122</v>
      </c>
      <c r="F186" s="32">
        <f t="shared" si="213"/>
        <v>36.429588869702314</v>
      </c>
      <c r="G186" s="32">
        <f t="shared" si="213"/>
        <v>35.749034064611514</v>
      </c>
      <c r="H186" s="32">
        <f t="shared" si="213"/>
        <v>36.111515150761612</v>
      </c>
      <c r="I186" s="32">
        <f t="shared" si="213"/>
        <v>36.286403284042017</v>
      </c>
      <c r="J186" s="32">
        <f t="shared" si="213"/>
        <v>35.823514133895621</v>
      </c>
      <c r="K186" s="32">
        <f t="shared" si="213"/>
        <v>35.194417405461181</v>
      </c>
      <c r="L186" s="32">
        <f t="shared" si="213"/>
        <v>35.457088863997001</v>
      </c>
      <c r="M186" s="32">
        <f t="shared" si="213"/>
        <v>35.823588114167897</v>
      </c>
      <c r="N186" s="32">
        <f t="shared" si="213"/>
        <v>35.082102885135981</v>
      </c>
      <c r="O186" s="32">
        <f t="shared" si="213"/>
        <v>35.20824060726914</v>
      </c>
      <c r="P186" s="32">
        <f t="shared" si="213"/>
        <v>34.555697210702753</v>
      </c>
      <c r="Q186" s="32">
        <f t="shared" si="213"/>
        <v>34.738078636530361</v>
      </c>
      <c r="R186" s="32">
        <f t="shared" si="213"/>
        <v>37.500217448344593</v>
      </c>
      <c r="S186" s="32">
        <f t="shared" si="213"/>
        <v>33.387322019301983</v>
      </c>
      <c r="T186" s="32">
        <f t="shared" si="213"/>
        <v>33.553089875314001</v>
      </c>
      <c r="U186" s="32">
        <f t="shared" si="213"/>
        <v>32.868303993336269</v>
      </c>
      <c r="V186" s="32">
        <f t="shared" si="213"/>
        <v>34.749183496438079</v>
      </c>
      <c r="W186" s="32">
        <f t="shared" ref="W186" si="214">IF(W34=0,0,W34/W4*1000)</f>
        <v>36.571243056851749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36.316140773234117</v>
      </c>
      <c r="C187" s="141">
        <f t="shared" si="215"/>
        <v>36.003071799222333</v>
      </c>
      <c r="D187" s="141">
        <f t="shared" si="215"/>
        <v>36.163389118579978</v>
      </c>
      <c r="E187" s="141">
        <f t="shared" si="215"/>
        <v>36.209848647351095</v>
      </c>
      <c r="F187" s="141">
        <f t="shared" si="215"/>
        <v>36.415578635900971</v>
      </c>
      <c r="G187" s="141">
        <f t="shared" si="215"/>
        <v>36.185917178354245</v>
      </c>
      <c r="H187" s="141">
        <f t="shared" si="215"/>
        <v>36.709609700713472</v>
      </c>
      <c r="I187" s="141">
        <f t="shared" si="215"/>
        <v>37.225458692117506</v>
      </c>
      <c r="J187" s="141">
        <f t="shared" si="215"/>
        <v>36.458920401519876</v>
      </c>
      <c r="K187" s="141">
        <f t="shared" si="215"/>
        <v>36.211928188568614</v>
      </c>
      <c r="L187" s="141">
        <f t="shared" si="215"/>
        <v>36.618374768773315</v>
      </c>
      <c r="M187" s="141">
        <f t="shared" si="215"/>
        <v>36.749803418243019</v>
      </c>
      <c r="N187" s="141">
        <f t="shared" si="215"/>
        <v>36.758831997297946</v>
      </c>
      <c r="O187" s="141">
        <f t="shared" si="215"/>
        <v>36.991265584586408</v>
      </c>
      <c r="P187" s="141">
        <f t="shared" si="215"/>
        <v>36.4998076950247</v>
      </c>
      <c r="Q187" s="141">
        <f t="shared" si="215"/>
        <v>36.60874697197179</v>
      </c>
      <c r="R187" s="141">
        <f t="shared" si="215"/>
        <v>41.065440262407328</v>
      </c>
      <c r="S187" s="141">
        <f t="shared" si="215"/>
        <v>36.141717462274308</v>
      </c>
      <c r="T187" s="141">
        <f t="shared" si="215"/>
        <v>36.355342914273358</v>
      </c>
      <c r="U187" s="141">
        <f t="shared" si="215"/>
        <v>35.714910097863076</v>
      </c>
      <c r="V187" s="141">
        <f t="shared" si="215"/>
        <v>34.974072341654185</v>
      </c>
      <c r="W187" s="141">
        <f t="shared" ref="W187" si="216">IF(W35=0,0,W35/W5*1000)</f>
        <v>36.039707889961562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43.674373576036984</v>
      </c>
      <c r="C188" s="97">
        <f t="shared" si="217"/>
        <v>43.107494169485335</v>
      </c>
      <c r="D188" s="97">
        <f t="shared" si="217"/>
        <v>42.49395424980208</v>
      </c>
      <c r="E188" s="97">
        <f t="shared" si="217"/>
        <v>41.827157169601058</v>
      </c>
      <c r="F188" s="97">
        <f t="shared" si="217"/>
        <v>41.283169587162718</v>
      </c>
      <c r="G188" s="97">
        <f t="shared" si="217"/>
        <v>40.805356687192578</v>
      </c>
      <c r="H188" s="97">
        <f t="shared" si="217"/>
        <v>40.348143021841189</v>
      </c>
      <c r="I188" s="97">
        <f t="shared" si="217"/>
        <v>40.033629623583757</v>
      </c>
      <c r="J188" s="97">
        <f t="shared" si="217"/>
        <v>39.399194624695831</v>
      </c>
      <c r="K188" s="97">
        <f t="shared" si="217"/>
        <v>38.831703388579633</v>
      </c>
      <c r="L188" s="97">
        <f t="shared" si="217"/>
        <v>38.264319193695478</v>
      </c>
      <c r="M188" s="97">
        <f t="shared" si="217"/>
        <v>37.69587786071655</v>
      </c>
      <c r="N188" s="97">
        <f t="shared" si="217"/>
        <v>37.382647288248229</v>
      </c>
      <c r="O188" s="97">
        <f t="shared" si="217"/>
        <v>37.066606003684939</v>
      </c>
      <c r="P188" s="97">
        <f t="shared" si="217"/>
        <v>36.565624309312717</v>
      </c>
      <c r="Q188" s="97">
        <f t="shared" si="217"/>
        <v>36.209829295292955</v>
      </c>
      <c r="R188" s="97">
        <f t="shared" si="217"/>
        <v>35.805411604597197</v>
      </c>
      <c r="S188" s="97">
        <f t="shared" si="217"/>
        <v>35.567271293617509</v>
      </c>
      <c r="T188" s="97">
        <f t="shared" si="217"/>
        <v>35.337812638658107</v>
      </c>
      <c r="U188" s="97">
        <f t="shared" si="217"/>
        <v>35.046717021817607</v>
      </c>
      <c r="V188" s="97">
        <f t="shared" si="217"/>
        <v>34.823213234280487</v>
      </c>
      <c r="W188" s="97">
        <f t="shared" ref="W188" si="218">IF(W36=0,0,W36/W6*1000)</f>
        <v>33.536817629686531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37.311668478569466</v>
      </c>
      <c r="C189" s="97">
        <f t="shared" si="219"/>
        <v>37.016076582764718</v>
      </c>
      <c r="D189" s="97">
        <f t="shared" si="219"/>
        <v>37.150659415073747</v>
      </c>
      <c r="E189" s="97">
        <f t="shared" si="219"/>
        <v>37.07408760417993</v>
      </c>
      <c r="F189" s="97">
        <f t="shared" si="219"/>
        <v>37.121582048470906</v>
      </c>
      <c r="G189" s="97">
        <f t="shared" si="219"/>
        <v>36.866677522267089</v>
      </c>
      <c r="H189" s="97">
        <f t="shared" si="219"/>
        <v>37.329577252026738</v>
      </c>
      <c r="I189" s="97">
        <f t="shared" si="219"/>
        <v>37.765509155079243</v>
      </c>
      <c r="J189" s="97">
        <f t="shared" si="219"/>
        <v>36.892872702753749</v>
      </c>
      <c r="K189" s="97">
        <f t="shared" si="219"/>
        <v>36.469407519291956</v>
      </c>
      <c r="L189" s="97">
        <f t="shared" si="219"/>
        <v>36.747198303450276</v>
      </c>
      <c r="M189" s="97">
        <f t="shared" si="219"/>
        <v>36.808593540829719</v>
      </c>
      <c r="N189" s="97">
        <f t="shared" si="219"/>
        <v>36.64731187703147</v>
      </c>
      <c r="O189" s="97">
        <f t="shared" si="219"/>
        <v>36.77836910613582</v>
      </c>
      <c r="P189" s="97">
        <f t="shared" si="219"/>
        <v>36.089252037303048</v>
      </c>
      <c r="Q189" s="97">
        <f t="shared" si="219"/>
        <v>36.044607725494416</v>
      </c>
      <c r="R189" s="97">
        <f t="shared" si="219"/>
        <v>41.20968175816725</v>
      </c>
      <c r="S189" s="97">
        <f t="shared" si="219"/>
        <v>35.553516950112375</v>
      </c>
      <c r="T189" s="97">
        <f t="shared" si="219"/>
        <v>35.706252855407264</v>
      </c>
      <c r="U189" s="97">
        <f t="shared" si="219"/>
        <v>35.070902653551386</v>
      </c>
      <c r="V189" s="97">
        <f t="shared" si="219"/>
        <v>34.258780965596557</v>
      </c>
      <c r="W189" s="97">
        <f t="shared" ref="W189" si="220">IF(W37=0,0,W37/W7*1000)</f>
        <v>35.38778699303554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28.250972963557022</v>
      </c>
      <c r="C190" s="97">
        <f t="shared" si="221"/>
        <v>27.670261882677885</v>
      </c>
      <c r="D190" s="97">
        <f t="shared" si="221"/>
        <v>27.945366596049674</v>
      </c>
      <c r="E190" s="97">
        <f t="shared" si="221"/>
        <v>28.833254337581149</v>
      </c>
      <c r="F190" s="97">
        <f t="shared" si="221"/>
        <v>30.179534734786735</v>
      </c>
      <c r="G190" s="97">
        <f t="shared" si="221"/>
        <v>30.04281658398666</v>
      </c>
      <c r="H190" s="97">
        <f t="shared" si="221"/>
        <v>31.138261472561375</v>
      </c>
      <c r="I190" s="97">
        <f t="shared" si="221"/>
        <v>32.319789914387464</v>
      </c>
      <c r="J190" s="97">
        <f t="shared" si="221"/>
        <v>32.456909197491491</v>
      </c>
      <c r="K190" s="97">
        <f t="shared" si="221"/>
        <v>33.700370897744016</v>
      </c>
      <c r="L190" s="97">
        <f t="shared" si="221"/>
        <v>35.248938660485088</v>
      </c>
      <c r="M190" s="97">
        <f t="shared" si="221"/>
        <v>36.08799297453119</v>
      </c>
      <c r="N190" s="97">
        <f t="shared" si="221"/>
        <v>37.625138100120864</v>
      </c>
      <c r="O190" s="97">
        <f t="shared" si="221"/>
        <v>38.817868544642828</v>
      </c>
      <c r="P190" s="97">
        <f t="shared" si="221"/>
        <v>40.056925193098998</v>
      </c>
      <c r="Q190" s="97">
        <f t="shared" si="221"/>
        <v>41.632474032187844</v>
      </c>
      <c r="R190" s="97">
        <f t="shared" si="221"/>
        <v>40.855301841991043</v>
      </c>
      <c r="S190" s="97">
        <f t="shared" si="221"/>
        <v>40.981052266887524</v>
      </c>
      <c r="T190" s="97">
        <f t="shared" si="221"/>
        <v>41.916272468807193</v>
      </c>
      <c r="U190" s="97">
        <f t="shared" si="221"/>
        <v>41.260022568232834</v>
      </c>
      <c r="V190" s="97">
        <f t="shared" si="221"/>
        <v>41.740112129147377</v>
      </c>
      <c r="W190" s="97">
        <f t="shared" ref="W190" si="222">IF(W38=0,0,W38/W8*1000)</f>
        <v>43.405630593802165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10.489767361757021</v>
      </c>
      <c r="C191" s="130">
        <f t="shared" si="223"/>
        <v>10.953898750988115</v>
      </c>
      <c r="D191" s="130">
        <f t="shared" si="223"/>
        <v>11.394660069997386</v>
      </c>
      <c r="E191" s="130">
        <f t="shared" si="223"/>
        <v>12.141957913987483</v>
      </c>
      <c r="F191" s="130">
        <f t="shared" si="223"/>
        <v>11.870696424620931</v>
      </c>
      <c r="G191" s="130">
        <f t="shared" si="223"/>
        <v>11.622057097957331</v>
      </c>
      <c r="H191" s="130">
        <f t="shared" si="223"/>
        <v>11.493029874696822</v>
      </c>
      <c r="I191" s="130">
        <f t="shared" si="223"/>
        <v>11.165836152864831</v>
      </c>
      <c r="J191" s="130">
        <f t="shared" si="223"/>
        <v>10.777568794292097</v>
      </c>
      <c r="K191" s="130">
        <f t="shared" si="223"/>
        <v>11.545986250528307</v>
      </c>
      <c r="L191" s="130">
        <f t="shared" si="223"/>
        <v>11.635017906064412</v>
      </c>
      <c r="M191" s="130">
        <f t="shared" si="223"/>
        <v>12.072358970676618</v>
      </c>
      <c r="N191" s="130">
        <f t="shared" si="223"/>
        <v>11.672974534485576</v>
      </c>
      <c r="O191" s="130">
        <f t="shared" si="223"/>
        <v>11.479430646764644</v>
      </c>
      <c r="P191" s="130">
        <f t="shared" si="223"/>
        <v>11.523297529547238</v>
      </c>
      <c r="Q191" s="130">
        <f t="shared" si="223"/>
        <v>11.304481233527785</v>
      </c>
      <c r="R191" s="130">
        <f t="shared" si="223"/>
        <v>11.159776190946875</v>
      </c>
      <c r="S191" s="130">
        <f t="shared" si="223"/>
        <v>10.681473935214235</v>
      </c>
      <c r="T191" s="130">
        <f t="shared" si="223"/>
        <v>10.379097436488712</v>
      </c>
      <c r="U191" s="130">
        <f t="shared" si="223"/>
        <v>9.8164456256439845</v>
      </c>
      <c r="V191" s="130">
        <f t="shared" si="223"/>
        <v>12.901299273313571</v>
      </c>
      <c r="W191" s="130">
        <f t="shared" ref="W191" si="224">IF(W39=0,0,W39/W9*1000)</f>
        <v>13.105859236668623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5.5195841876341278</v>
      </c>
      <c r="C192" s="97">
        <f t="shared" si="225"/>
        <v>5.5786729282870908</v>
      </c>
      <c r="D192" s="97">
        <f t="shared" si="225"/>
        <v>5.6036013529413875</v>
      </c>
      <c r="E192" s="97">
        <f t="shared" si="225"/>
        <v>5.5812511769135664</v>
      </c>
      <c r="F192" s="97">
        <f t="shared" si="225"/>
        <v>5.5326214531394333</v>
      </c>
      <c r="G192" s="97">
        <f t="shared" si="225"/>
        <v>5.4391558086348528</v>
      </c>
      <c r="H192" s="97">
        <f t="shared" si="225"/>
        <v>5.415643624297636</v>
      </c>
      <c r="I192" s="97">
        <f t="shared" si="225"/>
        <v>5.3674313273014294</v>
      </c>
      <c r="J192" s="97">
        <f t="shared" si="225"/>
        <v>5.2495809352628502</v>
      </c>
      <c r="K192" s="97">
        <f t="shared" si="225"/>
        <v>5.2770998046508266</v>
      </c>
      <c r="L192" s="97">
        <f t="shared" si="225"/>
        <v>5.2184267766130867</v>
      </c>
      <c r="M192" s="97">
        <f t="shared" si="225"/>
        <v>5.2447559796530232</v>
      </c>
      <c r="N192" s="97">
        <f t="shared" si="225"/>
        <v>5.1880850344892417</v>
      </c>
      <c r="O192" s="97">
        <f t="shared" si="225"/>
        <v>5.1563099846797904</v>
      </c>
      <c r="P192" s="97">
        <f t="shared" si="225"/>
        <v>5.146921440316051</v>
      </c>
      <c r="Q192" s="97">
        <f t="shared" si="225"/>
        <v>4.960769722787953</v>
      </c>
      <c r="R192" s="97">
        <f t="shared" si="225"/>
        <v>4.8670767892773048</v>
      </c>
      <c r="S192" s="97">
        <f t="shared" si="225"/>
        <v>4.6985190752258061</v>
      </c>
      <c r="T192" s="97">
        <f t="shared" si="225"/>
        <v>4.620783404909675</v>
      </c>
      <c r="U192" s="97">
        <f t="shared" si="225"/>
        <v>4.5487743788068764</v>
      </c>
      <c r="V192" s="97">
        <f t="shared" si="225"/>
        <v>5.1884690070852031</v>
      </c>
      <c r="W192" s="97">
        <f t="shared" ref="W192" si="226">IF(W40=0,0,W40/W10*1000)</f>
        <v>5.7326054156417907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11.133926540833045</v>
      </c>
      <c r="C193" s="97">
        <f t="shared" si="227"/>
        <v>11.724058081132462</v>
      </c>
      <c r="D193" s="97">
        <f t="shared" si="227"/>
        <v>12.197056622303112</v>
      </c>
      <c r="E193" s="97">
        <f t="shared" si="227"/>
        <v>13.088664833812693</v>
      </c>
      <c r="F193" s="97">
        <f t="shared" si="227"/>
        <v>12.802673659139208</v>
      </c>
      <c r="G193" s="97">
        <f t="shared" si="227"/>
        <v>12.437599946116453</v>
      </c>
      <c r="H193" s="97">
        <f t="shared" si="227"/>
        <v>12.25224690304527</v>
      </c>
      <c r="I193" s="97">
        <f t="shared" si="227"/>
        <v>11.739320231155999</v>
      </c>
      <c r="J193" s="97">
        <f t="shared" si="227"/>
        <v>11.173538596254048</v>
      </c>
      <c r="K193" s="97">
        <f t="shared" si="227"/>
        <v>12.246081235460938</v>
      </c>
      <c r="L193" s="97">
        <f t="shared" si="227"/>
        <v>12.384976354444083</v>
      </c>
      <c r="M193" s="97">
        <f t="shared" si="227"/>
        <v>12.890607868732376</v>
      </c>
      <c r="N193" s="97">
        <f t="shared" si="227"/>
        <v>12.488199913704053</v>
      </c>
      <c r="O193" s="97">
        <f t="shared" si="227"/>
        <v>12.411462519026621</v>
      </c>
      <c r="P193" s="97">
        <f t="shared" si="227"/>
        <v>12.228519790686036</v>
      </c>
      <c r="Q193" s="97">
        <f t="shared" si="227"/>
        <v>11.801778508024304</v>
      </c>
      <c r="R193" s="97">
        <f t="shared" si="227"/>
        <v>11.776820276565145</v>
      </c>
      <c r="S193" s="97">
        <f t="shared" si="227"/>
        <v>10.972460992750474</v>
      </c>
      <c r="T193" s="97">
        <f t="shared" si="227"/>
        <v>10.931796462786702</v>
      </c>
      <c r="U193" s="97">
        <f t="shared" si="227"/>
        <v>10.071109521569094</v>
      </c>
      <c r="V193" s="97">
        <f t="shared" si="227"/>
        <v>13.494239484625744</v>
      </c>
      <c r="W193" s="97">
        <f t="shared" ref="W193" si="228">IF(W41=0,0,W41/W11*1000)</f>
        <v>13.192826820505124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15.032786157526274</v>
      </c>
      <c r="C194" s="97">
        <f t="shared" si="229"/>
        <v>14.801991891152277</v>
      </c>
      <c r="D194" s="97">
        <f t="shared" si="229"/>
        <v>14.674990885459282</v>
      </c>
      <c r="E194" s="97">
        <f t="shared" si="229"/>
        <v>14.421411985798516</v>
      </c>
      <c r="F194" s="97">
        <f t="shared" si="229"/>
        <v>13.980608967655003</v>
      </c>
      <c r="G194" s="97">
        <f t="shared" si="229"/>
        <v>13.77441040362833</v>
      </c>
      <c r="H194" s="97">
        <f t="shared" si="229"/>
        <v>13.394596592368648</v>
      </c>
      <c r="I194" s="97">
        <f t="shared" si="229"/>
        <v>13.202333440654163</v>
      </c>
      <c r="J194" s="97">
        <f t="shared" si="229"/>
        <v>13.322123650038188</v>
      </c>
      <c r="K194" s="97">
        <f t="shared" si="229"/>
        <v>13.275020685142957</v>
      </c>
      <c r="L194" s="97">
        <f t="shared" si="229"/>
        <v>13.048121978828243</v>
      </c>
      <c r="M194" s="97">
        <f t="shared" si="229"/>
        <v>13.369836808259455</v>
      </c>
      <c r="N194" s="97">
        <f t="shared" si="229"/>
        <v>12.659976003889815</v>
      </c>
      <c r="O194" s="97">
        <f t="shared" si="229"/>
        <v>11.806592201083092</v>
      </c>
      <c r="P194" s="97">
        <f t="shared" si="229"/>
        <v>13.062860518032405</v>
      </c>
      <c r="Q194" s="97">
        <f t="shared" si="229"/>
        <v>13.949557287025874</v>
      </c>
      <c r="R194" s="97">
        <f t="shared" si="229"/>
        <v>13.295063406559013</v>
      </c>
      <c r="S194" s="97">
        <f t="shared" si="229"/>
        <v>14.061302639756617</v>
      </c>
      <c r="T194" s="97">
        <f t="shared" si="229"/>
        <v>12.521231370769961</v>
      </c>
      <c r="U194" s="97">
        <f t="shared" si="229"/>
        <v>12.753403961392292</v>
      </c>
      <c r="V194" s="97">
        <f t="shared" si="229"/>
        <v>21.67895978174818</v>
      </c>
      <c r="W194" s="97">
        <f t="shared" ref="W194" si="230">IF(W42=0,0,W42/W12*1000)</f>
        <v>23.197836669212879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44.469881395486077</v>
      </c>
      <c r="C195" s="130">
        <f t="shared" si="231"/>
        <v>45.109020348968194</v>
      </c>
      <c r="D195" s="130">
        <f t="shared" si="231"/>
        <v>43.959342772832301</v>
      </c>
      <c r="E195" s="130">
        <f t="shared" si="231"/>
        <v>45.44694360420155</v>
      </c>
      <c r="F195" s="130">
        <f t="shared" si="231"/>
        <v>44.810570148484601</v>
      </c>
      <c r="G195" s="130">
        <f t="shared" si="231"/>
        <v>41.050035836782776</v>
      </c>
      <c r="H195" s="130">
        <f t="shared" si="231"/>
        <v>40.324397281742939</v>
      </c>
      <c r="I195" s="130">
        <f t="shared" si="231"/>
        <v>38.817704227627416</v>
      </c>
      <c r="J195" s="130">
        <f t="shared" si="231"/>
        <v>40.02163034614032</v>
      </c>
      <c r="K195" s="130">
        <f t="shared" si="231"/>
        <v>37.120433232699838</v>
      </c>
      <c r="L195" s="130">
        <f t="shared" si="231"/>
        <v>36.764388004690375</v>
      </c>
      <c r="M195" s="130">
        <f t="shared" si="231"/>
        <v>37.706776008452067</v>
      </c>
      <c r="N195" s="130">
        <f t="shared" si="231"/>
        <v>34.206735887791282</v>
      </c>
      <c r="O195" s="130">
        <f t="shared" si="231"/>
        <v>34.062849511480792</v>
      </c>
      <c r="P195" s="130">
        <f t="shared" si="231"/>
        <v>32.4797792483092</v>
      </c>
      <c r="Q195" s="130">
        <f t="shared" si="231"/>
        <v>33.200640501201718</v>
      </c>
      <c r="R195" s="130">
        <f t="shared" si="231"/>
        <v>31.907767236413019</v>
      </c>
      <c r="S195" s="130">
        <f t="shared" si="231"/>
        <v>29.381991542340135</v>
      </c>
      <c r="T195" s="130">
        <f t="shared" si="231"/>
        <v>30.213163974641763</v>
      </c>
      <c r="U195" s="130">
        <f t="shared" si="231"/>
        <v>29.924807272369993</v>
      </c>
      <c r="V195" s="130">
        <f t="shared" si="231"/>
        <v>42.955332229118895</v>
      </c>
      <c r="W195" s="130">
        <f t="shared" ref="W195" si="232">IF(W43=0,0,W43/W13*1000)</f>
        <v>61.040181324165459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77.488461876865614</v>
      </c>
      <c r="C196" s="97">
        <f t="shared" si="233"/>
        <v>77.720012326408636</v>
      </c>
      <c r="D196" s="97">
        <f t="shared" si="233"/>
        <v>67.599768153477797</v>
      </c>
      <c r="E196" s="97">
        <f t="shared" si="233"/>
        <v>78.30289983338902</v>
      </c>
      <c r="F196" s="97">
        <f t="shared" si="233"/>
        <v>75.456484478103292</v>
      </c>
      <c r="G196" s="97">
        <f t="shared" si="233"/>
        <v>72.432097670723735</v>
      </c>
      <c r="H196" s="97">
        <f t="shared" si="233"/>
        <v>70.474312848883713</v>
      </c>
      <c r="I196" s="97">
        <f t="shared" si="233"/>
        <v>62.835721335254242</v>
      </c>
      <c r="J196" s="97">
        <f t="shared" si="233"/>
        <v>65.580343089479825</v>
      </c>
      <c r="K196" s="97">
        <f t="shared" si="233"/>
        <v>65.29807040810914</v>
      </c>
      <c r="L196" s="97">
        <f t="shared" si="233"/>
        <v>65.574517381777511</v>
      </c>
      <c r="M196" s="97">
        <f t="shared" si="233"/>
        <v>61.878995387885261</v>
      </c>
      <c r="N196" s="97">
        <f t="shared" si="233"/>
        <v>51.67201264000569</v>
      </c>
      <c r="O196" s="97">
        <f t="shared" si="233"/>
        <v>49.197423543167631</v>
      </c>
      <c r="P196" s="97">
        <f t="shared" si="233"/>
        <v>47.267519569141285</v>
      </c>
      <c r="Q196" s="97">
        <f t="shared" si="233"/>
        <v>45.39106943583446</v>
      </c>
      <c r="R196" s="97">
        <f t="shared" si="233"/>
        <v>43.844225363476291</v>
      </c>
      <c r="S196" s="97">
        <f t="shared" si="233"/>
        <v>42.336947315221536</v>
      </c>
      <c r="T196" s="97">
        <f t="shared" si="233"/>
        <v>41.525629951173315</v>
      </c>
      <c r="U196" s="97">
        <f t="shared" si="233"/>
        <v>39.587780550075664</v>
      </c>
      <c r="V196" s="97">
        <f t="shared" si="233"/>
        <v>45.423444499430865</v>
      </c>
      <c r="W196" s="97">
        <f t="shared" ref="W196" si="234">IF(W44=0,0,W44/W14*1000)</f>
        <v>46.080156675608748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37.744820538785319</v>
      </c>
      <c r="C197" s="97">
        <f t="shared" si="235"/>
        <v>38.273943738201901</v>
      </c>
      <c r="D197" s="97">
        <f t="shared" si="235"/>
        <v>37.815834075154761</v>
      </c>
      <c r="E197" s="97">
        <f t="shared" si="235"/>
        <v>38.970796203559743</v>
      </c>
      <c r="F197" s="97">
        <f t="shared" si="235"/>
        <v>40.1374963254992</v>
      </c>
      <c r="G197" s="97">
        <f t="shared" si="235"/>
        <v>37.912259808227205</v>
      </c>
      <c r="H197" s="97">
        <f t="shared" si="235"/>
        <v>39.727783854623816</v>
      </c>
      <c r="I197" s="97">
        <f t="shared" si="235"/>
        <v>44.239479766529371</v>
      </c>
      <c r="J197" s="97">
        <f t="shared" si="235"/>
        <v>49.633781165922692</v>
      </c>
      <c r="K197" s="97">
        <f t="shared" si="235"/>
        <v>45.066427811055256</v>
      </c>
      <c r="L197" s="97">
        <f t="shared" si="235"/>
        <v>46.712923449335804</v>
      </c>
      <c r="M197" s="97">
        <f t="shared" si="235"/>
        <v>48.71346224406728</v>
      </c>
      <c r="N197" s="97">
        <f t="shared" si="235"/>
        <v>45.993337773727376</v>
      </c>
      <c r="O197" s="97">
        <f t="shared" si="235"/>
        <v>44.924839429512602</v>
      </c>
      <c r="P197" s="97">
        <f t="shared" si="235"/>
        <v>40.138250865506244</v>
      </c>
      <c r="Q197" s="97">
        <f t="shared" si="235"/>
        <v>42.419440876141053</v>
      </c>
      <c r="R197" s="97">
        <f t="shared" si="235"/>
        <v>41.712172078014284</v>
      </c>
      <c r="S197" s="97">
        <f t="shared" si="235"/>
        <v>39.641284491843464</v>
      </c>
      <c r="T197" s="97">
        <f t="shared" si="235"/>
        <v>41.792449343018177</v>
      </c>
      <c r="U197" s="97">
        <f t="shared" si="235"/>
        <v>43.173040362058401</v>
      </c>
      <c r="V197" s="97">
        <f t="shared" si="235"/>
        <v>58.895002608224466</v>
      </c>
      <c r="W197" s="97">
        <f t="shared" ref="W197" si="236">IF(W45=0,0,W45/W15*1000)</f>
        <v>67.721610359859952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40.040525036147379</v>
      </c>
      <c r="C198" s="97">
        <f t="shared" si="237"/>
        <v>41.698997740843865</v>
      </c>
      <c r="D198" s="97">
        <f t="shared" si="237"/>
        <v>43.614399917788568</v>
      </c>
      <c r="E198" s="97">
        <f t="shared" si="237"/>
        <v>43.348963576517868</v>
      </c>
      <c r="F198" s="97">
        <f t="shared" si="237"/>
        <v>41.01792772050571</v>
      </c>
      <c r="G198" s="97">
        <f t="shared" si="237"/>
        <v>35.552034851215836</v>
      </c>
      <c r="H198" s="97">
        <f t="shared" si="237"/>
        <v>32.759854794971552</v>
      </c>
      <c r="I198" s="97">
        <f t="shared" si="237"/>
        <v>27.324645209379451</v>
      </c>
      <c r="J198" s="97">
        <f t="shared" si="237"/>
        <v>26.214544379652367</v>
      </c>
      <c r="K198" s="97">
        <f t="shared" si="237"/>
        <v>24.799015530762169</v>
      </c>
      <c r="L198" s="97">
        <f t="shared" si="237"/>
        <v>23.721725507236521</v>
      </c>
      <c r="M198" s="97">
        <f t="shared" si="237"/>
        <v>24.423526954482437</v>
      </c>
      <c r="N198" s="97">
        <f t="shared" si="237"/>
        <v>22.261262375027169</v>
      </c>
      <c r="O198" s="97">
        <f t="shared" si="237"/>
        <v>22.92985545370135</v>
      </c>
      <c r="P198" s="97">
        <f t="shared" si="237"/>
        <v>23.010983387359396</v>
      </c>
      <c r="Q198" s="97">
        <f t="shared" si="237"/>
        <v>22.944604180128415</v>
      </c>
      <c r="R198" s="97">
        <f t="shared" si="237"/>
        <v>21.14133771761885</v>
      </c>
      <c r="S198" s="97">
        <f t="shared" si="237"/>
        <v>18.504107071093998</v>
      </c>
      <c r="T198" s="97">
        <f t="shared" si="237"/>
        <v>18.809019819092317</v>
      </c>
      <c r="U198" s="97">
        <f t="shared" si="237"/>
        <v>18.33348388219747</v>
      </c>
      <c r="V198" s="97">
        <f t="shared" si="237"/>
        <v>30.691406034147651</v>
      </c>
      <c r="W198" s="97">
        <f t="shared" ref="W198" si="238">IF(W46=0,0,W46/W16*1000)</f>
        <v>56.594652662573715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34.968060141753512</v>
      </c>
      <c r="C199" s="32">
        <f t="shared" si="239"/>
        <v>36.56018121391255</v>
      </c>
      <c r="D199" s="32">
        <f t="shared" si="239"/>
        <v>35.864164196204669</v>
      </c>
      <c r="E199" s="32">
        <f t="shared" si="239"/>
        <v>37.011987432775214</v>
      </c>
      <c r="F199" s="32">
        <f t="shared" si="239"/>
        <v>37.517834952179697</v>
      </c>
      <c r="G199" s="32">
        <f t="shared" si="239"/>
        <v>37.255705429226708</v>
      </c>
      <c r="H199" s="32">
        <f t="shared" si="239"/>
        <v>38.266133726930278</v>
      </c>
      <c r="I199" s="32">
        <f t="shared" si="239"/>
        <v>39.145969751929677</v>
      </c>
      <c r="J199" s="32">
        <f t="shared" si="239"/>
        <v>35.638220263841781</v>
      </c>
      <c r="K199" s="32">
        <f t="shared" si="239"/>
        <v>37.036543317870745</v>
      </c>
      <c r="L199" s="32">
        <f t="shared" si="239"/>
        <v>37.740572693479024</v>
      </c>
      <c r="M199" s="32">
        <f t="shared" si="239"/>
        <v>38.491144817176391</v>
      </c>
      <c r="N199" s="32">
        <f t="shared" si="239"/>
        <v>38.36708375895757</v>
      </c>
      <c r="O199" s="32">
        <f t="shared" si="239"/>
        <v>39.967287710715816</v>
      </c>
      <c r="P199" s="32">
        <f t="shared" si="239"/>
        <v>37.98897738970448</v>
      </c>
      <c r="Q199" s="32">
        <f t="shared" si="239"/>
        <v>36.490065556205053</v>
      </c>
      <c r="R199" s="32">
        <f t="shared" si="239"/>
        <v>34.989228233373417</v>
      </c>
      <c r="S199" s="32">
        <f t="shared" si="239"/>
        <v>32.494401135322285</v>
      </c>
      <c r="T199" s="32">
        <f t="shared" si="239"/>
        <v>32.372151217003733</v>
      </c>
      <c r="U199" s="32">
        <f t="shared" si="239"/>
        <v>31.879899140785415</v>
      </c>
      <c r="V199" s="32">
        <f t="shared" si="239"/>
        <v>30.320571699725232</v>
      </c>
      <c r="W199" s="32">
        <f t="shared" ref="W199" si="240">IF(W47=0,0,W47/W17*1000)</f>
        <v>32.558879633968132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40.573764845384666</v>
      </c>
      <c r="C200" s="141">
        <f t="shared" si="241"/>
        <v>43.103852116648824</v>
      </c>
      <c r="D200" s="141">
        <f t="shared" si="241"/>
        <v>41.544296941465909</v>
      </c>
      <c r="E200" s="141">
        <f t="shared" si="241"/>
        <v>43.52407431202586</v>
      </c>
      <c r="F200" s="141">
        <f t="shared" si="241"/>
        <v>44.175498791791128</v>
      </c>
      <c r="G200" s="141">
        <f t="shared" si="241"/>
        <v>43.049602460276979</v>
      </c>
      <c r="H200" s="141">
        <f t="shared" si="241"/>
        <v>46.302721676490989</v>
      </c>
      <c r="I200" s="141">
        <f t="shared" si="241"/>
        <v>46.655124754291087</v>
      </c>
      <c r="J200" s="141">
        <f t="shared" si="241"/>
        <v>42.704909875307862</v>
      </c>
      <c r="K200" s="141">
        <f t="shared" si="241"/>
        <v>43.021793407092453</v>
      </c>
      <c r="L200" s="141">
        <f t="shared" si="241"/>
        <v>44.56136008732738</v>
      </c>
      <c r="M200" s="141">
        <f t="shared" si="241"/>
        <v>46.064204477576979</v>
      </c>
      <c r="N200" s="141">
        <f t="shared" si="241"/>
        <v>46.130342758120918</v>
      </c>
      <c r="O200" s="141">
        <f t="shared" si="241"/>
        <v>48.830346208702551</v>
      </c>
      <c r="P200" s="141">
        <f t="shared" si="241"/>
        <v>47.299734794708975</v>
      </c>
      <c r="Q200" s="141">
        <f t="shared" si="241"/>
        <v>43.340472555724787</v>
      </c>
      <c r="R200" s="141">
        <f t="shared" si="241"/>
        <v>42.189999346080647</v>
      </c>
      <c r="S200" s="141">
        <f t="shared" si="241"/>
        <v>39.172873385776796</v>
      </c>
      <c r="T200" s="141">
        <f t="shared" si="241"/>
        <v>40.001879638228765</v>
      </c>
      <c r="U200" s="141">
        <f t="shared" si="241"/>
        <v>38.736488236520636</v>
      </c>
      <c r="V200" s="141">
        <f t="shared" si="241"/>
        <v>36.242999050999963</v>
      </c>
      <c r="W200" s="141">
        <f t="shared" ref="W200" si="242">IF(W48=0,0,W48/W18*1000)</f>
        <v>39.299088346303677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328.03792342650615</v>
      </c>
      <c r="C201" s="97">
        <f t="shared" si="243"/>
        <v>318.66027938853284</v>
      </c>
      <c r="D201" s="97">
        <f t="shared" si="243"/>
        <v>313.04955194089814</v>
      </c>
      <c r="E201" s="97">
        <f t="shared" si="243"/>
        <v>308.89654270205079</v>
      </c>
      <c r="F201" s="97">
        <f t="shared" si="243"/>
        <v>304.80366039488263</v>
      </c>
      <c r="G201" s="97">
        <f t="shared" si="243"/>
        <v>296.0322019830046</v>
      </c>
      <c r="H201" s="97">
        <f t="shared" si="243"/>
        <v>298.06693765594781</v>
      </c>
      <c r="I201" s="97">
        <f t="shared" si="243"/>
        <v>300.76853424222332</v>
      </c>
      <c r="J201" s="97">
        <f t="shared" si="243"/>
        <v>285.47321903549971</v>
      </c>
      <c r="K201" s="97">
        <f t="shared" si="243"/>
        <v>279.08910538165452</v>
      </c>
      <c r="L201" s="97">
        <f t="shared" si="243"/>
        <v>281.28561023433645</v>
      </c>
      <c r="M201" s="97">
        <f t="shared" si="243"/>
        <v>281.24465095880902</v>
      </c>
      <c r="N201" s="97">
        <f t="shared" si="243"/>
        <v>278.33937549658418</v>
      </c>
      <c r="O201" s="97">
        <f t="shared" si="243"/>
        <v>277.21650071362558</v>
      </c>
      <c r="P201" s="97">
        <f t="shared" si="243"/>
        <v>272.62471931663288</v>
      </c>
      <c r="Q201" s="97">
        <f t="shared" si="243"/>
        <v>271.5070078463736</v>
      </c>
      <c r="R201" s="97">
        <f t="shared" si="243"/>
        <v>272.2983705521504</v>
      </c>
      <c r="S201" s="97">
        <f t="shared" si="243"/>
        <v>262.67859954047651</v>
      </c>
      <c r="T201" s="97">
        <f t="shared" si="243"/>
        <v>263.78059462256891</v>
      </c>
      <c r="U201" s="97">
        <f t="shared" si="243"/>
        <v>258.91306569953622</v>
      </c>
      <c r="V201" s="97">
        <f t="shared" si="243"/>
        <v>255.26947869182521</v>
      </c>
      <c r="W201" s="97">
        <f t="shared" ref="W201" si="244">IF(W49=0,0,W49/W19*1000)</f>
        <v>264.24360994503991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27.927271973946318</v>
      </c>
      <c r="C202" s="97">
        <f t="shared" si="245"/>
        <v>30.218372500300383</v>
      </c>
      <c r="D202" s="97">
        <f t="shared" si="245"/>
        <v>29.267783439522798</v>
      </c>
      <c r="E202" s="97">
        <f t="shared" si="245"/>
        <v>30.845768002822886</v>
      </c>
      <c r="F202" s="97">
        <f t="shared" si="245"/>
        <v>30.996623636676251</v>
      </c>
      <c r="G202" s="97">
        <f t="shared" si="245"/>
        <v>30.099159958938987</v>
      </c>
      <c r="H202" s="97">
        <f t="shared" si="245"/>
        <v>32.091596232213789</v>
      </c>
      <c r="I202" s="97">
        <f t="shared" si="245"/>
        <v>31.942707809554541</v>
      </c>
      <c r="J202" s="97">
        <f t="shared" si="245"/>
        <v>28.382965844949631</v>
      </c>
      <c r="K202" s="97">
        <f t="shared" si="245"/>
        <v>26.966668250535001</v>
      </c>
      <c r="L202" s="97">
        <f t="shared" si="245"/>
        <v>28.369352468872293</v>
      </c>
      <c r="M202" s="97">
        <f t="shared" si="245"/>
        <v>27.843345957767223</v>
      </c>
      <c r="N202" s="97">
        <f t="shared" si="245"/>
        <v>26.436391715010881</v>
      </c>
      <c r="O202" s="97">
        <f t="shared" si="245"/>
        <v>27.63469095849414</v>
      </c>
      <c r="P202" s="97">
        <f t="shared" si="245"/>
        <v>25.551386731478893</v>
      </c>
      <c r="Q202" s="97">
        <f t="shared" si="245"/>
        <v>21.967112938335553</v>
      </c>
      <c r="R202" s="97">
        <f t="shared" si="245"/>
        <v>22.42456473283227</v>
      </c>
      <c r="S202" s="97">
        <f t="shared" si="245"/>
        <v>20.536318662687236</v>
      </c>
      <c r="T202" s="97">
        <f t="shared" si="245"/>
        <v>20.558042620285452</v>
      </c>
      <c r="U202" s="97">
        <f t="shared" si="245"/>
        <v>19.391464960563347</v>
      </c>
      <c r="V202" s="97">
        <f t="shared" si="245"/>
        <v>17.651393967972322</v>
      </c>
      <c r="W202" s="97">
        <f t="shared" ref="W202" si="246">IF(W50=0,0,W50/W20*1000)</f>
        <v>19.491080774618975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5.3031924681399323</v>
      </c>
      <c r="C203" s="130">
        <f t="shared" si="247"/>
        <v>5.3051541260836723</v>
      </c>
      <c r="D203" s="130">
        <f t="shared" si="247"/>
        <v>5.2173221136171577</v>
      </c>
      <c r="E203" s="130">
        <f t="shared" si="247"/>
        <v>4.9941567874814226</v>
      </c>
      <c r="F203" s="130">
        <f t="shared" si="247"/>
        <v>5.1586818819755171</v>
      </c>
      <c r="G203" s="130">
        <f t="shared" si="247"/>
        <v>5.2643616185751725</v>
      </c>
      <c r="H203" s="130">
        <f t="shared" si="247"/>
        <v>4.9965074286644828</v>
      </c>
      <c r="I203" s="130">
        <f t="shared" si="247"/>
        <v>4.7940485028878088</v>
      </c>
      <c r="J203" s="130">
        <f t="shared" si="247"/>
        <v>4.6849646176058615</v>
      </c>
      <c r="K203" s="130">
        <f t="shared" si="247"/>
        <v>4.6578427831074931</v>
      </c>
      <c r="L203" s="130">
        <f t="shared" si="247"/>
        <v>4.41832401372967</v>
      </c>
      <c r="M203" s="130">
        <f t="shared" si="247"/>
        <v>4.5112949191980958</v>
      </c>
      <c r="N203" s="130">
        <f t="shared" si="247"/>
        <v>4.6174914250828865</v>
      </c>
      <c r="O203" s="130">
        <f t="shared" si="247"/>
        <v>4.2657270993313379</v>
      </c>
      <c r="P203" s="130">
        <f t="shared" si="247"/>
        <v>4.0943732300892943</v>
      </c>
      <c r="Q203" s="130">
        <f t="shared" si="247"/>
        <v>3.6145319377359253</v>
      </c>
      <c r="R203" s="130">
        <f t="shared" si="247"/>
        <v>3.4462645003787964</v>
      </c>
      <c r="S203" s="130">
        <f t="shared" si="247"/>
        <v>3.3513628065249534</v>
      </c>
      <c r="T203" s="130">
        <f t="shared" si="247"/>
        <v>3.4244033254673156</v>
      </c>
      <c r="U203" s="130">
        <f t="shared" si="247"/>
        <v>3.4574814353118475</v>
      </c>
      <c r="V203" s="130">
        <f t="shared" si="247"/>
        <v>3.5743752256490917</v>
      </c>
      <c r="W203" s="130">
        <f t="shared" ref="W203" si="248">IF(W51=0,0,W51/W21*1000)</f>
        <v>3.5806178911325275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79.106601480170255</v>
      </c>
      <c r="C204" s="130">
        <f t="shared" si="249"/>
        <v>77.837834731609775</v>
      </c>
      <c r="D204" s="130">
        <f t="shared" si="249"/>
        <v>81.740941221188322</v>
      </c>
      <c r="E204" s="130">
        <f t="shared" si="249"/>
        <v>86.029903564632974</v>
      </c>
      <c r="F204" s="130">
        <f t="shared" si="249"/>
        <v>91.864403626810685</v>
      </c>
      <c r="G204" s="130">
        <f t="shared" si="249"/>
        <v>87.66494012783059</v>
      </c>
      <c r="H204" s="130">
        <f t="shared" si="249"/>
        <v>98.965458603637643</v>
      </c>
      <c r="I204" s="130">
        <f t="shared" si="249"/>
        <v>96.302374239034307</v>
      </c>
      <c r="J204" s="130">
        <f t="shared" si="249"/>
        <v>99.72103990561645</v>
      </c>
      <c r="K204" s="130">
        <f t="shared" si="249"/>
        <v>107.88583867009841</v>
      </c>
      <c r="L204" s="130">
        <f t="shared" si="249"/>
        <v>115.98637626239694</v>
      </c>
      <c r="M204" s="130">
        <f t="shared" si="249"/>
        <v>89.345791634178198</v>
      </c>
      <c r="N204" s="130">
        <f t="shared" si="249"/>
        <v>73.424107099461082</v>
      </c>
      <c r="O204" s="130">
        <f t="shared" si="249"/>
        <v>83.876702447798692</v>
      </c>
      <c r="P204" s="130">
        <f t="shared" si="249"/>
        <v>83.491890919480937</v>
      </c>
      <c r="Q204" s="130">
        <f t="shared" si="249"/>
        <v>99.28096201344465</v>
      </c>
      <c r="R204" s="130">
        <f t="shared" si="249"/>
        <v>82.566046128320792</v>
      </c>
      <c r="S204" s="130">
        <f t="shared" si="249"/>
        <v>87.807061040164456</v>
      </c>
      <c r="T204" s="130">
        <f t="shared" si="249"/>
        <v>89.874744450915756</v>
      </c>
      <c r="U204" s="130">
        <f t="shared" si="249"/>
        <v>109.57622430911292</v>
      </c>
      <c r="V204" s="130">
        <f t="shared" si="249"/>
        <v>91.412078091815985</v>
      </c>
      <c r="W204" s="130">
        <f t="shared" ref="W204" si="250">IF(W52=0,0,W52/W22*1000)</f>
        <v>99.690757457806043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531.49937488354681</v>
      </c>
      <c r="C205" s="97">
        <f t="shared" si="251"/>
        <v>541.94300061983245</v>
      </c>
      <c r="D205" s="97">
        <f t="shared" si="251"/>
        <v>491.30796504130473</v>
      </c>
      <c r="E205" s="97">
        <f t="shared" si="251"/>
        <v>457.34809982718838</v>
      </c>
      <c r="F205" s="97">
        <f t="shared" si="251"/>
        <v>487.28140571184258</v>
      </c>
      <c r="G205" s="97">
        <f t="shared" si="251"/>
        <v>458.23739635494991</v>
      </c>
      <c r="H205" s="97">
        <f t="shared" si="251"/>
        <v>525.76145048786771</v>
      </c>
      <c r="I205" s="97">
        <f t="shared" si="251"/>
        <v>528.9742549829856</v>
      </c>
      <c r="J205" s="97">
        <f t="shared" si="251"/>
        <v>620.68177465983433</v>
      </c>
      <c r="K205" s="97">
        <f t="shared" si="251"/>
        <v>598.1302180742224</v>
      </c>
      <c r="L205" s="97">
        <f t="shared" si="251"/>
        <v>629.32129060159775</v>
      </c>
      <c r="M205" s="97">
        <f t="shared" si="251"/>
        <v>458.80635365276117</v>
      </c>
      <c r="N205" s="97">
        <f t="shared" si="251"/>
        <v>358.49082072869817</v>
      </c>
      <c r="O205" s="97">
        <f t="shared" si="251"/>
        <v>342.04447706920439</v>
      </c>
      <c r="P205" s="97">
        <f t="shared" si="251"/>
        <v>315.24678178989006</v>
      </c>
      <c r="Q205" s="97">
        <f t="shared" si="251"/>
        <v>313.36588746742814</v>
      </c>
      <c r="R205" s="97">
        <f t="shared" si="251"/>
        <v>282.64385225701886</v>
      </c>
      <c r="S205" s="97">
        <f t="shared" si="251"/>
        <v>303.65066327995549</v>
      </c>
      <c r="T205" s="97">
        <f t="shared" si="251"/>
        <v>302.54338692680574</v>
      </c>
      <c r="U205" s="97">
        <f t="shared" si="251"/>
        <v>282.44986470228304</v>
      </c>
      <c r="V205" s="97">
        <f t="shared" si="251"/>
        <v>281.96518938075883</v>
      </c>
      <c r="W205" s="97">
        <f t="shared" ref="W205" si="252">IF(W53=0,0,W53/W23*1000)</f>
        <v>242.72222403267153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129.76406059170031</v>
      </c>
      <c r="C206" s="97">
        <f t="shared" si="253"/>
        <v>120.98497764362713</v>
      </c>
      <c r="D206" s="97">
        <f t="shared" si="253"/>
        <v>137.24407047538512</v>
      </c>
      <c r="E206" s="97">
        <f t="shared" si="253"/>
        <v>122.97505327684117</v>
      </c>
      <c r="F206" s="97">
        <f t="shared" si="253"/>
        <v>138.80196883937467</v>
      </c>
      <c r="G206" s="97">
        <f t="shared" si="253"/>
        <v>142.86927640137739</v>
      </c>
      <c r="H206" s="97">
        <f t="shared" si="253"/>
        <v>182.19366788684925</v>
      </c>
      <c r="I206" s="97">
        <f t="shared" si="253"/>
        <v>202.94216323939574</v>
      </c>
      <c r="J206" s="97">
        <f t="shared" si="253"/>
        <v>224.52216739382595</v>
      </c>
      <c r="K206" s="97">
        <f t="shared" si="253"/>
        <v>204.41253491109086</v>
      </c>
      <c r="L206" s="97">
        <f t="shared" si="253"/>
        <v>219.05459279088231</v>
      </c>
      <c r="M206" s="97">
        <f t="shared" si="253"/>
        <v>219.8854007003244</v>
      </c>
      <c r="N206" s="97">
        <f t="shared" si="253"/>
        <v>204.6804846490945</v>
      </c>
      <c r="O206" s="97">
        <f t="shared" si="253"/>
        <v>204.52955397211934</v>
      </c>
      <c r="P206" s="97">
        <f t="shared" si="253"/>
        <v>162.59229797210472</v>
      </c>
      <c r="Q206" s="97">
        <f t="shared" si="253"/>
        <v>177.49936435347564</v>
      </c>
      <c r="R206" s="97">
        <f t="shared" si="253"/>
        <v>174.88761573673466</v>
      </c>
      <c r="S206" s="97">
        <f t="shared" si="253"/>
        <v>204.5096623640693</v>
      </c>
      <c r="T206" s="97">
        <f t="shared" si="253"/>
        <v>224.87078001234397</v>
      </c>
      <c r="U206" s="97">
        <f t="shared" si="253"/>
        <v>259.17709743890214</v>
      </c>
      <c r="V206" s="97">
        <f t="shared" si="253"/>
        <v>222.3330888781087</v>
      </c>
      <c r="W206" s="97">
        <f t="shared" ref="W206" si="254">IF(W54=0,0,W54/W24*1000)</f>
        <v>269.86502309073973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44.820223652381415</v>
      </c>
      <c r="C207" s="97">
        <f t="shared" si="255"/>
        <v>43.170623426570373</v>
      </c>
      <c r="D207" s="97">
        <f t="shared" si="255"/>
        <v>47.990422089194908</v>
      </c>
      <c r="E207" s="97">
        <f t="shared" si="255"/>
        <v>50.453937491986487</v>
      </c>
      <c r="F207" s="97">
        <f t="shared" si="255"/>
        <v>53.344069775329743</v>
      </c>
      <c r="G207" s="97">
        <f t="shared" si="255"/>
        <v>51.90732976110975</v>
      </c>
      <c r="H207" s="97">
        <f t="shared" si="255"/>
        <v>44.976736915982841</v>
      </c>
      <c r="I207" s="97">
        <f t="shared" si="255"/>
        <v>38.204706001524009</v>
      </c>
      <c r="J207" s="97">
        <f t="shared" si="255"/>
        <v>38.989276359316897</v>
      </c>
      <c r="K207" s="97">
        <f t="shared" si="255"/>
        <v>37.417616105089088</v>
      </c>
      <c r="L207" s="97">
        <f t="shared" si="255"/>
        <v>42.478204088346743</v>
      </c>
      <c r="M207" s="97">
        <f t="shared" si="255"/>
        <v>38.442853005974193</v>
      </c>
      <c r="N207" s="97">
        <f t="shared" si="255"/>
        <v>36.335644626449586</v>
      </c>
      <c r="O207" s="97">
        <f t="shared" si="255"/>
        <v>36.833706468943546</v>
      </c>
      <c r="P207" s="97">
        <f t="shared" si="255"/>
        <v>33.225879674517941</v>
      </c>
      <c r="Q207" s="97">
        <f t="shared" si="255"/>
        <v>34.483713985315653</v>
      </c>
      <c r="R207" s="97">
        <f t="shared" si="255"/>
        <v>25.67382713880712</v>
      </c>
      <c r="S207" s="97">
        <f t="shared" si="255"/>
        <v>23.689534193414318</v>
      </c>
      <c r="T207" s="97">
        <f t="shared" si="255"/>
        <v>24.674322361603902</v>
      </c>
      <c r="U207" s="97">
        <f t="shared" si="255"/>
        <v>20.804721051411722</v>
      </c>
      <c r="V207" s="97">
        <f t="shared" si="255"/>
        <v>35.323100284570629</v>
      </c>
      <c r="W207" s="97">
        <f t="shared" ref="W207" si="256">IF(W55=0,0,W55/W25*1000)</f>
        <v>41.754080116211362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165.67499885011168</v>
      </c>
      <c r="C208" s="130">
        <f t="shared" si="257"/>
        <v>166.8413090804365</v>
      </c>
      <c r="D208" s="130">
        <f t="shared" si="257"/>
        <v>162.48755746368045</v>
      </c>
      <c r="E208" s="130">
        <f t="shared" si="257"/>
        <v>183.17526369511208</v>
      </c>
      <c r="F208" s="130">
        <f t="shared" si="257"/>
        <v>180.88677912766678</v>
      </c>
      <c r="G208" s="130">
        <f t="shared" si="257"/>
        <v>205.58716172625731</v>
      </c>
      <c r="H208" s="130">
        <f t="shared" si="257"/>
        <v>195.88863417070129</v>
      </c>
      <c r="I208" s="130">
        <f t="shared" si="257"/>
        <v>180.07164867170175</v>
      </c>
      <c r="J208" s="130">
        <f t="shared" si="257"/>
        <v>153.84310334019634</v>
      </c>
      <c r="K208" s="130">
        <f t="shared" si="257"/>
        <v>184.50135602628075</v>
      </c>
      <c r="L208" s="130">
        <f t="shared" si="257"/>
        <v>142.3298705471519</v>
      </c>
      <c r="M208" s="130">
        <f t="shared" si="257"/>
        <v>127.01558759696263</v>
      </c>
      <c r="N208" s="130">
        <f t="shared" si="257"/>
        <v>157.61771369309403</v>
      </c>
      <c r="O208" s="130">
        <f t="shared" si="257"/>
        <v>203.02566872642203</v>
      </c>
      <c r="P208" s="130">
        <f t="shared" si="257"/>
        <v>160.68089939627228</v>
      </c>
      <c r="Q208" s="130">
        <f t="shared" si="257"/>
        <v>149.76772855187505</v>
      </c>
      <c r="R208" s="130">
        <f t="shared" si="257"/>
        <v>129.54261362369502</v>
      </c>
      <c r="S208" s="130">
        <f t="shared" si="257"/>
        <v>126.11313536464655</v>
      </c>
      <c r="T208" s="130">
        <f t="shared" si="257"/>
        <v>107.3155373940178</v>
      </c>
      <c r="U208" s="130">
        <f t="shared" si="257"/>
        <v>70.084750138232593</v>
      </c>
      <c r="V208" s="130">
        <f t="shared" si="257"/>
        <v>99.523406117472092</v>
      </c>
      <c r="W208" s="130">
        <f t="shared" ref="W208" si="258">IF(W56=0,0,W56/W26*1000)</f>
        <v>148.52680230321454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161.5798602029752</v>
      </c>
      <c r="C209" s="97">
        <f t="shared" si="259"/>
        <v>163.72825456333416</v>
      </c>
      <c r="D209" s="97">
        <f t="shared" si="259"/>
        <v>160.66712291533258</v>
      </c>
      <c r="E209" s="97">
        <f t="shared" si="259"/>
        <v>177.33324664637072</v>
      </c>
      <c r="F209" s="97">
        <f t="shared" si="259"/>
        <v>173.64486692260195</v>
      </c>
      <c r="G209" s="97">
        <f t="shared" si="259"/>
        <v>197.43938042316944</v>
      </c>
      <c r="H209" s="97">
        <f t="shared" si="259"/>
        <v>191.02650595524312</v>
      </c>
      <c r="I209" s="97">
        <f t="shared" si="259"/>
        <v>173.35667521770739</v>
      </c>
      <c r="J209" s="97">
        <f t="shared" si="259"/>
        <v>152.72597215844755</v>
      </c>
      <c r="K209" s="97">
        <f t="shared" si="259"/>
        <v>182.13937657005903</v>
      </c>
      <c r="L209" s="97">
        <f t="shared" si="259"/>
        <v>144.07018379977788</v>
      </c>
      <c r="M209" s="97">
        <f t="shared" si="259"/>
        <v>129.07323525027604</v>
      </c>
      <c r="N209" s="97">
        <f t="shared" si="259"/>
        <v>160.55566536137434</v>
      </c>
      <c r="O209" s="97">
        <f t="shared" si="259"/>
        <v>206.6599474300117</v>
      </c>
      <c r="P209" s="97">
        <f t="shared" si="259"/>
        <v>168.03676493487492</v>
      </c>
      <c r="Q209" s="97">
        <f t="shared" si="259"/>
        <v>155.84193234025892</v>
      </c>
      <c r="R209" s="97">
        <f t="shared" si="259"/>
        <v>133.39501989229638</v>
      </c>
      <c r="S209" s="97">
        <f t="shared" si="259"/>
        <v>131.16440186365884</v>
      </c>
      <c r="T209" s="97">
        <f t="shared" si="259"/>
        <v>110.76116604593861</v>
      </c>
      <c r="U209" s="97">
        <f t="shared" si="259"/>
        <v>71.525541144150623</v>
      </c>
      <c r="V209" s="97">
        <f t="shared" si="259"/>
        <v>102.05220243963504</v>
      </c>
      <c r="W209" s="97">
        <f t="shared" ref="W209" si="260">IF(W57=0,0,W57/W27*1000)</f>
        <v>155.43255484823649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195.4885105199501</v>
      </c>
      <c r="C210" s="98">
        <f t="shared" si="261"/>
        <v>191.0858701265953</v>
      </c>
      <c r="D210" s="98">
        <f t="shared" si="261"/>
        <v>176.06965709010507</v>
      </c>
      <c r="E210" s="98">
        <f t="shared" si="261"/>
        <v>223.8225176186271</v>
      </c>
      <c r="F210" s="98">
        <f t="shared" si="261"/>
        <v>225.50450708375786</v>
      </c>
      <c r="G210" s="98">
        <f t="shared" si="261"/>
        <v>279.30035644946145</v>
      </c>
      <c r="H210" s="98">
        <f t="shared" si="261"/>
        <v>253.45704259642881</v>
      </c>
      <c r="I210" s="98">
        <f t="shared" si="261"/>
        <v>235.87880555175252</v>
      </c>
      <c r="J210" s="98">
        <f t="shared" si="261"/>
        <v>165.6883524713536</v>
      </c>
      <c r="K210" s="98">
        <f t="shared" si="261"/>
        <v>213.09261397117368</v>
      </c>
      <c r="L210" s="98">
        <f t="shared" si="261"/>
        <v>116.85603531183926</v>
      </c>
      <c r="M210" s="98">
        <f t="shared" si="261"/>
        <v>100.17192784136674</v>
      </c>
      <c r="N210" s="98">
        <f t="shared" si="261"/>
        <v>138.06600073806774</v>
      </c>
      <c r="O210" s="98">
        <f t="shared" si="261"/>
        <v>184.76104544735</v>
      </c>
      <c r="P210" s="98">
        <f t="shared" si="261"/>
        <v>124.266768792352</v>
      </c>
      <c r="Q210" s="98">
        <f t="shared" si="261"/>
        <v>114.11452504991675</v>
      </c>
      <c r="R210" s="98">
        <f t="shared" si="261"/>
        <v>97.732771435816986</v>
      </c>
      <c r="S210" s="98">
        <f t="shared" si="261"/>
        <v>89.286636089390981</v>
      </c>
      <c r="T210" s="98">
        <f t="shared" si="261"/>
        <v>75.908235659405392</v>
      </c>
      <c r="U210" s="98">
        <f t="shared" si="261"/>
        <v>49.292978566125882</v>
      </c>
      <c r="V210" s="98">
        <f t="shared" si="261"/>
        <v>79.527058714769964</v>
      </c>
      <c r="W210" s="98">
        <f t="shared" ref="W210:W213" si="262">IF(W58=0,0,W58/W28*1000)</f>
        <v>118.5579826403671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5.9313256436176358</v>
      </c>
      <c r="C211" s="32">
        <f t="shared" si="263"/>
        <v>4.3904373524801317</v>
      </c>
      <c r="D211" s="32">
        <f t="shared" si="263"/>
        <v>4.3545004229573232</v>
      </c>
      <c r="E211" s="32">
        <f t="shared" si="263"/>
        <v>3.9802376949245901</v>
      </c>
      <c r="F211" s="32">
        <f t="shared" si="263"/>
        <v>3.1102015743401448</v>
      </c>
      <c r="G211" s="32">
        <f t="shared" si="263"/>
        <v>3.3384282813231714</v>
      </c>
      <c r="H211" s="32">
        <f t="shared" si="263"/>
        <v>3.4337230044749489</v>
      </c>
      <c r="I211" s="32">
        <f t="shared" si="263"/>
        <v>2.7310047331712486</v>
      </c>
      <c r="J211" s="32">
        <f t="shared" si="263"/>
        <v>2.1922431520965264</v>
      </c>
      <c r="K211" s="32">
        <f t="shared" si="263"/>
        <v>1.5883538480809478</v>
      </c>
      <c r="L211" s="32">
        <f t="shared" si="263"/>
        <v>1.1990541109181037</v>
      </c>
      <c r="M211" s="32">
        <f t="shared" si="263"/>
        <v>1.0456181233543989</v>
      </c>
      <c r="N211" s="32">
        <f t="shared" si="263"/>
        <v>0.67474380105718723</v>
      </c>
      <c r="O211" s="32">
        <f t="shared" si="263"/>
        <v>0.69132372899833139</v>
      </c>
      <c r="P211" s="32">
        <f t="shared" si="263"/>
        <v>0.51869260726336897</v>
      </c>
      <c r="Q211" s="32">
        <f t="shared" si="263"/>
        <v>1.9274783575642955</v>
      </c>
      <c r="R211" s="32">
        <f t="shared" si="263"/>
        <v>1.6378759377114211</v>
      </c>
      <c r="S211" s="32">
        <f t="shared" si="263"/>
        <v>1.9919675550664722</v>
      </c>
      <c r="T211" s="32">
        <f t="shared" si="263"/>
        <v>1.7427411065367713</v>
      </c>
      <c r="U211" s="32">
        <f t="shared" si="263"/>
        <v>1.7271366139797355</v>
      </c>
      <c r="V211" s="32">
        <f t="shared" si="263"/>
        <v>1.7450500265063875</v>
      </c>
      <c r="W211" s="32">
        <f t="shared" si="262"/>
        <v>1.6973522436756499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6.2355554281317431</v>
      </c>
      <c r="C212" s="97">
        <f t="shared" si="264"/>
        <v>5.2765053644310997</v>
      </c>
      <c r="D212" s="97">
        <f t="shared" si="264"/>
        <v>5.6621197623797119</v>
      </c>
      <c r="E212" s="97">
        <f t="shared" si="264"/>
        <v>5.3345607901480419</v>
      </c>
      <c r="F212" s="97">
        <f t="shared" si="264"/>
        <v>4.1789697670612016</v>
      </c>
      <c r="G212" s="97">
        <f t="shared" si="264"/>
        <v>4.4335966855963971</v>
      </c>
      <c r="H212" s="97">
        <f t="shared" si="264"/>
        <v>4.3332167628860407</v>
      </c>
      <c r="I212" s="97">
        <f t="shared" si="264"/>
        <v>3.530764741829008</v>
      </c>
      <c r="J212" s="97">
        <f t="shared" si="264"/>
        <v>3.0079189667681439</v>
      </c>
      <c r="K212" s="97">
        <f t="shared" si="264"/>
        <v>2.4063031088881166</v>
      </c>
      <c r="L212" s="97">
        <f t="shared" si="264"/>
        <v>1.7757434726467736</v>
      </c>
      <c r="M212" s="97">
        <f t="shared" si="264"/>
        <v>1.6289028473172884</v>
      </c>
      <c r="N212" s="97">
        <f t="shared" si="264"/>
        <v>1.0402077404410439</v>
      </c>
      <c r="O212" s="97">
        <f t="shared" si="264"/>
        <v>1.0696706632510906</v>
      </c>
      <c r="P212" s="97">
        <f t="shared" si="264"/>
        <v>0.80558808367991785</v>
      </c>
      <c r="Q212" s="97">
        <f t="shared" si="264"/>
        <v>2.7386728023293503</v>
      </c>
      <c r="R212" s="97">
        <f t="shared" si="264"/>
        <v>2.3985303005275451</v>
      </c>
      <c r="S212" s="97">
        <f t="shared" si="264"/>
        <v>2.8848209779342788</v>
      </c>
      <c r="T212" s="97">
        <f t="shared" si="264"/>
        <v>2.5789450388540147</v>
      </c>
      <c r="U212" s="97">
        <f t="shared" si="264"/>
        <v>2.6714738734256702</v>
      </c>
      <c r="V212" s="97">
        <f t="shared" si="264"/>
        <v>2.3803483774612455</v>
      </c>
      <c r="W212" s="97">
        <f t="shared" si="262"/>
        <v>2.2283313937688489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5.6338374343482158</v>
      </c>
      <c r="C213" s="98">
        <f t="shared" si="265"/>
        <v>3.7687414482477517</v>
      </c>
      <c r="D213" s="98">
        <f t="shared" si="265"/>
        <v>3.5720813406837038</v>
      </c>
      <c r="E213" s="98">
        <f t="shared" si="265"/>
        <v>3.2378263277399939</v>
      </c>
      <c r="F213" s="98">
        <f t="shared" si="265"/>
        <v>2.5209600651315895</v>
      </c>
      <c r="G213" s="98">
        <f t="shared" si="265"/>
        <v>2.714491844267072</v>
      </c>
      <c r="H213" s="98">
        <f t="shared" si="265"/>
        <v>2.8589284794374805</v>
      </c>
      <c r="I213" s="98">
        <f t="shared" si="265"/>
        <v>2.2433483928735658</v>
      </c>
      <c r="J213" s="98">
        <f t="shared" si="265"/>
        <v>1.7436051678883282</v>
      </c>
      <c r="K213" s="98">
        <f t="shared" si="265"/>
        <v>1.2253655788539439</v>
      </c>
      <c r="L213" s="98">
        <f t="shared" si="265"/>
        <v>0.92232401400917019</v>
      </c>
      <c r="M213" s="98">
        <f t="shared" si="265"/>
        <v>0.79488752923602768</v>
      </c>
      <c r="N213" s="98">
        <f t="shared" si="265"/>
        <v>0.51159708866436482</v>
      </c>
      <c r="O213" s="98">
        <f t="shared" si="265"/>
        <v>0.5260340557434382</v>
      </c>
      <c r="P213" s="98">
        <f t="shared" si="265"/>
        <v>0.39702635369057265</v>
      </c>
      <c r="Q213" s="98">
        <f t="shared" si="265"/>
        <v>1.5017649859301632</v>
      </c>
      <c r="R213" s="98">
        <f t="shared" si="265"/>
        <v>1.2690892654505019</v>
      </c>
      <c r="S213" s="98">
        <f t="shared" si="265"/>
        <v>1.5425804858275387</v>
      </c>
      <c r="T213" s="98">
        <f t="shared" si="265"/>
        <v>1.3407894497345569</v>
      </c>
      <c r="U213" s="98">
        <f t="shared" si="265"/>
        <v>1.31038228237915</v>
      </c>
      <c r="V213" s="98">
        <f t="shared" si="265"/>
        <v>1.4389156713855655</v>
      </c>
      <c r="W213" s="98">
        <f t="shared" si="262"/>
        <v>1.4247773386283247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106.24404793726725</v>
      </c>
      <c r="C216" s="32">
        <f t="shared" si="266"/>
        <v>105.82618272524795</v>
      </c>
      <c r="D216" s="32">
        <f t="shared" si="266"/>
        <v>105.65485952344241</v>
      </c>
      <c r="E216" s="32">
        <f t="shared" si="266"/>
        <v>106.23127048253333</v>
      </c>
      <c r="F216" s="32">
        <f t="shared" si="266"/>
        <v>106.93556957427211</v>
      </c>
      <c r="G216" s="32">
        <f t="shared" si="266"/>
        <v>105.05000759396458</v>
      </c>
      <c r="H216" s="32">
        <f t="shared" si="266"/>
        <v>106.2584519288074</v>
      </c>
      <c r="I216" s="32">
        <f t="shared" si="266"/>
        <v>106.83175457837002</v>
      </c>
      <c r="J216" s="32">
        <f t="shared" si="266"/>
        <v>103.64657218440504</v>
      </c>
      <c r="K216" s="32">
        <f t="shared" si="266"/>
        <v>100.60913734950678</v>
      </c>
      <c r="L216" s="32">
        <f t="shared" si="266"/>
        <v>101.42490795487248</v>
      </c>
      <c r="M216" s="32">
        <f t="shared" si="266"/>
        <v>101.76511018989503</v>
      </c>
      <c r="N216" s="32">
        <f t="shared" si="266"/>
        <v>99.542863017936043</v>
      </c>
      <c r="O216" s="32">
        <f t="shared" si="266"/>
        <v>99.748104009896494</v>
      </c>
      <c r="P216" s="32">
        <f t="shared" si="266"/>
        <v>93.230254150249749</v>
      </c>
      <c r="Q216" s="32">
        <f t="shared" si="266"/>
        <v>93.698067537106709</v>
      </c>
      <c r="R216" s="32">
        <f t="shared" si="266"/>
        <v>107.23374057601656</v>
      </c>
      <c r="S216" s="32">
        <f t="shared" si="266"/>
        <v>91.926214552868402</v>
      </c>
      <c r="T216" s="32">
        <f t="shared" si="266"/>
        <v>92.872380288862601</v>
      </c>
      <c r="U216" s="32">
        <f t="shared" si="266"/>
        <v>89.822797340680239</v>
      </c>
      <c r="V216" s="32">
        <f t="shared" si="266"/>
        <v>93.235430017716112</v>
      </c>
      <c r="W216" s="32">
        <f t="shared" ref="W216" si="267">IF(W4=0,0,W64/W4*1000)</f>
        <v>92.208967763230362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107.44991130239865</v>
      </c>
      <c r="C217" s="141">
        <f t="shared" si="268"/>
        <v>106.50273402649853</v>
      </c>
      <c r="D217" s="141">
        <f t="shared" si="268"/>
        <v>106.96223256012368</v>
      </c>
      <c r="E217" s="141">
        <f t="shared" si="268"/>
        <v>107.03289869916709</v>
      </c>
      <c r="F217" s="141">
        <f t="shared" si="268"/>
        <v>107.64088090378625</v>
      </c>
      <c r="G217" s="141">
        <f t="shared" si="268"/>
        <v>107.20592459924271</v>
      </c>
      <c r="H217" s="141">
        <f t="shared" si="268"/>
        <v>108.86907083422432</v>
      </c>
      <c r="I217" s="141">
        <f t="shared" si="268"/>
        <v>110.54137244892844</v>
      </c>
      <c r="J217" s="141">
        <f t="shared" si="268"/>
        <v>105.93840175125828</v>
      </c>
      <c r="K217" s="141">
        <f t="shared" si="268"/>
        <v>103.92506878191689</v>
      </c>
      <c r="L217" s="141">
        <f t="shared" si="268"/>
        <v>105.12307596643774</v>
      </c>
      <c r="M217" s="141">
        <f t="shared" si="268"/>
        <v>104.33755670883693</v>
      </c>
      <c r="N217" s="141">
        <f t="shared" si="268"/>
        <v>104.35702717748551</v>
      </c>
      <c r="O217" s="141">
        <f t="shared" si="268"/>
        <v>104.83275756836889</v>
      </c>
      <c r="P217" s="141">
        <f t="shared" si="268"/>
        <v>97.077155144694046</v>
      </c>
      <c r="Q217" s="141">
        <f t="shared" si="268"/>
        <v>97.364415604625265</v>
      </c>
      <c r="R217" s="141">
        <f t="shared" si="268"/>
        <v>117.59148075892867</v>
      </c>
      <c r="S217" s="141">
        <f t="shared" si="268"/>
        <v>98.549670809055385</v>
      </c>
      <c r="T217" s="141">
        <f t="shared" si="268"/>
        <v>99.652684787395231</v>
      </c>
      <c r="U217" s="141">
        <f t="shared" si="268"/>
        <v>96.132573545415283</v>
      </c>
      <c r="V217" s="141">
        <f t="shared" si="268"/>
        <v>93.910805832352665</v>
      </c>
      <c r="W217" s="141">
        <f t="shared" ref="W217" si="269">IF(W5=0,0,W65/W5*1000)</f>
        <v>90.256491650256351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126.71911603068911</v>
      </c>
      <c r="C218" s="97">
        <f t="shared" si="270"/>
        <v>125.0743424160392</v>
      </c>
      <c r="D218" s="97">
        <f t="shared" si="270"/>
        <v>123.24801204109922</v>
      </c>
      <c r="E218" s="97">
        <f t="shared" si="270"/>
        <v>121.08810727724274</v>
      </c>
      <c r="F218" s="97">
        <f t="shared" si="270"/>
        <v>119.47432971644463</v>
      </c>
      <c r="G218" s="97">
        <f t="shared" si="270"/>
        <v>118.39480009291097</v>
      </c>
      <c r="H218" s="97">
        <f t="shared" si="270"/>
        <v>117.02249798881763</v>
      </c>
      <c r="I218" s="97">
        <f t="shared" si="270"/>
        <v>116.06474346649769</v>
      </c>
      <c r="J218" s="97">
        <f t="shared" si="270"/>
        <v>110.16100419683954</v>
      </c>
      <c r="K218" s="97">
        <f t="shared" si="270"/>
        <v>107.63190457305411</v>
      </c>
      <c r="L218" s="97">
        <f t="shared" si="270"/>
        <v>105.68084907217614</v>
      </c>
      <c r="M218" s="97">
        <f t="shared" si="270"/>
        <v>103.08681538877141</v>
      </c>
      <c r="N218" s="97">
        <f t="shared" si="270"/>
        <v>101.75183562977224</v>
      </c>
      <c r="O218" s="97">
        <f t="shared" si="270"/>
        <v>102.73234655092277</v>
      </c>
      <c r="P218" s="97">
        <f t="shared" si="270"/>
        <v>100.94977198876772</v>
      </c>
      <c r="Q218" s="97">
        <f t="shared" si="270"/>
        <v>100.21028063551393</v>
      </c>
      <c r="R218" s="97">
        <f t="shared" si="270"/>
        <v>98.932110921562114</v>
      </c>
      <c r="S218" s="97">
        <f t="shared" si="270"/>
        <v>97.172512576171087</v>
      </c>
      <c r="T218" s="97">
        <f t="shared" si="270"/>
        <v>96.19488878895622</v>
      </c>
      <c r="U218" s="97">
        <f t="shared" si="270"/>
        <v>94.922398721325891</v>
      </c>
      <c r="V218" s="97">
        <f t="shared" si="270"/>
        <v>93.515288764388117</v>
      </c>
      <c r="W218" s="97">
        <f t="shared" ref="W218" si="271">IF(W6=0,0,W66/W6*1000)</f>
        <v>88.77236387480869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109.89846596830732</v>
      </c>
      <c r="C219" s="97">
        <f t="shared" si="272"/>
        <v>109.02190539586375</v>
      </c>
      <c r="D219" s="97">
        <f t="shared" si="272"/>
        <v>109.41978149136779</v>
      </c>
      <c r="E219" s="97">
        <f t="shared" si="272"/>
        <v>109.11533522387398</v>
      </c>
      <c r="F219" s="97">
        <f t="shared" si="272"/>
        <v>109.2460253040846</v>
      </c>
      <c r="G219" s="97">
        <f t="shared" si="272"/>
        <v>108.77945264143925</v>
      </c>
      <c r="H219" s="97">
        <f t="shared" si="272"/>
        <v>110.27355363190384</v>
      </c>
      <c r="I219" s="97">
        <f t="shared" si="272"/>
        <v>111.71660185239158</v>
      </c>
      <c r="J219" s="97">
        <f t="shared" si="272"/>
        <v>106.60786244757814</v>
      </c>
      <c r="K219" s="97">
        <f t="shared" si="272"/>
        <v>104.17612748645602</v>
      </c>
      <c r="L219" s="97">
        <f t="shared" si="272"/>
        <v>105.00298131394715</v>
      </c>
      <c r="M219" s="97">
        <f t="shared" si="272"/>
        <v>104.08695256280183</v>
      </c>
      <c r="N219" s="97">
        <f t="shared" si="272"/>
        <v>103.5955838357531</v>
      </c>
      <c r="O219" s="97">
        <f t="shared" si="272"/>
        <v>103.98202864202095</v>
      </c>
      <c r="P219" s="97">
        <f t="shared" si="272"/>
        <v>96.412047143591579</v>
      </c>
      <c r="Q219" s="97">
        <f t="shared" si="272"/>
        <v>96.309754277269406</v>
      </c>
      <c r="R219" s="97">
        <f t="shared" si="272"/>
        <v>117.50710950620065</v>
      </c>
      <c r="S219" s="97">
        <f t="shared" si="272"/>
        <v>96.978065386644786</v>
      </c>
      <c r="T219" s="97">
        <f t="shared" si="272"/>
        <v>97.796095498804618</v>
      </c>
      <c r="U219" s="97">
        <f t="shared" si="272"/>
        <v>94.454328983170086</v>
      </c>
      <c r="V219" s="97">
        <f t="shared" si="272"/>
        <v>91.950765326232855</v>
      </c>
      <c r="W219" s="97">
        <f t="shared" ref="W219" si="273">IF(W7=0,0,W67/W7*1000)</f>
        <v>89.071289586423973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87.475705434921665</v>
      </c>
      <c r="C220" s="97">
        <f t="shared" si="274"/>
        <v>85.674318606370676</v>
      </c>
      <c r="D220" s="97">
        <f t="shared" si="274"/>
        <v>86.443723601934622</v>
      </c>
      <c r="E220" s="97">
        <f t="shared" si="274"/>
        <v>89.197255672320765</v>
      </c>
      <c r="F220" s="97">
        <f t="shared" si="274"/>
        <v>93.371679027664513</v>
      </c>
      <c r="G220" s="97">
        <f t="shared" si="274"/>
        <v>92.945325323657968</v>
      </c>
      <c r="H220" s="97">
        <f t="shared" si="274"/>
        <v>96.258372654584278</v>
      </c>
      <c r="I220" s="97">
        <f t="shared" si="274"/>
        <v>99.936450843126977</v>
      </c>
      <c r="J220" s="97">
        <f t="shared" si="274"/>
        <v>99.802112733785535</v>
      </c>
      <c r="K220" s="97">
        <f t="shared" si="274"/>
        <v>101.33767199014508</v>
      </c>
      <c r="L220" s="97">
        <f t="shared" si="274"/>
        <v>106.06510534481417</v>
      </c>
      <c r="M220" s="97">
        <f t="shared" si="274"/>
        <v>106.71408609195551</v>
      </c>
      <c r="N220" s="97">
        <f t="shared" si="274"/>
        <v>111.36218910419299</v>
      </c>
      <c r="O220" s="97">
        <f t="shared" si="274"/>
        <v>112.51299613896701</v>
      </c>
      <c r="P220" s="97">
        <f t="shared" si="274"/>
        <v>102.24068847025688</v>
      </c>
      <c r="Q220" s="97">
        <f t="shared" si="274"/>
        <v>106.18398183177787</v>
      </c>
      <c r="R220" s="97">
        <f t="shared" si="274"/>
        <v>120.96215431498301</v>
      </c>
      <c r="S220" s="97">
        <f t="shared" si="274"/>
        <v>111.45752948874055</v>
      </c>
      <c r="T220" s="97">
        <f t="shared" si="274"/>
        <v>115.63444862342442</v>
      </c>
      <c r="U220" s="97">
        <f t="shared" si="274"/>
        <v>110.503652714252</v>
      </c>
      <c r="V220" s="97">
        <f t="shared" si="274"/>
        <v>112.44833192092518</v>
      </c>
      <c r="W220" s="97">
        <f t="shared" ref="W220" si="275">IF(W8=0,0,W68/W8*1000)</f>
        <v>103.08976563604999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13.120138503022769</v>
      </c>
      <c r="C221" s="130">
        <f t="shared" si="276"/>
        <v>11.78405784415976</v>
      </c>
      <c r="D221" s="130">
        <f t="shared" si="276"/>
        <v>11.718679435431987</v>
      </c>
      <c r="E221" s="130">
        <f t="shared" si="276"/>
        <v>12.008914374912951</v>
      </c>
      <c r="F221" s="130">
        <f t="shared" si="276"/>
        <v>11.55236794952557</v>
      </c>
      <c r="G221" s="130">
        <f t="shared" si="276"/>
        <v>9.685529147924429</v>
      </c>
      <c r="H221" s="130">
        <f t="shared" si="276"/>
        <v>9.7921709956348462</v>
      </c>
      <c r="I221" s="130">
        <f t="shared" si="276"/>
        <v>7.5343496524011275</v>
      </c>
      <c r="J221" s="130">
        <f t="shared" si="276"/>
        <v>7.2577114838577508</v>
      </c>
      <c r="K221" s="130">
        <f t="shared" si="276"/>
        <v>6.2838695394544501</v>
      </c>
      <c r="L221" s="130">
        <f t="shared" si="276"/>
        <v>6.873592231683805</v>
      </c>
      <c r="M221" s="130">
        <f t="shared" si="276"/>
        <v>7.7533644513276556</v>
      </c>
      <c r="N221" s="130">
        <f t="shared" si="276"/>
        <v>6.5649335713320358</v>
      </c>
      <c r="O221" s="130">
        <f t="shared" si="276"/>
        <v>5.4700956598402328</v>
      </c>
      <c r="P221" s="130">
        <f t="shared" si="276"/>
        <v>6.5351677545018259</v>
      </c>
      <c r="Q221" s="130">
        <f t="shared" si="276"/>
        <v>6.3245011509651325</v>
      </c>
      <c r="R221" s="130">
        <f t="shared" si="276"/>
        <v>5.7293432387821062</v>
      </c>
      <c r="S221" s="130">
        <f t="shared" si="276"/>
        <v>5.6160142866814464</v>
      </c>
      <c r="T221" s="130">
        <f t="shared" si="276"/>
        <v>3.9625784399984365</v>
      </c>
      <c r="U221" s="130">
        <f t="shared" si="276"/>
        <v>2.5977364752547647</v>
      </c>
      <c r="V221" s="130">
        <f t="shared" si="276"/>
        <v>3.8831008187108358</v>
      </c>
      <c r="W221" s="130">
        <f t="shared" ref="W221" si="277">IF(W9=0,0,W69/W9*1000)</f>
        <v>3.6969353649772194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15.355363059026649</v>
      </c>
      <c r="C223" s="97">
        <f t="shared" si="280"/>
        <v>13.849010997112149</v>
      </c>
      <c r="D223" s="97">
        <f t="shared" si="280"/>
        <v>14.120953495004519</v>
      </c>
      <c r="E223" s="97">
        <f t="shared" si="280"/>
        <v>14.773107763376823</v>
      </c>
      <c r="F223" s="97">
        <f t="shared" si="280"/>
        <v>14.033048841508334</v>
      </c>
      <c r="G223" s="97">
        <f t="shared" si="280"/>
        <v>12.245297981777522</v>
      </c>
      <c r="H223" s="97">
        <f t="shared" si="280"/>
        <v>12.816548446460553</v>
      </c>
      <c r="I223" s="97">
        <f t="shared" si="280"/>
        <v>10.125902065672308</v>
      </c>
      <c r="J223" s="97">
        <f t="shared" si="280"/>
        <v>9.699518787756249</v>
      </c>
      <c r="K223" s="97">
        <f t="shared" si="280"/>
        <v>8.465555296428855</v>
      </c>
      <c r="L223" s="97">
        <f t="shared" si="280"/>
        <v>9.3275560846519348</v>
      </c>
      <c r="M223" s="97">
        <f t="shared" si="280"/>
        <v>10.744262052470123</v>
      </c>
      <c r="N223" s="97">
        <f t="shared" si="280"/>
        <v>8.9998984126376342</v>
      </c>
      <c r="O223" s="97">
        <f t="shared" si="280"/>
        <v>7.5977238867562455</v>
      </c>
      <c r="P223" s="97">
        <f t="shared" si="280"/>
        <v>8.8966767324186122</v>
      </c>
      <c r="Q223" s="97">
        <f t="shared" si="280"/>
        <v>8.2645642584783126</v>
      </c>
      <c r="R223" s="97">
        <f t="shared" si="280"/>
        <v>7.7362571222211569</v>
      </c>
      <c r="S223" s="97">
        <f t="shared" si="280"/>
        <v>7.5475572983437926</v>
      </c>
      <c r="T223" s="97">
        <f t="shared" si="280"/>
        <v>5.4985769316602555</v>
      </c>
      <c r="U223" s="97">
        <f t="shared" si="280"/>
        <v>3.5246653789021014</v>
      </c>
      <c r="V223" s="97">
        <f t="shared" si="280"/>
        <v>5.263084493797562</v>
      </c>
      <c r="W223" s="97">
        <f t="shared" ref="W223" si="281">IF(W11=0,0,W71/W11*1000)</f>
        <v>4.9022229171746412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133.85225449818088</v>
      </c>
      <c r="C225" s="130">
        <f t="shared" si="284"/>
        <v>135.77629948368994</v>
      </c>
      <c r="D225" s="130">
        <f t="shared" si="284"/>
        <v>132.31514680206735</v>
      </c>
      <c r="E225" s="130">
        <f t="shared" si="284"/>
        <v>136.80120763463617</v>
      </c>
      <c r="F225" s="130">
        <f t="shared" si="284"/>
        <v>134.88649170312709</v>
      </c>
      <c r="G225" s="130">
        <f t="shared" si="284"/>
        <v>123.57330053979696</v>
      </c>
      <c r="H225" s="130">
        <f t="shared" si="284"/>
        <v>121.3828838137473</v>
      </c>
      <c r="I225" s="130">
        <f t="shared" si="284"/>
        <v>116.84809199050299</v>
      </c>
      <c r="J225" s="130">
        <f t="shared" si="284"/>
        <v>120.47247051547495</v>
      </c>
      <c r="K225" s="130">
        <f t="shared" si="284"/>
        <v>111.73871720885204</v>
      </c>
      <c r="L225" s="130">
        <f t="shared" si="284"/>
        <v>110.66717276483051</v>
      </c>
      <c r="M225" s="130">
        <f t="shared" si="284"/>
        <v>113.50468926238587</v>
      </c>
      <c r="N225" s="130">
        <f t="shared" si="284"/>
        <v>102.96867725392696</v>
      </c>
      <c r="O225" s="130">
        <f t="shared" si="284"/>
        <v>102.53560370064689</v>
      </c>
      <c r="P225" s="130">
        <f t="shared" si="284"/>
        <v>97.770214213427778</v>
      </c>
      <c r="Q225" s="130">
        <f t="shared" si="284"/>
        <v>99.940204330981274</v>
      </c>
      <c r="R225" s="130">
        <f t="shared" si="284"/>
        <v>96.048433275320406</v>
      </c>
      <c r="S225" s="130">
        <f t="shared" si="284"/>
        <v>88.445554833515644</v>
      </c>
      <c r="T225" s="130">
        <f t="shared" si="284"/>
        <v>90.947971853449857</v>
      </c>
      <c r="U225" s="130">
        <f t="shared" si="284"/>
        <v>90.080133903126736</v>
      </c>
      <c r="V225" s="130">
        <f t="shared" si="284"/>
        <v>129.29708968201467</v>
      </c>
      <c r="W225" s="130">
        <f t="shared" ref="W225" si="285">IF(W13=0,0,W73/W13*1000)</f>
        <v>183.73258074712444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233.1605599135188</v>
      </c>
      <c r="C226" s="97">
        <f t="shared" si="286"/>
        <v>233.85552645483469</v>
      </c>
      <c r="D226" s="97">
        <f t="shared" si="286"/>
        <v>203.39083976435174</v>
      </c>
      <c r="E226" s="97">
        <f t="shared" si="286"/>
        <v>235.65491091980022</v>
      </c>
      <c r="F226" s="97">
        <f t="shared" si="286"/>
        <v>227.08965918791785</v>
      </c>
      <c r="G226" s="97">
        <f t="shared" si="286"/>
        <v>218.04300999347825</v>
      </c>
      <c r="H226" s="97">
        <f t="shared" si="286"/>
        <v>212.08992005890696</v>
      </c>
      <c r="I226" s="97">
        <f t="shared" si="286"/>
        <v>189.09827326744741</v>
      </c>
      <c r="J226" s="97">
        <f t="shared" si="286"/>
        <v>197.3558945686635</v>
      </c>
      <c r="K226" s="97">
        <f t="shared" si="286"/>
        <v>196.50017926485799</v>
      </c>
      <c r="L226" s="97">
        <f t="shared" si="286"/>
        <v>197.33030982205167</v>
      </c>
      <c r="M226" s="97">
        <f t="shared" si="286"/>
        <v>186.21646905567451</v>
      </c>
      <c r="N226" s="97">
        <f t="shared" si="286"/>
        <v>155.49031335454541</v>
      </c>
      <c r="O226" s="97">
        <f t="shared" si="286"/>
        <v>148.03471564485335</v>
      </c>
      <c r="P226" s="97">
        <f t="shared" si="286"/>
        <v>142.22764760263794</v>
      </c>
      <c r="Q226" s="97">
        <f t="shared" si="286"/>
        <v>136.57939726880545</v>
      </c>
      <c r="R226" s="97">
        <f t="shared" si="286"/>
        <v>131.92601694646186</v>
      </c>
      <c r="S226" s="97">
        <f t="shared" si="286"/>
        <v>127.39248734945518</v>
      </c>
      <c r="T226" s="97">
        <f t="shared" si="286"/>
        <v>124.95596493567984</v>
      </c>
      <c r="U226" s="97">
        <f t="shared" si="286"/>
        <v>119.12257008873381</v>
      </c>
      <c r="V226" s="97">
        <f t="shared" si="286"/>
        <v>136.60841257944219</v>
      </c>
      <c r="W226" s="97">
        <f t="shared" ref="W226" si="287">IF(W14=0,0,W74/W14*1000)</f>
        <v>138.56759301041359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113.62358052025442</v>
      </c>
      <c r="C227" s="97">
        <f t="shared" si="288"/>
        <v>115.21640495539164</v>
      </c>
      <c r="D227" s="97">
        <f t="shared" si="288"/>
        <v>113.83735322211187</v>
      </c>
      <c r="E227" s="97">
        <f t="shared" si="288"/>
        <v>117.314146342901</v>
      </c>
      <c r="F227" s="97">
        <f t="shared" si="288"/>
        <v>120.82627445361643</v>
      </c>
      <c r="G227" s="97">
        <f t="shared" si="288"/>
        <v>114.12762449349665</v>
      </c>
      <c r="H227" s="97">
        <f t="shared" si="288"/>
        <v>119.59291323318557</v>
      </c>
      <c r="I227" s="97">
        <f t="shared" si="288"/>
        <v>133.17451294439726</v>
      </c>
      <c r="J227" s="97">
        <f t="shared" si="288"/>
        <v>149.41302807456387</v>
      </c>
      <c r="K227" s="97">
        <f t="shared" si="288"/>
        <v>135.66388225075551</v>
      </c>
      <c r="L227" s="97">
        <f t="shared" si="288"/>
        <v>140.62034321843132</v>
      </c>
      <c r="M227" s="97">
        <f t="shared" si="288"/>
        <v>146.64258355716842</v>
      </c>
      <c r="N227" s="97">
        <f t="shared" si="288"/>
        <v>138.45416783895905</v>
      </c>
      <c r="O227" s="97">
        <f t="shared" si="288"/>
        <v>135.23765744318456</v>
      </c>
      <c r="P227" s="97">
        <f t="shared" si="288"/>
        <v>120.82854585234143</v>
      </c>
      <c r="Q227" s="97">
        <f t="shared" si="288"/>
        <v>127.69563312830348</v>
      </c>
      <c r="R227" s="97">
        <f t="shared" si="288"/>
        <v>125.56653535842955</v>
      </c>
      <c r="S227" s="97">
        <f t="shared" si="288"/>
        <v>119.33252340561374</v>
      </c>
      <c r="T227" s="97">
        <f t="shared" si="288"/>
        <v>125.80819474782159</v>
      </c>
      <c r="U227" s="97">
        <f t="shared" si="288"/>
        <v>129.96420059387574</v>
      </c>
      <c r="V227" s="97">
        <f t="shared" si="288"/>
        <v>177.2921681855621</v>
      </c>
      <c r="W227" s="97">
        <f t="shared" ref="W227" si="289">IF(W15=0,0,W75/W15*1000)</f>
        <v>203.86298670510175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120.53436088914482</v>
      </c>
      <c r="C228" s="97">
        <f t="shared" si="290"/>
        <v>125.52687653004155</v>
      </c>
      <c r="D228" s="97">
        <f t="shared" si="290"/>
        <v>131.29282932499817</v>
      </c>
      <c r="E228" s="97">
        <f t="shared" si="290"/>
        <v>130.49378386485662</v>
      </c>
      <c r="F228" s="97">
        <f t="shared" si="290"/>
        <v>123.47664518197338</v>
      </c>
      <c r="G228" s="97">
        <f t="shared" si="290"/>
        <v>107.02261759133572</v>
      </c>
      <c r="H228" s="97">
        <f t="shared" si="290"/>
        <v>98.617292279966975</v>
      </c>
      <c r="I228" s="97">
        <f t="shared" si="290"/>
        <v>82.2556308605309</v>
      </c>
      <c r="J228" s="97">
        <f t="shared" si="290"/>
        <v>78.913884119875831</v>
      </c>
      <c r="K228" s="97">
        <f t="shared" si="290"/>
        <v>74.652704603196241</v>
      </c>
      <c r="L228" s="97">
        <f t="shared" si="290"/>
        <v>71.409728534308783</v>
      </c>
      <c r="M228" s="97">
        <f t="shared" si="290"/>
        <v>73.522367887526499</v>
      </c>
      <c r="N228" s="97">
        <f t="shared" si="290"/>
        <v>67.01328293115813</v>
      </c>
      <c r="O228" s="97">
        <f t="shared" si="290"/>
        <v>69.02595482694737</v>
      </c>
      <c r="P228" s="97">
        <f t="shared" si="290"/>
        <v>69.270174992015157</v>
      </c>
      <c r="Q228" s="97">
        <f t="shared" si="290"/>
        <v>69.070353053799039</v>
      </c>
      <c r="R228" s="97">
        <f t="shared" si="290"/>
        <v>63.641963431655043</v>
      </c>
      <c r="S228" s="97">
        <f t="shared" si="290"/>
        <v>55.703083753899328</v>
      </c>
      <c r="T228" s="97">
        <f t="shared" si="290"/>
        <v>56.620965404395939</v>
      </c>
      <c r="U228" s="97">
        <f t="shared" si="290"/>
        <v>55.18945519863076</v>
      </c>
      <c r="V228" s="97">
        <f t="shared" si="290"/>
        <v>92.390621945530185</v>
      </c>
      <c r="W228" s="97">
        <f t="shared" ref="W228" si="291">IF(W16=0,0,W76/W16*1000)</f>
        <v>170.36740358095017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106.56724918417437</v>
      </c>
      <c r="C229" s="32">
        <f t="shared" si="292"/>
        <v>111.44116052268717</v>
      </c>
      <c r="D229" s="32">
        <f t="shared" si="292"/>
        <v>109.35423466324586</v>
      </c>
      <c r="E229" s="32">
        <f t="shared" si="292"/>
        <v>112.88172379961885</v>
      </c>
      <c r="F229" s="32">
        <f t="shared" si="292"/>
        <v>114.41532653150252</v>
      </c>
      <c r="G229" s="32">
        <f t="shared" si="292"/>
        <v>113.67909764690852</v>
      </c>
      <c r="H229" s="32">
        <f t="shared" si="292"/>
        <v>116.59789352722561</v>
      </c>
      <c r="I229" s="32">
        <f t="shared" si="292"/>
        <v>119.29969947823848</v>
      </c>
      <c r="J229" s="32">
        <f t="shared" si="292"/>
        <v>107.95428269708103</v>
      </c>
      <c r="K229" s="32">
        <f t="shared" si="292"/>
        <v>110.23560626929002</v>
      </c>
      <c r="L229" s="32">
        <f t="shared" si="292"/>
        <v>112.38333140631444</v>
      </c>
      <c r="M229" s="32">
        <f t="shared" si="292"/>
        <v>112.83689324168353</v>
      </c>
      <c r="N229" s="32">
        <f t="shared" si="292"/>
        <v>112.62497183251887</v>
      </c>
      <c r="O229" s="32">
        <f t="shared" si="292"/>
        <v>115.25269834291313</v>
      </c>
      <c r="P229" s="32">
        <f t="shared" si="292"/>
        <v>97.885470688447342</v>
      </c>
      <c r="Q229" s="32">
        <f t="shared" si="292"/>
        <v>94.204405424267136</v>
      </c>
      <c r="R229" s="32">
        <f t="shared" si="292"/>
        <v>102.51144593757495</v>
      </c>
      <c r="S229" s="32">
        <f t="shared" si="292"/>
        <v>88.235175670763823</v>
      </c>
      <c r="T229" s="32">
        <f t="shared" si="292"/>
        <v>89.093007461499681</v>
      </c>
      <c r="U229" s="32">
        <f t="shared" si="292"/>
        <v>85.986592940101986</v>
      </c>
      <c r="V229" s="32">
        <f t="shared" si="292"/>
        <v>81.862412136327777</v>
      </c>
      <c r="W229" s="32">
        <f t="shared" ref="W229" si="293">IF(W17=0,0,W77/W17*1000)</f>
        <v>79.261421791828027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125.6129727623817</v>
      </c>
      <c r="C230" s="141">
        <f t="shared" si="294"/>
        <v>133.46950345267251</v>
      </c>
      <c r="D230" s="141">
        <f t="shared" si="294"/>
        <v>128.65714883626305</v>
      </c>
      <c r="E230" s="141">
        <f t="shared" si="294"/>
        <v>134.80282859810109</v>
      </c>
      <c r="F230" s="141">
        <f t="shared" si="294"/>
        <v>136.84338089242203</v>
      </c>
      <c r="G230" s="141">
        <f t="shared" si="294"/>
        <v>133.36981075686091</v>
      </c>
      <c r="H230" s="141">
        <f t="shared" si="294"/>
        <v>143.46377785225124</v>
      </c>
      <c r="I230" s="141">
        <f t="shared" si="294"/>
        <v>144.57135007363291</v>
      </c>
      <c r="J230" s="141">
        <f t="shared" si="294"/>
        <v>131.60532399668955</v>
      </c>
      <c r="K230" s="141">
        <f t="shared" si="294"/>
        <v>129.69601959696971</v>
      </c>
      <c r="L230" s="141">
        <f t="shared" si="294"/>
        <v>134.40401638068721</v>
      </c>
      <c r="M230" s="141">
        <f t="shared" si="294"/>
        <v>136.33950147385906</v>
      </c>
      <c r="N230" s="141">
        <f t="shared" si="294"/>
        <v>136.81540649562214</v>
      </c>
      <c r="O230" s="141">
        <f t="shared" si="294"/>
        <v>141.71109190877991</v>
      </c>
      <c r="P230" s="141">
        <f t="shared" si="294"/>
        <v>121.04953681154169</v>
      </c>
      <c r="Q230" s="141">
        <f t="shared" si="294"/>
        <v>110.82483529609284</v>
      </c>
      <c r="R230" s="141">
        <f t="shared" si="294"/>
        <v>125.07760079669067</v>
      </c>
      <c r="S230" s="141">
        <f t="shared" si="294"/>
        <v>106.78443029367801</v>
      </c>
      <c r="T230" s="141">
        <f t="shared" si="294"/>
        <v>110.62120675491502</v>
      </c>
      <c r="U230" s="141">
        <f t="shared" si="294"/>
        <v>104.22047160700207</v>
      </c>
      <c r="V230" s="141">
        <f t="shared" si="294"/>
        <v>98.297342237312321</v>
      </c>
      <c r="W230" s="141">
        <f t="shared" ref="W230" si="295">IF(W18=0,0,W78/W18*1000)</f>
        <v>94.964568027275533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1011.4499474967018</v>
      </c>
      <c r="C231" s="97">
        <f t="shared" si="296"/>
        <v>982.87145455108157</v>
      </c>
      <c r="D231" s="97">
        <f t="shared" si="296"/>
        <v>965.87894097517756</v>
      </c>
      <c r="E231" s="97">
        <f t="shared" si="296"/>
        <v>953.34634725014848</v>
      </c>
      <c r="F231" s="97">
        <f t="shared" si="296"/>
        <v>941.31718897571443</v>
      </c>
      <c r="G231" s="97">
        <f t="shared" si="296"/>
        <v>914.55360063549074</v>
      </c>
      <c r="H231" s="97">
        <f t="shared" si="296"/>
        <v>921.23501153976463</v>
      </c>
      <c r="I231" s="97">
        <f t="shared" si="296"/>
        <v>929.96011024569964</v>
      </c>
      <c r="J231" s="97">
        <f t="shared" si="296"/>
        <v>877.1609739398242</v>
      </c>
      <c r="K231" s="97">
        <f t="shared" si="296"/>
        <v>839.42952579209555</v>
      </c>
      <c r="L231" s="97">
        <f t="shared" si="296"/>
        <v>846.47238914260038</v>
      </c>
      <c r="M231" s="97">
        <f t="shared" si="296"/>
        <v>830.91354240763985</v>
      </c>
      <c r="N231" s="97">
        <f t="shared" si="296"/>
        <v>824.04306840893707</v>
      </c>
      <c r="O231" s="97">
        <f t="shared" si="296"/>
        <v>803.78351239969288</v>
      </c>
      <c r="P231" s="97">
        <f t="shared" si="296"/>
        <v>698.63062661954996</v>
      </c>
      <c r="Q231" s="97">
        <f t="shared" si="296"/>
        <v>695.12392429151157</v>
      </c>
      <c r="R231" s="97">
        <f t="shared" si="296"/>
        <v>806.3353520109539</v>
      </c>
      <c r="S231" s="97">
        <f t="shared" si="296"/>
        <v>716.00067661929245</v>
      </c>
      <c r="T231" s="97">
        <f t="shared" si="296"/>
        <v>729.16274389922648</v>
      </c>
      <c r="U231" s="97">
        <f t="shared" si="296"/>
        <v>696.49238506887923</v>
      </c>
      <c r="V231" s="97">
        <f t="shared" si="296"/>
        <v>691.92160512170892</v>
      </c>
      <c r="W231" s="97">
        <f t="shared" ref="W231" si="297">IF(W19=0,0,W79/W19*1000)</f>
        <v>638.89508644806529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86.642093604684163</v>
      </c>
      <c r="C232" s="97">
        <f t="shared" si="298"/>
        <v>93.750046950334905</v>
      </c>
      <c r="D232" s="97">
        <f t="shared" si="298"/>
        <v>90.800921577104191</v>
      </c>
      <c r="E232" s="97">
        <f t="shared" si="298"/>
        <v>95.69649055239617</v>
      </c>
      <c r="F232" s="97">
        <f t="shared" si="298"/>
        <v>96.164507906948785</v>
      </c>
      <c r="G232" s="97">
        <f t="shared" si="298"/>
        <v>93.380199720819547</v>
      </c>
      <c r="H232" s="97">
        <f t="shared" si="298"/>
        <v>99.561571472829215</v>
      </c>
      <c r="I232" s="97">
        <f t="shared" si="298"/>
        <v>99.099657231268836</v>
      </c>
      <c r="J232" s="97">
        <f t="shared" si="298"/>
        <v>87.621797782165729</v>
      </c>
      <c r="K232" s="97">
        <f t="shared" si="298"/>
        <v>81.426480818161735</v>
      </c>
      <c r="L232" s="97">
        <f t="shared" si="298"/>
        <v>85.698332406773943</v>
      </c>
      <c r="M232" s="97">
        <f t="shared" si="298"/>
        <v>82.526629184763664</v>
      </c>
      <c r="N232" s="97">
        <f t="shared" si="298"/>
        <v>78.530731823059426</v>
      </c>
      <c r="O232" s="97">
        <f t="shared" si="298"/>
        <v>80.266654500495989</v>
      </c>
      <c r="P232" s="97">
        <f t="shared" si="298"/>
        <v>65.301459861548153</v>
      </c>
      <c r="Q232" s="97">
        <f t="shared" si="298"/>
        <v>56.0909781276712</v>
      </c>
      <c r="R232" s="97">
        <f t="shared" si="298"/>
        <v>66.560148929042313</v>
      </c>
      <c r="S232" s="97">
        <f t="shared" si="298"/>
        <v>55.986215374638086</v>
      </c>
      <c r="T232" s="97">
        <f t="shared" si="298"/>
        <v>56.876949451874601</v>
      </c>
      <c r="U232" s="97">
        <f t="shared" si="298"/>
        <v>52.182629600213843</v>
      </c>
      <c r="V232" s="97">
        <f t="shared" si="298"/>
        <v>47.908787020845423</v>
      </c>
      <c r="W232" s="97">
        <f t="shared" ref="W232" si="299">IF(W20=0,0,W80/W20*1000)</f>
        <v>47.067514341439427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9.7517907589992223</v>
      </c>
      <c r="C233" s="130">
        <f t="shared" si="300"/>
        <v>9.6962366975047818</v>
      </c>
      <c r="D233" s="130">
        <f t="shared" si="300"/>
        <v>9.1967812443502286</v>
      </c>
      <c r="E233" s="130">
        <f t="shared" si="300"/>
        <v>8.7057506478076583</v>
      </c>
      <c r="F233" s="130">
        <f t="shared" si="300"/>
        <v>9.065626414209639</v>
      </c>
      <c r="G233" s="130">
        <f t="shared" si="300"/>
        <v>9.4013705678663317</v>
      </c>
      <c r="H233" s="130">
        <f t="shared" si="300"/>
        <v>8.7244395184213364</v>
      </c>
      <c r="I233" s="130">
        <f t="shared" si="300"/>
        <v>7.5289419660705335</v>
      </c>
      <c r="J233" s="130">
        <f t="shared" si="300"/>
        <v>7.5013988826200295</v>
      </c>
      <c r="K233" s="130">
        <f t="shared" si="300"/>
        <v>7.5972471990627568</v>
      </c>
      <c r="L233" s="130">
        <f t="shared" si="300"/>
        <v>6.915709238150912</v>
      </c>
      <c r="M233" s="130">
        <f t="shared" si="300"/>
        <v>7.1685451226729393</v>
      </c>
      <c r="N233" s="130">
        <f t="shared" si="300"/>
        <v>7.7086105553805435</v>
      </c>
      <c r="O233" s="130">
        <f t="shared" si="300"/>
        <v>7.1584352765840995</v>
      </c>
      <c r="P233" s="130">
        <f t="shared" si="300"/>
        <v>6.0181568085250428</v>
      </c>
      <c r="Q233" s="130">
        <f t="shared" si="300"/>
        <v>4.8479046896801314</v>
      </c>
      <c r="R233" s="130">
        <f t="shared" si="300"/>
        <v>4.4302683446668931</v>
      </c>
      <c r="S233" s="130">
        <f t="shared" si="300"/>
        <v>3.8376595162179852</v>
      </c>
      <c r="T233" s="130">
        <f t="shared" si="300"/>
        <v>4.7123646993817125</v>
      </c>
      <c r="U233" s="130">
        <f t="shared" si="300"/>
        <v>5.4111452178670376</v>
      </c>
      <c r="V233" s="130">
        <f t="shared" si="300"/>
        <v>4.9884539634975891</v>
      </c>
      <c r="W233" s="130">
        <f t="shared" ref="W233" si="301">IF(W21=0,0,W81/W21*1000)</f>
        <v>5.4301912505378027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238.11913885824987</v>
      </c>
      <c r="C234" s="130">
        <f t="shared" si="302"/>
        <v>234.30078828632782</v>
      </c>
      <c r="D234" s="130">
        <f t="shared" si="302"/>
        <v>246.04938934198054</v>
      </c>
      <c r="E234" s="130">
        <f t="shared" si="302"/>
        <v>258.97077409549627</v>
      </c>
      <c r="F234" s="130">
        <f t="shared" si="302"/>
        <v>276.53567558721676</v>
      </c>
      <c r="G234" s="130">
        <f t="shared" si="302"/>
        <v>263.89857578425767</v>
      </c>
      <c r="H234" s="130">
        <f t="shared" si="302"/>
        <v>297.91231183982751</v>
      </c>
      <c r="I234" s="130">
        <f t="shared" si="302"/>
        <v>289.8965727756518</v>
      </c>
      <c r="J234" s="130">
        <f t="shared" si="302"/>
        <v>300.18779695776948</v>
      </c>
      <c r="K234" s="130">
        <f t="shared" si="302"/>
        <v>324.76463823111783</v>
      </c>
      <c r="L234" s="130">
        <f t="shared" si="302"/>
        <v>349.15072582930645</v>
      </c>
      <c r="M234" s="130">
        <f t="shared" si="302"/>
        <v>268.95594869970228</v>
      </c>
      <c r="N234" s="130">
        <f t="shared" si="302"/>
        <v>221.02684042563652</v>
      </c>
      <c r="O234" s="130">
        <f t="shared" si="302"/>
        <v>252.49227498543343</v>
      </c>
      <c r="P234" s="130">
        <f t="shared" si="302"/>
        <v>251.33416641534524</v>
      </c>
      <c r="Q234" s="130">
        <f t="shared" si="302"/>
        <v>298.86388915796715</v>
      </c>
      <c r="R234" s="130">
        <f t="shared" si="302"/>
        <v>248.54695897151694</v>
      </c>
      <c r="S234" s="130">
        <f t="shared" si="302"/>
        <v>264.32461798335919</v>
      </c>
      <c r="T234" s="130">
        <f t="shared" si="302"/>
        <v>270.54959361168056</v>
      </c>
      <c r="U234" s="130">
        <f t="shared" si="302"/>
        <v>329.85719180666592</v>
      </c>
      <c r="V234" s="130">
        <f t="shared" si="302"/>
        <v>275.17447721745503</v>
      </c>
      <c r="W234" s="130">
        <f t="shared" ref="W234" si="303">IF(W22=0,0,W82/W22*1000)</f>
        <v>300.09640233011663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1599.2663790185657</v>
      </c>
      <c r="C235" s="97">
        <f t="shared" si="304"/>
        <v>1630.6786620953701</v>
      </c>
      <c r="D235" s="97">
        <f t="shared" si="304"/>
        <v>1478.2231111472354</v>
      </c>
      <c r="E235" s="97">
        <f t="shared" si="304"/>
        <v>1376.4027380012715</v>
      </c>
      <c r="F235" s="97">
        <f t="shared" si="304"/>
        <v>1466.4951477274728</v>
      </c>
      <c r="G235" s="97">
        <f t="shared" si="304"/>
        <v>1379.4362500313523</v>
      </c>
      <c r="H235" s="97">
        <f t="shared" si="304"/>
        <v>1582.2602519464376</v>
      </c>
      <c r="I235" s="97">
        <f t="shared" si="304"/>
        <v>1591.8989405170687</v>
      </c>
      <c r="J235" s="97">
        <f t="shared" si="304"/>
        <v>1867.8646848998794</v>
      </c>
      <c r="K235" s="97">
        <f t="shared" si="304"/>
        <v>1799.9413204822251</v>
      </c>
      <c r="L235" s="97">
        <f t="shared" si="304"/>
        <v>1893.7869497234947</v>
      </c>
      <c r="M235" s="97">
        <f t="shared" si="304"/>
        <v>1380.7156793992369</v>
      </c>
      <c r="N235" s="97">
        <f t="shared" si="304"/>
        <v>1078.7628970092949</v>
      </c>
      <c r="O235" s="97">
        <f t="shared" si="304"/>
        <v>1029.2095246899198</v>
      </c>
      <c r="P235" s="97">
        <f t="shared" si="304"/>
        <v>948.57544032308419</v>
      </c>
      <c r="Q235" s="97">
        <f t="shared" si="304"/>
        <v>942.90186520957525</v>
      </c>
      <c r="R235" s="97">
        <f t="shared" si="304"/>
        <v>850.46724702165568</v>
      </c>
      <c r="S235" s="97">
        <f t="shared" si="304"/>
        <v>913.68924151594763</v>
      </c>
      <c r="T235" s="97">
        <f t="shared" si="304"/>
        <v>910.39198906312026</v>
      </c>
      <c r="U235" s="97">
        <f t="shared" si="304"/>
        <v>849.9126078056122</v>
      </c>
      <c r="V235" s="97">
        <f t="shared" si="304"/>
        <v>847.99418776904679</v>
      </c>
      <c r="W235" s="97">
        <f t="shared" ref="W235" si="305">IF(W23=0,0,W83/W23*1000)</f>
        <v>729.88975691014923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390.62994542855301</v>
      </c>
      <c r="C236" s="97">
        <f t="shared" si="306"/>
        <v>364.20219126240522</v>
      </c>
      <c r="D236" s="97">
        <f t="shared" si="306"/>
        <v>413.14708799750019</v>
      </c>
      <c r="E236" s="97">
        <f t="shared" si="306"/>
        <v>370.19293424976519</v>
      </c>
      <c r="F236" s="97">
        <f t="shared" si="306"/>
        <v>417.836843775283</v>
      </c>
      <c r="G236" s="97">
        <f t="shared" si="306"/>
        <v>430.0806971484094</v>
      </c>
      <c r="H236" s="97">
        <f t="shared" si="306"/>
        <v>548.45927462152702</v>
      </c>
      <c r="I236" s="97">
        <f t="shared" si="306"/>
        <v>610.91866106745476</v>
      </c>
      <c r="J236" s="97">
        <f t="shared" si="306"/>
        <v>675.88114610957439</v>
      </c>
      <c r="K236" s="97">
        <f t="shared" si="306"/>
        <v>615.34493443817792</v>
      </c>
      <c r="L236" s="97">
        <f t="shared" si="306"/>
        <v>659.42205598064686</v>
      </c>
      <c r="M236" s="97">
        <f t="shared" si="306"/>
        <v>661.92304467387328</v>
      </c>
      <c r="N236" s="97">
        <f t="shared" si="306"/>
        <v>616.15154599962796</v>
      </c>
      <c r="O236" s="97">
        <f t="shared" si="306"/>
        <v>615.69719799416771</v>
      </c>
      <c r="P236" s="97">
        <f t="shared" si="306"/>
        <v>489.45309043456831</v>
      </c>
      <c r="Q236" s="97">
        <f t="shared" si="306"/>
        <v>534.32796950741977</v>
      </c>
      <c r="R236" s="97">
        <f t="shared" si="306"/>
        <v>526.46579861835733</v>
      </c>
      <c r="S236" s="97">
        <f t="shared" si="306"/>
        <v>615.63731810345166</v>
      </c>
      <c r="T236" s="97">
        <f t="shared" si="306"/>
        <v>676.93057788233523</v>
      </c>
      <c r="U236" s="97">
        <f t="shared" si="306"/>
        <v>780.20320084962373</v>
      </c>
      <c r="V236" s="97">
        <f t="shared" si="306"/>
        <v>669.29134291418836</v>
      </c>
      <c r="W236" s="97">
        <f t="shared" ref="W236" si="307">IF(W24=0,0,W84/W24*1000)</f>
        <v>812.37716176826632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134.9227316068214</v>
      </c>
      <c r="C237" s="97">
        <f t="shared" si="308"/>
        <v>129.95692487074038</v>
      </c>
      <c r="D237" s="97">
        <f t="shared" si="308"/>
        <v>144.46600912698665</v>
      </c>
      <c r="E237" s="97">
        <f t="shared" si="308"/>
        <v>151.88195220835189</v>
      </c>
      <c r="F237" s="97">
        <f t="shared" si="308"/>
        <v>160.58214401011708</v>
      </c>
      <c r="G237" s="97">
        <f t="shared" si="308"/>
        <v>156.25711232730254</v>
      </c>
      <c r="H237" s="97">
        <f t="shared" si="308"/>
        <v>135.39388492416279</v>
      </c>
      <c r="I237" s="97">
        <f t="shared" si="308"/>
        <v>115.00797795968296</v>
      </c>
      <c r="J237" s="97">
        <f t="shared" si="308"/>
        <v>117.36977732579419</v>
      </c>
      <c r="K237" s="97">
        <f t="shared" si="308"/>
        <v>112.63859400321786</v>
      </c>
      <c r="L237" s="97">
        <f t="shared" si="308"/>
        <v>127.87252856662784</v>
      </c>
      <c r="M237" s="97">
        <f t="shared" si="308"/>
        <v>115.72487407813182</v>
      </c>
      <c r="N237" s="97">
        <f t="shared" si="308"/>
        <v>109.38152530693175</v>
      </c>
      <c r="O237" s="97">
        <f t="shared" si="308"/>
        <v>110.8808454535603</v>
      </c>
      <c r="P237" s="97">
        <f t="shared" si="308"/>
        <v>100.0201712622944</v>
      </c>
      <c r="Q237" s="97">
        <f t="shared" si="308"/>
        <v>103.80664146016441</v>
      </c>
      <c r="R237" s="97">
        <f t="shared" si="308"/>
        <v>77.286158035160767</v>
      </c>
      <c r="S237" s="97">
        <f t="shared" si="308"/>
        <v>71.312822726149705</v>
      </c>
      <c r="T237" s="97">
        <f t="shared" si="308"/>
        <v>74.277339608901954</v>
      </c>
      <c r="U237" s="97">
        <f t="shared" si="308"/>
        <v>62.628643184498387</v>
      </c>
      <c r="V237" s="97">
        <f t="shared" si="308"/>
        <v>106.33345375916558</v>
      </c>
      <c r="W237" s="97">
        <f t="shared" ref="W237" si="309">IF(W25=0,0,W85/W25*1000)</f>
        <v>125.69269151136817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511.98315196721609</v>
      </c>
      <c r="C238" s="130">
        <f t="shared" si="310"/>
        <v>513.41241184284195</v>
      </c>
      <c r="D238" s="130">
        <f t="shared" si="310"/>
        <v>501.03002678283116</v>
      </c>
      <c r="E238" s="130">
        <f t="shared" si="310"/>
        <v>565.70942593561881</v>
      </c>
      <c r="F238" s="130">
        <f t="shared" si="310"/>
        <v>557.24291331510062</v>
      </c>
      <c r="G238" s="130">
        <f t="shared" si="310"/>
        <v>633.05116992489991</v>
      </c>
      <c r="H238" s="130">
        <f t="shared" si="310"/>
        <v>603.72477521414226</v>
      </c>
      <c r="I238" s="130">
        <f t="shared" si="310"/>
        <v>555.29386996199878</v>
      </c>
      <c r="J238" s="130">
        <f t="shared" si="310"/>
        <v>470.43654080421277</v>
      </c>
      <c r="K238" s="130">
        <f t="shared" si="310"/>
        <v>562.39533055121888</v>
      </c>
      <c r="L238" s="130">
        <f t="shared" si="310"/>
        <v>434.00677076864827</v>
      </c>
      <c r="M238" s="130">
        <f t="shared" si="310"/>
        <v>389.33177860997586</v>
      </c>
      <c r="N238" s="130">
        <f t="shared" si="310"/>
        <v>481.94504007037466</v>
      </c>
      <c r="O238" s="130">
        <f t="shared" si="310"/>
        <v>620.34051926748441</v>
      </c>
      <c r="P238" s="130">
        <f t="shared" si="310"/>
        <v>485.30601170469367</v>
      </c>
      <c r="Q238" s="130">
        <f t="shared" si="310"/>
        <v>453.71926169382812</v>
      </c>
      <c r="R238" s="130">
        <f t="shared" si="310"/>
        <v>391.66969519184892</v>
      </c>
      <c r="S238" s="130">
        <f t="shared" si="310"/>
        <v>380.21192473224664</v>
      </c>
      <c r="T238" s="130">
        <f t="shared" si="310"/>
        <v>323.59723244365665</v>
      </c>
      <c r="U238" s="130">
        <f t="shared" si="310"/>
        <v>211.56223400288329</v>
      </c>
      <c r="V238" s="130">
        <f t="shared" si="310"/>
        <v>295.30139727221382</v>
      </c>
      <c r="W238" s="130">
        <f t="shared" ref="W238" si="311">IF(W26=0,0,W86/W26*1000)</f>
        <v>426.92288730237857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499.32800178248277</v>
      </c>
      <c r="C239" s="97">
        <f t="shared" si="312"/>
        <v>503.83276495183594</v>
      </c>
      <c r="D239" s="97">
        <f t="shared" si="312"/>
        <v>495.41672084881213</v>
      </c>
      <c r="E239" s="97">
        <f t="shared" si="312"/>
        <v>547.66722938417615</v>
      </c>
      <c r="F239" s="97">
        <f t="shared" si="312"/>
        <v>534.93335440436169</v>
      </c>
      <c r="G239" s="97">
        <f t="shared" si="312"/>
        <v>607.96223711945595</v>
      </c>
      <c r="H239" s="97">
        <f t="shared" si="312"/>
        <v>588.73979522095954</v>
      </c>
      <c r="I239" s="97">
        <f t="shared" si="312"/>
        <v>534.58664801192526</v>
      </c>
      <c r="J239" s="97">
        <f t="shared" si="312"/>
        <v>467.02046743234189</v>
      </c>
      <c r="K239" s="97">
        <f t="shared" si="312"/>
        <v>555.19556657307351</v>
      </c>
      <c r="L239" s="97">
        <f t="shared" si="312"/>
        <v>439.31351159539446</v>
      </c>
      <c r="M239" s="97">
        <f t="shared" si="312"/>
        <v>395.63893850879998</v>
      </c>
      <c r="N239" s="97">
        <f t="shared" si="312"/>
        <v>490.92836562000934</v>
      </c>
      <c r="O239" s="97">
        <f t="shared" si="312"/>
        <v>631.44497887739476</v>
      </c>
      <c r="P239" s="97">
        <f t="shared" si="312"/>
        <v>507.52300065974856</v>
      </c>
      <c r="Q239" s="97">
        <f t="shared" si="312"/>
        <v>472.12097803747139</v>
      </c>
      <c r="R239" s="97">
        <f t="shared" si="312"/>
        <v>403.31737425876463</v>
      </c>
      <c r="S239" s="97">
        <f t="shared" si="312"/>
        <v>395.44072506594591</v>
      </c>
      <c r="T239" s="97">
        <f t="shared" si="312"/>
        <v>333.98711561310245</v>
      </c>
      <c r="U239" s="97">
        <f t="shared" si="312"/>
        <v>215.91149633658742</v>
      </c>
      <c r="V239" s="97">
        <f t="shared" si="312"/>
        <v>302.80472856365009</v>
      </c>
      <c r="W239" s="97">
        <f t="shared" ref="W239" si="313">IF(W27=0,0,W87/W27*1000)</f>
        <v>446.77266370500905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604.11543373499671</v>
      </c>
      <c r="C240" s="98">
        <f t="shared" si="314"/>
        <v>588.01898637396312</v>
      </c>
      <c r="D240" s="98">
        <f t="shared" si="314"/>
        <v>542.91040116851718</v>
      </c>
      <c r="E240" s="98">
        <f t="shared" si="314"/>
        <v>691.24239484786472</v>
      </c>
      <c r="F240" s="98">
        <f t="shared" si="314"/>
        <v>694.69305108445644</v>
      </c>
      <c r="G240" s="98">
        <f t="shared" si="314"/>
        <v>860.03141405395957</v>
      </c>
      <c r="H240" s="98">
        <f t="shared" si="314"/>
        <v>781.14943583009028</v>
      </c>
      <c r="I240" s="98">
        <f t="shared" si="314"/>
        <v>727.38854640936199</v>
      </c>
      <c r="J240" s="98">
        <f t="shared" si="314"/>
        <v>506.65810618633645</v>
      </c>
      <c r="K240" s="98">
        <f t="shared" si="314"/>
        <v>649.54693913073959</v>
      </c>
      <c r="L240" s="98">
        <f t="shared" si="314"/>
        <v>356.32935191714995</v>
      </c>
      <c r="M240" s="98">
        <f t="shared" si="314"/>
        <v>307.04983200189599</v>
      </c>
      <c r="N240" s="98">
        <f t="shared" si="314"/>
        <v>422.16209523016232</v>
      </c>
      <c r="O240" s="98">
        <f t="shared" si="314"/>
        <v>564.53335970860087</v>
      </c>
      <c r="P240" s="98">
        <f t="shared" si="314"/>
        <v>375.32407508695309</v>
      </c>
      <c r="Q240" s="98">
        <f t="shared" si="314"/>
        <v>345.7083749270887</v>
      </c>
      <c r="R240" s="98">
        <f t="shared" si="314"/>
        <v>295.49322595664665</v>
      </c>
      <c r="S240" s="98">
        <f t="shared" si="314"/>
        <v>269.18562973045914</v>
      </c>
      <c r="T240" s="98">
        <f t="shared" si="314"/>
        <v>228.8922515374158</v>
      </c>
      <c r="U240" s="98">
        <f t="shared" si="314"/>
        <v>148.79888485778972</v>
      </c>
      <c r="V240" s="98">
        <f t="shared" si="314"/>
        <v>235.96913003259925</v>
      </c>
      <c r="W240" s="98">
        <f t="shared" ref="W240:W243" si="315">IF(W28=0,0,W88/W28*1000)</f>
        <v>340.78102724006027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18.987582265042196</v>
      </c>
      <c r="C241" s="32">
        <f t="shared" si="316"/>
        <v>14.074978571661195</v>
      </c>
      <c r="D241" s="32">
        <f t="shared" si="316"/>
        <v>14.014240907643533</v>
      </c>
      <c r="E241" s="32">
        <f t="shared" si="316"/>
        <v>12.816141726782014</v>
      </c>
      <c r="F241" s="32">
        <f t="shared" si="316"/>
        <v>10.037418801347204</v>
      </c>
      <c r="G241" s="32">
        <f t="shared" si="316"/>
        <v>10.773194992380736</v>
      </c>
      <c r="H241" s="32">
        <f t="shared" si="316"/>
        <v>11.074656489305051</v>
      </c>
      <c r="I241" s="32">
        <f t="shared" si="316"/>
        <v>8.7865586782841163</v>
      </c>
      <c r="J241" s="32">
        <f t="shared" si="316"/>
        <v>7.0473412261524304</v>
      </c>
      <c r="K241" s="32">
        <f t="shared" si="316"/>
        <v>5.1042172482462309</v>
      </c>
      <c r="L241" s="32">
        <f t="shared" si="316"/>
        <v>3.8355588791466704</v>
      </c>
      <c r="M241" s="32">
        <f t="shared" si="316"/>
        <v>3.3436636647368281</v>
      </c>
      <c r="N241" s="32">
        <f t="shared" si="316"/>
        <v>2.1540972165200398</v>
      </c>
      <c r="O241" s="32">
        <f t="shared" si="316"/>
        <v>2.2047873861329124</v>
      </c>
      <c r="P241" s="32">
        <f t="shared" si="316"/>
        <v>1.6556411711068819</v>
      </c>
      <c r="Q241" s="32">
        <f t="shared" si="316"/>
        <v>6.2053551957867708</v>
      </c>
      <c r="R241" s="32">
        <f t="shared" si="316"/>
        <v>5.2732426614613308</v>
      </c>
      <c r="S241" s="32">
        <f t="shared" si="316"/>
        <v>6.3757490675221815</v>
      </c>
      <c r="T241" s="32">
        <f t="shared" si="316"/>
        <v>5.5983478311365991</v>
      </c>
      <c r="U241" s="32">
        <f t="shared" si="316"/>
        <v>5.5431566477451693</v>
      </c>
      <c r="V241" s="32">
        <f t="shared" si="316"/>
        <v>5.5900103257447711</v>
      </c>
      <c r="W241" s="32">
        <f t="shared" si="315"/>
        <v>5.407507063437345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19.804906009113527</v>
      </c>
      <c r="C242" s="97">
        <f t="shared" si="317"/>
        <v>16.788608413084166</v>
      </c>
      <c r="D242" s="97">
        <f t="shared" si="317"/>
        <v>18.132648218879584</v>
      </c>
      <c r="E242" s="97">
        <f t="shared" si="317"/>
        <v>17.095623021977268</v>
      </c>
      <c r="F242" s="97">
        <f t="shared" si="317"/>
        <v>13.445924061623737</v>
      </c>
      <c r="G242" s="97">
        <f t="shared" si="317"/>
        <v>14.26415200349641</v>
      </c>
      <c r="H242" s="97">
        <f t="shared" si="317"/>
        <v>13.929504371915359</v>
      </c>
      <c r="I242" s="97">
        <f t="shared" si="317"/>
        <v>11.302232185670807</v>
      </c>
      <c r="J242" s="97">
        <f t="shared" si="317"/>
        <v>9.6141048751410931</v>
      </c>
      <c r="K242" s="97">
        <f t="shared" si="317"/>
        <v>7.6830718751788849</v>
      </c>
      <c r="L242" s="97">
        <f t="shared" si="317"/>
        <v>5.6261701834005891</v>
      </c>
      <c r="M242" s="97">
        <f t="shared" si="317"/>
        <v>5.1559426925948539</v>
      </c>
      <c r="N242" s="97">
        <f t="shared" si="317"/>
        <v>3.2836261268736124</v>
      </c>
      <c r="O242" s="97">
        <f t="shared" si="317"/>
        <v>3.3703707375358127</v>
      </c>
      <c r="P242" s="97">
        <f t="shared" si="317"/>
        <v>2.5411440119198421</v>
      </c>
      <c r="Q242" s="97">
        <f t="shared" si="317"/>
        <v>8.7760980237822181</v>
      </c>
      <c r="R242" s="97">
        <f t="shared" si="317"/>
        <v>7.6865073941030131</v>
      </c>
      <c r="S242" s="97">
        <f t="shared" si="317"/>
        <v>9.1754307990324513</v>
      </c>
      <c r="T242" s="97">
        <f t="shared" si="317"/>
        <v>8.2377196490980698</v>
      </c>
      <c r="U242" s="97">
        <f t="shared" si="317"/>
        <v>8.5143511108503418</v>
      </c>
      <c r="V242" s="97">
        <f t="shared" si="317"/>
        <v>7.5604120684678033</v>
      </c>
      <c r="W242" s="97">
        <f t="shared" si="315"/>
        <v>7.0073081629400846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18.188369993944253</v>
      </c>
      <c r="C243" s="98">
        <f t="shared" si="318"/>
        <v>12.171002200478549</v>
      </c>
      <c r="D243" s="98">
        <f t="shared" si="318"/>
        <v>11.549975986087945</v>
      </c>
      <c r="E243" s="98">
        <f t="shared" si="318"/>
        <v>10.47022030639701</v>
      </c>
      <c r="F243" s="98">
        <f t="shared" si="318"/>
        <v>8.1582154367736113</v>
      </c>
      <c r="G243" s="98">
        <f t="shared" si="318"/>
        <v>8.784336227890563</v>
      </c>
      <c r="H243" s="98">
        <f t="shared" si="318"/>
        <v>9.2503515206548244</v>
      </c>
      <c r="I243" s="98">
        <f t="shared" si="318"/>
        <v>7.2526183427890389</v>
      </c>
      <c r="J243" s="98">
        <f t="shared" si="318"/>
        <v>5.6355699700869861</v>
      </c>
      <c r="K243" s="98">
        <f t="shared" si="318"/>
        <v>3.9597770947157076</v>
      </c>
      <c r="L243" s="98">
        <f t="shared" si="318"/>
        <v>2.976316325639055</v>
      </c>
      <c r="M243" s="98">
        <f t="shared" si="318"/>
        <v>2.564637952772499</v>
      </c>
      <c r="N243" s="98">
        <f t="shared" si="318"/>
        <v>1.6498643540726203</v>
      </c>
      <c r="O243" s="98">
        <f t="shared" si="318"/>
        <v>1.695575142388337</v>
      </c>
      <c r="P243" s="98">
        <f t="shared" si="318"/>
        <v>1.2801182994483642</v>
      </c>
      <c r="Q243" s="98">
        <f t="shared" si="318"/>
        <v>4.8562340276466509</v>
      </c>
      <c r="R243" s="98">
        <f t="shared" si="318"/>
        <v>4.1032239071605678</v>
      </c>
      <c r="S243" s="98">
        <f t="shared" si="318"/>
        <v>4.966625536266525</v>
      </c>
      <c r="T243" s="98">
        <f t="shared" si="318"/>
        <v>4.3296383284118534</v>
      </c>
      <c r="U243" s="98">
        <f t="shared" si="318"/>
        <v>4.2319109565042323</v>
      </c>
      <c r="V243" s="98">
        <f t="shared" si="318"/>
        <v>4.6405231030393539</v>
      </c>
      <c r="W243" s="98">
        <f t="shared" si="315"/>
        <v>4.5862589358695738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64303.87177540797</v>
      </c>
      <c r="C4" s="29">
        <f t="shared" si="0"/>
        <v>65603.854438941315</v>
      </c>
      <c r="D4" s="29">
        <f t="shared" si="0"/>
        <v>66903.697382352315</v>
      </c>
      <c r="E4" s="29">
        <f t="shared" si="0"/>
        <v>68164.076907720009</v>
      </c>
      <c r="F4" s="29">
        <f t="shared" si="0"/>
        <v>69449.197980074779</v>
      </c>
      <c r="G4" s="29">
        <f t="shared" si="0"/>
        <v>70353.379204750439</v>
      </c>
      <c r="H4" s="29">
        <f t="shared" si="0"/>
        <v>70898.631197742623</v>
      </c>
      <c r="I4" s="29">
        <f t="shared" si="0"/>
        <v>72230.081587303284</v>
      </c>
      <c r="J4" s="29">
        <f t="shared" si="0"/>
        <v>71845.557909925425</v>
      </c>
      <c r="K4" s="29">
        <f t="shared" si="0"/>
        <v>72775.992478810906</v>
      </c>
      <c r="L4" s="29">
        <f t="shared" ref="L4" si="1">L5+L6+L13</f>
        <v>73490.914655306537</v>
      </c>
      <c r="M4" s="29">
        <f t="shared" ref="M4:V4" si="2">M5+M6+M13</f>
        <v>74234.85827140999</v>
      </c>
      <c r="N4" s="29">
        <f t="shared" si="2"/>
        <v>74007.42213014602</v>
      </c>
      <c r="O4" s="29">
        <f t="shared" si="2"/>
        <v>73851.806130935103</v>
      </c>
      <c r="P4" s="29">
        <f t="shared" si="2"/>
        <v>74259.404729284754</v>
      </c>
      <c r="Q4" s="29">
        <f t="shared" si="2"/>
        <v>75036.477690338012</v>
      </c>
      <c r="R4" s="29">
        <f t="shared" si="2"/>
        <v>66494.441577760328</v>
      </c>
      <c r="S4" s="29">
        <f t="shared" si="2"/>
        <v>76005.271439358563</v>
      </c>
      <c r="T4" s="29">
        <f t="shared" si="2"/>
        <v>75908.783228423534</v>
      </c>
      <c r="U4" s="29">
        <f t="shared" si="2"/>
        <v>75877.341196882975</v>
      </c>
      <c r="V4" s="29">
        <f t="shared" si="2"/>
        <v>71953.256594355524</v>
      </c>
      <c r="W4" s="29">
        <f t="shared" ref="W4" si="3">W5+W6+W13</f>
        <v>70692.084308262201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903.87177540797063</v>
      </c>
      <c r="C5" s="152">
        <f t="shared" si="4"/>
        <v>903.85443894131504</v>
      </c>
      <c r="D5" s="152">
        <f t="shared" si="4"/>
        <v>903.69738235231659</v>
      </c>
      <c r="E5" s="152">
        <f t="shared" si="4"/>
        <v>904.07690772001251</v>
      </c>
      <c r="F5" s="152">
        <f t="shared" si="4"/>
        <v>904.19798007477993</v>
      </c>
      <c r="G5" s="152">
        <f t="shared" si="4"/>
        <v>903.37920475043768</v>
      </c>
      <c r="H5" s="152">
        <f t="shared" si="4"/>
        <v>903.63119774261611</v>
      </c>
      <c r="I5" s="152">
        <f t="shared" si="4"/>
        <v>905.08158730327932</v>
      </c>
      <c r="J5" s="152">
        <f t="shared" si="4"/>
        <v>905.55790992542154</v>
      </c>
      <c r="K5" s="152">
        <f t="shared" si="4"/>
        <v>905.9924788108948</v>
      </c>
      <c r="L5" s="152">
        <f t="shared" ref="L5:L7" si="5">IF(L32=0,0,L32*L142)</f>
        <v>1205.9146553065257</v>
      </c>
      <c r="M5" s="152">
        <f t="shared" ref="M5:V5" si="6">IF(M32=0,0,M32*M142)</f>
        <v>1204.8582714100037</v>
      </c>
      <c r="N5" s="152">
        <f t="shared" si="6"/>
        <v>1197.4221301460343</v>
      </c>
      <c r="O5" s="152">
        <f t="shared" si="6"/>
        <v>1196.8061309351144</v>
      </c>
      <c r="P5" s="152">
        <f t="shared" si="6"/>
        <v>1199.4047292847665</v>
      </c>
      <c r="Q5" s="152">
        <f t="shared" si="6"/>
        <v>1201.4776903379959</v>
      </c>
      <c r="R5" s="152">
        <f t="shared" si="6"/>
        <v>1233.4415777603367</v>
      </c>
      <c r="S5" s="152">
        <f t="shared" si="6"/>
        <v>1164.2714393585809</v>
      </c>
      <c r="T5" s="152">
        <f t="shared" si="6"/>
        <v>1108.7832284235301</v>
      </c>
      <c r="U5" s="152">
        <f t="shared" si="6"/>
        <v>1177.3411968829937</v>
      </c>
      <c r="V5" s="152">
        <f t="shared" si="6"/>
        <v>1053.2565943555398</v>
      </c>
      <c r="W5" s="152">
        <f t="shared" ref="W5" si="7">IF(W32=0,0,W32*W142)</f>
        <v>1092.0843082622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55700</v>
      </c>
      <c r="C6" s="116">
        <f t="shared" si="8"/>
        <v>57000</v>
      </c>
      <c r="D6" s="116">
        <f t="shared" si="8"/>
        <v>58300</v>
      </c>
      <c r="E6" s="116">
        <f t="shared" si="8"/>
        <v>59590</v>
      </c>
      <c r="F6" s="116">
        <f t="shared" si="8"/>
        <v>60940</v>
      </c>
      <c r="G6" s="116">
        <f t="shared" si="8"/>
        <v>61910</v>
      </c>
      <c r="H6" s="116">
        <f t="shared" si="8"/>
        <v>62455</v>
      </c>
      <c r="I6" s="116">
        <f t="shared" si="8"/>
        <v>63785</v>
      </c>
      <c r="J6" s="116">
        <f t="shared" si="8"/>
        <v>63400</v>
      </c>
      <c r="K6" s="116">
        <f t="shared" si="8"/>
        <v>64330</v>
      </c>
      <c r="L6" s="116">
        <f t="shared" ref="L6" si="9">SUM(L7:L12)</f>
        <v>64745.000000000007</v>
      </c>
      <c r="M6" s="116">
        <f t="shared" ref="M6:V6" si="10">SUM(M7:M12)</f>
        <v>65489.999999999993</v>
      </c>
      <c r="N6" s="116">
        <f t="shared" si="10"/>
        <v>65269.999999999993</v>
      </c>
      <c r="O6" s="116">
        <f t="shared" si="10"/>
        <v>65114.999999999993</v>
      </c>
      <c r="P6" s="116">
        <f t="shared" si="10"/>
        <v>65519.999999999993</v>
      </c>
      <c r="Q6" s="116">
        <f t="shared" si="10"/>
        <v>66295.000000000015</v>
      </c>
      <c r="R6" s="116">
        <f t="shared" si="10"/>
        <v>57005.999999999993</v>
      </c>
      <c r="S6" s="116">
        <f t="shared" si="10"/>
        <v>66606.999999999985</v>
      </c>
      <c r="T6" s="116">
        <f t="shared" si="10"/>
        <v>66800</v>
      </c>
      <c r="U6" s="116">
        <f t="shared" si="10"/>
        <v>66799.999999999985</v>
      </c>
      <c r="V6" s="116">
        <f t="shared" si="10"/>
        <v>64099.999999999993</v>
      </c>
      <c r="W6" s="116">
        <f t="shared" ref="W6" si="11">SUM(W7:W12)</f>
        <v>63600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45731.88133864211</v>
      </c>
      <c r="C7" s="87">
        <f t="shared" si="12"/>
        <v>46436.527659968029</v>
      </c>
      <c r="D7" s="87">
        <f t="shared" si="12"/>
        <v>47142.885156090902</v>
      </c>
      <c r="E7" s="87">
        <f t="shared" si="12"/>
        <v>47657.699523189185</v>
      </c>
      <c r="F7" s="87">
        <f t="shared" si="12"/>
        <v>48698.705086593247</v>
      </c>
      <c r="G7" s="87">
        <f t="shared" si="12"/>
        <v>48719.611783771288</v>
      </c>
      <c r="H7" s="87">
        <f t="shared" si="12"/>
        <v>48199.354997541392</v>
      </c>
      <c r="I7" s="87">
        <f t="shared" si="12"/>
        <v>48041.377952464471</v>
      </c>
      <c r="J7" s="87">
        <f t="shared" si="12"/>
        <v>45240.269223685937</v>
      </c>
      <c r="K7" s="87">
        <f t="shared" si="12"/>
        <v>44545.199805192336</v>
      </c>
      <c r="L7" s="87">
        <f t="shared" si="5"/>
        <v>43103.673485887368</v>
      </c>
      <c r="M7" s="87">
        <f t="shared" ref="M7:V7" si="13">IF(M34=0,0,M34*M144)</f>
        <v>41126.44545254991</v>
      </c>
      <c r="N7" s="87">
        <f t="shared" si="13"/>
        <v>39719.098940751217</v>
      </c>
      <c r="O7" s="87">
        <f t="shared" si="13"/>
        <v>39407.379838485809</v>
      </c>
      <c r="P7" s="87">
        <f t="shared" si="13"/>
        <v>38703.7511311122</v>
      </c>
      <c r="Q7" s="87">
        <f t="shared" si="13"/>
        <v>38355.641763668777</v>
      </c>
      <c r="R7" s="87">
        <f t="shared" si="13"/>
        <v>32526.982793883617</v>
      </c>
      <c r="S7" s="87">
        <f t="shared" si="13"/>
        <v>37016.960486983233</v>
      </c>
      <c r="T7" s="87">
        <f t="shared" si="13"/>
        <v>36581.438694523924</v>
      </c>
      <c r="U7" s="87">
        <f t="shared" si="13"/>
        <v>36331.219067875893</v>
      </c>
      <c r="V7" s="87">
        <f t="shared" si="13"/>
        <v>34851.533651231177</v>
      </c>
      <c r="W7" s="87">
        <f t="shared" ref="W7" si="14">IF(W34=0,0,W34*W144)</f>
        <v>34202.08785790074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9968.1186613578902</v>
      </c>
      <c r="C8" s="87">
        <f t="shared" si="15"/>
        <v>10563.472340031971</v>
      </c>
      <c r="D8" s="87">
        <f t="shared" si="15"/>
        <v>11157.114843909098</v>
      </c>
      <c r="E8" s="87">
        <f t="shared" si="15"/>
        <v>11932.300476810815</v>
      </c>
      <c r="F8" s="87">
        <f t="shared" si="15"/>
        <v>12241.294913406753</v>
      </c>
      <c r="G8" s="87">
        <f t="shared" si="15"/>
        <v>13190.388216228712</v>
      </c>
      <c r="H8" s="87">
        <f t="shared" si="15"/>
        <v>14255.581761269255</v>
      </c>
      <c r="I8" s="87">
        <f t="shared" si="15"/>
        <v>15741.344801331747</v>
      </c>
      <c r="J8" s="87">
        <f t="shared" si="15"/>
        <v>18155.311143751096</v>
      </c>
      <c r="K8" s="87">
        <f t="shared" si="15"/>
        <v>19777.149904003381</v>
      </c>
      <c r="L8" s="87">
        <f t="shared" ref="L8" si="16">IF(L35=0,0,L35*L145)</f>
        <v>21631.243821433403</v>
      </c>
      <c r="M8" s="87">
        <f t="shared" ref="M8:V8" si="17">IF(M35=0,0,M35*M145)</f>
        <v>24350.253957663248</v>
      </c>
      <c r="N8" s="87">
        <f t="shared" si="17"/>
        <v>25530.561730735724</v>
      </c>
      <c r="O8" s="87">
        <f t="shared" si="17"/>
        <v>25680.087864893656</v>
      </c>
      <c r="P8" s="87">
        <f t="shared" si="17"/>
        <v>26776.253764180809</v>
      </c>
      <c r="Q8" s="87">
        <f t="shared" si="17"/>
        <v>27882.445454600362</v>
      </c>
      <c r="R8" s="87">
        <f t="shared" si="17"/>
        <v>24405.165816269968</v>
      </c>
      <c r="S8" s="87">
        <f t="shared" si="17"/>
        <v>29421.308954125307</v>
      </c>
      <c r="T8" s="87">
        <f t="shared" si="17"/>
        <v>29887.06601301414</v>
      </c>
      <c r="U8" s="87">
        <f t="shared" si="17"/>
        <v>29878.521745263832</v>
      </c>
      <c r="V8" s="87">
        <f t="shared" si="17"/>
        <v>28296.396518199894</v>
      </c>
      <c r="W8" s="87">
        <f t="shared" ref="W8" si="18">IF(W35=0,0,W35*W145)</f>
        <v>27787.807322212117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0</v>
      </c>
      <c r="E9" s="87">
        <f t="shared" si="19"/>
        <v>0</v>
      </c>
      <c r="F9" s="87">
        <f t="shared" si="19"/>
        <v>0</v>
      </c>
      <c r="G9" s="87">
        <f t="shared" si="19"/>
        <v>0</v>
      </c>
      <c r="H9" s="87">
        <f t="shared" si="19"/>
        <v>0</v>
      </c>
      <c r="I9" s="87">
        <f t="shared" si="19"/>
        <v>0</v>
      </c>
      <c r="J9" s="87">
        <f t="shared" si="19"/>
        <v>0</v>
      </c>
      <c r="K9" s="87">
        <f t="shared" si="19"/>
        <v>0</v>
      </c>
      <c r="L9" s="87">
        <f t="shared" ref="L9" si="20">IF(L36=0,0,L36*L146)</f>
        <v>0</v>
      </c>
      <c r="M9" s="87">
        <f t="shared" ref="M9:V9" si="21">IF(M36=0,0,M36*M146)</f>
        <v>0</v>
      </c>
      <c r="N9" s="87">
        <f t="shared" si="21"/>
        <v>0</v>
      </c>
      <c r="O9" s="87">
        <f t="shared" si="21"/>
        <v>0</v>
      </c>
      <c r="P9" s="87">
        <f t="shared" si="21"/>
        <v>0</v>
      </c>
      <c r="Q9" s="87">
        <f t="shared" si="21"/>
        <v>0</v>
      </c>
      <c r="R9" s="87">
        <f t="shared" si="21"/>
        <v>0</v>
      </c>
      <c r="S9" s="87">
        <f t="shared" si="21"/>
        <v>0</v>
      </c>
      <c r="T9" s="87">
        <f t="shared" si="21"/>
        <v>0</v>
      </c>
      <c r="U9" s="87">
        <f t="shared" si="21"/>
        <v>0</v>
      </c>
      <c r="V9" s="87">
        <f t="shared" si="21"/>
        <v>0</v>
      </c>
      <c r="W9" s="87">
        <f t="shared" ref="W9" si="22">IF(W36=0,0,W36*W146)</f>
        <v>0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6.3241189351456908E-2</v>
      </c>
      <c r="I10" s="87">
        <f t="shared" si="23"/>
        <v>2.2209170185360838</v>
      </c>
      <c r="J10" s="87">
        <f t="shared" si="23"/>
        <v>4.284354054335914</v>
      </c>
      <c r="K10" s="87">
        <f t="shared" si="23"/>
        <v>7.3980622518374695</v>
      </c>
      <c r="L10" s="87">
        <f t="shared" ref="L10" si="24">IF(L37=0,0,L37*L147)</f>
        <v>9.630368604528563</v>
      </c>
      <c r="M10" s="87">
        <f t="shared" ref="M10:V10" si="25">IF(M37=0,0,M37*M147)</f>
        <v>12.188945559436373</v>
      </c>
      <c r="N10" s="87">
        <f t="shared" si="25"/>
        <v>16.082513214693066</v>
      </c>
      <c r="O10" s="87">
        <f t="shared" si="25"/>
        <v>19.50317976739186</v>
      </c>
      <c r="P10" s="87">
        <f t="shared" si="25"/>
        <v>23.694166547294778</v>
      </c>
      <c r="Q10" s="87">
        <f t="shared" si="25"/>
        <v>28.322228760396168</v>
      </c>
      <c r="R10" s="87">
        <f t="shared" si="25"/>
        <v>27.619980731955547</v>
      </c>
      <c r="S10" s="87">
        <f t="shared" si="25"/>
        <v>55.637574220082961</v>
      </c>
      <c r="T10" s="87">
        <f t="shared" si="25"/>
        <v>96.133971204235706</v>
      </c>
      <c r="U10" s="87">
        <f t="shared" si="25"/>
        <v>155.63907479944899</v>
      </c>
      <c r="V10" s="87">
        <f t="shared" si="25"/>
        <v>188.34727149913573</v>
      </c>
      <c r="W10" s="87">
        <f t="shared" ref="W10" si="26">IF(W37=0,0,W37*W147)</f>
        <v>199.86144459050041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2.0592364538023502</v>
      </c>
      <c r="O11" s="87">
        <f t="shared" si="29"/>
        <v>4.577634301754097</v>
      </c>
      <c r="P11" s="87">
        <f t="shared" si="29"/>
        <v>8.9184875412221931</v>
      </c>
      <c r="Q11" s="87">
        <f t="shared" si="29"/>
        <v>15.930622760782366</v>
      </c>
      <c r="R11" s="87">
        <f t="shared" si="29"/>
        <v>30.709580420476119</v>
      </c>
      <c r="S11" s="87">
        <f t="shared" si="29"/>
        <v>83.836333107427137</v>
      </c>
      <c r="T11" s="87">
        <f t="shared" si="29"/>
        <v>186.83583101866273</v>
      </c>
      <c r="U11" s="87">
        <f t="shared" si="29"/>
        <v>340.72880918189264</v>
      </c>
      <c r="V11" s="87">
        <f t="shared" si="29"/>
        <v>578.02273741344902</v>
      </c>
      <c r="W11" s="87">
        <f t="shared" ref="W11" si="30">IF(W38=0,0,W38*W148)</f>
        <v>949.45551744878389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5.6329185246880131E-2</v>
      </c>
      <c r="J12" s="87">
        <f t="shared" si="31"/>
        <v>0.13527850863209712</v>
      </c>
      <c r="K12" s="87">
        <f t="shared" si="31"/>
        <v>0.25222855244377962</v>
      </c>
      <c r="L12" s="87">
        <f t="shared" ref="L12" si="32">IF(L39=0,0,L39*L149)</f>
        <v>0.45232407470689606</v>
      </c>
      <c r="M12" s="87">
        <f t="shared" ref="M12:V12" si="33">IF(M39=0,0,M39*M149)</f>
        <v>1.1116442273996898</v>
      </c>
      <c r="N12" s="87">
        <f t="shared" si="33"/>
        <v>2.1975788445561744</v>
      </c>
      <c r="O12" s="87">
        <f t="shared" si="33"/>
        <v>3.451482551378156</v>
      </c>
      <c r="P12" s="87">
        <f t="shared" si="33"/>
        <v>7.3824506184653087</v>
      </c>
      <c r="Q12" s="87">
        <f t="shared" si="33"/>
        <v>12.659930209686559</v>
      </c>
      <c r="R12" s="87">
        <f t="shared" si="33"/>
        <v>15.521828693980666</v>
      </c>
      <c r="S12" s="87">
        <f t="shared" si="33"/>
        <v>29.256651563945333</v>
      </c>
      <c r="T12" s="87">
        <f t="shared" si="33"/>
        <v>48.525490239040025</v>
      </c>
      <c r="U12" s="87">
        <f t="shared" si="33"/>
        <v>93.891302878931654</v>
      </c>
      <c r="V12" s="87">
        <f t="shared" si="33"/>
        <v>185.69982165633795</v>
      </c>
      <c r="W12" s="87">
        <f t="shared" ref="W12" si="34">IF(W39=0,0,W39*W149)</f>
        <v>460.78785784786294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7700.0000000000009</v>
      </c>
      <c r="C13" s="116">
        <f t="shared" si="35"/>
        <v>7700.0000000000009</v>
      </c>
      <c r="D13" s="116">
        <f t="shared" si="35"/>
        <v>7700.0000000000009</v>
      </c>
      <c r="E13" s="116">
        <f t="shared" si="35"/>
        <v>7670</v>
      </c>
      <c r="F13" s="116">
        <f t="shared" si="35"/>
        <v>7605</v>
      </c>
      <c r="G13" s="116">
        <f t="shared" si="35"/>
        <v>7540</v>
      </c>
      <c r="H13" s="116">
        <f t="shared" si="35"/>
        <v>7540</v>
      </c>
      <c r="I13" s="116">
        <f t="shared" si="35"/>
        <v>7540</v>
      </c>
      <c r="J13" s="116">
        <f t="shared" si="35"/>
        <v>7540.0000000000009</v>
      </c>
      <c r="K13" s="116">
        <f t="shared" si="35"/>
        <v>7540.0000000000009</v>
      </c>
      <c r="L13" s="116">
        <f t="shared" ref="L13" si="36">SUM(L14:L18)</f>
        <v>7539.9999999999991</v>
      </c>
      <c r="M13" s="116">
        <f t="shared" ref="M13:V13" si="37">SUM(M14:M18)</f>
        <v>7540</v>
      </c>
      <c r="N13" s="116">
        <f t="shared" si="37"/>
        <v>7539.9999999999991</v>
      </c>
      <c r="O13" s="116">
        <f t="shared" si="37"/>
        <v>7540</v>
      </c>
      <c r="P13" s="116">
        <f t="shared" si="37"/>
        <v>7539.9999999999991</v>
      </c>
      <c r="Q13" s="116">
        <f t="shared" si="37"/>
        <v>7540</v>
      </c>
      <c r="R13" s="116">
        <f t="shared" si="37"/>
        <v>8255</v>
      </c>
      <c r="S13" s="116">
        <f t="shared" si="37"/>
        <v>8234</v>
      </c>
      <c r="T13" s="116">
        <f t="shared" si="37"/>
        <v>7999.9999999999991</v>
      </c>
      <c r="U13" s="116">
        <f t="shared" si="37"/>
        <v>7900.0000000000009</v>
      </c>
      <c r="V13" s="116">
        <f t="shared" si="37"/>
        <v>6799.9999999999991</v>
      </c>
      <c r="W13" s="116">
        <f t="shared" ref="W13" si="38">SUM(W14:W18)</f>
        <v>6000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3.9219142497203245</v>
      </c>
      <c r="C14" s="101">
        <f t="shared" si="39"/>
        <v>4.4173536057395548</v>
      </c>
      <c r="D14" s="101">
        <f t="shared" si="39"/>
        <v>4.1844391077427661</v>
      </c>
      <c r="E14" s="101">
        <f t="shared" si="39"/>
        <v>4.0385507283837416</v>
      </c>
      <c r="F14" s="101">
        <f t="shared" si="39"/>
        <v>4.0165452699125144</v>
      </c>
      <c r="G14" s="101">
        <f t="shared" si="39"/>
        <v>4.3147399364463856</v>
      </c>
      <c r="H14" s="101">
        <f t="shared" si="39"/>
        <v>3.9703715405427262</v>
      </c>
      <c r="I14" s="101">
        <f t="shared" si="39"/>
        <v>3.9857239655856174</v>
      </c>
      <c r="J14" s="101">
        <f t="shared" si="39"/>
        <v>3.6372105685955969</v>
      </c>
      <c r="K14" s="101">
        <f t="shared" si="39"/>
        <v>3.5832388128361599</v>
      </c>
      <c r="L14" s="101">
        <f t="shared" ref="L14" si="40">IF(L41=0,0,L41*L151)</f>
        <v>3.6827790812624617</v>
      </c>
      <c r="M14" s="101">
        <f t="shared" ref="M14:V14" si="41">IF(M41=0,0,M41*M151)</f>
        <v>3.5547919387283997</v>
      </c>
      <c r="N14" s="101">
        <f t="shared" si="41"/>
        <v>3.5402055552644138</v>
      </c>
      <c r="O14" s="101">
        <f t="shared" si="41"/>
        <v>3.5287692990855444</v>
      </c>
      <c r="P14" s="101">
        <f t="shared" si="41"/>
        <v>3.5162467555955912</v>
      </c>
      <c r="Q14" s="101">
        <f t="shared" si="41"/>
        <v>3.506532160712458</v>
      </c>
      <c r="R14" s="101">
        <f t="shared" si="41"/>
        <v>3.5145815444496074</v>
      </c>
      <c r="S14" s="101">
        <f t="shared" si="41"/>
        <v>3.5168826708442706</v>
      </c>
      <c r="T14" s="101">
        <f t="shared" si="41"/>
        <v>3.2771091324732189</v>
      </c>
      <c r="U14" s="101">
        <f t="shared" si="41"/>
        <v>3.035888068929625</v>
      </c>
      <c r="V14" s="101">
        <f t="shared" si="41"/>
        <v>2.4690112272703288</v>
      </c>
      <c r="W14" s="101">
        <f t="shared" ref="W14" si="42">IF(W41=0,0,W41*W151)</f>
        <v>2.0919672809434973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7609.0011107382534</v>
      </c>
      <c r="C15" s="101">
        <f t="shared" si="43"/>
        <v>7608.9856881273654</v>
      </c>
      <c r="D15" s="101">
        <f t="shared" si="43"/>
        <v>7567.2965739282126</v>
      </c>
      <c r="E15" s="101">
        <f t="shared" si="43"/>
        <v>7540.3363813013329</v>
      </c>
      <c r="F15" s="101">
        <f t="shared" si="43"/>
        <v>7482.5004916980424</v>
      </c>
      <c r="G15" s="101">
        <f t="shared" si="43"/>
        <v>7420.7151603931497</v>
      </c>
      <c r="H15" s="101">
        <f t="shared" si="43"/>
        <v>7387.5874919300559</v>
      </c>
      <c r="I15" s="101">
        <f t="shared" si="43"/>
        <v>7388.8099050156634</v>
      </c>
      <c r="J15" s="101">
        <f t="shared" si="43"/>
        <v>7401.7259984333923</v>
      </c>
      <c r="K15" s="101">
        <f t="shared" si="43"/>
        <v>7408.5708618629806</v>
      </c>
      <c r="L15" s="101">
        <f t="shared" ref="L15" si="44">IF(L42=0,0,L42*L152)</f>
        <v>7420.1507967494672</v>
      </c>
      <c r="M15" s="101">
        <f t="shared" ref="M15:V15" si="45">IF(M42=0,0,M42*M152)</f>
        <v>7431.0827742500114</v>
      </c>
      <c r="N15" s="101">
        <f t="shared" si="45"/>
        <v>7437.0778526867243</v>
      </c>
      <c r="O15" s="101">
        <f t="shared" si="45"/>
        <v>7448.8982328033544</v>
      </c>
      <c r="P15" s="101">
        <f t="shared" si="45"/>
        <v>7458.1241749236842</v>
      </c>
      <c r="Q15" s="101">
        <f t="shared" si="45"/>
        <v>7466.1125826518282</v>
      </c>
      <c r="R15" s="101">
        <f t="shared" si="45"/>
        <v>8178.887300023729</v>
      </c>
      <c r="S15" s="101">
        <f t="shared" si="45"/>
        <v>8162.4238135235692</v>
      </c>
      <c r="T15" s="101">
        <f t="shared" si="45"/>
        <v>7933.2793410907097</v>
      </c>
      <c r="U15" s="101">
        <f t="shared" si="45"/>
        <v>7818.0406198055998</v>
      </c>
      <c r="V15" s="101">
        <f t="shared" si="45"/>
        <v>6718.2667669117809</v>
      </c>
      <c r="W15" s="101">
        <f t="shared" ref="W15" si="46">IF(W42=0,0,W42*W152)</f>
        <v>5842.7666848178287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87.076975012026779</v>
      </c>
      <c r="C17" s="101">
        <f t="shared" si="51"/>
        <v>86.596958266896181</v>
      </c>
      <c r="D17" s="101">
        <f t="shared" si="51"/>
        <v>128.51898696404547</v>
      </c>
      <c r="E17" s="101">
        <f t="shared" si="51"/>
        <v>125.62506797028317</v>
      </c>
      <c r="F17" s="101">
        <f t="shared" si="51"/>
        <v>118.48296303204484</v>
      </c>
      <c r="G17" s="101">
        <f t="shared" si="51"/>
        <v>114.97009967040428</v>
      </c>
      <c r="H17" s="101">
        <f t="shared" si="51"/>
        <v>148.44213652940107</v>
      </c>
      <c r="I17" s="101">
        <f t="shared" si="51"/>
        <v>147.20437101875103</v>
      </c>
      <c r="J17" s="101">
        <f t="shared" si="51"/>
        <v>134.63679099801226</v>
      </c>
      <c r="K17" s="101">
        <f t="shared" si="51"/>
        <v>127.84589932418423</v>
      </c>
      <c r="L17" s="101">
        <f t="shared" ref="L17" si="52">IF(L44=0,0,L44*L154)</f>
        <v>116.16642416927009</v>
      </c>
      <c r="M17" s="101">
        <f t="shared" ref="M17:V17" si="53">IF(M44=0,0,M44*M154)</f>
        <v>105.3624338112601</v>
      </c>
      <c r="N17" s="101">
        <f t="shared" si="53"/>
        <v>95.75625751267215</v>
      </c>
      <c r="O17" s="101">
        <f t="shared" si="53"/>
        <v>84.07892626613507</v>
      </c>
      <c r="P17" s="101">
        <f t="shared" si="53"/>
        <v>75.01067116405676</v>
      </c>
      <c r="Q17" s="101">
        <f t="shared" si="53"/>
        <v>67.142569655800642</v>
      </c>
      <c r="R17" s="101">
        <f t="shared" si="53"/>
        <v>63.766405574399492</v>
      </c>
      <c r="S17" s="101">
        <f t="shared" si="53"/>
        <v>55.214285768918707</v>
      </c>
      <c r="T17" s="101">
        <f t="shared" si="53"/>
        <v>50.940912393525551</v>
      </c>
      <c r="U17" s="101">
        <f t="shared" si="53"/>
        <v>45.676580493095287</v>
      </c>
      <c r="V17" s="101">
        <f t="shared" si="53"/>
        <v>38.018102839027442</v>
      </c>
      <c r="W17" s="101">
        <f t="shared" ref="W17" si="54">IF(W44=0,0,W44*W154)</f>
        <v>31.748741028672121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3.6256842453388178</v>
      </c>
      <c r="O18" s="101">
        <f t="shared" si="57"/>
        <v>3.4940716314249367</v>
      </c>
      <c r="P18" s="101">
        <f t="shared" si="57"/>
        <v>3.3489071566631523</v>
      </c>
      <c r="Q18" s="101">
        <f t="shared" si="57"/>
        <v>3.2383155316585603</v>
      </c>
      <c r="R18" s="101">
        <f t="shared" si="57"/>
        <v>8.8317128574214774</v>
      </c>
      <c r="S18" s="101">
        <f t="shared" si="57"/>
        <v>12.845018036667668</v>
      </c>
      <c r="T18" s="101">
        <f t="shared" si="57"/>
        <v>12.502637383290809</v>
      </c>
      <c r="U18" s="101">
        <f t="shared" si="57"/>
        <v>33.246911632375287</v>
      </c>
      <c r="V18" s="101">
        <f t="shared" si="57"/>
        <v>41.24611902192099</v>
      </c>
      <c r="W18" s="101">
        <f t="shared" ref="W18" si="58">IF(W45=0,0,W45*W155)</f>
        <v>123.39260687255562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29689.54939412489</v>
      </c>
      <c r="C19" s="29">
        <f t="shared" si="59"/>
        <v>28733.850148893438</v>
      </c>
      <c r="D19" s="29">
        <f t="shared" si="59"/>
        <v>30194.840147131705</v>
      </c>
      <c r="E19" s="29">
        <f t="shared" si="59"/>
        <v>29051.17338723956</v>
      </c>
      <c r="F19" s="29">
        <f t="shared" si="59"/>
        <v>29724.822423972655</v>
      </c>
      <c r="G19" s="29">
        <f t="shared" si="59"/>
        <v>30283.724677968909</v>
      </c>
      <c r="H19" s="29">
        <f t="shared" si="59"/>
        <v>28020.816072914586</v>
      </c>
      <c r="I19" s="29">
        <f t="shared" si="59"/>
        <v>28616.136555509307</v>
      </c>
      <c r="J19" s="29">
        <f t="shared" si="59"/>
        <v>30408.301866843107</v>
      </c>
      <c r="K19" s="29">
        <f t="shared" si="59"/>
        <v>27124.345020142042</v>
      </c>
      <c r="L19" s="29">
        <f t="shared" ref="L19" si="60">L20+L26</f>
        <v>28300.603121215809</v>
      </c>
      <c r="M19" s="29">
        <f t="shared" ref="M19:V19" si="61">M20+M26</f>
        <v>26500.777334784689</v>
      </c>
      <c r="N19" s="29">
        <f t="shared" si="61"/>
        <v>24944.226034206982</v>
      </c>
      <c r="O19" s="29">
        <f t="shared" si="61"/>
        <v>23925.178626892222</v>
      </c>
      <c r="P19" s="29">
        <f t="shared" si="61"/>
        <v>23559.455750603775</v>
      </c>
      <c r="Q19" s="29">
        <f t="shared" si="61"/>
        <v>24910.189243367793</v>
      </c>
      <c r="R19" s="29">
        <f t="shared" si="61"/>
        <v>27921.968309816606</v>
      </c>
      <c r="S19" s="29">
        <f t="shared" si="61"/>
        <v>29753.873440165917</v>
      </c>
      <c r="T19" s="29">
        <f t="shared" si="61"/>
        <v>29624.237845132629</v>
      </c>
      <c r="U19" s="29">
        <f t="shared" si="61"/>
        <v>30222.965532507304</v>
      </c>
      <c r="V19" s="29">
        <f t="shared" si="61"/>
        <v>31398.681197613019</v>
      </c>
      <c r="W19" s="29">
        <f t="shared" ref="W19" si="62">W20+W26</f>
        <v>31586.303464157081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1251.1007954956558</v>
      </c>
      <c r="C20" s="152">
        <f t="shared" si="63"/>
        <v>1283.6187514744313</v>
      </c>
      <c r="D20" s="152">
        <f t="shared" si="63"/>
        <v>1306.2409354654494</v>
      </c>
      <c r="E20" s="152">
        <f t="shared" si="63"/>
        <v>1324.6489791068061</v>
      </c>
      <c r="F20" s="152">
        <f t="shared" si="63"/>
        <v>1430.7145951089356</v>
      </c>
      <c r="G20" s="152">
        <f t="shared" si="63"/>
        <v>1474.7608352214306</v>
      </c>
      <c r="H20" s="152">
        <f t="shared" si="63"/>
        <v>1497.1588348440569</v>
      </c>
      <c r="I20" s="152">
        <f t="shared" si="63"/>
        <v>1566.1163882169574</v>
      </c>
      <c r="J20" s="152">
        <f t="shared" si="63"/>
        <v>1693.9809735703066</v>
      </c>
      <c r="K20" s="152">
        <f t="shared" si="63"/>
        <v>1727.2748869294282</v>
      </c>
      <c r="L20" s="152">
        <f t="shared" ref="L20" si="64">SUM(L21:L25)</f>
        <v>1811.8391652407781</v>
      </c>
      <c r="M20" s="152">
        <f t="shared" ref="M20:V20" si="65">SUM(M21:M25)</f>
        <v>1905.5423352303094</v>
      </c>
      <c r="N20" s="152">
        <f t="shared" si="65"/>
        <v>1950.1569967583612</v>
      </c>
      <c r="O20" s="152">
        <f t="shared" si="65"/>
        <v>2031.8381314439353</v>
      </c>
      <c r="P20" s="152">
        <f t="shared" si="65"/>
        <v>2073.7941990069139</v>
      </c>
      <c r="Q20" s="152">
        <f t="shared" si="65"/>
        <v>2133.5844235725499</v>
      </c>
      <c r="R20" s="152">
        <f t="shared" si="65"/>
        <v>2208.6742429494225</v>
      </c>
      <c r="S20" s="152">
        <f t="shared" si="65"/>
        <v>2290.0159715245995</v>
      </c>
      <c r="T20" s="152">
        <f t="shared" si="65"/>
        <v>2368.2378451326308</v>
      </c>
      <c r="U20" s="152">
        <f t="shared" si="65"/>
        <v>2440.9655325073036</v>
      </c>
      <c r="V20" s="152">
        <f t="shared" si="65"/>
        <v>2456.6811976130189</v>
      </c>
      <c r="W20" s="152">
        <f t="shared" ref="W20" si="66">SUM(W21:W25)</f>
        <v>2556.3034641570812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113.01254163493702</v>
      </c>
      <c r="C21" s="87">
        <f t="shared" si="67"/>
        <v>106.7228829520588</v>
      </c>
      <c r="D21" s="87">
        <f t="shared" si="67"/>
        <v>100.65850454245141</v>
      </c>
      <c r="E21" s="87">
        <f t="shared" si="67"/>
        <v>93.168392781944064</v>
      </c>
      <c r="F21" s="87">
        <f t="shared" si="67"/>
        <v>87.577962876737317</v>
      </c>
      <c r="G21" s="87">
        <f t="shared" si="67"/>
        <v>84.374646512444741</v>
      </c>
      <c r="H21" s="87">
        <f t="shared" si="67"/>
        <v>78.204978190645818</v>
      </c>
      <c r="I21" s="87">
        <f t="shared" si="67"/>
        <v>74.207382127986946</v>
      </c>
      <c r="J21" s="87">
        <f t="shared" si="67"/>
        <v>74.776794987957231</v>
      </c>
      <c r="K21" s="87">
        <f t="shared" si="67"/>
        <v>72.332564516373594</v>
      </c>
      <c r="L21" s="87">
        <f t="shared" ref="L21" si="68">IF(L48=0,0,L48*L158)</f>
        <v>72.062137014861676</v>
      </c>
      <c r="M21" s="87">
        <f t="shared" ref="M21:V21" si="69">IF(M48=0,0,M48*M158)</f>
        <v>71.548800879160254</v>
      </c>
      <c r="N21" s="87">
        <f t="shared" si="69"/>
        <v>70.112606070625759</v>
      </c>
      <c r="O21" s="87">
        <f t="shared" si="69"/>
        <v>68.173465217498787</v>
      </c>
      <c r="P21" s="87">
        <f t="shared" si="69"/>
        <v>66.817194148091943</v>
      </c>
      <c r="Q21" s="87">
        <f t="shared" si="69"/>
        <v>65.942984635857499</v>
      </c>
      <c r="R21" s="87">
        <f t="shared" si="69"/>
        <v>65.482144609548357</v>
      </c>
      <c r="S21" s="87">
        <f t="shared" si="69"/>
        <v>65.010131706834841</v>
      </c>
      <c r="T21" s="87">
        <f t="shared" si="69"/>
        <v>64.639120241172876</v>
      </c>
      <c r="U21" s="87">
        <f t="shared" si="69"/>
        <v>64.424496112778314</v>
      </c>
      <c r="V21" s="87">
        <f t="shared" si="69"/>
        <v>63.504195808579098</v>
      </c>
      <c r="W21" s="87">
        <f t="shared" ref="W21" si="70">IF(W48=0,0,W48*W158)</f>
        <v>64.949442310775098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1137.7180406800796</v>
      </c>
      <c r="C22" s="87">
        <f t="shared" si="71"/>
        <v>1176.5232014816804</v>
      </c>
      <c r="D22" s="87">
        <f t="shared" si="71"/>
        <v>1205.249781956933</v>
      </c>
      <c r="E22" s="87">
        <f t="shared" si="71"/>
        <v>1231.1713443031585</v>
      </c>
      <c r="F22" s="87">
        <f t="shared" si="71"/>
        <v>1342.8489321325096</v>
      </c>
      <c r="G22" s="87">
        <f t="shared" si="71"/>
        <v>1390.11586073836</v>
      </c>
      <c r="H22" s="87">
        <f t="shared" si="71"/>
        <v>1418.6939499696414</v>
      </c>
      <c r="I22" s="87">
        <f t="shared" si="71"/>
        <v>1491.6340709160254</v>
      </c>
      <c r="J22" s="87">
        <f t="shared" si="71"/>
        <v>1618.8829904050854</v>
      </c>
      <c r="K22" s="87">
        <f t="shared" si="71"/>
        <v>1654.5599088026179</v>
      </c>
      <c r="L22" s="87">
        <f t="shared" ref="L22" si="72">IF(L49=0,0,L49*L159)</f>
        <v>1739.3239301094634</v>
      </c>
      <c r="M22" s="87">
        <f t="shared" ref="M22:V22" si="73">IF(M49=0,0,M49*M159)</f>
        <v>1833.455654672709</v>
      </c>
      <c r="N22" s="87">
        <f t="shared" si="73"/>
        <v>1879.4164326800576</v>
      </c>
      <c r="O22" s="87">
        <f t="shared" si="73"/>
        <v>1962.8729866140086</v>
      </c>
      <c r="P22" s="87">
        <f t="shared" si="73"/>
        <v>2006.0644723272799</v>
      </c>
      <c r="Q22" s="87">
        <f t="shared" si="73"/>
        <v>2066.549281120967</v>
      </c>
      <c r="R22" s="87">
        <f t="shared" si="73"/>
        <v>2141.8220421207543</v>
      </c>
      <c r="S22" s="87">
        <f t="shared" si="73"/>
        <v>2223.1713595685596</v>
      </c>
      <c r="T22" s="87">
        <f t="shared" si="73"/>
        <v>2301.1699698422058</v>
      </c>
      <c r="U22" s="87">
        <f t="shared" si="73"/>
        <v>2373.4118567386904</v>
      </c>
      <c r="V22" s="87">
        <f t="shared" si="73"/>
        <v>2389.4951419800418</v>
      </c>
      <c r="W22" s="87">
        <f t="shared" ref="W22" si="74">IF(W49=0,0,W49*W159)</f>
        <v>2486.6104375296063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" si="78">IF(W50=0,0,W50*W160)</f>
        <v>0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1.1709245843966333E-2</v>
      </c>
      <c r="D24" s="87">
        <f t="shared" si="79"/>
        <v>1.1656668547843984E-2</v>
      </c>
      <c r="E24" s="87">
        <f t="shared" si="79"/>
        <v>1.1517021559262637E-2</v>
      </c>
      <c r="F24" s="87">
        <f t="shared" si="79"/>
        <v>1.0901674195392022E-2</v>
      </c>
      <c r="G24" s="87">
        <f t="shared" si="79"/>
        <v>1.5100601422063728E-2</v>
      </c>
      <c r="H24" s="87">
        <f t="shared" si="79"/>
        <v>1.4266307889488083E-2</v>
      </c>
      <c r="I24" s="87">
        <f t="shared" si="79"/>
        <v>3.8749958124976669E-2</v>
      </c>
      <c r="J24" s="87">
        <f t="shared" si="79"/>
        <v>7.1786308985856501E-2</v>
      </c>
      <c r="K24" s="87">
        <f t="shared" si="79"/>
        <v>0.12310130436740299</v>
      </c>
      <c r="L24" s="87">
        <f t="shared" ref="L24" si="80">IF(L51=0,0,L51*L161)</f>
        <v>0.1744250563478569</v>
      </c>
      <c r="M24" s="87">
        <f t="shared" ref="M24:V24" si="81">IF(M51=0,0,M51*M161)</f>
        <v>0.25583466484713657</v>
      </c>
      <c r="N24" s="87">
        <f t="shared" si="81"/>
        <v>0.31438570152827755</v>
      </c>
      <c r="O24" s="87">
        <f t="shared" si="81"/>
        <v>0.46796776176097998</v>
      </c>
      <c r="P24" s="87">
        <f t="shared" si="81"/>
        <v>0.53655688310857752</v>
      </c>
      <c r="Q24" s="87">
        <f t="shared" si="81"/>
        <v>0.61637620109102542</v>
      </c>
      <c r="R24" s="87">
        <f t="shared" si="81"/>
        <v>0.73776065491781018</v>
      </c>
      <c r="S24" s="87">
        <f t="shared" si="81"/>
        <v>1.0995832913399761</v>
      </c>
      <c r="T24" s="87">
        <f t="shared" si="81"/>
        <v>1.5791903045293523</v>
      </c>
      <c r="U24" s="87">
        <f t="shared" si="81"/>
        <v>2.1284824378133163</v>
      </c>
      <c r="V24" s="87">
        <f t="shared" si="81"/>
        <v>2.5870591425810825</v>
      </c>
      <c r="W24" s="87">
        <f t="shared" ref="W24" si="82">IF(W51=0,0,W51*W161)</f>
        <v>2.7431500033372447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0.37021318063928449</v>
      </c>
      <c r="C25" s="87">
        <f t="shared" si="83"/>
        <v>0.36095779484804347</v>
      </c>
      <c r="D25" s="87">
        <f t="shared" si="83"/>
        <v>0.32099229751699293</v>
      </c>
      <c r="E25" s="87">
        <f t="shared" si="83"/>
        <v>0.29772500014439357</v>
      </c>
      <c r="F25" s="87">
        <f t="shared" si="83"/>
        <v>0.27679842549324368</v>
      </c>
      <c r="G25" s="87">
        <f t="shared" si="83"/>
        <v>0.25522736920377775</v>
      </c>
      <c r="H25" s="87">
        <f t="shared" si="83"/>
        <v>0.24564037588006893</v>
      </c>
      <c r="I25" s="87">
        <f t="shared" si="83"/>
        <v>0.23618521482009025</v>
      </c>
      <c r="J25" s="87">
        <f t="shared" si="83"/>
        <v>0.24940186827832578</v>
      </c>
      <c r="K25" s="87">
        <f t="shared" si="83"/>
        <v>0.25931230606945321</v>
      </c>
      <c r="L25" s="87">
        <f t="shared" ref="L25" si="84">IF(L52=0,0,L52*L162)</f>
        <v>0.27867306010516507</v>
      </c>
      <c r="M25" s="87">
        <f t="shared" ref="M25:V25" si="85">IF(M52=0,0,M52*M162)</f>
        <v>0.28204501359306605</v>
      </c>
      <c r="N25" s="87">
        <f t="shared" si="85"/>
        <v>0.31357230614956211</v>
      </c>
      <c r="O25" s="87">
        <f t="shared" si="85"/>
        <v>0.32371185066700536</v>
      </c>
      <c r="P25" s="87">
        <f t="shared" si="85"/>
        <v>0.37597564843371267</v>
      </c>
      <c r="Q25" s="87">
        <f t="shared" si="85"/>
        <v>0.47578161463449709</v>
      </c>
      <c r="R25" s="87">
        <f t="shared" si="85"/>
        <v>0.63229556420160349</v>
      </c>
      <c r="S25" s="87">
        <f t="shared" si="85"/>
        <v>0.73489695786506015</v>
      </c>
      <c r="T25" s="87">
        <f t="shared" si="85"/>
        <v>0.84956474472282462</v>
      </c>
      <c r="U25" s="87">
        <f t="shared" si="85"/>
        <v>1.0006972180215628</v>
      </c>
      <c r="V25" s="87">
        <f t="shared" si="85"/>
        <v>1.0948006818172398</v>
      </c>
      <c r="W25" s="87">
        <f t="shared" ref="W25" si="86">IF(W52=0,0,W52*W162)</f>
        <v>2.0004343133626565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28438.448598629235</v>
      </c>
      <c r="C26" s="116">
        <f t="shared" si="87"/>
        <v>27450.231397419007</v>
      </c>
      <c r="D26" s="116">
        <f t="shared" si="87"/>
        <v>28888.599211666256</v>
      </c>
      <c r="E26" s="116">
        <f t="shared" si="87"/>
        <v>27726.524408132755</v>
      </c>
      <c r="F26" s="116">
        <f t="shared" si="87"/>
        <v>28294.107828863718</v>
      </c>
      <c r="G26" s="116">
        <f t="shared" si="87"/>
        <v>28808.963842747478</v>
      </c>
      <c r="H26" s="116">
        <f t="shared" si="87"/>
        <v>26523.657238070529</v>
      </c>
      <c r="I26" s="116">
        <f t="shared" si="87"/>
        <v>27050.02016729235</v>
      </c>
      <c r="J26" s="116">
        <f t="shared" si="87"/>
        <v>28714.320893272801</v>
      </c>
      <c r="K26" s="116">
        <f t="shared" si="87"/>
        <v>25397.070133212612</v>
      </c>
      <c r="L26" s="116">
        <f t="shared" ref="L26" si="88">SUM(L27:L28)</f>
        <v>26488.763955975031</v>
      </c>
      <c r="M26" s="116">
        <f t="shared" ref="M26:V26" si="89">SUM(M27:M28)</f>
        <v>24595.234999554381</v>
      </c>
      <c r="N26" s="116">
        <f t="shared" si="89"/>
        <v>22994.069037448622</v>
      </c>
      <c r="O26" s="116">
        <f t="shared" si="89"/>
        <v>21893.340495448287</v>
      </c>
      <c r="P26" s="116">
        <f t="shared" si="89"/>
        <v>21485.661551596859</v>
      </c>
      <c r="Q26" s="116">
        <f t="shared" si="89"/>
        <v>22776.604819795244</v>
      </c>
      <c r="R26" s="116">
        <f t="shared" si="89"/>
        <v>25713.294066867184</v>
      </c>
      <c r="S26" s="116">
        <f t="shared" si="89"/>
        <v>27463.857468641316</v>
      </c>
      <c r="T26" s="116">
        <f t="shared" si="89"/>
        <v>27256</v>
      </c>
      <c r="U26" s="116">
        <f t="shared" si="89"/>
        <v>27782</v>
      </c>
      <c r="V26" s="116">
        <f t="shared" si="89"/>
        <v>28942</v>
      </c>
      <c r="W26" s="116">
        <f t="shared" ref="W26" si="90">SUM(W27:W28)</f>
        <v>29030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27716.999999999996</v>
      </c>
      <c r="C27" s="101">
        <f t="shared" si="91"/>
        <v>26678</v>
      </c>
      <c r="D27" s="101">
        <f t="shared" si="91"/>
        <v>28070.999999999996</v>
      </c>
      <c r="E27" s="101">
        <f t="shared" si="91"/>
        <v>26896</v>
      </c>
      <c r="F27" s="101">
        <f t="shared" si="91"/>
        <v>27331</v>
      </c>
      <c r="G27" s="101">
        <f t="shared" si="91"/>
        <v>27815</v>
      </c>
      <c r="H27" s="101">
        <f t="shared" si="91"/>
        <v>25465</v>
      </c>
      <c r="I27" s="101">
        <f t="shared" si="91"/>
        <v>25964</v>
      </c>
      <c r="J27" s="101">
        <f t="shared" si="91"/>
        <v>27615</v>
      </c>
      <c r="K27" s="101">
        <f t="shared" si="91"/>
        <v>24394</v>
      </c>
      <c r="L27" s="101">
        <f t="shared" ref="L27:V27" si="92">IF(L54=0,0,L54*L164)</f>
        <v>25156</v>
      </c>
      <c r="M27" s="101">
        <f t="shared" si="92"/>
        <v>23732</v>
      </c>
      <c r="N27" s="101">
        <f t="shared" si="92"/>
        <v>21928</v>
      </c>
      <c r="O27" s="101">
        <f t="shared" si="92"/>
        <v>20968</v>
      </c>
      <c r="P27" s="101">
        <f t="shared" si="92"/>
        <v>20298</v>
      </c>
      <c r="Q27" s="101">
        <f t="shared" si="92"/>
        <v>21434</v>
      </c>
      <c r="R27" s="101">
        <f t="shared" si="92"/>
        <v>24586</v>
      </c>
      <c r="S27" s="101">
        <f t="shared" si="92"/>
        <v>26330</v>
      </c>
      <c r="T27" s="101">
        <f t="shared" si="92"/>
        <v>25970</v>
      </c>
      <c r="U27" s="101">
        <f t="shared" si="92"/>
        <v>26711</v>
      </c>
      <c r="V27" s="101">
        <f t="shared" si="92"/>
        <v>27862</v>
      </c>
      <c r="W27" s="101">
        <f t="shared" ref="W27" si="93">IF(W54=0,0,W54*W164)</f>
        <v>27652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721.4485986292384</v>
      </c>
      <c r="C28" s="88">
        <f t="shared" si="94"/>
        <v>772.23139741900741</v>
      </c>
      <c r="D28" s="88">
        <f t="shared" si="94"/>
        <v>817.59921166626009</v>
      </c>
      <c r="E28" s="88">
        <f t="shared" si="94"/>
        <v>830.52440813275462</v>
      </c>
      <c r="F28" s="88">
        <f t="shared" si="94"/>
        <v>963.10782886371828</v>
      </c>
      <c r="G28" s="88">
        <f t="shared" si="94"/>
        <v>993.96384274747834</v>
      </c>
      <c r="H28" s="88">
        <f t="shared" si="94"/>
        <v>1058.6572380705293</v>
      </c>
      <c r="I28" s="88">
        <f t="shared" si="94"/>
        <v>1086.0201672923504</v>
      </c>
      <c r="J28" s="88">
        <f t="shared" si="94"/>
        <v>1099.3208932728012</v>
      </c>
      <c r="K28" s="88">
        <f t="shared" si="94"/>
        <v>1003.0701332126117</v>
      </c>
      <c r="L28" s="88">
        <f t="shared" ref="L28:V28" si="95">IF(L55=0,0,L55*L165)</f>
        <v>1332.7639559750314</v>
      </c>
      <c r="M28" s="88">
        <f t="shared" si="95"/>
        <v>863.23499955438092</v>
      </c>
      <c r="N28" s="88">
        <f t="shared" si="95"/>
        <v>1066.0690374486221</v>
      </c>
      <c r="O28" s="88">
        <f t="shared" si="95"/>
        <v>925.34049544828667</v>
      </c>
      <c r="P28" s="88">
        <f t="shared" si="95"/>
        <v>1187.6615515968588</v>
      </c>
      <c r="Q28" s="88">
        <f t="shared" si="95"/>
        <v>1342.6048197952441</v>
      </c>
      <c r="R28" s="88">
        <f t="shared" si="95"/>
        <v>1127.2940668671836</v>
      </c>
      <c r="S28" s="88">
        <f t="shared" si="95"/>
        <v>1133.8574686413158</v>
      </c>
      <c r="T28" s="88">
        <f t="shared" si="95"/>
        <v>1286</v>
      </c>
      <c r="U28" s="88">
        <f t="shared" si="95"/>
        <v>1071</v>
      </c>
      <c r="V28" s="88">
        <f t="shared" si="95"/>
        <v>1080</v>
      </c>
      <c r="W28" s="88">
        <f t="shared" ref="W28" si="96">IF(W55=0,0,W55*W165)</f>
        <v>1378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40055.690289797894</v>
      </c>
      <c r="C30" s="62">
        <f t="shared" ref="C30:V30" si="98">C31+C46</f>
        <v>41078.590967551005</v>
      </c>
      <c r="D30" s="62">
        <f t="shared" si="98"/>
        <v>42197.055353487711</v>
      </c>
      <c r="E30" s="62">
        <f t="shared" si="98"/>
        <v>43165.499520498714</v>
      </c>
      <c r="F30" s="62">
        <f t="shared" si="98"/>
        <v>44460.621207151285</v>
      </c>
      <c r="G30" s="62">
        <f t="shared" si="98"/>
        <v>45369.539021765217</v>
      </c>
      <c r="H30" s="62">
        <f t="shared" si="98"/>
        <v>45697.918014651419</v>
      </c>
      <c r="I30" s="62">
        <f t="shared" si="98"/>
        <v>46857.832474801588</v>
      </c>
      <c r="J30" s="62">
        <f t="shared" si="98"/>
        <v>47087.175808819244</v>
      </c>
      <c r="K30" s="62">
        <f t="shared" si="98"/>
        <v>47524.565624541901</v>
      </c>
      <c r="L30" s="62">
        <f t="shared" si="98"/>
        <v>48587.699153294234</v>
      </c>
      <c r="M30" s="62">
        <f t="shared" si="98"/>
        <v>49252.127646674278</v>
      </c>
      <c r="N30" s="62">
        <f t="shared" si="98"/>
        <v>49020.006245615448</v>
      </c>
      <c r="O30" s="62">
        <f t="shared" si="98"/>
        <v>49184.855293673441</v>
      </c>
      <c r="P30" s="62">
        <f t="shared" si="98"/>
        <v>49473.683123742849</v>
      </c>
      <c r="Q30" s="62">
        <f t="shared" si="98"/>
        <v>50042.771369195121</v>
      </c>
      <c r="R30" s="62">
        <f t="shared" si="98"/>
        <v>48487.49268717743</v>
      </c>
      <c r="S30" s="62">
        <f t="shared" si="98"/>
        <v>51089.887670862496</v>
      </c>
      <c r="T30" s="62">
        <f t="shared" si="98"/>
        <v>51288.302689380303</v>
      </c>
      <c r="U30" s="62">
        <f t="shared" si="98"/>
        <v>51530.889446628687</v>
      </c>
      <c r="V30" s="62">
        <f t="shared" si="98"/>
        <v>49721.362972029157</v>
      </c>
      <c r="W30" s="62">
        <f t="shared" ref="W30" si="99">W31+W46</f>
        <v>49664.787370649086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34015.393646977682</v>
      </c>
      <c r="C31" s="29">
        <f t="shared" ref="C31:V31" si="101">C32+C33+C40</f>
        <v>34875.478252902067</v>
      </c>
      <c r="D31" s="29">
        <f t="shared" si="101"/>
        <v>35877.444687222647</v>
      </c>
      <c r="E31" s="29">
        <f t="shared" si="101"/>
        <v>36779.222233980894</v>
      </c>
      <c r="F31" s="29">
        <f t="shared" si="101"/>
        <v>37755.84468741835</v>
      </c>
      <c r="G31" s="29">
        <f t="shared" si="101"/>
        <v>38450.799558509985</v>
      </c>
      <c r="H31" s="29">
        <f t="shared" si="101"/>
        <v>38849.027974130076</v>
      </c>
      <c r="I31" s="29">
        <f t="shared" si="101"/>
        <v>39811.471504357745</v>
      </c>
      <c r="J31" s="29">
        <f t="shared" si="101"/>
        <v>39561.850246561015</v>
      </c>
      <c r="K31" s="29">
        <f t="shared" si="101"/>
        <v>40252.30604992489</v>
      </c>
      <c r="L31" s="29">
        <f t="shared" si="101"/>
        <v>40848.514739586768</v>
      </c>
      <c r="M31" s="29">
        <f t="shared" si="101"/>
        <v>41401.18594217232</v>
      </c>
      <c r="N31" s="29">
        <f t="shared" si="101"/>
        <v>41262.279910833604</v>
      </c>
      <c r="O31" s="29">
        <f t="shared" si="101"/>
        <v>41171.145214428965</v>
      </c>
      <c r="P31" s="29">
        <f t="shared" si="101"/>
        <v>41484.76431307957</v>
      </c>
      <c r="Q31" s="29">
        <f t="shared" si="101"/>
        <v>42058.836217321063</v>
      </c>
      <c r="R31" s="29">
        <f t="shared" si="101"/>
        <v>40043.398350511612</v>
      </c>
      <c r="S31" s="29">
        <f t="shared" si="101"/>
        <v>42333.326106594541</v>
      </c>
      <c r="T31" s="29">
        <f t="shared" si="101"/>
        <v>42370.579698467489</v>
      </c>
      <c r="U31" s="29">
        <f t="shared" si="101"/>
        <v>42420.840048734746</v>
      </c>
      <c r="V31" s="29">
        <f t="shared" si="101"/>
        <v>40680.078272654981</v>
      </c>
      <c r="W31" s="29">
        <f t="shared" ref="W31" si="102">W32+W33+W40</f>
        <v>40255.267989164691</v>
      </c>
      <c r="DA31" s="173" t="s">
        <v>474</v>
      </c>
    </row>
    <row r="32" spans="1:105" ht="11.45" customHeight="1" x14ac:dyDescent="0.25">
      <c r="A32" s="136" t="s">
        <v>180</v>
      </c>
      <c r="B32" s="152">
        <v>844.73997701679491</v>
      </c>
      <c r="C32" s="152">
        <v>844.72377471150946</v>
      </c>
      <c r="D32" s="152">
        <v>844.57699285263232</v>
      </c>
      <c r="E32" s="152">
        <v>844.93168945795537</v>
      </c>
      <c r="F32" s="152">
        <v>845.04484119138294</v>
      </c>
      <c r="G32" s="152">
        <v>844.27963060788579</v>
      </c>
      <c r="H32" s="152">
        <v>844.5151380772113</v>
      </c>
      <c r="I32" s="152">
        <v>845.87064233951355</v>
      </c>
      <c r="J32" s="152">
        <v>846.31580366861806</v>
      </c>
      <c r="K32" s="152">
        <v>846.72194281392035</v>
      </c>
      <c r="L32" s="152">
        <v>1127.0230423425471</v>
      </c>
      <c r="M32" s="152">
        <v>1126.0357676729006</v>
      </c>
      <c r="N32" s="152">
        <v>1123.9613892182472</v>
      </c>
      <c r="O32" s="152">
        <v>1123.4031111145816</v>
      </c>
      <c r="P32" s="152">
        <v>1123.8120539360646</v>
      </c>
      <c r="Q32" s="152">
        <v>1123.8362173210592</v>
      </c>
      <c r="R32" s="152">
        <v>1152.5383505116149</v>
      </c>
      <c r="S32" s="152">
        <v>1089.3261065945492</v>
      </c>
      <c r="T32" s="152">
        <v>1038.5796984674912</v>
      </c>
      <c r="U32" s="152">
        <v>1101.8400487347483</v>
      </c>
      <c r="V32" s="152">
        <v>986.89427265498409</v>
      </c>
      <c r="W32" s="152">
        <v>1023.2679891646844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32815</v>
      </c>
      <c r="C33" s="116">
        <f t="shared" ref="C33:V33" si="104">SUM(C34:C39)</f>
        <v>33680</v>
      </c>
      <c r="D33" s="116">
        <f t="shared" si="104"/>
        <v>34675</v>
      </c>
      <c r="E33" s="116">
        <f t="shared" si="104"/>
        <v>35565</v>
      </c>
      <c r="F33" s="116">
        <f t="shared" si="104"/>
        <v>36530</v>
      </c>
      <c r="G33" s="116">
        <f t="shared" si="104"/>
        <v>37220</v>
      </c>
      <c r="H33" s="116">
        <f t="shared" si="104"/>
        <v>37610</v>
      </c>
      <c r="I33" s="116">
        <f t="shared" si="104"/>
        <v>38560</v>
      </c>
      <c r="J33" s="116">
        <f t="shared" si="104"/>
        <v>38285</v>
      </c>
      <c r="K33" s="116">
        <f t="shared" si="104"/>
        <v>38950.000000000007</v>
      </c>
      <c r="L33" s="116">
        <f t="shared" si="104"/>
        <v>39245.000000000007</v>
      </c>
      <c r="M33" s="116">
        <f t="shared" si="104"/>
        <v>39780</v>
      </c>
      <c r="N33" s="116">
        <f t="shared" si="104"/>
        <v>39619.999999999993</v>
      </c>
      <c r="O33" s="116">
        <f t="shared" si="104"/>
        <v>39510</v>
      </c>
      <c r="P33" s="116">
        <f t="shared" si="104"/>
        <v>39799.999999999993</v>
      </c>
      <c r="Q33" s="116">
        <f t="shared" si="104"/>
        <v>40355</v>
      </c>
      <c r="R33" s="116">
        <f t="shared" si="104"/>
        <v>38275.86</v>
      </c>
      <c r="S33" s="116">
        <f t="shared" si="104"/>
        <v>40613.999999999993</v>
      </c>
      <c r="T33" s="116">
        <f t="shared" si="104"/>
        <v>40718</v>
      </c>
      <c r="U33" s="116">
        <f t="shared" si="104"/>
        <v>40718</v>
      </c>
      <c r="V33" s="116">
        <f t="shared" si="104"/>
        <v>39170.183999999994</v>
      </c>
      <c r="W33" s="116">
        <f t="shared" ref="W33" si="105">SUM(W34:W39)</f>
        <v>38771.000000000007</v>
      </c>
      <c r="DA33" s="176" t="s">
        <v>476</v>
      </c>
    </row>
    <row r="34" spans="1:105" ht="11.45" customHeight="1" x14ac:dyDescent="0.25">
      <c r="A34" s="111" t="s">
        <v>110</v>
      </c>
      <c r="B34" s="87">
        <v>27330.409212316747</v>
      </c>
      <c r="C34" s="87">
        <v>27847.695525540741</v>
      </c>
      <c r="D34" s="87">
        <v>28471.34434323919</v>
      </c>
      <c r="E34" s="87">
        <v>28902.584047215583</v>
      </c>
      <c r="F34" s="87">
        <v>29664.772494323563</v>
      </c>
      <c r="G34" s="87">
        <v>29793.567582333373</v>
      </c>
      <c r="H34" s="87">
        <v>29560.606749327126</v>
      </c>
      <c r="I34" s="87">
        <v>29622.419437837358</v>
      </c>
      <c r="J34" s="87">
        <v>27953.999423819245</v>
      </c>
      <c r="K34" s="87">
        <v>27645.06014436535</v>
      </c>
      <c r="L34" s="87">
        <v>26838.470437874668</v>
      </c>
      <c r="M34" s="87">
        <v>25740.269598216859</v>
      </c>
      <c r="N34" s="87">
        <v>24882.211585709494</v>
      </c>
      <c r="O34" s="87">
        <v>24683.484991497338</v>
      </c>
      <c r="P34" s="87">
        <v>24298.090199628896</v>
      </c>
      <c r="Q34" s="87">
        <v>24153.378371770246</v>
      </c>
      <c r="R34" s="87">
        <v>22607.214102291044</v>
      </c>
      <c r="S34" s="87">
        <v>23390.44658841964</v>
      </c>
      <c r="T34" s="87">
        <v>23118.131760120574</v>
      </c>
      <c r="U34" s="87">
        <v>22959.020783955199</v>
      </c>
      <c r="V34" s="87">
        <v>22066.509383234614</v>
      </c>
      <c r="W34" s="87">
        <v>21588.351922395184</v>
      </c>
      <c r="DA34" s="171" t="s">
        <v>477</v>
      </c>
    </row>
    <row r="35" spans="1:105" ht="11.45" customHeight="1" x14ac:dyDescent="0.25">
      <c r="A35" s="111" t="s">
        <v>111</v>
      </c>
      <c r="B35" s="87">
        <v>5484.5907876832525</v>
      </c>
      <c r="C35" s="87">
        <v>5832.3044744592589</v>
      </c>
      <c r="D35" s="87">
        <v>6203.6556567608104</v>
      </c>
      <c r="E35" s="87">
        <v>6662.4159527844149</v>
      </c>
      <c r="F35" s="87">
        <v>6865.2275056764383</v>
      </c>
      <c r="G35" s="87">
        <v>7426.432417666625</v>
      </c>
      <c r="H35" s="87">
        <v>8049.3539893963989</v>
      </c>
      <c r="I35" s="87">
        <v>8936.1585888437185</v>
      </c>
      <c r="J35" s="87">
        <v>10328.242625442608</v>
      </c>
      <c r="K35" s="87">
        <v>11300.152316204207</v>
      </c>
      <c r="L35" s="87">
        <v>12400.206963585681</v>
      </c>
      <c r="M35" s="87">
        <v>14031.347334108375</v>
      </c>
      <c r="N35" s="87">
        <v>14724.95328918789</v>
      </c>
      <c r="O35" s="87">
        <v>14809.124563756497</v>
      </c>
      <c r="P35" s="87">
        <v>15476.503881137131</v>
      </c>
      <c r="Q35" s="87">
        <v>16165.288379994086</v>
      </c>
      <c r="R35" s="87">
        <v>15616.690178117442</v>
      </c>
      <c r="S35" s="87">
        <v>17116.056571286321</v>
      </c>
      <c r="T35" s="87">
        <v>17389.183886071107</v>
      </c>
      <c r="U35" s="87">
        <v>17383.469568013326</v>
      </c>
      <c r="V35" s="87">
        <v>16494.791944311954</v>
      </c>
      <c r="W35" s="87">
        <v>16148.236970866259</v>
      </c>
      <c r="DA35" s="171" t="s">
        <v>478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0</v>
      </c>
      <c r="E36" s="87">
        <v>0</v>
      </c>
      <c r="F36" s="87">
        <v>0</v>
      </c>
      <c r="G36" s="87">
        <v>0</v>
      </c>
      <c r="H36" s="87">
        <v>0</v>
      </c>
      <c r="I36" s="87">
        <v>0</v>
      </c>
      <c r="J36" s="87">
        <v>0</v>
      </c>
      <c r="K36" s="87">
        <v>0</v>
      </c>
      <c r="L36" s="87">
        <v>0</v>
      </c>
      <c r="M36" s="87">
        <v>0</v>
      </c>
      <c r="N36" s="87">
        <v>0</v>
      </c>
      <c r="O36" s="87">
        <v>0</v>
      </c>
      <c r="P36" s="87">
        <v>0</v>
      </c>
      <c r="Q36" s="87">
        <v>0</v>
      </c>
      <c r="R36" s="87">
        <v>0</v>
      </c>
      <c r="S36" s="87">
        <v>0</v>
      </c>
      <c r="T36" s="87">
        <v>0</v>
      </c>
      <c r="U36" s="87">
        <v>0</v>
      </c>
      <c r="V36" s="87">
        <v>0</v>
      </c>
      <c r="W36" s="87">
        <v>0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3.9261276473837148E-2</v>
      </c>
      <c r="I37" s="87">
        <v>1.3841369522574856</v>
      </c>
      <c r="J37" s="87">
        <v>2.6671842168891744</v>
      </c>
      <c r="K37" s="87">
        <v>4.6178535724953882</v>
      </c>
      <c r="L37" s="87">
        <v>6.0179596861712596</v>
      </c>
      <c r="M37" s="87">
        <v>7.6328054232625258</v>
      </c>
      <c r="N37" s="87">
        <v>10.064287654708505</v>
      </c>
      <c r="O37" s="87">
        <v>12.199995608240338</v>
      </c>
      <c r="P37" s="87">
        <v>14.838120233726256</v>
      </c>
      <c r="Q37" s="87">
        <v>17.773471769430877</v>
      </c>
      <c r="R37" s="87">
        <v>19.118597313486411</v>
      </c>
      <c r="S37" s="87">
        <v>34.974566763662487</v>
      </c>
      <c r="T37" s="87">
        <v>60.410874737546592</v>
      </c>
      <c r="U37" s="87">
        <v>97.804059628433308</v>
      </c>
      <c r="V37" s="87">
        <v>118.65476431026107</v>
      </c>
      <c r="W37" s="87">
        <v>125.60507145526638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1.2886510798072577</v>
      </c>
      <c r="O38" s="87">
        <v>2.8634878539602719</v>
      </c>
      <c r="P38" s="87">
        <v>5.5850704930050989</v>
      </c>
      <c r="Q38" s="87">
        <v>9.9971819415619247</v>
      </c>
      <c r="R38" s="87">
        <v>21.257223436290214</v>
      </c>
      <c r="S38" s="87">
        <v>52.700705783610026</v>
      </c>
      <c r="T38" s="87">
        <v>117.40819444746448</v>
      </c>
      <c r="U38" s="87">
        <v>214.11500173264253</v>
      </c>
      <c r="V38" s="87">
        <v>364.14199753395121</v>
      </c>
      <c r="W38" s="87">
        <v>596.69551752264169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3.7836366667880775E-2</v>
      </c>
      <c r="J39" s="87">
        <v>9.0766521257971217E-2</v>
      </c>
      <c r="K39" s="87">
        <v>0.16968585794920665</v>
      </c>
      <c r="L39" s="87">
        <v>0.30463885348284531</v>
      </c>
      <c r="M39" s="87">
        <v>0.75026225150505854</v>
      </c>
      <c r="N39" s="87">
        <v>1.4821863681002949</v>
      </c>
      <c r="O39" s="87">
        <v>2.3269612839668441</v>
      </c>
      <c r="P39" s="87">
        <v>4.9827285072398464</v>
      </c>
      <c r="Q39" s="87">
        <v>8.5625945246734059</v>
      </c>
      <c r="R39" s="87">
        <v>11.579898841735702</v>
      </c>
      <c r="S39" s="87">
        <v>19.821567746767951</v>
      </c>
      <c r="T39" s="87">
        <v>32.86528462330724</v>
      </c>
      <c r="U39" s="87">
        <v>63.590586670398181</v>
      </c>
      <c r="V39" s="87">
        <v>126.08591060922069</v>
      </c>
      <c r="W39" s="87">
        <v>312.11051776064812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355.65366996088164</v>
      </c>
      <c r="C40" s="116">
        <f t="shared" ref="C40:V40" si="107">SUM(C41:C45)</f>
        <v>350.75447819056069</v>
      </c>
      <c r="D40" s="116">
        <f t="shared" si="107"/>
        <v>357.86769437001107</v>
      </c>
      <c r="E40" s="116">
        <f t="shared" si="107"/>
        <v>369.29054452293781</v>
      </c>
      <c r="F40" s="116">
        <f t="shared" si="107"/>
        <v>380.79984622696719</v>
      </c>
      <c r="G40" s="116">
        <f t="shared" si="107"/>
        <v>386.51992790209692</v>
      </c>
      <c r="H40" s="116">
        <f t="shared" si="107"/>
        <v>394.51283605286341</v>
      </c>
      <c r="I40" s="116">
        <f t="shared" si="107"/>
        <v>405.60086201822952</v>
      </c>
      <c r="J40" s="116">
        <f t="shared" si="107"/>
        <v>430.53444289240065</v>
      </c>
      <c r="K40" s="116">
        <f t="shared" si="107"/>
        <v>455.58410711096377</v>
      </c>
      <c r="L40" s="116">
        <f t="shared" si="107"/>
        <v>476.49169724421199</v>
      </c>
      <c r="M40" s="116">
        <f t="shared" si="107"/>
        <v>495.15017449941524</v>
      </c>
      <c r="N40" s="116">
        <f t="shared" si="107"/>
        <v>518.31852161536267</v>
      </c>
      <c r="O40" s="116">
        <f t="shared" si="107"/>
        <v>537.7421033143836</v>
      </c>
      <c r="P40" s="116">
        <f t="shared" si="107"/>
        <v>560.95225914350965</v>
      </c>
      <c r="Q40" s="116">
        <f t="shared" si="107"/>
        <v>580</v>
      </c>
      <c r="R40" s="116">
        <f t="shared" si="107"/>
        <v>614.99999999999989</v>
      </c>
      <c r="S40" s="116">
        <f t="shared" si="107"/>
        <v>630</v>
      </c>
      <c r="T40" s="116">
        <f t="shared" si="107"/>
        <v>614.00000000000011</v>
      </c>
      <c r="U40" s="116">
        <f t="shared" si="107"/>
        <v>601</v>
      </c>
      <c r="V40" s="116">
        <f t="shared" si="107"/>
        <v>523</v>
      </c>
      <c r="W40" s="116">
        <f t="shared" ref="W40" si="108">SUM(W41:W45)</f>
        <v>460.99999999999994</v>
      </c>
      <c r="DA40" s="176" t="s">
        <v>483</v>
      </c>
    </row>
    <row r="41" spans="1:105" ht="11.45" customHeight="1" x14ac:dyDescent="0.25">
      <c r="A41" s="111" t="s">
        <v>110</v>
      </c>
      <c r="B41" s="101">
        <v>0.47098601429620374</v>
      </c>
      <c r="C41" s="101">
        <v>0.5231762406892676</v>
      </c>
      <c r="D41" s="101">
        <v>0.50564110348973845</v>
      </c>
      <c r="E41" s="101">
        <v>0.50555884663333528</v>
      </c>
      <c r="F41" s="101">
        <v>0.52290592175943162</v>
      </c>
      <c r="G41" s="101">
        <v>0.57508033419019144</v>
      </c>
      <c r="H41" s="101">
        <v>0.54012501263554735</v>
      </c>
      <c r="I41" s="101">
        <v>0.55745278489939398</v>
      </c>
      <c r="J41" s="101">
        <v>0.53998083649401973</v>
      </c>
      <c r="K41" s="101">
        <v>0.53992530127950733</v>
      </c>
      <c r="L41" s="101">
        <v>0.55726942401963941</v>
      </c>
      <c r="M41" s="101">
        <v>0.53977591573706396</v>
      </c>
      <c r="N41" s="101">
        <v>0.53970649220624767</v>
      </c>
      <c r="O41" s="101">
        <v>0.53962559150387146</v>
      </c>
      <c r="P41" s="101">
        <v>0.53955172681256469</v>
      </c>
      <c r="Q41" s="101">
        <v>0.53946648626345506</v>
      </c>
      <c r="R41" s="101">
        <v>0.53935562067037013</v>
      </c>
      <c r="S41" s="101">
        <v>0.54083536575876556</v>
      </c>
      <c r="T41" s="101">
        <v>0.50408319385264078</v>
      </c>
      <c r="U41" s="101">
        <v>0.46665998037591805</v>
      </c>
      <c r="V41" s="101">
        <v>0.37984358361340831</v>
      </c>
      <c r="W41" s="101">
        <v>0.32181220582921038</v>
      </c>
      <c r="DA41" s="175" t="s">
        <v>484</v>
      </c>
    </row>
    <row r="42" spans="1:105" ht="11.45" customHeight="1" x14ac:dyDescent="0.25">
      <c r="A42" s="111" t="s">
        <v>111</v>
      </c>
      <c r="B42" s="101">
        <v>351.16398333698703</v>
      </c>
      <c r="C42" s="101">
        <v>346.29021433736631</v>
      </c>
      <c r="D42" s="101">
        <v>351.39415958432403</v>
      </c>
      <c r="E42" s="101">
        <v>362.7415638304501</v>
      </c>
      <c r="F42" s="101">
        <v>374.34924174771612</v>
      </c>
      <c r="G42" s="101">
        <v>380.05658179500909</v>
      </c>
      <c r="H42" s="101">
        <v>386.21237120023613</v>
      </c>
      <c r="I42" s="101">
        <v>397.1315133547493</v>
      </c>
      <c r="J42" s="101">
        <v>422.3126298331652</v>
      </c>
      <c r="K42" s="101">
        <v>447.32492549741357</v>
      </c>
      <c r="L42" s="101">
        <v>468.59827157859252</v>
      </c>
      <c r="M42" s="101">
        <v>487.69555293106316</v>
      </c>
      <c r="N42" s="101">
        <v>510.95095888141918</v>
      </c>
      <c r="O42" s="101">
        <v>530.96024179944811</v>
      </c>
      <c r="P42" s="101">
        <v>554.58589150671253</v>
      </c>
      <c r="Q42" s="101">
        <v>574.0491382204309</v>
      </c>
      <c r="R42" s="101">
        <v>609.05450422757337</v>
      </c>
      <c r="S42" s="101">
        <v>624.25405675559773</v>
      </c>
      <c r="T42" s="101">
        <v>608.62862813465733</v>
      </c>
      <c r="U42" s="101">
        <v>594.53151607053042</v>
      </c>
      <c r="V42" s="101">
        <v>516.52602016373658</v>
      </c>
      <c r="W42" s="101">
        <v>448.76232736196562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4.018700609598385</v>
      </c>
      <c r="C44" s="101">
        <v>3.9410876125051129</v>
      </c>
      <c r="D44" s="101">
        <v>5.9678936821973005</v>
      </c>
      <c r="E44" s="101">
        <v>6.0434218458543887</v>
      </c>
      <c r="F44" s="101">
        <v>5.927698557491599</v>
      </c>
      <c r="G44" s="101">
        <v>5.888265772897606</v>
      </c>
      <c r="H44" s="101">
        <v>7.7603398399917021</v>
      </c>
      <c r="I44" s="101">
        <v>7.9118958785808244</v>
      </c>
      <c r="J44" s="101">
        <v>7.6818322227414546</v>
      </c>
      <c r="K44" s="101">
        <v>7.7192563122706961</v>
      </c>
      <c r="L44" s="101">
        <v>7.336156241599836</v>
      </c>
      <c r="M44" s="101">
        <v>6.9148456526150186</v>
      </c>
      <c r="N44" s="101">
        <v>6.5787601749147493</v>
      </c>
      <c r="O44" s="101">
        <v>5.9931771955090944</v>
      </c>
      <c r="P44" s="101">
        <v>5.577791273562557</v>
      </c>
      <c r="Q44" s="101">
        <v>5.1624099987958916</v>
      </c>
      <c r="R44" s="101">
        <v>4.7484719019636792</v>
      </c>
      <c r="S44" s="101">
        <v>4.2227336719521888</v>
      </c>
      <c r="T44" s="101">
        <v>3.9081061302622184</v>
      </c>
      <c r="U44" s="101">
        <v>3.473525908868047</v>
      </c>
      <c r="V44" s="101">
        <v>2.9229770169792304</v>
      </c>
      <c r="W44" s="101">
        <v>2.4385089604657821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0.24909606682251831</v>
      </c>
      <c r="O45" s="101">
        <v>0.24905872792247519</v>
      </c>
      <c r="P45" s="101">
        <v>0.2490246364220999</v>
      </c>
      <c r="Q45" s="101">
        <v>0.24898529450973897</v>
      </c>
      <c r="R45" s="101">
        <v>0.65766824979255045</v>
      </c>
      <c r="S45" s="101">
        <v>0.98237420669132725</v>
      </c>
      <c r="T45" s="101">
        <v>0.95918254122779645</v>
      </c>
      <c r="U45" s="101">
        <v>2.5282980402256512</v>
      </c>
      <c r="V45" s="101">
        <v>3.1711592356708205</v>
      </c>
      <c r="W45" s="101">
        <v>9.4773514717393912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6040.2966428202108</v>
      </c>
      <c r="C46" s="29">
        <f t="shared" ref="C46:V46" si="110">C47+C53</f>
        <v>6203.1127146489398</v>
      </c>
      <c r="D46" s="29">
        <f t="shared" si="110"/>
        <v>6319.6106662650609</v>
      </c>
      <c r="E46" s="29">
        <f t="shared" si="110"/>
        <v>6386.2772865178213</v>
      </c>
      <c r="F46" s="29">
        <f t="shared" si="110"/>
        <v>6704.7765197329318</v>
      </c>
      <c r="G46" s="29">
        <f t="shared" si="110"/>
        <v>6918.7394632552287</v>
      </c>
      <c r="H46" s="29">
        <f t="shared" si="110"/>
        <v>6848.8900405213399</v>
      </c>
      <c r="I46" s="29">
        <f t="shared" si="110"/>
        <v>7046.3609704438459</v>
      </c>
      <c r="J46" s="29">
        <f t="shared" si="110"/>
        <v>7525.3255622582274</v>
      </c>
      <c r="K46" s="29">
        <f t="shared" si="110"/>
        <v>7272.2595746170091</v>
      </c>
      <c r="L46" s="29">
        <f t="shared" si="110"/>
        <v>7739.184413707464</v>
      </c>
      <c r="M46" s="29">
        <f t="shared" si="110"/>
        <v>7850.9417045019563</v>
      </c>
      <c r="N46" s="29">
        <f t="shared" si="110"/>
        <v>7757.7263347818425</v>
      </c>
      <c r="O46" s="29">
        <f t="shared" si="110"/>
        <v>8013.7100792444744</v>
      </c>
      <c r="P46" s="29">
        <f t="shared" si="110"/>
        <v>7988.9188106632791</v>
      </c>
      <c r="Q46" s="29">
        <f t="shared" si="110"/>
        <v>7983.9351518740605</v>
      </c>
      <c r="R46" s="29">
        <f t="shared" si="110"/>
        <v>8444.0943366658157</v>
      </c>
      <c r="S46" s="29">
        <f t="shared" si="110"/>
        <v>8756.561564267955</v>
      </c>
      <c r="T46" s="29">
        <f t="shared" si="110"/>
        <v>8917.7229909128164</v>
      </c>
      <c r="U46" s="29">
        <f t="shared" si="110"/>
        <v>9110.0493978939394</v>
      </c>
      <c r="V46" s="29">
        <f t="shared" si="110"/>
        <v>9041.2846993741787</v>
      </c>
      <c r="W46" s="29">
        <f t="shared" ref="W46" si="111">W47+W53</f>
        <v>9409.5193814843951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3821.6950263398176</v>
      </c>
      <c r="C47" s="152">
        <f t="shared" ref="C47:V47" si="113">SUM(C48:C52)</f>
        <v>3911.9022385388398</v>
      </c>
      <c r="D47" s="152">
        <f t="shared" si="113"/>
        <v>3972.5898273212688</v>
      </c>
      <c r="E47" s="152">
        <f t="shared" si="113"/>
        <v>4017.011850640768</v>
      </c>
      <c r="F47" s="152">
        <f t="shared" si="113"/>
        <v>4307.9493677812879</v>
      </c>
      <c r="G47" s="152">
        <f t="shared" si="113"/>
        <v>4449.7390218771725</v>
      </c>
      <c r="H47" s="152">
        <f t="shared" si="113"/>
        <v>4489.7485414786806</v>
      </c>
      <c r="I47" s="152">
        <f t="shared" si="113"/>
        <v>4685.4215440984981</v>
      </c>
      <c r="J47" s="152">
        <f t="shared" si="113"/>
        <v>5071.3255263094989</v>
      </c>
      <c r="K47" s="152">
        <f t="shared" si="113"/>
        <v>5135.2123397632868</v>
      </c>
      <c r="L47" s="152">
        <f t="shared" si="113"/>
        <v>5387.1868018813229</v>
      </c>
      <c r="M47" s="152">
        <f t="shared" si="113"/>
        <v>5657.8631960701532</v>
      </c>
      <c r="N47" s="152">
        <f t="shared" si="113"/>
        <v>5766.0457452717428</v>
      </c>
      <c r="O47" s="152">
        <f t="shared" si="113"/>
        <v>6012.1071308087021</v>
      </c>
      <c r="P47" s="152">
        <f t="shared" si="113"/>
        <v>6113.915148277888</v>
      </c>
      <c r="Q47" s="152">
        <f t="shared" si="113"/>
        <v>6277.0728534165019</v>
      </c>
      <c r="R47" s="152">
        <f t="shared" si="113"/>
        <v>6487.1747734790688</v>
      </c>
      <c r="S47" s="152">
        <f t="shared" si="113"/>
        <v>6716.8580180479139</v>
      </c>
      <c r="T47" s="152">
        <f t="shared" si="113"/>
        <v>6936.8779370516022</v>
      </c>
      <c r="U47" s="152">
        <f t="shared" si="113"/>
        <v>7138.1028971313935</v>
      </c>
      <c r="V47" s="152">
        <f t="shared" si="113"/>
        <v>7139.5129475848344</v>
      </c>
      <c r="W47" s="152">
        <f t="shared" ref="W47" si="114">SUM(W48:W52)</f>
        <v>7457.3766485303704</v>
      </c>
      <c r="DA47" s="174" t="s">
        <v>490</v>
      </c>
    </row>
    <row r="48" spans="1:105" ht="11.45" customHeight="1" x14ac:dyDescent="0.25">
      <c r="A48" s="111" t="s">
        <v>110</v>
      </c>
      <c r="B48" s="87">
        <v>424.83291770994049</v>
      </c>
      <c r="C48" s="87">
        <v>400.98645710682945</v>
      </c>
      <c r="D48" s="87">
        <v>378.00573169085988</v>
      </c>
      <c r="E48" s="87">
        <v>349.47267421519695</v>
      </c>
      <c r="F48" s="87">
        <v>326.940448680109</v>
      </c>
      <c r="G48" s="87">
        <v>315.95546237321719</v>
      </c>
      <c r="H48" s="87">
        <v>291.4373890518093</v>
      </c>
      <c r="I48" s="87">
        <v>276.22609795323677</v>
      </c>
      <c r="J48" s="87">
        <v>278.76328987905316</v>
      </c>
      <c r="K48" s="87">
        <v>267.94006192702705</v>
      </c>
      <c r="L48" s="87">
        <v>267.10883993933339</v>
      </c>
      <c r="M48" s="87">
        <v>264.97982662443934</v>
      </c>
      <c r="N48" s="87">
        <v>258.68045663243538</v>
      </c>
      <c r="O48" s="87">
        <v>251.86282536670515</v>
      </c>
      <c r="P48" s="87">
        <v>246.03541289678125</v>
      </c>
      <c r="Q48" s="87">
        <v>242.38742074052931</v>
      </c>
      <c r="R48" s="87">
        <v>240.36437389636743</v>
      </c>
      <c r="S48" s="87">
        <v>238.37094222385508</v>
      </c>
      <c r="T48" s="87">
        <v>236.74309217935144</v>
      </c>
      <c r="U48" s="87">
        <v>235.60771420454731</v>
      </c>
      <c r="V48" s="87">
        <v>230.8219160361129</v>
      </c>
      <c r="W48" s="87">
        <v>236.98205014370438</v>
      </c>
      <c r="DA48" s="171" t="s">
        <v>491</v>
      </c>
    </row>
    <row r="49" spans="1:105" ht="11.45" customHeight="1" x14ac:dyDescent="0.25">
      <c r="A49" s="111" t="s">
        <v>111</v>
      </c>
      <c r="B49" s="87">
        <v>3395.5287169755111</v>
      </c>
      <c r="C49" s="87">
        <v>3509.5697371132078</v>
      </c>
      <c r="D49" s="87">
        <v>3593.3821422571327</v>
      </c>
      <c r="E49" s="87">
        <v>3666.4214234318738</v>
      </c>
      <c r="F49" s="87">
        <v>3979.9671040400749</v>
      </c>
      <c r="G49" s="87">
        <v>4132.8008876780323</v>
      </c>
      <c r="H49" s="87">
        <v>4197.3649767316301</v>
      </c>
      <c r="I49" s="87">
        <v>4408.1901090890578</v>
      </c>
      <c r="J49" s="87">
        <v>4791.3784173795402</v>
      </c>
      <c r="K49" s="87">
        <v>4865.8622464335858</v>
      </c>
      <c r="L49" s="87">
        <v>5118.4011174024818</v>
      </c>
      <c r="M49" s="87">
        <v>5390.888909293024</v>
      </c>
      <c r="N49" s="87">
        <v>5505.0473646861665</v>
      </c>
      <c r="O49" s="87">
        <v>5757.3089344487717</v>
      </c>
      <c r="P49" s="87">
        <v>5864.5150750523044</v>
      </c>
      <c r="Q49" s="87">
        <v>6030.6709750735881</v>
      </c>
      <c r="R49" s="87">
        <v>6241.7874842302881</v>
      </c>
      <c r="S49" s="87">
        <v>6471.7777837948152</v>
      </c>
      <c r="T49" s="87">
        <v>6691.2763617362816</v>
      </c>
      <c r="U49" s="87">
        <v>6891.1225556987165</v>
      </c>
      <c r="V49" s="87">
        <v>6895.3952230239529</v>
      </c>
      <c r="W49" s="87">
        <v>7203.2115359665295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0</v>
      </c>
      <c r="T50" s="87">
        <v>0</v>
      </c>
      <c r="U50" s="87">
        <v>0</v>
      </c>
      <c r="V50" s="87">
        <v>0</v>
      </c>
      <c r="W50" s="87">
        <v>0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4.5828417768045873E-2</v>
      </c>
      <c r="D51" s="87">
        <v>4.5571336699370892E-2</v>
      </c>
      <c r="E51" s="87">
        <v>4.4889930465047183E-2</v>
      </c>
      <c r="F51" s="87">
        <v>4.1912175719308331E-2</v>
      </c>
      <c r="G51" s="87">
        <v>5.8611364150009879E-2</v>
      </c>
      <c r="H51" s="87">
        <v>5.459193831628488E-2</v>
      </c>
      <c r="I51" s="87">
        <v>0.14782398210885725</v>
      </c>
      <c r="J51" s="87">
        <v>0.27513671808498358</v>
      </c>
      <c r="K51" s="87">
        <v>0.46294767669931569</v>
      </c>
      <c r="L51" s="87">
        <v>0.65730097368212503</v>
      </c>
      <c r="M51" s="87">
        <v>0.96179070914545106</v>
      </c>
      <c r="N51" s="87">
        <v>1.1686210509459645</v>
      </c>
      <c r="O51" s="87">
        <v>1.746553689681704</v>
      </c>
      <c r="P51" s="87">
        <v>1.9827237505535831</v>
      </c>
      <c r="Q51" s="87">
        <v>2.2656214063301578</v>
      </c>
      <c r="R51" s="87">
        <v>2.7006863306073128</v>
      </c>
      <c r="S51" s="87">
        <v>4.0120097385916891</v>
      </c>
      <c r="T51" s="87">
        <v>5.7424490474966099</v>
      </c>
      <c r="U51" s="87">
        <v>7.7055304739127655</v>
      </c>
      <c r="V51" s="87">
        <v>9.3083986400288641</v>
      </c>
      <c r="W51" s="87">
        <v>9.8624923494917862</v>
      </c>
      <c r="DA51" s="171" t="s">
        <v>494</v>
      </c>
    </row>
    <row r="52" spans="1:105" ht="11.45" customHeight="1" x14ac:dyDescent="0.25">
      <c r="A52" s="111" t="s">
        <v>115</v>
      </c>
      <c r="B52" s="87">
        <v>1.3333916543661237</v>
      </c>
      <c r="C52" s="87">
        <v>1.3002159010341381</v>
      </c>
      <c r="D52" s="87">
        <v>1.1563820365765982</v>
      </c>
      <c r="E52" s="87">
        <v>1.0728630632319234</v>
      </c>
      <c r="F52" s="87">
        <v>0.99990288538474237</v>
      </c>
      <c r="G52" s="87">
        <v>0.92406046177251389</v>
      </c>
      <c r="H52" s="87">
        <v>0.89158375692470515</v>
      </c>
      <c r="I52" s="87">
        <v>0.85751307409454547</v>
      </c>
      <c r="J52" s="87">
        <v>0.90868233281988253</v>
      </c>
      <c r="K52" s="87">
        <v>0.94708372597406554</v>
      </c>
      <c r="L52" s="87">
        <v>1.0195435658251744</v>
      </c>
      <c r="M52" s="87">
        <v>1.0326694435444785</v>
      </c>
      <c r="N52" s="87">
        <v>1.1493029021952692</v>
      </c>
      <c r="O52" s="87">
        <v>1.1888173035440071</v>
      </c>
      <c r="P52" s="87">
        <v>1.381936578249048</v>
      </c>
      <c r="Q52" s="87">
        <v>1.7488361960539971</v>
      </c>
      <c r="R52" s="87">
        <v>2.3222290218061938</v>
      </c>
      <c r="S52" s="87">
        <v>2.6972822906519305</v>
      </c>
      <c r="T52" s="87">
        <v>3.1160340884725537</v>
      </c>
      <c r="U52" s="87">
        <v>3.6670967542180213</v>
      </c>
      <c r="V52" s="87">
        <v>3.9874098847392059</v>
      </c>
      <c r="W52" s="87">
        <v>7.3205700706446608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2218.6016164803937</v>
      </c>
      <c r="C53" s="116">
        <f t="shared" ref="C53:V53" si="116">SUM(C54:C55)</f>
        <v>2291.2104761100995</v>
      </c>
      <c r="D53" s="116">
        <f t="shared" si="116"/>
        <v>2347.0208389437921</v>
      </c>
      <c r="E53" s="116">
        <f t="shared" si="116"/>
        <v>2369.2654358770533</v>
      </c>
      <c r="F53" s="116">
        <f t="shared" si="116"/>
        <v>2396.8271519516434</v>
      </c>
      <c r="G53" s="116">
        <f t="shared" si="116"/>
        <v>2469.0004413780562</v>
      </c>
      <c r="H53" s="116">
        <f t="shared" si="116"/>
        <v>2359.1414990426592</v>
      </c>
      <c r="I53" s="116">
        <f t="shared" si="116"/>
        <v>2360.9394263453482</v>
      </c>
      <c r="J53" s="116">
        <f t="shared" si="116"/>
        <v>2454.0000359487281</v>
      </c>
      <c r="K53" s="116">
        <f t="shared" si="116"/>
        <v>2137.0472348537223</v>
      </c>
      <c r="L53" s="116">
        <f t="shared" si="116"/>
        <v>2351.9976118261416</v>
      </c>
      <c r="M53" s="116">
        <f t="shared" si="116"/>
        <v>2193.0785084318027</v>
      </c>
      <c r="N53" s="116">
        <f t="shared" si="116"/>
        <v>1991.6805895100993</v>
      </c>
      <c r="O53" s="116">
        <f t="shared" si="116"/>
        <v>2001.6029484357723</v>
      </c>
      <c r="P53" s="116">
        <f t="shared" si="116"/>
        <v>1875.003662385391</v>
      </c>
      <c r="Q53" s="116">
        <f t="shared" si="116"/>
        <v>1706.8622984575584</v>
      </c>
      <c r="R53" s="116">
        <f t="shared" si="116"/>
        <v>1956.9195631867467</v>
      </c>
      <c r="S53" s="116">
        <f t="shared" si="116"/>
        <v>2039.7035462200411</v>
      </c>
      <c r="T53" s="116">
        <f t="shared" si="116"/>
        <v>1980.8450538612137</v>
      </c>
      <c r="U53" s="116">
        <f t="shared" si="116"/>
        <v>1971.9465007625456</v>
      </c>
      <c r="V53" s="116">
        <f t="shared" si="116"/>
        <v>1901.7717517893448</v>
      </c>
      <c r="W53" s="116">
        <f t="shared" ref="W53" si="117">SUM(W54:W55)</f>
        <v>1952.1427329540256</v>
      </c>
      <c r="DA53" s="176" t="s">
        <v>496</v>
      </c>
    </row>
    <row r="54" spans="1:105" ht="11.45" customHeight="1" x14ac:dyDescent="0.25">
      <c r="A54" s="128" t="s">
        <v>27</v>
      </c>
      <c r="B54" s="101">
        <v>2168</v>
      </c>
      <c r="C54" s="101">
        <v>2237</v>
      </c>
      <c r="D54" s="101">
        <v>2290</v>
      </c>
      <c r="E54" s="101">
        <v>2311</v>
      </c>
      <c r="F54" s="101">
        <v>2328</v>
      </c>
      <c r="G54" s="101">
        <v>2398</v>
      </c>
      <c r="H54" s="101">
        <v>2284</v>
      </c>
      <c r="I54" s="101">
        <v>2284</v>
      </c>
      <c r="J54" s="101">
        <v>2375</v>
      </c>
      <c r="K54" s="101">
        <v>2064</v>
      </c>
      <c r="L54" s="101">
        <v>2258</v>
      </c>
      <c r="M54" s="101">
        <v>2132</v>
      </c>
      <c r="N54" s="101">
        <v>1916</v>
      </c>
      <c r="O54" s="101">
        <v>1936</v>
      </c>
      <c r="P54" s="101">
        <v>1791</v>
      </c>
      <c r="Q54" s="101">
        <v>1611</v>
      </c>
      <c r="R54" s="101">
        <v>1876</v>
      </c>
      <c r="S54" s="101">
        <v>1959</v>
      </c>
      <c r="T54" s="101">
        <v>1890</v>
      </c>
      <c r="U54" s="101">
        <v>1896</v>
      </c>
      <c r="V54" s="101">
        <v>1824</v>
      </c>
      <c r="W54" s="101">
        <v>1854</v>
      </c>
      <c r="DA54" s="175" t="s">
        <v>497</v>
      </c>
    </row>
    <row r="55" spans="1:105" ht="11.45" customHeight="1" x14ac:dyDescent="0.25">
      <c r="A55" s="138" t="s">
        <v>116</v>
      </c>
      <c r="B55" s="88">
        <v>50.601616480393766</v>
      </c>
      <c r="C55" s="88">
        <v>54.210476110099485</v>
      </c>
      <c r="D55" s="88">
        <v>57.02083894379215</v>
      </c>
      <c r="E55" s="88">
        <v>58.265435877053207</v>
      </c>
      <c r="F55" s="88">
        <v>68.82715195164343</v>
      </c>
      <c r="G55" s="88">
        <v>71.000441378055967</v>
      </c>
      <c r="H55" s="88">
        <v>75.141499042659149</v>
      </c>
      <c r="I55" s="88">
        <v>76.939426345348366</v>
      </c>
      <c r="J55" s="88">
        <v>79.000035948728183</v>
      </c>
      <c r="K55" s="88">
        <v>73.047234853722443</v>
      </c>
      <c r="L55" s="88">
        <v>93.997611826141394</v>
      </c>
      <c r="M55" s="88">
        <v>61.078508431802675</v>
      </c>
      <c r="N55" s="88">
        <v>75.680589510099281</v>
      </c>
      <c r="O55" s="88">
        <v>65.602948435772362</v>
      </c>
      <c r="P55" s="88">
        <v>84.003662385391038</v>
      </c>
      <c r="Q55" s="88">
        <v>95.862298457558396</v>
      </c>
      <c r="R55" s="88">
        <v>80.919563186746728</v>
      </c>
      <c r="S55" s="88">
        <v>80.703546220041119</v>
      </c>
      <c r="T55" s="88">
        <v>90.845053861213714</v>
      </c>
      <c r="U55" s="88">
        <v>75.946500762545682</v>
      </c>
      <c r="V55" s="88">
        <v>77.771751789344734</v>
      </c>
      <c r="W55" s="88">
        <v>98.142732954025519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2645377</v>
      </c>
      <c r="C57" s="54">
        <f t="shared" si="118"/>
        <v>2692473</v>
      </c>
      <c r="D57" s="54">
        <f t="shared" si="118"/>
        <v>2751255</v>
      </c>
      <c r="E57" s="54">
        <f t="shared" si="118"/>
        <v>2860894</v>
      </c>
      <c r="F57" s="54">
        <f t="shared" si="118"/>
        <v>2987609</v>
      </c>
      <c r="G57" s="54">
        <f t="shared" si="118"/>
        <v>3110649</v>
      </c>
      <c r="H57" s="54">
        <f t="shared" si="118"/>
        <v>3235352</v>
      </c>
      <c r="I57" s="54">
        <f t="shared" si="118"/>
        <v>3358201</v>
      </c>
      <c r="J57" s="54">
        <f t="shared" si="118"/>
        <v>3565281</v>
      </c>
      <c r="K57" s="54">
        <f t="shared" si="118"/>
        <v>3696956</v>
      </c>
      <c r="L57" s="54">
        <f t="shared" ref="L57" si="119">L58+L73</f>
        <v>3849921</v>
      </c>
      <c r="M57" s="54">
        <f t="shared" ref="M57:V57" si="120">M58+M73</f>
        <v>4006561</v>
      </c>
      <c r="N57" s="54">
        <f t="shared" si="120"/>
        <v>4127925</v>
      </c>
      <c r="O57" s="54">
        <f t="shared" si="120"/>
        <v>4232834</v>
      </c>
      <c r="P57" s="54">
        <f t="shared" si="120"/>
        <v>4332756</v>
      </c>
      <c r="Q57" s="54">
        <f t="shared" si="120"/>
        <v>4427779</v>
      </c>
      <c r="R57" s="54">
        <f t="shared" si="120"/>
        <v>4549641</v>
      </c>
      <c r="S57" s="54">
        <f t="shared" si="120"/>
        <v>4662753</v>
      </c>
      <c r="T57" s="54">
        <f t="shared" si="120"/>
        <v>4767861</v>
      </c>
      <c r="U57" s="54">
        <f t="shared" si="120"/>
        <v>4881669</v>
      </c>
      <c r="V57" s="54">
        <f t="shared" si="120"/>
        <v>4972851</v>
      </c>
      <c r="W57" s="54">
        <f t="shared" ref="W57" si="121">W58+W73</f>
        <v>5033783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2338002</v>
      </c>
      <c r="C58" s="28">
        <f t="shared" si="122"/>
        <v>2376607</v>
      </c>
      <c r="D58" s="28">
        <f t="shared" si="122"/>
        <v>2428265</v>
      </c>
      <c r="E58" s="28">
        <f t="shared" si="122"/>
        <v>2530317</v>
      </c>
      <c r="F58" s="28">
        <f t="shared" si="122"/>
        <v>2629162</v>
      </c>
      <c r="G58" s="28">
        <f t="shared" si="122"/>
        <v>2743071</v>
      </c>
      <c r="H58" s="28">
        <f t="shared" si="122"/>
        <v>2855175</v>
      </c>
      <c r="I58" s="28">
        <f t="shared" si="122"/>
        <v>2958431</v>
      </c>
      <c r="J58" s="28">
        <f t="shared" si="122"/>
        <v>3134312</v>
      </c>
      <c r="K58" s="28">
        <f t="shared" si="122"/>
        <v>3245878</v>
      </c>
      <c r="L58" s="28">
        <f t="shared" ref="L58" si="123">L59+L60+L67</f>
        <v>3377900</v>
      </c>
      <c r="M58" s="28">
        <f t="shared" ref="M58:V58" si="124">M59+M60+M67</f>
        <v>3508472</v>
      </c>
      <c r="N58" s="28">
        <f t="shared" si="124"/>
        <v>3610433</v>
      </c>
      <c r="O58" s="28">
        <f t="shared" si="124"/>
        <v>3697187</v>
      </c>
      <c r="P58" s="28">
        <f t="shared" si="124"/>
        <v>3779392</v>
      </c>
      <c r="Q58" s="28">
        <f t="shared" si="124"/>
        <v>3855584</v>
      </c>
      <c r="R58" s="28">
        <f t="shared" si="124"/>
        <v>3955336</v>
      </c>
      <c r="S58" s="28">
        <f t="shared" si="124"/>
        <v>4044663</v>
      </c>
      <c r="T58" s="28">
        <f t="shared" si="124"/>
        <v>4127096</v>
      </c>
      <c r="U58" s="28">
        <f t="shared" si="124"/>
        <v>4217704</v>
      </c>
      <c r="V58" s="28">
        <f t="shared" si="124"/>
        <v>4288590</v>
      </c>
      <c r="W58" s="28">
        <f t="shared" ref="W58" si="125">W59+W60+W67</f>
        <v>4332751</v>
      </c>
      <c r="DA58" s="173" t="s">
        <v>500</v>
      </c>
    </row>
    <row r="59" spans="1:105" ht="11.45" customHeight="1" x14ac:dyDescent="0.25">
      <c r="A59" s="136" t="s">
        <v>180</v>
      </c>
      <c r="B59" s="137">
        <v>193422</v>
      </c>
      <c r="C59" s="137">
        <v>206235</v>
      </c>
      <c r="D59" s="137">
        <v>223577</v>
      </c>
      <c r="E59" s="137">
        <v>245382</v>
      </c>
      <c r="F59" s="137">
        <v>271720</v>
      </c>
      <c r="G59" s="137">
        <v>301805</v>
      </c>
      <c r="H59" s="137">
        <v>338443</v>
      </c>
      <c r="I59" s="137">
        <v>376532</v>
      </c>
      <c r="J59" s="137">
        <v>421544</v>
      </c>
      <c r="K59" s="137">
        <v>456197</v>
      </c>
      <c r="L59" s="137">
        <v>486766</v>
      </c>
      <c r="M59" s="137">
        <v>515517</v>
      </c>
      <c r="N59" s="137">
        <v>538019</v>
      </c>
      <c r="O59" s="137">
        <v>554252</v>
      </c>
      <c r="P59" s="137">
        <v>568191</v>
      </c>
      <c r="Q59" s="137">
        <v>581147</v>
      </c>
      <c r="R59" s="137">
        <v>591795</v>
      </c>
      <c r="S59" s="137">
        <v>603756</v>
      </c>
      <c r="T59" s="137">
        <v>613741</v>
      </c>
      <c r="U59" s="137">
        <v>623997</v>
      </c>
      <c r="V59" s="137">
        <v>636457</v>
      </c>
      <c r="W59" s="137">
        <v>646063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2134728</v>
      </c>
      <c r="C60" s="110">
        <f t="shared" si="126"/>
        <v>2160603</v>
      </c>
      <c r="D60" s="110">
        <f t="shared" si="126"/>
        <v>2194683</v>
      </c>
      <c r="E60" s="110">
        <f t="shared" si="126"/>
        <v>2274577</v>
      </c>
      <c r="F60" s="110">
        <f t="shared" si="126"/>
        <v>2346726</v>
      </c>
      <c r="G60" s="110">
        <f t="shared" si="126"/>
        <v>2430345</v>
      </c>
      <c r="H60" s="110">
        <f t="shared" si="126"/>
        <v>2505543</v>
      </c>
      <c r="I60" s="110">
        <f t="shared" si="126"/>
        <v>2570356</v>
      </c>
      <c r="J60" s="110">
        <f t="shared" si="126"/>
        <v>2700492</v>
      </c>
      <c r="K60" s="110">
        <f t="shared" si="126"/>
        <v>2776664</v>
      </c>
      <c r="L60" s="110">
        <f t="shared" ref="L60" si="127">SUM(L61:L66)</f>
        <v>2877484</v>
      </c>
      <c r="M60" s="110">
        <f t="shared" ref="M60:V60" si="128">SUM(M61:M66)</f>
        <v>2978729</v>
      </c>
      <c r="N60" s="110">
        <f t="shared" si="128"/>
        <v>3057484</v>
      </c>
      <c r="O60" s="110">
        <f t="shared" si="128"/>
        <v>3127399</v>
      </c>
      <c r="P60" s="110">
        <f t="shared" si="128"/>
        <v>3194950</v>
      </c>
      <c r="Q60" s="110">
        <f t="shared" si="128"/>
        <v>3257581</v>
      </c>
      <c r="R60" s="110">
        <f t="shared" si="128"/>
        <v>3346005</v>
      </c>
      <c r="S60" s="110">
        <f t="shared" si="128"/>
        <v>3422792</v>
      </c>
      <c r="T60" s="110">
        <f t="shared" si="128"/>
        <v>3494836</v>
      </c>
      <c r="U60" s="110">
        <f t="shared" si="128"/>
        <v>3574570</v>
      </c>
      <c r="V60" s="110">
        <f t="shared" si="128"/>
        <v>3632851</v>
      </c>
      <c r="W60" s="110">
        <f t="shared" ref="W60" si="129">SUM(W61:W66)</f>
        <v>3667164</v>
      </c>
      <c r="DA60" s="176" t="s">
        <v>502</v>
      </c>
    </row>
    <row r="61" spans="1:105" ht="11.45" customHeight="1" x14ac:dyDescent="0.25">
      <c r="A61" s="111" t="s">
        <v>110</v>
      </c>
      <c r="B61" s="84">
        <v>1915317</v>
      </c>
      <c r="C61" s="84">
        <v>1929038</v>
      </c>
      <c r="D61" s="84">
        <v>1950046</v>
      </c>
      <c r="E61" s="84">
        <v>2008757</v>
      </c>
      <c r="F61" s="84">
        <v>2070877</v>
      </c>
      <c r="G61" s="84">
        <v>2127307</v>
      </c>
      <c r="H61" s="84">
        <v>2171334</v>
      </c>
      <c r="I61" s="84">
        <v>2197893</v>
      </c>
      <c r="J61" s="84">
        <v>2250397</v>
      </c>
      <c r="K61" s="84">
        <v>2278832</v>
      </c>
      <c r="L61" s="84">
        <v>2318166</v>
      </c>
      <c r="M61" s="84">
        <v>2356904</v>
      </c>
      <c r="N61" s="84">
        <v>2387823</v>
      </c>
      <c r="O61" s="84">
        <v>2415827</v>
      </c>
      <c r="P61" s="84">
        <v>2441627</v>
      </c>
      <c r="Q61" s="84">
        <v>2465070</v>
      </c>
      <c r="R61" s="84">
        <v>2506792</v>
      </c>
      <c r="S61" s="84">
        <v>2539162</v>
      </c>
      <c r="T61" s="84">
        <v>2565995</v>
      </c>
      <c r="U61" s="84">
        <v>2602431</v>
      </c>
      <c r="V61" s="84">
        <v>2616553</v>
      </c>
      <c r="W61" s="84">
        <v>2602001</v>
      </c>
      <c r="DA61" s="171" t="s">
        <v>503</v>
      </c>
    </row>
    <row r="62" spans="1:105" ht="11.45" customHeight="1" x14ac:dyDescent="0.25">
      <c r="A62" s="111" t="s">
        <v>111</v>
      </c>
      <c r="B62" s="84">
        <v>219411</v>
      </c>
      <c r="C62" s="84">
        <v>231565</v>
      </c>
      <c r="D62" s="84">
        <v>244637</v>
      </c>
      <c r="E62" s="84">
        <v>265820</v>
      </c>
      <c r="F62" s="84">
        <v>275849</v>
      </c>
      <c r="G62" s="84">
        <v>303038</v>
      </c>
      <c r="H62" s="84">
        <v>334206</v>
      </c>
      <c r="I62" s="84">
        <v>372354</v>
      </c>
      <c r="J62" s="84">
        <v>449878</v>
      </c>
      <c r="K62" s="84">
        <v>497453</v>
      </c>
      <c r="L62" s="84">
        <v>558811</v>
      </c>
      <c r="M62" s="84">
        <v>621148</v>
      </c>
      <c r="N62" s="84">
        <v>668593</v>
      </c>
      <c r="O62" s="84">
        <v>710095</v>
      </c>
      <c r="P62" s="84">
        <v>751147</v>
      </c>
      <c r="Q62" s="84">
        <v>789377</v>
      </c>
      <c r="R62" s="84">
        <v>834110</v>
      </c>
      <c r="S62" s="84">
        <v>873307</v>
      </c>
      <c r="T62" s="84">
        <v>907741</v>
      </c>
      <c r="U62" s="84">
        <v>933395</v>
      </c>
      <c r="V62" s="84">
        <v>948624</v>
      </c>
      <c r="W62" s="84">
        <v>951780</v>
      </c>
      <c r="DA62" s="171" t="s">
        <v>504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  <c r="L63" s="84">
        <v>0</v>
      </c>
      <c r="M63" s="84">
        <v>0</v>
      </c>
      <c r="N63" s="84">
        <v>0</v>
      </c>
      <c r="O63" s="84">
        <v>0</v>
      </c>
      <c r="P63" s="84">
        <v>0</v>
      </c>
      <c r="Q63" s="84">
        <v>0</v>
      </c>
      <c r="R63" s="84">
        <v>0</v>
      </c>
      <c r="S63" s="84">
        <v>0</v>
      </c>
      <c r="T63" s="84">
        <v>0</v>
      </c>
      <c r="U63" s="84">
        <v>0</v>
      </c>
      <c r="V63" s="84">
        <v>0</v>
      </c>
      <c r="W63" s="84">
        <v>0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3</v>
      </c>
      <c r="I64" s="84">
        <v>106</v>
      </c>
      <c r="J64" s="84">
        <v>210</v>
      </c>
      <c r="K64" s="84">
        <v>366</v>
      </c>
      <c r="L64" s="84">
        <v>484</v>
      </c>
      <c r="M64" s="84">
        <v>621</v>
      </c>
      <c r="N64" s="84">
        <v>831</v>
      </c>
      <c r="O64" s="84">
        <v>1020</v>
      </c>
      <c r="P64" s="84">
        <v>1250</v>
      </c>
      <c r="Q64" s="84">
        <v>1503</v>
      </c>
      <c r="R64" s="84">
        <v>1822</v>
      </c>
      <c r="S64" s="84">
        <v>3155</v>
      </c>
      <c r="T64" s="84">
        <v>5601</v>
      </c>
      <c r="U64" s="84">
        <v>9380</v>
      </c>
      <c r="V64" s="84">
        <v>12357</v>
      </c>
      <c r="W64" s="84">
        <v>13472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128</v>
      </c>
      <c r="O65" s="84">
        <v>288</v>
      </c>
      <c r="P65" s="84">
        <v>566</v>
      </c>
      <c r="Q65" s="84">
        <v>1017</v>
      </c>
      <c r="R65" s="84">
        <v>2437</v>
      </c>
      <c r="S65" s="84">
        <v>5719</v>
      </c>
      <c r="T65" s="84">
        <v>13095</v>
      </c>
      <c r="U65" s="84">
        <v>24703</v>
      </c>
      <c r="V65" s="84">
        <v>45620</v>
      </c>
      <c r="W65" s="84">
        <v>76990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3</v>
      </c>
      <c r="J66" s="84">
        <v>7</v>
      </c>
      <c r="K66" s="84">
        <v>13</v>
      </c>
      <c r="L66" s="84">
        <v>23</v>
      </c>
      <c r="M66" s="84">
        <v>56</v>
      </c>
      <c r="N66" s="84">
        <v>109</v>
      </c>
      <c r="O66" s="84">
        <v>169</v>
      </c>
      <c r="P66" s="84">
        <v>360</v>
      </c>
      <c r="Q66" s="84">
        <v>614</v>
      </c>
      <c r="R66" s="84">
        <v>844</v>
      </c>
      <c r="S66" s="84">
        <v>1449</v>
      </c>
      <c r="T66" s="84">
        <v>2404</v>
      </c>
      <c r="U66" s="84">
        <v>4661</v>
      </c>
      <c r="V66" s="84">
        <v>9697</v>
      </c>
      <c r="W66" s="84">
        <v>22921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9852</v>
      </c>
      <c r="C67" s="110">
        <f t="shared" si="130"/>
        <v>9769</v>
      </c>
      <c r="D67" s="110">
        <f t="shared" si="130"/>
        <v>10005</v>
      </c>
      <c r="E67" s="110">
        <f t="shared" si="130"/>
        <v>10358</v>
      </c>
      <c r="F67" s="110">
        <f t="shared" si="130"/>
        <v>10716</v>
      </c>
      <c r="G67" s="110">
        <f t="shared" si="130"/>
        <v>10921</v>
      </c>
      <c r="H67" s="110">
        <f t="shared" si="130"/>
        <v>11189</v>
      </c>
      <c r="I67" s="110">
        <f t="shared" si="130"/>
        <v>11543</v>
      </c>
      <c r="J67" s="110">
        <f t="shared" si="130"/>
        <v>12276</v>
      </c>
      <c r="K67" s="110">
        <f t="shared" si="130"/>
        <v>13017</v>
      </c>
      <c r="L67" s="110">
        <f t="shared" ref="L67" si="131">SUM(L68:L72)</f>
        <v>13650</v>
      </c>
      <c r="M67" s="110">
        <f t="shared" ref="M67:V67" si="132">SUM(M68:M72)</f>
        <v>14226</v>
      </c>
      <c r="N67" s="110">
        <f t="shared" si="132"/>
        <v>14930</v>
      </c>
      <c r="O67" s="110">
        <f t="shared" si="132"/>
        <v>15536</v>
      </c>
      <c r="P67" s="110">
        <f t="shared" si="132"/>
        <v>16251</v>
      </c>
      <c r="Q67" s="110">
        <f t="shared" si="132"/>
        <v>16856</v>
      </c>
      <c r="R67" s="110">
        <f t="shared" si="132"/>
        <v>17536</v>
      </c>
      <c r="S67" s="110">
        <f t="shared" si="132"/>
        <v>18115</v>
      </c>
      <c r="T67" s="110">
        <f t="shared" si="132"/>
        <v>18519</v>
      </c>
      <c r="U67" s="110">
        <f t="shared" si="132"/>
        <v>19137</v>
      </c>
      <c r="V67" s="110">
        <f t="shared" si="132"/>
        <v>19282</v>
      </c>
      <c r="W67" s="110">
        <f t="shared" ref="W67" si="133">SUM(W68:W72)</f>
        <v>19524</v>
      </c>
      <c r="DA67" s="176" t="s">
        <v>509</v>
      </c>
    </row>
    <row r="68" spans="1:105" ht="11.45" customHeight="1" x14ac:dyDescent="0.25">
      <c r="A68" s="111" t="s">
        <v>110</v>
      </c>
      <c r="B68" s="102">
        <v>27</v>
      </c>
      <c r="C68" s="102">
        <v>30</v>
      </c>
      <c r="D68" s="102">
        <v>29</v>
      </c>
      <c r="E68" s="102">
        <v>29</v>
      </c>
      <c r="F68" s="102">
        <v>30</v>
      </c>
      <c r="G68" s="102">
        <v>33</v>
      </c>
      <c r="H68" s="102">
        <v>31</v>
      </c>
      <c r="I68" s="102">
        <v>32</v>
      </c>
      <c r="J68" s="102">
        <v>31</v>
      </c>
      <c r="K68" s="102">
        <v>31</v>
      </c>
      <c r="L68" s="102">
        <v>32</v>
      </c>
      <c r="M68" s="102">
        <v>31</v>
      </c>
      <c r="N68" s="102">
        <v>31</v>
      </c>
      <c r="O68" s="102">
        <v>31</v>
      </c>
      <c r="P68" s="102">
        <v>31</v>
      </c>
      <c r="Q68" s="102">
        <v>31</v>
      </c>
      <c r="R68" s="102">
        <v>31</v>
      </c>
      <c r="S68" s="102">
        <v>32</v>
      </c>
      <c r="T68" s="102">
        <v>32</v>
      </c>
      <c r="U68" s="102">
        <v>32</v>
      </c>
      <c r="V68" s="102">
        <v>31</v>
      </c>
      <c r="W68" s="102">
        <v>31</v>
      </c>
      <c r="DA68" s="175" t="s">
        <v>510</v>
      </c>
    </row>
    <row r="69" spans="1:105" ht="11.45" customHeight="1" x14ac:dyDescent="0.25">
      <c r="A69" s="111" t="s">
        <v>111</v>
      </c>
      <c r="B69" s="102">
        <v>9720</v>
      </c>
      <c r="C69" s="102">
        <v>9636</v>
      </c>
      <c r="D69" s="102">
        <v>9820</v>
      </c>
      <c r="E69" s="102">
        <v>10171</v>
      </c>
      <c r="F69" s="102">
        <v>10531</v>
      </c>
      <c r="G69" s="102">
        <v>10734</v>
      </c>
      <c r="H69" s="102">
        <v>10955</v>
      </c>
      <c r="I69" s="102">
        <v>11304</v>
      </c>
      <c r="J69" s="102">
        <v>12044</v>
      </c>
      <c r="K69" s="102">
        <v>12784</v>
      </c>
      <c r="L69" s="102">
        <v>13426</v>
      </c>
      <c r="M69" s="102">
        <v>14014</v>
      </c>
      <c r="N69" s="102">
        <v>14723</v>
      </c>
      <c r="O69" s="102">
        <v>15340</v>
      </c>
      <c r="P69" s="102">
        <v>16066</v>
      </c>
      <c r="Q69" s="102">
        <v>16682</v>
      </c>
      <c r="R69" s="102">
        <v>17361</v>
      </c>
      <c r="S69" s="102">
        <v>17940</v>
      </c>
      <c r="T69" s="102">
        <v>18343</v>
      </c>
      <c r="U69" s="102">
        <v>18923</v>
      </c>
      <c r="V69" s="102">
        <v>19041</v>
      </c>
      <c r="W69" s="102">
        <v>19093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105</v>
      </c>
      <c r="C71" s="102">
        <v>103</v>
      </c>
      <c r="D71" s="102">
        <v>156</v>
      </c>
      <c r="E71" s="102">
        <v>158</v>
      </c>
      <c r="F71" s="102">
        <v>155</v>
      </c>
      <c r="G71" s="102">
        <v>154</v>
      </c>
      <c r="H71" s="102">
        <v>203</v>
      </c>
      <c r="I71" s="102">
        <v>207</v>
      </c>
      <c r="J71" s="102">
        <v>201</v>
      </c>
      <c r="K71" s="102">
        <v>202</v>
      </c>
      <c r="L71" s="102">
        <v>192</v>
      </c>
      <c r="M71" s="102">
        <v>181</v>
      </c>
      <c r="N71" s="102">
        <v>170</v>
      </c>
      <c r="O71" s="102">
        <v>159</v>
      </c>
      <c r="P71" s="102">
        <v>148</v>
      </c>
      <c r="Q71" s="102">
        <v>137</v>
      </c>
      <c r="R71" s="102">
        <v>128</v>
      </c>
      <c r="S71" s="102">
        <v>119</v>
      </c>
      <c r="T71" s="102">
        <v>120</v>
      </c>
      <c r="U71" s="102">
        <v>117</v>
      </c>
      <c r="V71" s="102">
        <v>119</v>
      </c>
      <c r="W71" s="102">
        <v>119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6</v>
      </c>
      <c r="O72" s="102">
        <v>6</v>
      </c>
      <c r="P72" s="102">
        <v>6</v>
      </c>
      <c r="Q72" s="102">
        <v>6</v>
      </c>
      <c r="R72" s="102">
        <v>16</v>
      </c>
      <c r="S72" s="102">
        <v>24</v>
      </c>
      <c r="T72" s="102">
        <v>24</v>
      </c>
      <c r="U72" s="102">
        <v>65</v>
      </c>
      <c r="V72" s="102">
        <v>91</v>
      </c>
      <c r="W72" s="102">
        <v>281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307375</v>
      </c>
      <c r="C73" s="28">
        <f t="shared" si="134"/>
        <v>315866</v>
      </c>
      <c r="D73" s="28">
        <f t="shared" si="134"/>
        <v>322990</v>
      </c>
      <c r="E73" s="28">
        <f t="shared" si="134"/>
        <v>330577</v>
      </c>
      <c r="F73" s="28">
        <f t="shared" si="134"/>
        <v>358447</v>
      </c>
      <c r="G73" s="28">
        <f t="shared" si="134"/>
        <v>367578</v>
      </c>
      <c r="H73" s="28">
        <f t="shared" si="134"/>
        <v>380177</v>
      </c>
      <c r="I73" s="28">
        <f t="shared" si="134"/>
        <v>399770</v>
      </c>
      <c r="J73" s="28">
        <f t="shared" si="134"/>
        <v>430969</v>
      </c>
      <c r="K73" s="28">
        <f t="shared" si="134"/>
        <v>451078</v>
      </c>
      <c r="L73" s="28">
        <f t="shared" ref="L73" si="135">L74+L80</f>
        <v>472021</v>
      </c>
      <c r="M73" s="28">
        <f t="shared" ref="M73:V73" si="136">M74+M80</f>
        <v>498089</v>
      </c>
      <c r="N73" s="28">
        <f t="shared" si="136"/>
        <v>517492</v>
      </c>
      <c r="O73" s="28">
        <f t="shared" si="136"/>
        <v>535647</v>
      </c>
      <c r="P73" s="28">
        <f t="shared" si="136"/>
        <v>553364</v>
      </c>
      <c r="Q73" s="28">
        <f t="shared" si="136"/>
        <v>572195</v>
      </c>
      <c r="R73" s="28">
        <f t="shared" si="136"/>
        <v>594305</v>
      </c>
      <c r="S73" s="28">
        <f t="shared" si="136"/>
        <v>618090</v>
      </c>
      <c r="T73" s="28">
        <f t="shared" si="136"/>
        <v>640765</v>
      </c>
      <c r="U73" s="28">
        <f t="shared" si="136"/>
        <v>663965</v>
      </c>
      <c r="V73" s="28">
        <f t="shared" si="136"/>
        <v>684261</v>
      </c>
      <c r="W73" s="28">
        <f t="shared" ref="W73" si="137">W74+W80</f>
        <v>701032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239095</v>
      </c>
      <c r="C74" s="137">
        <f t="shared" si="138"/>
        <v>243988</v>
      </c>
      <c r="D74" s="137">
        <f t="shared" si="138"/>
        <v>247230</v>
      </c>
      <c r="E74" s="137">
        <f t="shared" si="138"/>
        <v>250107</v>
      </c>
      <c r="F74" s="137">
        <f t="shared" si="138"/>
        <v>272690</v>
      </c>
      <c r="G74" s="137">
        <f t="shared" si="138"/>
        <v>276453</v>
      </c>
      <c r="H74" s="137">
        <f t="shared" si="138"/>
        <v>284627</v>
      </c>
      <c r="I74" s="137">
        <f t="shared" si="138"/>
        <v>297531</v>
      </c>
      <c r="J74" s="137">
        <f t="shared" si="138"/>
        <v>318797</v>
      </c>
      <c r="K74" s="137">
        <f t="shared" si="138"/>
        <v>332645</v>
      </c>
      <c r="L74" s="137">
        <f t="shared" ref="L74" si="139">SUM(L75:L79)</f>
        <v>347258</v>
      </c>
      <c r="M74" s="137">
        <f t="shared" ref="M74:V74" si="140">SUM(M75:M79)</f>
        <v>365568</v>
      </c>
      <c r="N74" s="137">
        <f t="shared" si="140"/>
        <v>379215</v>
      </c>
      <c r="O74" s="137">
        <f t="shared" si="140"/>
        <v>391952</v>
      </c>
      <c r="P74" s="137">
        <f t="shared" si="140"/>
        <v>404817</v>
      </c>
      <c r="Q74" s="137">
        <f t="shared" si="140"/>
        <v>418870</v>
      </c>
      <c r="R74" s="137">
        <f t="shared" si="140"/>
        <v>435436</v>
      </c>
      <c r="S74" s="137">
        <f t="shared" si="140"/>
        <v>452894</v>
      </c>
      <c r="T74" s="137">
        <f t="shared" si="140"/>
        <v>470008</v>
      </c>
      <c r="U74" s="137">
        <f t="shared" si="140"/>
        <v>486949</v>
      </c>
      <c r="V74" s="137">
        <f t="shared" si="140"/>
        <v>502047</v>
      </c>
      <c r="W74" s="137">
        <f t="shared" ref="W74" si="141">SUM(W75:W79)</f>
        <v>514403</v>
      </c>
      <c r="DA74" s="174" t="s">
        <v>516</v>
      </c>
    </row>
    <row r="75" spans="1:105" ht="11.45" customHeight="1" x14ac:dyDescent="0.25">
      <c r="A75" s="111" t="s">
        <v>110</v>
      </c>
      <c r="B75" s="84">
        <v>41753</v>
      </c>
      <c r="C75" s="84">
        <v>39509</v>
      </c>
      <c r="D75" s="84">
        <v>37341</v>
      </c>
      <c r="E75" s="84">
        <v>34723</v>
      </c>
      <c r="F75" s="84">
        <v>33268</v>
      </c>
      <c r="G75" s="84">
        <v>31658</v>
      </c>
      <c r="H75" s="84">
        <v>29917</v>
      </c>
      <c r="I75" s="84">
        <v>28517</v>
      </c>
      <c r="J75" s="84">
        <v>28564</v>
      </c>
      <c r="K75" s="84">
        <v>28343</v>
      </c>
      <c r="L75" s="84">
        <v>28165</v>
      </c>
      <c r="M75" s="84">
        <v>28060</v>
      </c>
      <c r="N75" s="84">
        <v>27916</v>
      </c>
      <c r="O75" s="84">
        <v>26999</v>
      </c>
      <c r="P75" s="84">
        <v>26815</v>
      </c>
      <c r="Q75" s="84">
        <v>26652</v>
      </c>
      <c r="R75" s="84">
        <v>26611</v>
      </c>
      <c r="S75" s="84">
        <v>26535</v>
      </c>
      <c r="T75" s="84">
        <v>26503</v>
      </c>
      <c r="U75" s="84">
        <v>26572</v>
      </c>
      <c r="V75" s="84">
        <v>26843</v>
      </c>
      <c r="W75" s="84">
        <v>27036</v>
      </c>
      <c r="DA75" s="171" t="s">
        <v>517</v>
      </c>
    </row>
    <row r="76" spans="1:105" ht="11.45" customHeight="1" x14ac:dyDescent="0.25">
      <c r="A76" s="111" t="s">
        <v>111</v>
      </c>
      <c r="B76" s="84">
        <v>197185</v>
      </c>
      <c r="C76" s="84">
        <v>204323</v>
      </c>
      <c r="D76" s="84">
        <v>209750</v>
      </c>
      <c r="E76" s="84">
        <v>215255</v>
      </c>
      <c r="F76" s="84">
        <v>239303</v>
      </c>
      <c r="G76" s="84">
        <v>244685</v>
      </c>
      <c r="H76" s="84">
        <v>254605</v>
      </c>
      <c r="I76" s="84">
        <v>268906</v>
      </c>
      <c r="J76" s="84">
        <v>290112</v>
      </c>
      <c r="K76" s="84">
        <v>304161</v>
      </c>
      <c r="L76" s="84">
        <v>318930</v>
      </c>
      <c r="M76" s="84">
        <v>337319</v>
      </c>
      <c r="N76" s="84">
        <v>351076</v>
      </c>
      <c r="O76" s="84">
        <v>364681</v>
      </c>
      <c r="P76" s="84">
        <v>377682</v>
      </c>
      <c r="Q76" s="84">
        <v>391829</v>
      </c>
      <c r="R76" s="84">
        <v>408330</v>
      </c>
      <c r="S76" s="84">
        <v>425697</v>
      </c>
      <c r="T76" s="84">
        <v>442627</v>
      </c>
      <c r="U76" s="84">
        <v>459236</v>
      </c>
      <c r="V76" s="84">
        <v>473832</v>
      </c>
      <c r="W76" s="84">
        <v>485584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3</v>
      </c>
      <c r="D78" s="84">
        <v>3</v>
      </c>
      <c r="E78" s="84">
        <v>3</v>
      </c>
      <c r="F78" s="84">
        <v>3</v>
      </c>
      <c r="G78" s="84">
        <v>4</v>
      </c>
      <c r="H78" s="84">
        <v>4</v>
      </c>
      <c r="I78" s="84">
        <v>11</v>
      </c>
      <c r="J78" s="84">
        <v>20</v>
      </c>
      <c r="K78" s="84">
        <v>37</v>
      </c>
      <c r="L78" s="84">
        <v>52</v>
      </c>
      <c r="M78" s="84">
        <v>77</v>
      </c>
      <c r="N78" s="84">
        <v>99</v>
      </c>
      <c r="O78" s="84">
        <v>145</v>
      </c>
      <c r="P78" s="84">
        <v>173</v>
      </c>
      <c r="Q78" s="84">
        <v>203</v>
      </c>
      <c r="R78" s="84">
        <v>247</v>
      </c>
      <c r="S78" s="84">
        <v>373</v>
      </c>
      <c r="T78" s="84">
        <v>543</v>
      </c>
      <c r="U78" s="84">
        <v>745</v>
      </c>
      <c r="V78" s="84">
        <v>928</v>
      </c>
      <c r="W78" s="84">
        <v>987</v>
      </c>
      <c r="DA78" s="171" t="s">
        <v>520</v>
      </c>
    </row>
    <row r="79" spans="1:105" ht="11.45" customHeight="1" x14ac:dyDescent="0.25">
      <c r="A79" s="111" t="s">
        <v>115</v>
      </c>
      <c r="B79" s="84">
        <v>157</v>
      </c>
      <c r="C79" s="84">
        <v>153</v>
      </c>
      <c r="D79" s="84">
        <v>136</v>
      </c>
      <c r="E79" s="84">
        <v>126</v>
      </c>
      <c r="F79" s="84">
        <v>116</v>
      </c>
      <c r="G79" s="84">
        <v>106</v>
      </c>
      <c r="H79" s="84">
        <v>101</v>
      </c>
      <c r="I79" s="84">
        <v>97</v>
      </c>
      <c r="J79" s="84">
        <v>101</v>
      </c>
      <c r="K79" s="84">
        <v>104</v>
      </c>
      <c r="L79" s="84">
        <v>111</v>
      </c>
      <c r="M79" s="84">
        <v>112</v>
      </c>
      <c r="N79" s="84">
        <v>124</v>
      </c>
      <c r="O79" s="84">
        <v>127</v>
      </c>
      <c r="P79" s="84">
        <v>147</v>
      </c>
      <c r="Q79" s="84">
        <v>186</v>
      </c>
      <c r="R79" s="84">
        <v>248</v>
      </c>
      <c r="S79" s="84">
        <v>289</v>
      </c>
      <c r="T79" s="84">
        <v>335</v>
      </c>
      <c r="U79" s="84">
        <v>396</v>
      </c>
      <c r="V79" s="84">
        <v>444</v>
      </c>
      <c r="W79" s="84">
        <v>796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68280</v>
      </c>
      <c r="C80" s="110">
        <f t="shared" si="142"/>
        <v>71878</v>
      </c>
      <c r="D80" s="110">
        <f t="shared" si="142"/>
        <v>75760</v>
      </c>
      <c r="E80" s="110">
        <f t="shared" si="142"/>
        <v>80470</v>
      </c>
      <c r="F80" s="110">
        <f t="shared" si="142"/>
        <v>85757</v>
      </c>
      <c r="G80" s="110">
        <f t="shared" si="142"/>
        <v>91125</v>
      </c>
      <c r="H80" s="110">
        <f t="shared" si="142"/>
        <v>95550</v>
      </c>
      <c r="I80" s="110">
        <f t="shared" si="142"/>
        <v>102239</v>
      </c>
      <c r="J80" s="110">
        <f t="shared" si="142"/>
        <v>112172</v>
      </c>
      <c r="K80" s="110">
        <f t="shared" si="142"/>
        <v>118433</v>
      </c>
      <c r="L80" s="110">
        <f t="shared" ref="L80" si="143">SUM(L81:L82)</f>
        <v>124763</v>
      </c>
      <c r="M80" s="110">
        <f t="shared" ref="M80:V80" si="144">SUM(M81:M82)</f>
        <v>132521</v>
      </c>
      <c r="N80" s="110">
        <f t="shared" si="144"/>
        <v>138277</v>
      </c>
      <c r="O80" s="110">
        <f t="shared" si="144"/>
        <v>143695</v>
      </c>
      <c r="P80" s="110">
        <f t="shared" si="144"/>
        <v>148547</v>
      </c>
      <c r="Q80" s="110">
        <f t="shared" si="144"/>
        <v>153325</v>
      </c>
      <c r="R80" s="110">
        <f t="shared" si="144"/>
        <v>158869</v>
      </c>
      <c r="S80" s="110">
        <f t="shared" si="144"/>
        <v>165196</v>
      </c>
      <c r="T80" s="110">
        <f t="shared" si="144"/>
        <v>170757</v>
      </c>
      <c r="U80" s="110">
        <f t="shared" si="144"/>
        <v>177016</v>
      </c>
      <c r="V80" s="110">
        <f t="shared" si="144"/>
        <v>182214</v>
      </c>
      <c r="W80" s="110">
        <f t="shared" ref="W80" si="145">SUM(W81:W82)</f>
        <v>186629</v>
      </c>
      <c r="DA80" s="176" t="s">
        <v>522</v>
      </c>
    </row>
    <row r="81" spans="1:105" ht="11.45" customHeight="1" x14ac:dyDescent="0.25">
      <c r="A81" s="128" t="s">
        <v>27</v>
      </c>
      <c r="B81" s="102">
        <v>67685</v>
      </c>
      <c r="C81" s="102">
        <v>71240</v>
      </c>
      <c r="D81" s="102">
        <v>75089</v>
      </c>
      <c r="E81" s="102">
        <v>79785</v>
      </c>
      <c r="F81" s="102">
        <v>84947</v>
      </c>
      <c r="G81" s="102">
        <v>90290</v>
      </c>
      <c r="H81" s="102">
        <v>94666</v>
      </c>
      <c r="I81" s="102">
        <v>101334</v>
      </c>
      <c r="J81" s="102">
        <v>111243</v>
      </c>
      <c r="K81" s="102">
        <v>117574</v>
      </c>
      <c r="L81" s="102">
        <v>123657</v>
      </c>
      <c r="M81" s="102">
        <v>131802</v>
      </c>
      <c r="N81" s="102">
        <v>137387</v>
      </c>
      <c r="O81" s="102">
        <v>142923</v>
      </c>
      <c r="P81" s="102">
        <v>147559</v>
      </c>
      <c r="Q81" s="102">
        <v>152197</v>
      </c>
      <c r="R81" s="102">
        <v>157917</v>
      </c>
      <c r="S81" s="102">
        <v>164247</v>
      </c>
      <c r="T81" s="102">
        <v>169688</v>
      </c>
      <c r="U81" s="102">
        <v>176123</v>
      </c>
      <c r="V81" s="102">
        <v>181299</v>
      </c>
      <c r="W81" s="102">
        <v>185474</v>
      </c>
      <c r="DA81" s="175" t="s">
        <v>523</v>
      </c>
    </row>
    <row r="82" spans="1:105" ht="11.45" customHeight="1" x14ac:dyDescent="0.25">
      <c r="A82" s="138" t="s">
        <v>116</v>
      </c>
      <c r="B82" s="86">
        <v>595</v>
      </c>
      <c r="C82" s="86">
        <v>638</v>
      </c>
      <c r="D82" s="86">
        <v>671</v>
      </c>
      <c r="E82" s="86">
        <v>685</v>
      </c>
      <c r="F82" s="86">
        <v>810</v>
      </c>
      <c r="G82" s="86">
        <v>835</v>
      </c>
      <c r="H82" s="86">
        <v>884</v>
      </c>
      <c r="I82" s="86">
        <v>905</v>
      </c>
      <c r="J82" s="86">
        <v>929</v>
      </c>
      <c r="K82" s="86">
        <v>859</v>
      </c>
      <c r="L82" s="86">
        <v>1106</v>
      </c>
      <c r="M82" s="86">
        <v>719</v>
      </c>
      <c r="N82" s="86">
        <v>890</v>
      </c>
      <c r="O82" s="86">
        <v>772</v>
      </c>
      <c r="P82" s="86">
        <v>988</v>
      </c>
      <c r="Q82" s="86">
        <v>1128</v>
      </c>
      <c r="R82" s="86">
        <v>952</v>
      </c>
      <c r="S82" s="86">
        <v>949</v>
      </c>
      <c r="T82" s="86">
        <v>1069</v>
      </c>
      <c r="U82" s="86">
        <v>893</v>
      </c>
      <c r="V82" s="86">
        <v>915</v>
      </c>
      <c r="W82" s="86">
        <v>1155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2645377</v>
      </c>
      <c r="C84" s="54">
        <f t="shared" si="146"/>
        <v>2692473</v>
      </c>
      <c r="D84" s="54">
        <f t="shared" ref="D84:V84" si="147">D85+D100</f>
        <v>2751255</v>
      </c>
      <c r="E84" s="54">
        <f t="shared" si="147"/>
        <v>2860894</v>
      </c>
      <c r="F84" s="54">
        <f t="shared" si="147"/>
        <v>2987609</v>
      </c>
      <c r="G84" s="54">
        <f t="shared" si="147"/>
        <v>3110649</v>
      </c>
      <c r="H84" s="54">
        <f t="shared" si="147"/>
        <v>3235352</v>
      </c>
      <c r="I84" s="54">
        <f t="shared" si="147"/>
        <v>3358201</v>
      </c>
      <c r="J84" s="54">
        <f t="shared" si="147"/>
        <v>3565281</v>
      </c>
      <c r="K84" s="54">
        <f t="shared" si="147"/>
        <v>3696956</v>
      </c>
      <c r="L84" s="54">
        <f t="shared" si="147"/>
        <v>3849921</v>
      </c>
      <c r="M84" s="54">
        <f t="shared" si="147"/>
        <v>4006561</v>
      </c>
      <c r="N84" s="54">
        <f t="shared" si="147"/>
        <v>4127925</v>
      </c>
      <c r="O84" s="54">
        <f t="shared" si="147"/>
        <v>4232834</v>
      </c>
      <c r="P84" s="54">
        <f t="shared" si="147"/>
        <v>4332756</v>
      </c>
      <c r="Q84" s="54">
        <f t="shared" si="147"/>
        <v>4427779</v>
      </c>
      <c r="R84" s="54">
        <f t="shared" si="147"/>
        <v>4549641</v>
      </c>
      <c r="S84" s="54">
        <f t="shared" si="147"/>
        <v>4662753</v>
      </c>
      <c r="T84" s="54">
        <f t="shared" si="147"/>
        <v>4767861</v>
      </c>
      <c r="U84" s="54">
        <f t="shared" si="147"/>
        <v>4881669</v>
      </c>
      <c r="V84" s="54">
        <f t="shared" si="147"/>
        <v>4972851</v>
      </c>
      <c r="W84" s="54">
        <f t="shared" ref="W84" si="148">W85+W100</f>
        <v>5033783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2338002</v>
      </c>
      <c r="C85" s="28">
        <f t="shared" si="149"/>
        <v>2376607</v>
      </c>
      <c r="D85" s="28">
        <f t="shared" ref="D85:V85" si="150">D86+D87+D94</f>
        <v>2428265</v>
      </c>
      <c r="E85" s="28">
        <f t="shared" si="150"/>
        <v>2530317</v>
      </c>
      <c r="F85" s="28">
        <f t="shared" si="150"/>
        <v>2629162</v>
      </c>
      <c r="G85" s="28">
        <f t="shared" si="150"/>
        <v>2743071</v>
      </c>
      <c r="H85" s="28">
        <f t="shared" si="150"/>
        <v>2855175</v>
      </c>
      <c r="I85" s="28">
        <f t="shared" si="150"/>
        <v>2958431</v>
      </c>
      <c r="J85" s="28">
        <f t="shared" si="150"/>
        <v>3134312</v>
      </c>
      <c r="K85" s="28">
        <f t="shared" si="150"/>
        <v>3245878</v>
      </c>
      <c r="L85" s="28">
        <f t="shared" si="150"/>
        <v>3377900</v>
      </c>
      <c r="M85" s="28">
        <f t="shared" si="150"/>
        <v>3508472</v>
      </c>
      <c r="N85" s="28">
        <f t="shared" si="150"/>
        <v>3610433</v>
      </c>
      <c r="O85" s="28">
        <f t="shared" si="150"/>
        <v>3697187</v>
      </c>
      <c r="P85" s="28">
        <f t="shared" si="150"/>
        <v>3779392</v>
      </c>
      <c r="Q85" s="28">
        <f t="shared" si="150"/>
        <v>3855584</v>
      </c>
      <c r="R85" s="28">
        <f t="shared" si="150"/>
        <v>3955336</v>
      </c>
      <c r="S85" s="28">
        <f t="shared" si="150"/>
        <v>4044663</v>
      </c>
      <c r="T85" s="28">
        <f t="shared" si="150"/>
        <v>4127096</v>
      </c>
      <c r="U85" s="28">
        <f t="shared" si="150"/>
        <v>4217704</v>
      </c>
      <c r="V85" s="28">
        <f t="shared" si="150"/>
        <v>4288590</v>
      </c>
      <c r="W85" s="28">
        <f t="shared" ref="W85" si="151">W86+W87+W94</f>
        <v>4332751</v>
      </c>
      <c r="DA85" s="173"/>
    </row>
    <row r="86" spans="1:105" ht="11.45" hidden="1" customHeight="1" x14ac:dyDescent="0.25">
      <c r="A86" s="136" t="s">
        <v>180</v>
      </c>
      <c r="B86" s="137">
        <v>193422</v>
      </c>
      <c r="C86" s="137">
        <v>206235</v>
      </c>
      <c r="D86" s="137">
        <v>223577</v>
      </c>
      <c r="E86" s="137">
        <v>245382</v>
      </c>
      <c r="F86" s="137">
        <v>271720</v>
      </c>
      <c r="G86" s="137">
        <v>301805</v>
      </c>
      <c r="H86" s="137">
        <v>338443</v>
      </c>
      <c r="I86" s="137">
        <v>376532</v>
      </c>
      <c r="J86" s="137">
        <v>421544</v>
      </c>
      <c r="K86" s="137">
        <v>456197</v>
      </c>
      <c r="L86" s="137">
        <v>486766</v>
      </c>
      <c r="M86" s="137">
        <v>515517</v>
      </c>
      <c r="N86" s="137">
        <v>538019</v>
      </c>
      <c r="O86" s="137">
        <v>554252</v>
      </c>
      <c r="P86" s="137">
        <v>568191</v>
      </c>
      <c r="Q86" s="137">
        <v>581147</v>
      </c>
      <c r="R86" s="137">
        <v>591795</v>
      </c>
      <c r="S86" s="137">
        <v>603756</v>
      </c>
      <c r="T86" s="137">
        <v>613741</v>
      </c>
      <c r="U86" s="137">
        <v>623997</v>
      </c>
      <c r="V86" s="137">
        <v>636457</v>
      </c>
      <c r="W86" s="137">
        <v>646063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2134728</v>
      </c>
      <c r="C87" s="110">
        <f t="shared" si="152"/>
        <v>2160603</v>
      </c>
      <c r="D87" s="110">
        <f t="shared" ref="D87:V87" si="153">SUM(D88:D93)</f>
        <v>2194683</v>
      </c>
      <c r="E87" s="110">
        <f t="shared" si="153"/>
        <v>2274577</v>
      </c>
      <c r="F87" s="110">
        <f t="shared" si="153"/>
        <v>2346726</v>
      </c>
      <c r="G87" s="110">
        <f t="shared" si="153"/>
        <v>2430345</v>
      </c>
      <c r="H87" s="110">
        <f t="shared" si="153"/>
        <v>2505543</v>
      </c>
      <c r="I87" s="110">
        <f t="shared" si="153"/>
        <v>2570356</v>
      </c>
      <c r="J87" s="110">
        <f t="shared" si="153"/>
        <v>2700492</v>
      </c>
      <c r="K87" s="110">
        <f t="shared" si="153"/>
        <v>2776664</v>
      </c>
      <c r="L87" s="110">
        <f t="shared" si="153"/>
        <v>2877484</v>
      </c>
      <c r="M87" s="110">
        <f t="shared" si="153"/>
        <v>2978729</v>
      </c>
      <c r="N87" s="110">
        <f t="shared" si="153"/>
        <v>3057484</v>
      </c>
      <c r="O87" s="110">
        <f t="shared" si="153"/>
        <v>3127399</v>
      </c>
      <c r="P87" s="110">
        <f t="shared" si="153"/>
        <v>3194950</v>
      </c>
      <c r="Q87" s="110">
        <f t="shared" si="153"/>
        <v>3257581</v>
      </c>
      <c r="R87" s="110">
        <f t="shared" si="153"/>
        <v>3346005</v>
      </c>
      <c r="S87" s="110">
        <f t="shared" si="153"/>
        <v>3422792</v>
      </c>
      <c r="T87" s="110">
        <f t="shared" si="153"/>
        <v>3494836</v>
      </c>
      <c r="U87" s="110">
        <f t="shared" si="153"/>
        <v>3574570</v>
      </c>
      <c r="V87" s="110">
        <f t="shared" si="153"/>
        <v>3632851</v>
      </c>
      <c r="W87" s="110">
        <f t="shared" ref="W87" si="154">SUM(W88:W93)</f>
        <v>3667164</v>
      </c>
      <c r="DA87" s="176"/>
    </row>
    <row r="88" spans="1:105" ht="11.45" hidden="1" customHeight="1" x14ac:dyDescent="0.25">
      <c r="A88" s="111" t="s">
        <v>110</v>
      </c>
      <c r="B88" s="84">
        <v>1915317</v>
      </c>
      <c r="C88" s="84">
        <v>1929038</v>
      </c>
      <c r="D88" s="84">
        <v>1950046</v>
      </c>
      <c r="E88" s="84">
        <v>2008757</v>
      </c>
      <c r="F88" s="84">
        <v>2070877</v>
      </c>
      <c r="G88" s="84">
        <v>2127307</v>
      </c>
      <c r="H88" s="84">
        <v>2171334</v>
      </c>
      <c r="I88" s="84">
        <v>2197893</v>
      </c>
      <c r="J88" s="84">
        <v>2250397</v>
      </c>
      <c r="K88" s="84">
        <v>2278832</v>
      </c>
      <c r="L88" s="84">
        <v>2318166</v>
      </c>
      <c r="M88" s="84">
        <v>2356904</v>
      </c>
      <c r="N88" s="84">
        <v>2387823</v>
      </c>
      <c r="O88" s="84">
        <v>2415827</v>
      </c>
      <c r="P88" s="84">
        <v>2441627</v>
      </c>
      <c r="Q88" s="84">
        <v>2465070</v>
      </c>
      <c r="R88" s="84">
        <v>2506792</v>
      </c>
      <c r="S88" s="84">
        <v>2539162</v>
      </c>
      <c r="T88" s="84">
        <v>2565995</v>
      </c>
      <c r="U88" s="84">
        <v>2602431</v>
      </c>
      <c r="V88" s="84">
        <v>2616553</v>
      </c>
      <c r="W88" s="84">
        <v>2602001</v>
      </c>
      <c r="DA88" s="171"/>
    </row>
    <row r="89" spans="1:105" ht="11.45" hidden="1" customHeight="1" x14ac:dyDescent="0.25">
      <c r="A89" s="111" t="s">
        <v>111</v>
      </c>
      <c r="B89" s="84">
        <v>219411</v>
      </c>
      <c r="C89" s="84">
        <v>231565</v>
      </c>
      <c r="D89" s="84">
        <v>244637</v>
      </c>
      <c r="E89" s="84">
        <v>265820</v>
      </c>
      <c r="F89" s="84">
        <v>275849</v>
      </c>
      <c r="G89" s="84">
        <v>303038</v>
      </c>
      <c r="H89" s="84">
        <v>334206</v>
      </c>
      <c r="I89" s="84">
        <v>372354</v>
      </c>
      <c r="J89" s="84">
        <v>449878</v>
      </c>
      <c r="K89" s="84">
        <v>497453</v>
      </c>
      <c r="L89" s="84">
        <v>558811</v>
      </c>
      <c r="M89" s="84">
        <v>621148</v>
      </c>
      <c r="N89" s="84">
        <v>668593</v>
      </c>
      <c r="O89" s="84">
        <v>710095</v>
      </c>
      <c r="P89" s="84">
        <v>751147</v>
      </c>
      <c r="Q89" s="84">
        <v>789377</v>
      </c>
      <c r="R89" s="84">
        <v>834110</v>
      </c>
      <c r="S89" s="84">
        <v>873307</v>
      </c>
      <c r="T89" s="84">
        <v>907741</v>
      </c>
      <c r="U89" s="84">
        <v>933395</v>
      </c>
      <c r="V89" s="84">
        <v>948624</v>
      </c>
      <c r="W89" s="84">
        <v>951780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0</v>
      </c>
      <c r="E90" s="84">
        <v>0</v>
      </c>
      <c r="F90" s="84">
        <v>0</v>
      </c>
      <c r="G90" s="84">
        <v>0</v>
      </c>
      <c r="H90" s="84">
        <v>0</v>
      </c>
      <c r="I90" s="84">
        <v>0</v>
      </c>
      <c r="J90" s="84">
        <v>0</v>
      </c>
      <c r="K90" s="84">
        <v>0</v>
      </c>
      <c r="L90" s="84">
        <v>0</v>
      </c>
      <c r="M90" s="84">
        <v>0</v>
      </c>
      <c r="N90" s="84">
        <v>0</v>
      </c>
      <c r="O90" s="84">
        <v>0</v>
      </c>
      <c r="P90" s="84">
        <v>0</v>
      </c>
      <c r="Q90" s="84">
        <v>0</v>
      </c>
      <c r="R90" s="84">
        <v>0</v>
      </c>
      <c r="S90" s="84">
        <v>0</v>
      </c>
      <c r="T90" s="84">
        <v>0</v>
      </c>
      <c r="U90" s="84">
        <v>0</v>
      </c>
      <c r="V90" s="84">
        <v>0</v>
      </c>
      <c r="W90" s="84">
        <v>0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3</v>
      </c>
      <c r="I91" s="84">
        <v>106</v>
      </c>
      <c r="J91" s="84">
        <v>210</v>
      </c>
      <c r="K91" s="84">
        <v>366</v>
      </c>
      <c r="L91" s="84">
        <v>484</v>
      </c>
      <c r="M91" s="84">
        <v>621</v>
      </c>
      <c r="N91" s="84">
        <v>831</v>
      </c>
      <c r="O91" s="84">
        <v>1020</v>
      </c>
      <c r="P91" s="84">
        <v>1250</v>
      </c>
      <c r="Q91" s="84">
        <v>1503</v>
      </c>
      <c r="R91" s="84">
        <v>1822</v>
      </c>
      <c r="S91" s="84">
        <v>3155</v>
      </c>
      <c r="T91" s="84">
        <v>5601</v>
      </c>
      <c r="U91" s="84">
        <v>9380</v>
      </c>
      <c r="V91" s="84">
        <v>12357</v>
      </c>
      <c r="W91" s="84">
        <v>13472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128</v>
      </c>
      <c r="O92" s="84">
        <v>288</v>
      </c>
      <c r="P92" s="84">
        <v>566</v>
      </c>
      <c r="Q92" s="84">
        <v>1017</v>
      </c>
      <c r="R92" s="84">
        <v>2437</v>
      </c>
      <c r="S92" s="84">
        <v>5719</v>
      </c>
      <c r="T92" s="84">
        <v>13095</v>
      </c>
      <c r="U92" s="84">
        <v>24703</v>
      </c>
      <c r="V92" s="84">
        <v>45620</v>
      </c>
      <c r="W92" s="84">
        <v>76990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3</v>
      </c>
      <c r="J93" s="84">
        <v>7</v>
      </c>
      <c r="K93" s="84">
        <v>13</v>
      </c>
      <c r="L93" s="84">
        <v>23</v>
      </c>
      <c r="M93" s="84">
        <v>56</v>
      </c>
      <c r="N93" s="84">
        <v>109</v>
      </c>
      <c r="O93" s="84">
        <v>169</v>
      </c>
      <c r="P93" s="84">
        <v>360</v>
      </c>
      <c r="Q93" s="84">
        <v>614</v>
      </c>
      <c r="R93" s="84">
        <v>844</v>
      </c>
      <c r="S93" s="84">
        <v>1449</v>
      </c>
      <c r="T93" s="84">
        <v>2404</v>
      </c>
      <c r="U93" s="84">
        <v>4661</v>
      </c>
      <c r="V93" s="84">
        <v>9697</v>
      </c>
      <c r="W93" s="84">
        <v>22921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9852</v>
      </c>
      <c r="C94" s="110">
        <f t="shared" si="155"/>
        <v>9769</v>
      </c>
      <c r="D94" s="110">
        <f t="shared" ref="D94:V94" si="156">SUM(D95:D99)</f>
        <v>10005</v>
      </c>
      <c r="E94" s="110">
        <f t="shared" si="156"/>
        <v>10358</v>
      </c>
      <c r="F94" s="110">
        <f t="shared" si="156"/>
        <v>10716</v>
      </c>
      <c r="G94" s="110">
        <f t="shared" si="156"/>
        <v>10921</v>
      </c>
      <c r="H94" s="110">
        <f t="shared" si="156"/>
        <v>11189</v>
      </c>
      <c r="I94" s="110">
        <f t="shared" si="156"/>
        <v>11543</v>
      </c>
      <c r="J94" s="110">
        <f t="shared" si="156"/>
        <v>12276</v>
      </c>
      <c r="K94" s="110">
        <f t="shared" si="156"/>
        <v>13017</v>
      </c>
      <c r="L94" s="110">
        <f t="shared" si="156"/>
        <v>13650</v>
      </c>
      <c r="M94" s="110">
        <f t="shared" si="156"/>
        <v>14226</v>
      </c>
      <c r="N94" s="110">
        <f t="shared" si="156"/>
        <v>14930</v>
      </c>
      <c r="O94" s="110">
        <f t="shared" si="156"/>
        <v>15536</v>
      </c>
      <c r="P94" s="110">
        <f t="shared" si="156"/>
        <v>16251</v>
      </c>
      <c r="Q94" s="110">
        <f t="shared" si="156"/>
        <v>16856</v>
      </c>
      <c r="R94" s="110">
        <f t="shared" si="156"/>
        <v>17536</v>
      </c>
      <c r="S94" s="110">
        <f t="shared" si="156"/>
        <v>18115</v>
      </c>
      <c r="T94" s="110">
        <f t="shared" si="156"/>
        <v>18519</v>
      </c>
      <c r="U94" s="110">
        <f t="shared" si="156"/>
        <v>19137</v>
      </c>
      <c r="V94" s="110">
        <f t="shared" si="156"/>
        <v>19282</v>
      </c>
      <c r="W94" s="110">
        <f t="shared" ref="W94" si="157">SUM(W95:W99)</f>
        <v>19524</v>
      </c>
      <c r="DA94" s="176"/>
    </row>
    <row r="95" spans="1:105" ht="11.45" hidden="1" customHeight="1" x14ac:dyDescent="0.25">
      <c r="A95" s="111" t="s">
        <v>110</v>
      </c>
      <c r="B95" s="102">
        <v>27</v>
      </c>
      <c r="C95" s="102">
        <v>30</v>
      </c>
      <c r="D95" s="102">
        <v>29</v>
      </c>
      <c r="E95" s="102">
        <v>29</v>
      </c>
      <c r="F95" s="102">
        <v>30</v>
      </c>
      <c r="G95" s="102">
        <v>33</v>
      </c>
      <c r="H95" s="102">
        <v>31</v>
      </c>
      <c r="I95" s="102">
        <v>32</v>
      </c>
      <c r="J95" s="102">
        <v>31</v>
      </c>
      <c r="K95" s="102">
        <v>31</v>
      </c>
      <c r="L95" s="102">
        <v>32</v>
      </c>
      <c r="M95" s="102">
        <v>31</v>
      </c>
      <c r="N95" s="102">
        <v>31</v>
      </c>
      <c r="O95" s="102">
        <v>31</v>
      </c>
      <c r="P95" s="102">
        <v>31</v>
      </c>
      <c r="Q95" s="102">
        <v>31</v>
      </c>
      <c r="R95" s="102">
        <v>31</v>
      </c>
      <c r="S95" s="102">
        <v>32</v>
      </c>
      <c r="T95" s="102">
        <v>32</v>
      </c>
      <c r="U95" s="102">
        <v>32</v>
      </c>
      <c r="V95" s="102">
        <v>31</v>
      </c>
      <c r="W95" s="102">
        <v>31</v>
      </c>
      <c r="DA95" s="175"/>
    </row>
    <row r="96" spans="1:105" ht="11.45" hidden="1" customHeight="1" x14ac:dyDescent="0.25">
      <c r="A96" s="111" t="s">
        <v>111</v>
      </c>
      <c r="B96" s="102">
        <v>9720</v>
      </c>
      <c r="C96" s="102">
        <v>9636</v>
      </c>
      <c r="D96" s="102">
        <v>9820</v>
      </c>
      <c r="E96" s="102">
        <v>10171</v>
      </c>
      <c r="F96" s="102">
        <v>10531</v>
      </c>
      <c r="G96" s="102">
        <v>10734</v>
      </c>
      <c r="H96" s="102">
        <v>10955</v>
      </c>
      <c r="I96" s="102">
        <v>11304</v>
      </c>
      <c r="J96" s="102">
        <v>12044</v>
      </c>
      <c r="K96" s="102">
        <v>12784</v>
      </c>
      <c r="L96" s="102">
        <v>13426</v>
      </c>
      <c r="M96" s="102">
        <v>14014</v>
      </c>
      <c r="N96" s="102">
        <v>14723</v>
      </c>
      <c r="O96" s="102">
        <v>15340</v>
      </c>
      <c r="P96" s="102">
        <v>16066</v>
      </c>
      <c r="Q96" s="102">
        <v>16682</v>
      </c>
      <c r="R96" s="102">
        <v>17361</v>
      </c>
      <c r="S96" s="102">
        <v>17940</v>
      </c>
      <c r="T96" s="102">
        <v>18343</v>
      </c>
      <c r="U96" s="102">
        <v>18923</v>
      </c>
      <c r="V96" s="102">
        <v>19041</v>
      </c>
      <c r="W96" s="102">
        <v>19093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105</v>
      </c>
      <c r="C98" s="102">
        <v>103</v>
      </c>
      <c r="D98" s="102">
        <v>156</v>
      </c>
      <c r="E98" s="102">
        <v>158</v>
      </c>
      <c r="F98" s="102">
        <v>155</v>
      </c>
      <c r="G98" s="102">
        <v>154</v>
      </c>
      <c r="H98" s="102">
        <v>203</v>
      </c>
      <c r="I98" s="102">
        <v>207</v>
      </c>
      <c r="J98" s="102">
        <v>201</v>
      </c>
      <c r="K98" s="102">
        <v>202</v>
      </c>
      <c r="L98" s="102">
        <v>192</v>
      </c>
      <c r="M98" s="102">
        <v>181</v>
      </c>
      <c r="N98" s="102">
        <v>170</v>
      </c>
      <c r="O98" s="102">
        <v>159</v>
      </c>
      <c r="P98" s="102">
        <v>148</v>
      </c>
      <c r="Q98" s="102">
        <v>137</v>
      </c>
      <c r="R98" s="102">
        <v>128</v>
      </c>
      <c r="S98" s="102">
        <v>119</v>
      </c>
      <c r="T98" s="102">
        <v>120</v>
      </c>
      <c r="U98" s="102">
        <v>117</v>
      </c>
      <c r="V98" s="102">
        <v>119</v>
      </c>
      <c r="W98" s="102">
        <v>119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6</v>
      </c>
      <c r="O99" s="102">
        <v>6</v>
      </c>
      <c r="P99" s="102">
        <v>6</v>
      </c>
      <c r="Q99" s="102">
        <v>6</v>
      </c>
      <c r="R99" s="102">
        <v>16</v>
      </c>
      <c r="S99" s="102">
        <v>24</v>
      </c>
      <c r="T99" s="102">
        <v>24</v>
      </c>
      <c r="U99" s="102">
        <v>65</v>
      </c>
      <c r="V99" s="102">
        <v>91</v>
      </c>
      <c r="W99" s="102">
        <v>281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307375</v>
      </c>
      <c r="C100" s="28">
        <f t="shared" si="158"/>
        <v>315866</v>
      </c>
      <c r="D100" s="28">
        <f t="shared" ref="D100:V100" si="159">D101+D107</f>
        <v>322990</v>
      </c>
      <c r="E100" s="28">
        <f t="shared" si="159"/>
        <v>330577</v>
      </c>
      <c r="F100" s="28">
        <f t="shared" si="159"/>
        <v>358447</v>
      </c>
      <c r="G100" s="28">
        <f t="shared" si="159"/>
        <v>367578</v>
      </c>
      <c r="H100" s="28">
        <f t="shared" si="159"/>
        <v>380177</v>
      </c>
      <c r="I100" s="28">
        <f t="shared" si="159"/>
        <v>399770</v>
      </c>
      <c r="J100" s="28">
        <f t="shared" si="159"/>
        <v>430969</v>
      </c>
      <c r="K100" s="28">
        <f t="shared" si="159"/>
        <v>451078</v>
      </c>
      <c r="L100" s="28">
        <f t="shared" si="159"/>
        <v>472021</v>
      </c>
      <c r="M100" s="28">
        <f t="shared" si="159"/>
        <v>498089</v>
      </c>
      <c r="N100" s="28">
        <f t="shared" si="159"/>
        <v>517492</v>
      </c>
      <c r="O100" s="28">
        <f t="shared" si="159"/>
        <v>535647</v>
      </c>
      <c r="P100" s="28">
        <f t="shared" si="159"/>
        <v>553364</v>
      </c>
      <c r="Q100" s="28">
        <f t="shared" si="159"/>
        <v>572195</v>
      </c>
      <c r="R100" s="28">
        <f t="shared" si="159"/>
        <v>594305</v>
      </c>
      <c r="S100" s="28">
        <f t="shared" si="159"/>
        <v>618090</v>
      </c>
      <c r="T100" s="28">
        <f t="shared" si="159"/>
        <v>640765</v>
      </c>
      <c r="U100" s="28">
        <f t="shared" si="159"/>
        <v>663965</v>
      </c>
      <c r="V100" s="28">
        <f t="shared" si="159"/>
        <v>684261</v>
      </c>
      <c r="W100" s="28">
        <f t="shared" ref="W100" si="160">W101+W107</f>
        <v>701032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239095</v>
      </c>
      <c r="C101" s="137">
        <f t="shared" si="161"/>
        <v>243988</v>
      </c>
      <c r="D101" s="137">
        <f t="shared" ref="D101:V101" si="162">SUM(D102:D106)</f>
        <v>247230</v>
      </c>
      <c r="E101" s="137">
        <f t="shared" si="162"/>
        <v>250107</v>
      </c>
      <c r="F101" s="137">
        <f t="shared" si="162"/>
        <v>272690</v>
      </c>
      <c r="G101" s="137">
        <f t="shared" si="162"/>
        <v>276453</v>
      </c>
      <c r="H101" s="137">
        <f t="shared" si="162"/>
        <v>284627</v>
      </c>
      <c r="I101" s="137">
        <f t="shared" si="162"/>
        <v>297531</v>
      </c>
      <c r="J101" s="137">
        <f t="shared" si="162"/>
        <v>318797</v>
      </c>
      <c r="K101" s="137">
        <f t="shared" si="162"/>
        <v>332645</v>
      </c>
      <c r="L101" s="137">
        <f t="shared" si="162"/>
        <v>347258</v>
      </c>
      <c r="M101" s="137">
        <f t="shared" si="162"/>
        <v>365568</v>
      </c>
      <c r="N101" s="137">
        <f t="shared" si="162"/>
        <v>379215</v>
      </c>
      <c r="O101" s="137">
        <f t="shared" si="162"/>
        <v>391952</v>
      </c>
      <c r="P101" s="137">
        <f t="shared" si="162"/>
        <v>404817</v>
      </c>
      <c r="Q101" s="137">
        <f t="shared" si="162"/>
        <v>418870</v>
      </c>
      <c r="R101" s="137">
        <f t="shared" si="162"/>
        <v>435436</v>
      </c>
      <c r="S101" s="137">
        <f t="shared" si="162"/>
        <v>452894</v>
      </c>
      <c r="T101" s="137">
        <f t="shared" si="162"/>
        <v>470008</v>
      </c>
      <c r="U101" s="137">
        <f t="shared" si="162"/>
        <v>486949</v>
      </c>
      <c r="V101" s="137">
        <f t="shared" si="162"/>
        <v>502047</v>
      </c>
      <c r="W101" s="137">
        <f t="shared" ref="W101" si="163">SUM(W102:W106)</f>
        <v>514403</v>
      </c>
      <c r="DA101" s="174"/>
    </row>
    <row r="102" spans="1:105" ht="11.45" hidden="1" customHeight="1" x14ac:dyDescent="0.25">
      <c r="A102" s="111" t="s">
        <v>110</v>
      </c>
      <c r="B102" s="84">
        <v>41753</v>
      </c>
      <c r="C102" s="84">
        <v>39509</v>
      </c>
      <c r="D102" s="84">
        <v>37341</v>
      </c>
      <c r="E102" s="84">
        <v>34723</v>
      </c>
      <c r="F102" s="84">
        <v>33268</v>
      </c>
      <c r="G102" s="84">
        <v>31658</v>
      </c>
      <c r="H102" s="84">
        <v>29917</v>
      </c>
      <c r="I102" s="84">
        <v>28517</v>
      </c>
      <c r="J102" s="84">
        <v>28564</v>
      </c>
      <c r="K102" s="84">
        <v>28343</v>
      </c>
      <c r="L102" s="84">
        <v>28165</v>
      </c>
      <c r="M102" s="84">
        <v>28060</v>
      </c>
      <c r="N102" s="84">
        <v>27916</v>
      </c>
      <c r="O102" s="84">
        <v>26999</v>
      </c>
      <c r="P102" s="84">
        <v>26815</v>
      </c>
      <c r="Q102" s="84">
        <v>26652</v>
      </c>
      <c r="R102" s="84">
        <v>26611</v>
      </c>
      <c r="S102" s="84">
        <v>26535</v>
      </c>
      <c r="T102" s="84">
        <v>26503</v>
      </c>
      <c r="U102" s="84">
        <v>26572</v>
      </c>
      <c r="V102" s="84">
        <v>26843</v>
      </c>
      <c r="W102" s="84">
        <v>27036</v>
      </c>
      <c r="DA102" s="171"/>
    </row>
    <row r="103" spans="1:105" ht="11.45" hidden="1" customHeight="1" x14ac:dyDescent="0.25">
      <c r="A103" s="111" t="s">
        <v>111</v>
      </c>
      <c r="B103" s="84">
        <v>197185</v>
      </c>
      <c r="C103" s="84">
        <v>204323</v>
      </c>
      <c r="D103" s="84">
        <v>209750</v>
      </c>
      <c r="E103" s="84">
        <v>215255</v>
      </c>
      <c r="F103" s="84">
        <v>239303</v>
      </c>
      <c r="G103" s="84">
        <v>244685</v>
      </c>
      <c r="H103" s="84">
        <v>254605</v>
      </c>
      <c r="I103" s="84">
        <v>268906</v>
      </c>
      <c r="J103" s="84">
        <v>290112</v>
      </c>
      <c r="K103" s="84">
        <v>304161</v>
      </c>
      <c r="L103" s="84">
        <v>318930</v>
      </c>
      <c r="M103" s="84">
        <v>337319</v>
      </c>
      <c r="N103" s="84">
        <v>351076</v>
      </c>
      <c r="O103" s="84">
        <v>364681</v>
      </c>
      <c r="P103" s="84">
        <v>377682</v>
      </c>
      <c r="Q103" s="84">
        <v>391829</v>
      </c>
      <c r="R103" s="84">
        <v>408330</v>
      </c>
      <c r="S103" s="84">
        <v>425697</v>
      </c>
      <c r="T103" s="84">
        <v>442627</v>
      </c>
      <c r="U103" s="84">
        <v>459236</v>
      </c>
      <c r="V103" s="84">
        <v>473832</v>
      </c>
      <c r="W103" s="84">
        <v>485584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0</v>
      </c>
      <c r="V104" s="84">
        <v>0</v>
      </c>
      <c r="W104" s="84">
        <v>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3</v>
      </c>
      <c r="D105" s="84">
        <v>3</v>
      </c>
      <c r="E105" s="84">
        <v>3</v>
      </c>
      <c r="F105" s="84">
        <v>3</v>
      </c>
      <c r="G105" s="84">
        <v>4</v>
      </c>
      <c r="H105" s="84">
        <v>4</v>
      </c>
      <c r="I105" s="84">
        <v>11</v>
      </c>
      <c r="J105" s="84">
        <v>20</v>
      </c>
      <c r="K105" s="84">
        <v>37</v>
      </c>
      <c r="L105" s="84">
        <v>52</v>
      </c>
      <c r="M105" s="84">
        <v>77</v>
      </c>
      <c r="N105" s="84">
        <v>99</v>
      </c>
      <c r="O105" s="84">
        <v>145</v>
      </c>
      <c r="P105" s="84">
        <v>173</v>
      </c>
      <c r="Q105" s="84">
        <v>203</v>
      </c>
      <c r="R105" s="84">
        <v>247</v>
      </c>
      <c r="S105" s="84">
        <v>373</v>
      </c>
      <c r="T105" s="84">
        <v>543</v>
      </c>
      <c r="U105" s="84">
        <v>745</v>
      </c>
      <c r="V105" s="84">
        <v>928</v>
      </c>
      <c r="W105" s="84">
        <v>987</v>
      </c>
      <c r="DA105" s="171"/>
    </row>
    <row r="106" spans="1:105" ht="11.45" hidden="1" customHeight="1" x14ac:dyDescent="0.25">
      <c r="A106" s="111" t="s">
        <v>115</v>
      </c>
      <c r="B106" s="84">
        <v>157</v>
      </c>
      <c r="C106" s="84">
        <v>153</v>
      </c>
      <c r="D106" s="84">
        <v>136</v>
      </c>
      <c r="E106" s="84">
        <v>126</v>
      </c>
      <c r="F106" s="84">
        <v>116</v>
      </c>
      <c r="G106" s="84">
        <v>106</v>
      </c>
      <c r="H106" s="84">
        <v>101</v>
      </c>
      <c r="I106" s="84">
        <v>97</v>
      </c>
      <c r="J106" s="84">
        <v>101</v>
      </c>
      <c r="K106" s="84">
        <v>104</v>
      </c>
      <c r="L106" s="84">
        <v>111</v>
      </c>
      <c r="M106" s="84">
        <v>112</v>
      </c>
      <c r="N106" s="84">
        <v>124</v>
      </c>
      <c r="O106" s="84">
        <v>127</v>
      </c>
      <c r="P106" s="84">
        <v>147</v>
      </c>
      <c r="Q106" s="84">
        <v>186</v>
      </c>
      <c r="R106" s="84">
        <v>248</v>
      </c>
      <c r="S106" s="84">
        <v>289</v>
      </c>
      <c r="T106" s="84">
        <v>335</v>
      </c>
      <c r="U106" s="84">
        <v>396</v>
      </c>
      <c r="V106" s="84">
        <v>444</v>
      </c>
      <c r="W106" s="84">
        <v>796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68280</v>
      </c>
      <c r="C107" s="110">
        <f t="shared" si="164"/>
        <v>71878</v>
      </c>
      <c r="D107" s="110">
        <f t="shared" ref="D107:V107" si="165">SUM(D108:D109)</f>
        <v>75760</v>
      </c>
      <c r="E107" s="110">
        <f t="shared" si="165"/>
        <v>80470</v>
      </c>
      <c r="F107" s="110">
        <f t="shared" si="165"/>
        <v>85757</v>
      </c>
      <c r="G107" s="110">
        <f t="shared" si="165"/>
        <v>91125</v>
      </c>
      <c r="H107" s="110">
        <f t="shared" si="165"/>
        <v>95550</v>
      </c>
      <c r="I107" s="110">
        <f t="shared" si="165"/>
        <v>102239</v>
      </c>
      <c r="J107" s="110">
        <f t="shared" si="165"/>
        <v>112172</v>
      </c>
      <c r="K107" s="110">
        <f t="shared" si="165"/>
        <v>118433</v>
      </c>
      <c r="L107" s="110">
        <f t="shared" si="165"/>
        <v>124763</v>
      </c>
      <c r="M107" s="110">
        <f t="shared" si="165"/>
        <v>132521</v>
      </c>
      <c r="N107" s="110">
        <f t="shared" si="165"/>
        <v>138277</v>
      </c>
      <c r="O107" s="110">
        <f t="shared" si="165"/>
        <v>143695</v>
      </c>
      <c r="P107" s="110">
        <f t="shared" si="165"/>
        <v>148547</v>
      </c>
      <c r="Q107" s="110">
        <f t="shared" si="165"/>
        <v>153325</v>
      </c>
      <c r="R107" s="110">
        <f t="shared" si="165"/>
        <v>158869</v>
      </c>
      <c r="S107" s="110">
        <f t="shared" si="165"/>
        <v>165196</v>
      </c>
      <c r="T107" s="110">
        <f t="shared" si="165"/>
        <v>170757</v>
      </c>
      <c r="U107" s="110">
        <f t="shared" si="165"/>
        <v>177016</v>
      </c>
      <c r="V107" s="110">
        <f t="shared" si="165"/>
        <v>182214</v>
      </c>
      <c r="W107" s="110">
        <f t="shared" ref="W107" si="166">SUM(W108:W109)</f>
        <v>186629</v>
      </c>
      <c r="DA107" s="176"/>
    </row>
    <row r="108" spans="1:105" ht="11.45" hidden="1" customHeight="1" x14ac:dyDescent="0.25">
      <c r="A108" s="128" t="s">
        <v>27</v>
      </c>
      <c r="B108" s="102">
        <v>67685</v>
      </c>
      <c r="C108" s="102">
        <v>71240</v>
      </c>
      <c r="D108" s="102">
        <v>75089</v>
      </c>
      <c r="E108" s="102">
        <v>79785</v>
      </c>
      <c r="F108" s="102">
        <v>84947</v>
      </c>
      <c r="G108" s="102">
        <v>90290</v>
      </c>
      <c r="H108" s="102">
        <v>94666</v>
      </c>
      <c r="I108" s="102">
        <v>101334</v>
      </c>
      <c r="J108" s="102">
        <v>111243</v>
      </c>
      <c r="K108" s="102">
        <v>117574</v>
      </c>
      <c r="L108" s="102">
        <v>123657</v>
      </c>
      <c r="M108" s="102">
        <v>131802</v>
      </c>
      <c r="N108" s="102">
        <v>137387</v>
      </c>
      <c r="O108" s="102">
        <v>142923</v>
      </c>
      <c r="P108" s="102">
        <v>147559</v>
      </c>
      <c r="Q108" s="102">
        <v>152197</v>
      </c>
      <c r="R108" s="102">
        <v>157917</v>
      </c>
      <c r="S108" s="102">
        <v>164247</v>
      </c>
      <c r="T108" s="102">
        <v>169688</v>
      </c>
      <c r="U108" s="102">
        <v>176123</v>
      </c>
      <c r="V108" s="102">
        <v>181299</v>
      </c>
      <c r="W108" s="102">
        <v>185474</v>
      </c>
      <c r="DA108" s="175"/>
    </row>
    <row r="109" spans="1:105" ht="11.45" hidden="1" customHeight="1" x14ac:dyDescent="0.25">
      <c r="A109" s="138" t="s">
        <v>116</v>
      </c>
      <c r="B109" s="86">
        <v>595</v>
      </c>
      <c r="C109" s="86">
        <v>638</v>
      </c>
      <c r="D109" s="86">
        <v>671</v>
      </c>
      <c r="E109" s="86">
        <v>685</v>
      </c>
      <c r="F109" s="86">
        <v>810</v>
      </c>
      <c r="G109" s="86">
        <v>835</v>
      </c>
      <c r="H109" s="86">
        <v>884</v>
      </c>
      <c r="I109" s="86">
        <v>905</v>
      </c>
      <c r="J109" s="86">
        <v>929</v>
      </c>
      <c r="K109" s="86">
        <v>859</v>
      </c>
      <c r="L109" s="86">
        <v>1106</v>
      </c>
      <c r="M109" s="86">
        <v>719</v>
      </c>
      <c r="N109" s="86">
        <v>890</v>
      </c>
      <c r="O109" s="86">
        <v>772</v>
      </c>
      <c r="P109" s="86">
        <v>988</v>
      </c>
      <c r="Q109" s="86">
        <v>1128</v>
      </c>
      <c r="R109" s="86">
        <v>952</v>
      </c>
      <c r="S109" s="86">
        <v>949</v>
      </c>
      <c r="T109" s="86">
        <v>1069</v>
      </c>
      <c r="U109" s="86">
        <v>893</v>
      </c>
      <c r="V109" s="86">
        <v>915</v>
      </c>
      <c r="W109" s="86">
        <v>1155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236460</v>
      </c>
      <c r="C111" s="54">
        <f t="shared" si="167"/>
        <v>221210</v>
      </c>
      <c r="D111" s="54">
        <f t="shared" si="167"/>
        <v>239647</v>
      </c>
      <c r="E111" s="54">
        <f t="shared" si="167"/>
        <v>281304</v>
      </c>
      <c r="F111" s="54">
        <f t="shared" si="167"/>
        <v>303347</v>
      </c>
      <c r="G111" s="54">
        <f t="shared" si="167"/>
        <v>295859</v>
      </c>
      <c r="H111" s="54">
        <f t="shared" si="167"/>
        <v>319059</v>
      </c>
      <c r="I111" s="54">
        <f t="shared" si="167"/>
        <v>312167</v>
      </c>
      <c r="J111" s="54">
        <f t="shared" si="167"/>
        <v>357853</v>
      </c>
      <c r="K111" s="54">
        <f t="shared" si="167"/>
        <v>289650</v>
      </c>
      <c r="L111" s="54">
        <f t="shared" ref="L111" si="168">L112+L127</f>
        <v>320016</v>
      </c>
      <c r="M111" s="54">
        <f t="shared" ref="M111:V111" si="169">M112+M127</f>
        <v>334978</v>
      </c>
      <c r="N111" s="54">
        <f t="shared" si="169"/>
        <v>306710</v>
      </c>
      <c r="O111" s="54">
        <f t="shared" si="169"/>
        <v>290926</v>
      </c>
      <c r="P111" s="54">
        <f t="shared" si="169"/>
        <v>292034</v>
      </c>
      <c r="Q111" s="54">
        <f t="shared" si="169"/>
        <v>304139</v>
      </c>
      <c r="R111" s="54">
        <f t="shared" si="169"/>
        <v>320603</v>
      </c>
      <c r="S111" s="54">
        <f t="shared" si="169"/>
        <v>330677</v>
      </c>
      <c r="T111" s="54">
        <f t="shared" si="169"/>
        <v>342047</v>
      </c>
      <c r="U111" s="54">
        <f t="shared" si="169"/>
        <v>344500</v>
      </c>
      <c r="V111" s="54">
        <f t="shared" si="169"/>
        <v>329779</v>
      </c>
      <c r="W111" s="54">
        <f t="shared" ref="W111" si="170">W112+W127</f>
        <v>342176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221650</v>
      </c>
      <c r="C112" s="28">
        <f t="shared" si="171"/>
        <v>201189</v>
      </c>
      <c r="D112" s="28">
        <f t="shared" si="171"/>
        <v>216180</v>
      </c>
      <c r="E112" s="28">
        <f t="shared" si="171"/>
        <v>255229</v>
      </c>
      <c r="F112" s="28">
        <f t="shared" si="171"/>
        <v>258963</v>
      </c>
      <c r="G112" s="28">
        <f t="shared" si="171"/>
        <v>262044</v>
      </c>
      <c r="H112" s="28">
        <f t="shared" si="171"/>
        <v>282755</v>
      </c>
      <c r="I112" s="28">
        <f t="shared" si="171"/>
        <v>268279</v>
      </c>
      <c r="J112" s="28">
        <f t="shared" si="171"/>
        <v>302218</v>
      </c>
      <c r="K112" s="28">
        <f t="shared" si="171"/>
        <v>240952</v>
      </c>
      <c r="L112" s="28">
        <f t="shared" ref="L112" si="172">L113+L114+L121</f>
        <v>270075</v>
      </c>
      <c r="M112" s="28">
        <f t="shared" ref="M112:V112" si="173">M113+M114+M121</f>
        <v>281009</v>
      </c>
      <c r="N112" s="28">
        <f t="shared" si="173"/>
        <v>255789</v>
      </c>
      <c r="O112" s="28">
        <f t="shared" si="173"/>
        <v>241667</v>
      </c>
      <c r="P112" s="28">
        <f t="shared" si="173"/>
        <v>242631</v>
      </c>
      <c r="Q112" s="28">
        <f t="shared" si="173"/>
        <v>252972</v>
      </c>
      <c r="R112" s="28">
        <f t="shared" si="173"/>
        <v>265310</v>
      </c>
      <c r="S112" s="28">
        <f t="shared" si="173"/>
        <v>272351</v>
      </c>
      <c r="T112" s="28">
        <f t="shared" si="173"/>
        <v>282219</v>
      </c>
      <c r="U112" s="28">
        <f t="shared" si="173"/>
        <v>283075</v>
      </c>
      <c r="V112" s="28">
        <f t="shared" si="173"/>
        <v>271380</v>
      </c>
      <c r="W112" s="28">
        <f t="shared" ref="W112" si="174">W113+W114+W121</f>
        <v>284608</v>
      </c>
      <c r="DA112" s="173" t="s">
        <v>526</v>
      </c>
    </row>
    <row r="113" spans="1:105" ht="11.45" customHeight="1" x14ac:dyDescent="0.25">
      <c r="A113" s="136" t="s">
        <v>180</v>
      </c>
      <c r="B113" s="137">
        <v>15501</v>
      </c>
      <c r="C113" s="137">
        <v>19643</v>
      </c>
      <c r="D113" s="137">
        <v>25545</v>
      </c>
      <c r="E113" s="137">
        <v>31449</v>
      </c>
      <c r="F113" s="137">
        <v>37524</v>
      </c>
      <c r="G113" s="137">
        <v>42701</v>
      </c>
      <c r="H113" s="137">
        <v>51456</v>
      </c>
      <c r="I113" s="137">
        <v>53958</v>
      </c>
      <c r="J113" s="137">
        <v>63325</v>
      </c>
      <c r="K113" s="137">
        <v>51220</v>
      </c>
      <c r="L113" s="137">
        <v>46765</v>
      </c>
      <c r="M113" s="137">
        <v>45669</v>
      </c>
      <c r="N113" s="137">
        <v>37199</v>
      </c>
      <c r="O113" s="137">
        <v>30379</v>
      </c>
      <c r="P113" s="137">
        <v>27816</v>
      </c>
      <c r="Q113" s="137">
        <v>26849</v>
      </c>
      <c r="R113" s="137">
        <v>24206</v>
      </c>
      <c r="S113" s="137">
        <v>26103</v>
      </c>
      <c r="T113" s="137">
        <v>23748</v>
      </c>
      <c r="U113" s="137">
        <v>24328</v>
      </c>
      <c r="V113" s="137">
        <v>27275</v>
      </c>
      <c r="W113" s="137">
        <v>23941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205303</v>
      </c>
      <c r="C114" s="110">
        <f t="shared" si="175"/>
        <v>180962</v>
      </c>
      <c r="D114" s="110">
        <f t="shared" si="175"/>
        <v>189700</v>
      </c>
      <c r="E114" s="110">
        <f t="shared" si="175"/>
        <v>222704</v>
      </c>
      <c r="F114" s="110">
        <f t="shared" si="175"/>
        <v>220339</v>
      </c>
      <c r="G114" s="110">
        <f t="shared" si="175"/>
        <v>218382</v>
      </c>
      <c r="H114" s="110">
        <f t="shared" si="175"/>
        <v>230266</v>
      </c>
      <c r="I114" s="110">
        <f t="shared" si="175"/>
        <v>213204</v>
      </c>
      <c r="J114" s="110">
        <f t="shared" si="175"/>
        <v>237397</v>
      </c>
      <c r="K114" s="110">
        <f t="shared" si="175"/>
        <v>188232</v>
      </c>
      <c r="L114" s="110">
        <f t="shared" ref="L114" si="176">SUM(L115:L120)</f>
        <v>221926</v>
      </c>
      <c r="M114" s="110">
        <f t="shared" ref="M114:V114" si="177">SUM(M115:M120)</f>
        <v>234014</v>
      </c>
      <c r="N114" s="110">
        <f t="shared" si="177"/>
        <v>217137</v>
      </c>
      <c r="O114" s="110">
        <f t="shared" si="177"/>
        <v>209929</v>
      </c>
      <c r="P114" s="110">
        <f t="shared" si="177"/>
        <v>213337</v>
      </c>
      <c r="Q114" s="110">
        <f t="shared" si="177"/>
        <v>224738</v>
      </c>
      <c r="R114" s="110">
        <f t="shared" si="177"/>
        <v>239805</v>
      </c>
      <c r="S114" s="110">
        <f t="shared" si="177"/>
        <v>244976</v>
      </c>
      <c r="T114" s="110">
        <f t="shared" si="177"/>
        <v>257313</v>
      </c>
      <c r="U114" s="110">
        <f t="shared" si="177"/>
        <v>257286</v>
      </c>
      <c r="V114" s="110">
        <f t="shared" si="177"/>
        <v>243065</v>
      </c>
      <c r="W114" s="110">
        <f t="shared" ref="W114" si="178">SUM(W115:W120)</f>
        <v>259473</v>
      </c>
      <c r="DA114" s="176" t="s">
        <v>528</v>
      </c>
    </row>
    <row r="115" spans="1:105" ht="11.45" customHeight="1" x14ac:dyDescent="0.25">
      <c r="A115" s="111" t="s">
        <v>110</v>
      </c>
      <c r="B115" s="84">
        <v>171706</v>
      </c>
      <c r="C115" s="84">
        <v>155279</v>
      </c>
      <c r="D115" s="84">
        <v>163404</v>
      </c>
      <c r="E115" s="84">
        <v>191542</v>
      </c>
      <c r="F115" s="84">
        <v>189103</v>
      </c>
      <c r="G115" s="84">
        <v>186327</v>
      </c>
      <c r="H115" s="84">
        <v>188028</v>
      </c>
      <c r="I115" s="84">
        <v>162617</v>
      </c>
      <c r="J115" s="84">
        <v>144864</v>
      </c>
      <c r="K115" s="84">
        <v>124028</v>
      </c>
      <c r="L115" s="84">
        <v>141934</v>
      </c>
      <c r="M115" s="84">
        <v>150939</v>
      </c>
      <c r="N115" s="84">
        <v>147166</v>
      </c>
      <c r="O115" s="84">
        <v>144514</v>
      </c>
      <c r="P115" s="84">
        <v>146358</v>
      </c>
      <c r="Q115" s="84">
        <v>158520</v>
      </c>
      <c r="R115" s="84">
        <v>165509</v>
      </c>
      <c r="S115" s="84">
        <v>171677</v>
      </c>
      <c r="T115" s="84">
        <v>182100</v>
      </c>
      <c r="U115" s="84">
        <v>183189</v>
      </c>
      <c r="V115" s="84">
        <v>166351</v>
      </c>
      <c r="W115" s="84">
        <v>167813</v>
      </c>
      <c r="DA115" s="171" t="s">
        <v>529</v>
      </c>
    </row>
    <row r="116" spans="1:105" ht="11.45" customHeight="1" x14ac:dyDescent="0.25">
      <c r="A116" s="111" t="s">
        <v>111</v>
      </c>
      <c r="B116" s="84">
        <v>33597</v>
      </c>
      <c r="C116" s="84">
        <v>25683</v>
      </c>
      <c r="D116" s="84">
        <v>26296</v>
      </c>
      <c r="E116" s="84">
        <v>31162</v>
      </c>
      <c r="F116" s="84">
        <v>31236</v>
      </c>
      <c r="G116" s="84">
        <v>32055</v>
      </c>
      <c r="H116" s="84">
        <v>42235</v>
      </c>
      <c r="I116" s="84">
        <v>50481</v>
      </c>
      <c r="J116" s="84">
        <v>92424</v>
      </c>
      <c r="K116" s="84">
        <v>64042</v>
      </c>
      <c r="L116" s="84">
        <v>79858</v>
      </c>
      <c r="M116" s="84">
        <v>82904</v>
      </c>
      <c r="N116" s="84">
        <v>69578</v>
      </c>
      <c r="O116" s="84">
        <v>65004</v>
      </c>
      <c r="P116" s="84">
        <v>66277</v>
      </c>
      <c r="Q116" s="84">
        <v>65254</v>
      </c>
      <c r="R116" s="84">
        <v>72318</v>
      </c>
      <c r="S116" s="84">
        <v>68067</v>
      </c>
      <c r="T116" s="84">
        <v>64416</v>
      </c>
      <c r="U116" s="84">
        <v>56418</v>
      </c>
      <c r="V116" s="84">
        <v>47721</v>
      </c>
      <c r="W116" s="84">
        <v>45836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0</v>
      </c>
      <c r="M117" s="84">
        <v>0</v>
      </c>
      <c r="N117" s="84">
        <v>0</v>
      </c>
      <c r="O117" s="84">
        <v>0</v>
      </c>
      <c r="P117" s="84">
        <v>0</v>
      </c>
      <c r="Q117" s="84">
        <v>0</v>
      </c>
      <c r="R117" s="84">
        <v>0</v>
      </c>
      <c r="S117" s="84">
        <v>0</v>
      </c>
      <c r="T117" s="84">
        <v>0</v>
      </c>
      <c r="U117" s="84">
        <v>0</v>
      </c>
      <c r="V117" s="84">
        <v>0</v>
      </c>
      <c r="W117" s="84">
        <v>0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3</v>
      </c>
      <c r="I118" s="84">
        <v>103</v>
      </c>
      <c r="J118" s="84">
        <v>104</v>
      </c>
      <c r="K118" s="84">
        <v>156</v>
      </c>
      <c r="L118" s="84">
        <v>119</v>
      </c>
      <c r="M118" s="84">
        <v>138</v>
      </c>
      <c r="N118" s="84">
        <v>212</v>
      </c>
      <c r="O118" s="84">
        <v>191</v>
      </c>
      <c r="P118" s="84">
        <v>233</v>
      </c>
      <c r="Q118" s="84">
        <v>257</v>
      </c>
      <c r="R118" s="84">
        <v>325</v>
      </c>
      <c r="S118" s="84">
        <v>1340</v>
      </c>
      <c r="T118" s="84">
        <v>2456</v>
      </c>
      <c r="U118" s="84">
        <v>3793</v>
      </c>
      <c r="V118" s="84">
        <v>2998</v>
      </c>
      <c r="W118" s="84">
        <v>1147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128</v>
      </c>
      <c r="O119" s="84">
        <v>160</v>
      </c>
      <c r="P119" s="84">
        <v>278</v>
      </c>
      <c r="Q119" s="84">
        <v>452</v>
      </c>
      <c r="R119" s="84">
        <v>1422</v>
      </c>
      <c r="S119" s="84">
        <v>3285</v>
      </c>
      <c r="T119" s="84">
        <v>7383</v>
      </c>
      <c r="U119" s="84">
        <v>11624</v>
      </c>
      <c r="V119" s="84">
        <v>20951</v>
      </c>
      <c r="W119" s="84">
        <v>31438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3</v>
      </c>
      <c r="J120" s="84">
        <v>5</v>
      </c>
      <c r="K120" s="84">
        <v>6</v>
      </c>
      <c r="L120" s="84">
        <v>15</v>
      </c>
      <c r="M120" s="84">
        <v>33</v>
      </c>
      <c r="N120" s="84">
        <v>53</v>
      </c>
      <c r="O120" s="84">
        <v>60</v>
      </c>
      <c r="P120" s="84">
        <v>191</v>
      </c>
      <c r="Q120" s="84">
        <v>255</v>
      </c>
      <c r="R120" s="84">
        <v>231</v>
      </c>
      <c r="S120" s="84">
        <v>607</v>
      </c>
      <c r="T120" s="84">
        <v>958</v>
      </c>
      <c r="U120" s="84">
        <v>2262</v>
      </c>
      <c r="V120" s="84">
        <v>5044</v>
      </c>
      <c r="W120" s="84">
        <v>13239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846</v>
      </c>
      <c r="C121" s="110">
        <f t="shared" si="179"/>
        <v>584</v>
      </c>
      <c r="D121" s="110">
        <f t="shared" si="179"/>
        <v>935</v>
      </c>
      <c r="E121" s="110">
        <f t="shared" si="179"/>
        <v>1076</v>
      </c>
      <c r="F121" s="110">
        <f t="shared" si="179"/>
        <v>1100</v>
      </c>
      <c r="G121" s="110">
        <f t="shared" si="179"/>
        <v>961</v>
      </c>
      <c r="H121" s="110">
        <f t="shared" si="179"/>
        <v>1033</v>
      </c>
      <c r="I121" s="110">
        <f t="shared" si="179"/>
        <v>1117</v>
      </c>
      <c r="J121" s="110">
        <f t="shared" si="179"/>
        <v>1496</v>
      </c>
      <c r="K121" s="110">
        <f t="shared" si="179"/>
        <v>1500</v>
      </c>
      <c r="L121" s="110">
        <f t="shared" ref="L121" si="180">SUM(L122:L126)</f>
        <v>1384</v>
      </c>
      <c r="M121" s="110">
        <f t="shared" ref="M121:V121" si="181">SUM(M122:M126)</f>
        <v>1326</v>
      </c>
      <c r="N121" s="110">
        <f t="shared" si="181"/>
        <v>1453</v>
      </c>
      <c r="O121" s="110">
        <f t="shared" si="181"/>
        <v>1359</v>
      </c>
      <c r="P121" s="110">
        <f t="shared" si="181"/>
        <v>1478</v>
      </c>
      <c r="Q121" s="110">
        <f t="shared" si="181"/>
        <v>1385</v>
      </c>
      <c r="R121" s="110">
        <f t="shared" si="181"/>
        <v>1299</v>
      </c>
      <c r="S121" s="110">
        <f t="shared" si="181"/>
        <v>1272</v>
      </c>
      <c r="T121" s="110">
        <f t="shared" si="181"/>
        <v>1158</v>
      </c>
      <c r="U121" s="110">
        <f t="shared" si="181"/>
        <v>1461</v>
      </c>
      <c r="V121" s="110">
        <f t="shared" si="181"/>
        <v>1040</v>
      </c>
      <c r="W121" s="110">
        <f t="shared" ref="W121" si="182">SUM(W122:W126)</f>
        <v>1194</v>
      </c>
      <c r="DA121" s="176" t="s">
        <v>535</v>
      </c>
    </row>
    <row r="122" spans="1:105" ht="11.45" customHeight="1" x14ac:dyDescent="0.25">
      <c r="A122" s="111" t="s">
        <v>110</v>
      </c>
      <c r="B122" s="102">
        <v>1</v>
      </c>
      <c r="C122" s="102">
        <v>3</v>
      </c>
      <c r="D122" s="102">
        <v>0</v>
      </c>
      <c r="E122" s="102">
        <v>0</v>
      </c>
      <c r="F122" s="102">
        <v>1</v>
      </c>
      <c r="G122" s="102">
        <v>3</v>
      </c>
      <c r="H122" s="102">
        <v>0</v>
      </c>
      <c r="I122" s="102">
        <v>1</v>
      </c>
      <c r="J122" s="102">
        <v>0</v>
      </c>
      <c r="K122" s="102">
        <v>2</v>
      </c>
      <c r="L122" s="102">
        <v>1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1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845</v>
      </c>
      <c r="C123" s="102">
        <v>575</v>
      </c>
      <c r="D123" s="102">
        <v>874</v>
      </c>
      <c r="E123" s="102">
        <v>1066</v>
      </c>
      <c r="F123" s="102">
        <v>1093</v>
      </c>
      <c r="G123" s="102">
        <v>950</v>
      </c>
      <c r="H123" s="102">
        <v>974</v>
      </c>
      <c r="I123" s="102">
        <v>1103</v>
      </c>
      <c r="J123" s="102">
        <v>1492</v>
      </c>
      <c r="K123" s="102">
        <v>1486</v>
      </c>
      <c r="L123" s="102">
        <v>1383</v>
      </c>
      <c r="M123" s="102">
        <v>1326</v>
      </c>
      <c r="N123" s="102">
        <v>1447</v>
      </c>
      <c r="O123" s="102">
        <v>1359</v>
      </c>
      <c r="P123" s="102">
        <v>1478</v>
      </c>
      <c r="Q123" s="102">
        <v>1385</v>
      </c>
      <c r="R123" s="102">
        <v>1284</v>
      </c>
      <c r="S123" s="102">
        <v>1256</v>
      </c>
      <c r="T123" s="102">
        <v>1152</v>
      </c>
      <c r="U123" s="102">
        <v>1398</v>
      </c>
      <c r="V123" s="102">
        <v>1002</v>
      </c>
      <c r="W123" s="102">
        <v>998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6</v>
      </c>
      <c r="D125" s="102">
        <v>61</v>
      </c>
      <c r="E125" s="102">
        <v>10</v>
      </c>
      <c r="F125" s="102">
        <v>6</v>
      </c>
      <c r="G125" s="102">
        <v>8</v>
      </c>
      <c r="H125" s="102">
        <v>59</v>
      </c>
      <c r="I125" s="102">
        <v>13</v>
      </c>
      <c r="J125" s="102">
        <v>4</v>
      </c>
      <c r="K125" s="102">
        <v>12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6</v>
      </c>
      <c r="T125" s="102">
        <v>4</v>
      </c>
      <c r="U125" s="102">
        <v>15</v>
      </c>
      <c r="V125" s="102">
        <v>10</v>
      </c>
      <c r="W125" s="102">
        <v>5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6</v>
      </c>
      <c r="O126" s="102">
        <v>0</v>
      </c>
      <c r="P126" s="102">
        <v>0</v>
      </c>
      <c r="Q126" s="102">
        <v>0</v>
      </c>
      <c r="R126" s="102">
        <v>15</v>
      </c>
      <c r="S126" s="102">
        <v>9</v>
      </c>
      <c r="T126" s="102">
        <v>2</v>
      </c>
      <c r="U126" s="102">
        <v>48</v>
      </c>
      <c r="V126" s="102">
        <v>28</v>
      </c>
      <c r="W126" s="102">
        <v>191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14810</v>
      </c>
      <c r="C127" s="28">
        <f t="shared" si="183"/>
        <v>20021</v>
      </c>
      <c r="D127" s="28">
        <f t="shared" si="183"/>
        <v>23467</v>
      </c>
      <c r="E127" s="28">
        <f t="shared" si="183"/>
        <v>26075</v>
      </c>
      <c r="F127" s="28">
        <f t="shared" si="183"/>
        <v>44384</v>
      </c>
      <c r="G127" s="28">
        <f t="shared" si="183"/>
        <v>33815</v>
      </c>
      <c r="H127" s="28">
        <f t="shared" si="183"/>
        <v>36304</v>
      </c>
      <c r="I127" s="28">
        <f t="shared" si="183"/>
        <v>43888</v>
      </c>
      <c r="J127" s="28">
        <f t="shared" si="183"/>
        <v>55635</v>
      </c>
      <c r="K127" s="28">
        <f t="shared" si="183"/>
        <v>48698</v>
      </c>
      <c r="L127" s="28">
        <f t="shared" ref="L127" si="184">L128+L134</f>
        <v>49941</v>
      </c>
      <c r="M127" s="28">
        <f t="shared" ref="M127:V127" si="185">M128+M134</f>
        <v>53969</v>
      </c>
      <c r="N127" s="28">
        <f t="shared" si="185"/>
        <v>50921</v>
      </c>
      <c r="O127" s="28">
        <f t="shared" si="185"/>
        <v>49259</v>
      </c>
      <c r="P127" s="28">
        <f t="shared" si="185"/>
        <v>49403</v>
      </c>
      <c r="Q127" s="28">
        <f t="shared" si="185"/>
        <v>51167</v>
      </c>
      <c r="R127" s="28">
        <f t="shared" si="185"/>
        <v>55293</v>
      </c>
      <c r="S127" s="28">
        <f t="shared" si="185"/>
        <v>58326</v>
      </c>
      <c r="T127" s="28">
        <f t="shared" si="185"/>
        <v>59828</v>
      </c>
      <c r="U127" s="28">
        <f t="shared" si="185"/>
        <v>61425</v>
      </c>
      <c r="V127" s="28">
        <f t="shared" si="185"/>
        <v>58399</v>
      </c>
      <c r="W127" s="28">
        <f t="shared" ref="W127" si="186">W128+W134</f>
        <v>57568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14750</v>
      </c>
      <c r="C128" s="137">
        <f t="shared" si="187"/>
        <v>14591</v>
      </c>
      <c r="D128" s="137">
        <f t="shared" si="187"/>
        <v>16951</v>
      </c>
      <c r="E128" s="137">
        <f t="shared" si="187"/>
        <v>18461</v>
      </c>
      <c r="F128" s="137">
        <f t="shared" si="187"/>
        <v>35219</v>
      </c>
      <c r="G128" s="137">
        <f t="shared" si="187"/>
        <v>25150</v>
      </c>
      <c r="H128" s="137">
        <f t="shared" si="187"/>
        <v>27594</v>
      </c>
      <c r="I128" s="137">
        <f t="shared" si="187"/>
        <v>32614</v>
      </c>
      <c r="J128" s="137">
        <f t="shared" si="187"/>
        <v>40888</v>
      </c>
      <c r="K128" s="137">
        <f t="shared" si="187"/>
        <v>37064</v>
      </c>
      <c r="L128" s="137">
        <f t="shared" ref="L128" si="188">SUM(L129:L133)</f>
        <v>37285</v>
      </c>
      <c r="M128" s="137">
        <f t="shared" ref="M128:V128" si="189">SUM(M129:M133)</f>
        <v>40603</v>
      </c>
      <c r="N128" s="137">
        <f t="shared" si="189"/>
        <v>37846</v>
      </c>
      <c r="O128" s="137">
        <f t="shared" si="189"/>
        <v>36918</v>
      </c>
      <c r="P128" s="137">
        <f t="shared" si="189"/>
        <v>37258</v>
      </c>
      <c r="Q128" s="137">
        <f t="shared" si="189"/>
        <v>38809</v>
      </c>
      <c r="R128" s="137">
        <f t="shared" si="189"/>
        <v>41780</v>
      </c>
      <c r="S128" s="137">
        <f t="shared" si="189"/>
        <v>43883</v>
      </c>
      <c r="T128" s="137">
        <f t="shared" si="189"/>
        <v>44945</v>
      </c>
      <c r="U128" s="137">
        <f t="shared" si="189"/>
        <v>46060</v>
      </c>
      <c r="V128" s="137">
        <f t="shared" si="189"/>
        <v>45163</v>
      </c>
      <c r="W128" s="137">
        <f t="shared" ref="W128" si="190">SUM(W129:W133)</f>
        <v>44218</v>
      </c>
      <c r="DA128" s="174" t="s">
        <v>542</v>
      </c>
    </row>
    <row r="129" spans="1:105" ht="11.45" customHeight="1" x14ac:dyDescent="0.25">
      <c r="A129" s="111" t="s">
        <v>110</v>
      </c>
      <c r="B129" s="84">
        <v>144</v>
      </c>
      <c r="C129" s="84">
        <v>528</v>
      </c>
      <c r="D129" s="84">
        <v>612</v>
      </c>
      <c r="E129" s="84">
        <v>293</v>
      </c>
      <c r="F129" s="84">
        <v>818</v>
      </c>
      <c r="G129" s="84">
        <v>1482</v>
      </c>
      <c r="H129" s="84">
        <v>1578</v>
      </c>
      <c r="I129" s="84">
        <v>1884</v>
      </c>
      <c r="J129" s="84">
        <v>3063</v>
      </c>
      <c r="K129" s="84">
        <v>3002</v>
      </c>
      <c r="L129" s="84">
        <v>2906</v>
      </c>
      <c r="M129" s="84">
        <v>2804</v>
      </c>
      <c r="N129" s="84">
        <v>2598</v>
      </c>
      <c r="O129" s="84">
        <v>1782</v>
      </c>
      <c r="P129" s="84">
        <v>2063</v>
      </c>
      <c r="Q129" s="84">
        <v>2008</v>
      </c>
      <c r="R129" s="84">
        <v>1995</v>
      </c>
      <c r="S129" s="84">
        <v>1894</v>
      </c>
      <c r="T129" s="84">
        <v>1874</v>
      </c>
      <c r="U129" s="84">
        <v>1945</v>
      </c>
      <c r="V129" s="84">
        <v>1994</v>
      </c>
      <c r="W129" s="84">
        <v>2003</v>
      </c>
      <c r="DA129" s="171" t="s">
        <v>543</v>
      </c>
    </row>
    <row r="130" spans="1:105" ht="11.45" customHeight="1" x14ac:dyDescent="0.25">
      <c r="A130" s="111" t="s">
        <v>111</v>
      </c>
      <c r="B130" s="84">
        <v>14600</v>
      </c>
      <c r="C130" s="84">
        <v>14058</v>
      </c>
      <c r="D130" s="84">
        <v>16337</v>
      </c>
      <c r="E130" s="84">
        <v>18167</v>
      </c>
      <c r="F130" s="84">
        <v>34401</v>
      </c>
      <c r="G130" s="84">
        <v>23666</v>
      </c>
      <c r="H130" s="84">
        <v>26014</v>
      </c>
      <c r="I130" s="84">
        <v>30723</v>
      </c>
      <c r="J130" s="84">
        <v>37809</v>
      </c>
      <c r="K130" s="84">
        <v>34042</v>
      </c>
      <c r="L130" s="84">
        <v>34357</v>
      </c>
      <c r="M130" s="84">
        <v>37773</v>
      </c>
      <c r="N130" s="84">
        <v>35213</v>
      </c>
      <c r="O130" s="84">
        <v>35086</v>
      </c>
      <c r="P130" s="84">
        <v>35146</v>
      </c>
      <c r="Q130" s="84">
        <v>36727</v>
      </c>
      <c r="R130" s="84">
        <v>39678</v>
      </c>
      <c r="S130" s="84">
        <v>41817</v>
      </c>
      <c r="T130" s="84">
        <v>42853</v>
      </c>
      <c r="U130" s="84">
        <v>43849</v>
      </c>
      <c r="V130" s="84">
        <v>42858</v>
      </c>
      <c r="W130" s="84">
        <v>41795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0</v>
      </c>
      <c r="T131" s="84">
        <v>0</v>
      </c>
      <c r="U131" s="84">
        <v>0</v>
      </c>
      <c r="V131" s="84">
        <v>0</v>
      </c>
      <c r="W131" s="84">
        <v>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3</v>
      </c>
      <c r="D132" s="84">
        <v>0</v>
      </c>
      <c r="E132" s="84">
        <v>0</v>
      </c>
      <c r="F132" s="84">
        <v>0</v>
      </c>
      <c r="G132" s="84">
        <v>1</v>
      </c>
      <c r="H132" s="84">
        <v>0</v>
      </c>
      <c r="I132" s="84">
        <v>7</v>
      </c>
      <c r="J132" s="84">
        <v>12</v>
      </c>
      <c r="K132" s="84">
        <v>17</v>
      </c>
      <c r="L132" s="84">
        <v>15</v>
      </c>
      <c r="M132" s="84">
        <v>25</v>
      </c>
      <c r="N132" s="84">
        <v>23</v>
      </c>
      <c r="O132" s="84">
        <v>47</v>
      </c>
      <c r="P132" s="84">
        <v>29</v>
      </c>
      <c r="Q132" s="84">
        <v>31</v>
      </c>
      <c r="R132" s="84">
        <v>45</v>
      </c>
      <c r="S132" s="84">
        <v>128</v>
      </c>
      <c r="T132" s="84">
        <v>172</v>
      </c>
      <c r="U132" s="84">
        <v>205</v>
      </c>
      <c r="V132" s="84">
        <v>187</v>
      </c>
      <c r="W132" s="84">
        <v>65</v>
      </c>
      <c r="DA132" s="171" t="s">
        <v>546</v>
      </c>
    </row>
    <row r="133" spans="1:105" ht="11.45" customHeight="1" x14ac:dyDescent="0.25">
      <c r="A133" s="111" t="s">
        <v>115</v>
      </c>
      <c r="B133" s="84">
        <v>6</v>
      </c>
      <c r="C133" s="84">
        <v>2</v>
      </c>
      <c r="D133" s="84">
        <v>2</v>
      </c>
      <c r="E133" s="84">
        <v>1</v>
      </c>
      <c r="F133" s="84">
        <v>0</v>
      </c>
      <c r="G133" s="84">
        <v>1</v>
      </c>
      <c r="H133" s="84">
        <v>2</v>
      </c>
      <c r="I133" s="84">
        <v>0</v>
      </c>
      <c r="J133" s="84">
        <v>4</v>
      </c>
      <c r="K133" s="84">
        <v>3</v>
      </c>
      <c r="L133" s="84">
        <v>7</v>
      </c>
      <c r="M133" s="84">
        <v>1</v>
      </c>
      <c r="N133" s="84">
        <v>12</v>
      </c>
      <c r="O133" s="84">
        <v>3</v>
      </c>
      <c r="P133" s="84">
        <v>20</v>
      </c>
      <c r="Q133" s="84">
        <v>43</v>
      </c>
      <c r="R133" s="84">
        <v>62</v>
      </c>
      <c r="S133" s="84">
        <v>44</v>
      </c>
      <c r="T133" s="84">
        <v>46</v>
      </c>
      <c r="U133" s="84">
        <v>61</v>
      </c>
      <c r="V133" s="84">
        <v>124</v>
      </c>
      <c r="W133" s="84">
        <v>355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60</v>
      </c>
      <c r="C134" s="110">
        <f t="shared" si="191"/>
        <v>5430</v>
      </c>
      <c r="D134" s="110">
        <f t="shared" si="191"/>
        <v>6516</v>
      </c>
      <c r="E134" s="110">
        <f t="shared" si="191"/>
        <v>7614</v>
      </c>
      <c r="F134" s="110">
        <f t="shared" si="191"/>
        <v>9165</v>
      </c>
      <c r="G134" s="110">
        <f t="shared" si="191"/>
        <v>8665</v>
      </c>
      <c r="H134" s="110">
        <f t="shared" si="191"/>
        <v>8710</v>
      </c>
      <c r="I134" s="110">
        <f t="shared" si="191"/>
        <v>11274</v>
      </c>
      <c r="J134" s="110">
        <f t="shared" si="191"/>
        <v>14747</v>
      </c>
      <c r="K134" s="110">
        <f t="shared" si="191"/>
        <v>11634</v>
      </c>
      <c r="L134" s="110">
        <f t="shared" ref="L134" si="192">SUM(L135:L136)</f>
        <v>12656</v>
      </c>
      <c r="M134" s="110">
        <f t="shared" ref="M134:V134" si="193">SUM(M135:M136)</f>
        <v>13366</v>
      </c>
      <c r="N134" s="110">
        <f t="shared" si="193"/>
        <v>13075</v>
      </c>
      <c r="O134" s="110">
        <f t="shared" si="193"/>
        <v>12341</v>
      </c>
      <c r="P134" s="110">
        <f t="shared" si="193"/>
        <v>12145</v>
      </c>
      <c r="Q134" s="110">
        <f t="shared" si="193"/>
        <v>12358</v>
      </c>
      <c r="R134" s="110">
        <f t="shared" si="193"/>
        <v>13513</v>
      </c>
      <c r="S134" s="110">
        <f t="shared" si="193"/>
        <v>14443</v>
      </c>
      <c r="T134" s="110">
        <f t="shared" si="193"/>
        <v>14883</v>
      </c>
      <c r="U134" s="110">
        <f t="shared" si="193"/>
        <v>15365</v>
      </c>
      <c r="V134" s="110">
        <f t="shared" si="193"/>
        <v>13236</v>
      </c>
      <c r="W134" s="110">
        <f t="shared" ref="W134" si="194">SUM(W135:W136)</f>
        <v>13350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5348</v>
      </c>
      <c r="D135" s="102">
        <v>6436</v>
      </c>
      <c r="E135" s="102">
        <v>7547</v>
      </c>
      <c r="F135" s="102">
        <v>8979</v>
      </c>
      <c r="G135" s="102">
        <v>8571</v>
      </c>
      <c r="H135" s="102">
        <v>8585</v>
      </c>
      <c r="I135" s="102">
        <v>11172</v>
      </c>
      <c r="J135" s="102">
        <v>14637</v>
      </c>
      <c r="K135" s="102">
        <v>11615</v>
      </c>
      <c r="L135" s="102">
        <v>12321</v>
      </c>
      <c r="M135" s="102">
        <v>13366</v>
      </c>
      <c r="N135" s="102">
        <v>12854</v>
      </c>
      <c r="O135" s="102">
        <v>12341</v>
      </c>
      <c r="P135" s="102">
        <v>11871</v>
      </c>
      <c r="Q135" s="102">
        <v>12153</v>
      </c>
      <c r="R135" s="102">
        <v>13513</v>
      </c>
      <c r="S135" s="102">
        <v>14375</v>
      </c>
      <c r="T135" s="102">
        <v>14687</v>
      </c>
      <c r="U135" s="102">
        <v>15365</v>
      </c>
      <c r="V135" s="102">
        <v>13137</v>
      </c>
      <c r="W135" s="102">
        <v>13026</v>
      </c>
      <c r="DA135" s="175" t="s">
        <v>549</v>
      </c>
    </row>
    <row r="136" spans="1:105" ht="11.45" customHeight="1" x14ac:dyDescent="0.25">
      <c r="A136" s="138" t="s">
        <v>116</v>
      </c>
      <c r="B136" s="86">
        <v>60</v>
      </c>
      <c r="C136" s="86">
        <v>82</v>
      </c>
      <c r="D136" s="86">
        <v>80</v>
      </c>
      <c r="E136" s="86">
        <v>67</v>
      </c>
      <c r="F136" s="86">
        <v>186</v>
      </c>
      <c r="G136" s="86">
        <v>94</v>
      </c>
      <c r="H136" s="86">
        <v>125</v>
      </c>
      <c r="I136" s="86">
        <v>102</v>
      </c>
      <c r="J136" s="86">
        <v>110</v>
      </c>
      <c r="K136" s="86">
        <v>19</v>
      </c>
      <c r="L136" s="86">
        <v>335</v>
      </c>
      <c r="M136" s="86">
        <v>0</v>
      </c>
      <c r="N136" s="86">
        <v>221</v>
      </c>
      <c r="O136" s="86">
        <v>0</v>
      </c>
      <c r="P136" s="86">
        <v>274</v>
      </c>
      <c r="Q136" s="86">
        <v>205</v>
      </c>
      <c r="R136" s="86">
        <v>0</v>
      </c>
      <c r="S136" s="86">
        <v>68</v>
      </c>
      <c r="T136" s="86">
        <v>196</v>
      </c>
      <c r="U136" s="86">
        <v>0</v>
      </c>
      <c r="V136" s="86">
        <v>99</v>
      </c>
      <c r="W136" s="86">
        <v>324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1.8904344439689136</v>
      </c>
      <c r="C141" s="32">
        <f t="shared" si="195"/>
        <v>1.881088309763387</v>
      </c>
      <c r="D141" s="32">
        <f t="shared" si="195"/>
        <v>1.8647843503241277</v>
      </c>
      <c r="E141" s="32">
        <f t="shared" si="195"/>
        <v>1.8533311138032211</v>
      </c>
      <c r="F141" s="32">
        <f t="shared" si="195"/>
        <v>1.8394290620444742</v>
      </c>
      <c r="G141" s="32">
        <f t="shared" si="195"/>
        <v>1.8296987322121818</v>
      </c>
      <c r="H141" s="32">
        <f t="shared" si="195"/>
        <v>1.8249782528652885</v>
      </c>
      <c r="I141" s="32">
        <f t="shared" si="195"/>
        <v>1.8143032361764626</v>
      </c>
      <c r="J141" s="32">
        <f t="shared" si="195"/>
        <v>1.8160312892891235</v>
      </c>
      <c r="K141" s="32">
        <f t="shared" si="195"/>
        <v>1.8079956062280487</v>
      </c>
      <c r="L141" s="32">
        <f t="shared" ref="L141" si="196">IF(L4=0,0,L4/L31)</f>
        <v>1.7991086119977244</v>
      </c>
      <c r="M141" s="32">
        <f t="shared" ref="M141:V141" si="197">IF(M4=0,0,M4/M31)</f>
        <v>1.7930611546997364</v>
      </c>
      <c r="N141" s="32">
        <f t="shared" si="197"/>
        <v>1.7935853833107032</v>
      </c>
      <c r="O141" s="32">
        <f t="shared" si="197"/>
        <v>1.7937758531198877</v>
      </c>
      <c r="P141" s="32">
        <f t="shared" si="197"/>
        <v>1.790040415051166</v>
      </c>
      <c r="Q141" s="32">
        <f t="shared" si="197"/>
        <v>1.7840835467395979</v>
      </c>
      <c r="R141" s="32">
        <f t="shared" si="197"/>
        <v>1.6605594009707911</v>
      </c>
      <c r="S141" s="32">
        <f t="shared" si="197"/>
        <v>1.7954004192342146</v>
      </c>
      <c r="T141" s="32">
        <f t="shared" si="197"/>
        <v>1.7915445993100041</v>
      </c>
      <c r="U141" s="32">
        <f t="shared" si="197"/>
        <v>1.7886807783559229</v>
      </c>
      <c r="V141" s="32">
        <f t="shared" si="197"/>
        <v>1.7687590498743528</v>
      </c>
      <c r="W141" s="32">
        <f t="shared" ref="W141" si="198">IF(W4=0,0,W4/W31)</f>
        <v>1.7560952352196497</v>
      </c>
      <c r="DA141" s="173" t="s">
        <v>551</v>
      </c>
    </row>
    <row r="142" spans="1:105" ht="11.45" customHeight="1" x14ac:dyDescent="0.25">
      <c r="A142" s="136" t="s">
        <v>180</v>
      </c>
      <c r="B142" s="141">
        <v>1.07</v>
      </c>
      <c r="C142" s="141">
        <v>1.0699999999999998</v>
      </c>
      <c r="D142" s="141">
        <v>1.07</v>
      </c>
      <c r="E142" s="141">
        <v>1.0700000000000003</v>
      </c>
      <c r="F142" s="141">
        <v>1.0700000000000003</v>
      </c>
      <c r="G142" s="141">
        <v>1.0699999999999998</v>
      </c>
      <c r="H142" s="141">
        <v>1.07</v>
      </c>
      <c r="I142" s="141">
        <v>1.0699999999999998</v>
      </c>
      <c r="J142" s="141">
        <v>1.0700000000000003</v>
      </c>
      <c r="K142" s="141">
        <v>1.07</v>
      </c>
      <c r="L142" s="141">
        <v>1.0700000000000003</v>
      </c>
      <c r="M142" s="141">
        <v>1.07</v>
      </c>
      <c r="N142" s="141">
        <v>1.0653587762288539</v>
      </c>
      <c r="O142" s="141">
        <v>1.0653398758596158</v>
      </c>
      <c r="P142" s="141">
        <v>1.0672645173042454</v>
      </c>
      <c r="Q142" s="141">
        <v>1.0690861104316556</v>
      </c>
      <c r="R142" s="141">
        <v>1.0701956921544595</v>
      </c>
      <c r="S142" s="141">
        <v>1.0687997215070204</v>
      </c>
      <c r="T142" s="141">
        <v>1.0675957079265366</v>
      </c>
      <c r="U142" s="141">
        <v>1.0685227844413026</v>
      </c>
      <c r="V142" s="141">
        <v>1.0672435979611323</v>
      </c>
      <c r="W142" s="141">
        <v>1.0672515116530634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1.697394484229773</v>
      </c>
      <c r="C143" s="130">
        <f t="shared" si="199"/>
        <v>1.6923990498812351</v>
      </c>
      <c r="D143" s="130">
        <f t="shared" si="199"/>
        <v>1.681326604181687</v>
      </c>
      <c r="E143" s="130">
        <f t="shared" si="199"/>
        <v>1.675523689020104</v>
      </c>
      <c r="F143" s="130">
        <f t="shared" si="199"/>
        <v>1.6682179030933479</v>
      </c>
      <c r="G143" s="130">
        <f t="shared" si="199"/>
        <v>1.6633530360021493</v>
      </c>
      <c r="H143" s="130">
        <f t="shared" si="199"/>
        <v>1.6605955862802446</v>
      </c>
      <c r="I143" s="130">
        <f t="shared" si="199"/>
        <v>1.6541753112033195</v>
      </c>
      <c r="J143" s="130">
        <f t="shared" si="199"/>
        <v>1.6560010447956119</v>
      </c>
      <c r="K143" s="130">
        <f t="shared" si="199"/>
        <v>1.6516046213093707</v>
      </c>
      <c r="L143" s="130">
        <f t="shared" ref="L143" si="200">IF(L6=0,0,L6/L33)</f>
        <v>1.6497643011848642</v>
      </c>
      <c r="M143" s="130">
        <f t="shared" ref="M143:V143" si="201">IF(M6=0,0,M6/M33)</f>
        <v>1.6463046757164403</v>
      </c>
      <c r="N143" s="130">
        <f t="shared" si="201"/>
        <v>1.6474003028773347</v>
      </c>
      <c r="O143" s="130">
        <f t="shared" si="201"/>
        <v>1.6480637813211843</v>
      </c>
      <c r="P143" s="130">
        <f t="shared" si="201"/>
        <v>1.6462311557788947</v>
      </c>
      <c r="Q143" s="130">
        <f t="shared" si="201"/>
        <v>1.6427951926650977</v>
      </c>
      <c r="R143" s="130">
        <f t="shared" si="201"/>
        <v>1.4893460264511365</v>
      </c>
      <c r="S143" s="130">
        <f t="shared" si="201"/>
        <v>1.6400009848820603</v>
      </c>
      <c r="T143" s="130">
        <f t="shared" si="201"/>
        <v>1.6405520899847734</v>
      </c>
      <c r="U143" s="130">
        <f t="shared" si="201"/>
        <v>1.640552089984773</v>
      </c>
      <c r="V143" s="130">
        <f t="shared" si="201"/>
        <v>1.6364487846163807</v>
      </c>
      <c r="W143" s="130">
        <f t="shared" ref="W143" si="202">IF(W6=0,0,W6/W33)</f>
        <v>1.6404013308916454</v>
      </c>
      <c r="DA143" s="176" t="s">
        <v>553</v>
      </c>
    </row>
    <row r="144" spans="1:105" ht="11.45" customHeight="1" x14ac:dyDescent="0.25">
      <c r="A144" s="111" t="s">
        <v>110</v>
      </c>
      <c r="B144" s="96">
        <v>1.6732966192848857</v>
      </c>
      <c r="C144" s="96">
        <v>1.6675177885860748</v>
      </c>
      <c r="D144" s="96">
        <v>1.655801165823259</v>
      </c>
      <c r="E144" s="96">
        <v>1.6489079123629582</v>
      </c>
      <c r="F144" s="96">
        <v>1.6416342008323805</v>
      </c>
      <c r="G144" s="96">
        <v>1.6352392726764435</v>
      </c>
      <c r="H144" s="96">
        <v>1.6305265790472494</v>
      </c>
      <c r="I144" s="96">
        <v>1.6217911589996656</v>
      </c>
      <c r="J144" s="96">
        <v>1.6183827057368143</v>
      </c>
      <c r="K144" s="96">
        <v>1.611325841671992</v>
      </c>
      <c r="L144" s="96">
        <v>1.6060406119515334</v>
      </c>
      <c r="M144" s="96">
        <v>1.5977472689485319</v>
      </c>
      <c r="N144" s="96">
        <v>1.5962849123734217</v>
      </c>
      <c r="O144" s="96">
        <v>1.5965079425397335</v>
      </c>
      <c r="P144" s="96">
        <v>1.5928721481041881</v>
      </c>
      <c r="Q144" s="96">
        <v>1.588003184204563</v>
      </c>
      <c r="R144" s="96">
        <v>1.4387877536218534</v>
      </c>
      <c r="S144" s="96">
        <v>1.5825674959669189</v>
      </c>
      <c r="T144" s="96">
        <v>1.582370023412875</v>
      </c>
      <c r="U144" s="96">
        <v>1.5824376575008718</v>
      </c>
      <c r="V144" s="96">
        <v>1.5793858940694168</v>
      </c>
      <c r="W144" s="96">
        <v>1.5842843391125379</v>
      </c>
      <c r="DA144" s="171" t="s">
        <v>554</v>
      </c>
    </row>
    <row r="145" spans="1:105" ht="11.45" customHeight="1" x14ac:dyDescent="0.25">
      <c r="A145" s="111" t="s">
        <v>111</v>
      </c>
      <c r="B145" s="96">
        <v>1.8174771915059367</v>
      </c>
      <c r="C145" s="96">
        <v>1.811200424513393</v>
      </c>
      <c r="D145" s="96">
        <v>1.7984742321650227</v>
      </c>
      <c r="E145" s="96">
        <v>1.7909870175283733</v>
      </c>
      <c r="F145" s="96">
        <v>1.7830865624314958</v>
      </c>
      <c r="G145" s="96">
        <v>1.7761406115876448</v>
      </c>
      <c r="H145" s="96">
        <v>1.7710218459827292</v>
      </c>
      <c r="I145" s="96">
        <v>1.7615337334079895</v>
      </c>
      <c r="J145" s="96">
        <v>1.7578315887958786</v>
      </c>
      <c r="K145" s="96">
        <v>1.7501666659522208</v>
      </c>
      <c r="L145" s="96">
        <v>1.7444260313521773</v>
      </c>
      <c r="M145" s="96">
        <v>1.7354180876465766</v>
      </c>
      <c r="N145" s="96">
        <v>1.7338297262703088</v>
      </c>
      <c r="O145" s="96">
        <v>1.734071973960061</v>
      </c>
      <c r="P145" s="96">
        <v>1.730122899191457</v>
      </c>
      <c r="Q145" s="96">
        <v>1.7248343981977612</v>
      </c>
      <c r="R145" s="96">
        <v>1.5627617336269624</v>
      </c>
      <c r="S145" s="96">
        <v>1.7189303407352674</v>
      </c>
      <c r="T145" s="96">
        <v>1.718715852844247</v>
      </c>
      <c r="U145" s="96">
        <v>1.7187893146626025</v>
      </c>
      <c r="V145" s="96">
        <v>1.7154745942677738</v>
      </c>
      <c r="W145" s="96">
        <v>1.7207951166647675</v>
      </c>
      <c r="DA145" s="171" t="s">
        <v>555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0</v>
      </c>
      <c r="E146" s="96">
        <v>0</v>
      </c>
      <c r="F146" s="96">
        <v>0</v>
      </c>
      <c r="G146" s="96">
        <v>0</v>
      </c>
      <c r="H146" s="96">
        <v>0</v>
      </c>
      <c r="I146" s="96">
        <v>0</v>
      </c>
      <c r="J146" s="96">
        <v>0</v>
      </c>
      <c r="K146" s="96">
        <v>0</v>
      </c>
      <c r="L146" s="96">
        <v>0</v>
      </c>
      <c r="M146" s="96">
        <v>0</v>
      </c>
      <c r="N146" s="96">
        <v>0</v>
      </c>
      <c r="O146" s="96">
        <v>0</v>
      </c>
      <c r="P146" s="96">
        <v>0</v>
      </c>
      <c r="Q146" s="96">
        <v>0</v>
      </c>
      <c r="R146" s="96">
        <v>0</v>
      </c>
      <c r="S146" s="96">
        <v>0</v>
      </c>
      <c r="T146" s="96">
        <v>0</v>
      </c>
      <c r="U146" s="96">
        <v>0</v>
      </c>
      <c r="V146" s="96">
        <v>0</v>
      </c>
      <c r="W146" s="96">
        <v>0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1.6107777186918375</v>
      </c>
      <c r="I147" s="96">
        <v>1.6045500518672198</v>
      </c>
      <c r="J147" s="96">
        <v>1.6063210134517436</v>
      </c>
      <c r="K147" s="96">
        <v>1.6020564826700896</v>
      </c>
      <c r="L147" s="96">
        <v>1.6002713721493185</v>
      </c>
      <c r="M147" s="96">
        <v>1.5969155354449471</v>
      </c>
      <c r="N147" s="96">
        <v>1.5979782937910143</v>
      </c>
      <c r="O147" s="96">
        <v>1.5986218678815487</v>
      </c>
      <c r="P147" s="96">
        <v>1.596844221105528</v>
      </c>
      <c r="Q147" s="96">
        <v>1.5935113368851443</v>
      </c>
      <c r="R147" s="96">
        <v>1.4446656456576024</v>
      </c>
      <c r="S147" s="96">
        <v>1.5908009553355986</v>
      </c>
      <c r="T147" s="96">
        <v>1.5913355272852303</v>
      </c>
      <c r="U147" s="96">
        <v>1.5913355272852299</v>
      </c>
      <c r="V147" s="96">
        <v>1.5873553210778892</v>
      </c>
      <c r="W147" s="96">
        <v>1.5911892909648959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1.5979782937910145</v>
      </c>
      <c r="O148" s="96">
        <v>1.5986218678815487</v>
      </c>
      <c r="P148" s="96">
        <v>1.5968442211055278</v>
      </c>
      <c r="Q148" s="96">
        <v>1.5935113368851443</v>
      </c>
      <c r="R148" s="96">
        <v>1.4446656456576024</v>
      </c>
      <c r="S148" s="96">
        <v>1.5908009553355986</v>
      </c>
      <c r="T148" s="96">
        <v>1.5913355272852303</v>
      </c>
      <c r="U148" s="96">
        <v>1.5913355272852301</v>
      </c>
      <c r="V148" s="96">
        <v>1.587355321077889</v>
      </c>
      <c r="W148" s="96">
        <v>1.5911892909648959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1.4887577800829876</v>
      </c>
      <c r="J149" s="96">
        <v>1.4904009403160507</v>
      </c>
      <c r="K149" s="96">
        <v>1.4864441591784336</v>
      </c>
      <c r="L149" s="96">
        <v>1.4847878710663778</v>
      </c>
      <c r="M149" s="96">
        <v>1.4816742081447967</v>
      </c>
      <c r="N149" s="96">
        <v>1.4826602725896012</v>
      </c>
      <c r="O149" s="96">
        <v>1.483257403189066</v>
      </c>
      <c r="P149" s="96">
        <v>1.4816080402010052</v>
      </c>
      <c r="Q149" s="96">
        <v>1.4785156733985876</v>
      </c>
      <c r="R149" s="96">
        <v>1.3404114238060227</v>
      </c>
      <c r="S149" s="96">
        <v>1.4760008863938545</v>
      </c>
      <c r="T149" s="96">
        <v>1.4764968809862964</v>
      </c>
      <c r="U149" s="96">
        <v>1.4764968809862962</v>
      </c>
      <c r="V149" s="96">
        <v>1.4728039061547427</v>
      </c>
      <c r="W149" s="96">
        <v>1.4763611978024809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21.650275676466165</v>
      </c>
      <c r="C150" s="130">
        <f t="shared" si="203"/>
        <v>21.952677667073672</v>
      </c>
      <c r="D150" s="130">
        <f t="shared" si="203"/>
        <v>21.516331653112896</v>
      </c>
      <c r="E150" s="130">
        <f t="shared" si="203"/>
        <v>20.769554254112759</v>
      </c>
      <c r="F150" s="130">
        <f t="shared" si="203"/>
        <v>19.97112151003131</v>
      </c>
      <c r="G150" s="130">
        <f t="shared" si="203"/>
        <v>19.507402997109725</v>
      </c>
      <c r="H150" s="130">
        <f t="shared" si="203"/>
        <v>19.112179150971059</v>
      </c>
      <c r="I150" s="130">
        <f t="shared" si="203"/>
        <v>18.589704081203649</v>
      </c>
      <c r="J150" s="130">
        <f t="shared" si="203"/>
        <v>17.513116835310669</v>
      </c>
      <c r="K150" s="130">
        <f t="shared" si="203"/>
        <v>16.550182243656561</v>
      </c>
      <c r="L150" s="130">
        <f t="shared" ref="L150" si="204">IF(L13=0,0,L13/L40)</f>
        <v>15.823990310025467</v>
      </c>
      <c r="M150" s="130">
        <f t="shared" ref="M150:V150" si="205">IF(M13=0,0,M13/M40)</f>
        <v>15.227703408612864</v>
      </c>
      <c r="N150" s="130">
        <f t="shared" si="205"/>
        <v>14.547039485490997</v>
      </c>
      <c r="O150" s="130">
        <f t="shared" si="205"/>
        <v>14.021591304692468</v>
      </c>
      <c r="P150" s="130">
        <f t="shared" si="205"/>
        <v>13.441429064770062</v>
      </c>
      <c r="Q150" s="130">
        <f t="shared" si="205"/>
        <v>13</v>
      </c>
      <c r="R150" s="130">
        <f t="shared" si="205"/>
        <v>13.422764227642279</v>
      </c>
      <c r="S150" s="130">
        <f t="shared" si="205"/>
        <v>13.06984126984127</v>
      </c>
      <c r="T150" s="130">
        <f t="shared" si="205"/>
        <v>13.029315960912049</v>
      </c>
      <c r="U150" s="130">
        <f t="shared" si="205"/>
        <v>13.144758735440933</v>
      </c>
      <c r="V150" s="130">
        <f t="shared" si="205"/>
        <v>13.0019120458891</v>
      </c>
      <c r="W150" s="130">
        <f t="shared" ref="W150" si="206">IF(W13=0,0,W13/W40)</f>
        <v>13.015184381778743</v>
      </c>
      <c r="DA150" s="176" t="s">
        <v>560</v>
      </c>
    </row>
    <row r="151" spans="1:105" ht="11.45" customHeight="1" x14ac:dyDescent="0.25">
      <c r="A151" s="111" t="s">
        <v>110</v>
      </c>
      <c r="B151" s="97">
        <v>8.3270291063331392</v>
      </c>
      <c r="C151" s="97">
        <v>8.4433375642591031</v>
      </c>
      <c r="D151" s="97">
        <v>8.2755121742741906</v>
      </c>
      <c r="E151" s="97">
        <v>7.9882900977356766</v>
      </c>
      <c r="F151" s="97">
        <v>7.6812005807812751</v>
      </c>
      <c r="G151" s="97">
        <v>7.5028473065806631</v>
      </c>
      <c r="H151" s="97">
        <v>7.3508381349888694</v>
      </c>
      <c r="I151" s="97">
        <v>7.1498861850783273</v>
      </c>
      <c r="J151" s="97">
        <v>6.7358141674271783</v>
      </c>
      <c r="K151" s="97">
        <v>6.6365454709098675</v>
      </c>
      <c r="L151" s="97">
        <v>6.6086150119240568</v>
      </c>
      <c r="M151" s="97">
        <v>6.5856809003312637</v>
      </c>
      <c r="N151" s="97">
        <v>6.5595015186727306</v>
      </c>
      <c r="O151" s="97">
        <v>6.5392919732574022</v>
      </c>
      <c r="P151" s="97">
        <v>6.5169780409526945</v>
      </c>
      <c r="Q151" s="97">
        <v>6.5</v>
      </c>
      <c r="R151" s="97">
        <v>6.5162601626016263</v>
      </c>
      <c r="S151" s="97">
        <v>6.5026862026862027</v>
      </c>
      <c r="T151" s="97">
        <v>6.5011275369581556</v>
      </c>
      <c r="U151" s="97">
        <v>6.5055676436708048</v>
      </c>
      <c r="V151" s="97">
        <v>6.5000735402265031</v>
      </c>
      <c r="W151" s="97">
        <v>6.5005840146837981</v>
      </c>
      <c r="DA151" s="175" t="s">
        <v>561</v>
      </c>
    </row>
    <row r="152" spans="1:105" ht="11.45" customHeight="1" x14ac:dyDescent="0.25">
      <c r="A152" s="111" t="s">
        <v>111</v>
      </c>
      <c r="B152" s="97">
        <v>21.667942818146123</v>
      </c>
      <c r="C152" s="97">
        <v>21.972857947162385</v>
      </c>
      <c r="D152" s="97">
        <v>21.535066441854987</v>
      </c>
      <c r="E152" s="97">
        <v>20.78707579489231</v>
      </c>
      <c r="F152" s="97">
        <v>19.988020963431516</v>
      </c>
      <c r="G152" s="97">
        <v>19.525290485287943</v>
      </c>
      <c r="H152" s="97">
        <v>19.128303603977198</v>
      </c>
      <c r="I152" s="97">
        <v>18.605448463656405</v>
      </c>
      <c r="J152" s="97">
        <v>17.526650816380858</v>
      </c>
      <c r="K152" s="97">
        <v>16.561945108748063</v>
      </c>
      <c r="L152" s="97">
        <v>15.834780550412193</v>
      </c>
      <c r="M152" s="97">
        <v>15.23713458035245</v>
      </c>
      <c r="N152" s="97">
        <v>14.555365291745565</v>
      </c>
      <c r="O152" s="97">
        <v>14.029107353798665</v>
      </c>
      <c r="P152" s="97">
        <v>13.44809575782981</v>
      </c>
      <c r="Q152" s="97">
        <v>13.006051373575779</v>
      </c>
      <c r="R152" s="97">
        <v>13.428826555345013</v>
      </c>
      <c r="S152" s="97">
        <v>13.07548381174437</v>
      </c>
      <c r="T152" s="97">
        <v>13.034679892408043</v>
      </c>
      <c r="U152" s="97">
        <v>13.149917890775248</v>
      </c>
      <c r="V152" s="97">
        <v>13.006637622596667</v>
      </c>
      <c r="W152" s="97">
        <v>13.019735233044935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21.667942818146123</v>
      </c>
      <c r="C154" s="97">
        <v>21.972857947162382</v>
      </c>
      <c r="D154" s="97">
        <v>21.535066441854987</v>
      </c>
      <c r="E154" s="97">
        <v>20.78707579489231</v>
      </c>
      <c r="F154" s="97">
        <v>19.988020963431516</v>
      </c>
      <c r="G154" s="97">
        <v>19.525290485287943</v>
      </c>
      <c r="H154" s="97">
        <v>19.128303603977194</v>
      </c>
      <c r="I154" s="97">
        <v>18.605448463656405</v>
      </c>
      <c r="J154" s="97">
        <v>17.526650816380855</v>
      </c>
      <c r="K154" s="97">
        <v>16.561945108748059</v>
      </c>
      <c r="L154" s="97">
        <v>15.834780550412191</v>
      </c>
      <c r="M154" s="97">
        <v>15.23713458035245</v>
      </c>
      <c r="N154" s="97">
        <v>14.555365291745568</v>
      </c>
      <c r="O154" s="97">
        <v>14.029107353798661</v>
      </c>
      <c r="P154" s="97">
        <v>13.44809575782981</v>
      </c>
      <c r="Q154" s="97">
        <v>13.006051373575779</v>
      </c>
      <c r="R154" s="97">
        <v>13.428826555345012</v>
      </c>
      <c r="S154" s="97">
        <v>13.07548381174437</v>
      </c>
      <c r="T154" s="97">
        <v>13.034679892408045</v>
      </c>
      <c r="U154" s="97">
        <v>13.149917890775248</v>
      </c>
      <c r="V154" s="97">
        <v>13.006637622596669</v>
      </c>
      <c r="W154" s="97">
        <v>13.019735233044935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14.555365291745568</v>
      </c>
      <c r="O155" s="97">
        <v>14.029107353798661</v>
      </c>
      <c r="P155" s="97">
        <v>13.44809575782981</v>
      </c>
      <c r="Q155" s="97">
        <v>13.006051373575779</v>
      </c>
      <c r="R155" s="97">
        <v>13.42882655534501</v>
      </c>
      <c r="S155" s="97">
        <v>13.07548381174437</v>
      </c>
      <c r="T155" s="97">
        <v>13.034679892408045</v>
      </c>
      <c r="U155" s="97">
        <v>13.149917890775248</v>
      </c>
      <c r="V155" s="97">
        <v>13.006637622596669</v>
      </c>
      <c r="W155" s="97">
        <v>13.019735233044935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4.9152469075199026</v>
      </c>
      <c r="C156" s="32">
        <f t="shared" si="207"/>
        <v>4.6321663768960883</v>
      </c>
      <c r="D156" s="32">
        <f t="shared" si="207"/>
        <v>4.7779589189435132</v>
      </c>
      <c r="E156" s="32">
        <f t="shared" si="207"/>
        <v>4.5489996885305919</v>
      </c>
      <c r="F156" s="32">
        <f t="shared" si="207"/>
        <v>4.433380044284708</v>
      </c>
      <c r="G156" s="32">
        <f t="shared" si="207"/>
        <v>4.3770581099061339</v>
      </c>
      <c r="H156" s="32">
        <f t="shared" si="207"/>
        <v>4.09129302808629</v>
      </c>
      <c r="I156" s="32">
        <f t="shared" si="207"/>
        <v>4.0611227093730333</v>
      </c>
      <c r="J156" s="32">
        <f t="shared" si="207"/>
        <v>4.0407955264221247</v>
      </c>
      <c r="K156" s="32">
        <f t="shared" si="207"/>
        <v>3.7298373004748715</v>
      </c>
      <c r="L156" s="32">
        <f t="shared" ref="L156" si="208">IF(L19=0,0,L19/L46)</f>
        <v>3.6567939990020699</v>
      </c>
      <c r="M156" s="32">
        <f t="shared" ref="M156:V156" si="209">IF(M19=0,0,M19/M46)</f>
        <v>3.3754902701147786</v>
      </c>
      <c r="N156" s="32">
        <f t="shared" si="209"/>
        <v>3.2154042251231907</v>
      </c>
      <c r="O156" s="32">
        <f t="shared" si="209"/>
        <v>2.9855308453020384</v>
      </c>
      <c r="P156" s="32">
        <f t="shared" si="209"/>
        <v>2.9490167955089976</v>
      </c>
      <c r="Q156" s="32">
        <f t="shared" si="209"/>
        <v>3.1200390245555352</v>
      </c>
      <c r="R156" s="32">
        <f t="shared" si="209"/>
        <v>3.3066859744299952</v>
      </c>
      <c r="S156" s="32">
        <f t="shared" si="209"/>
        <v>3.3978946212837284</v>
      </c>
      <c r="T156" s="32">
        <f t="shared" si="209"/>
        <v>3.3219508920965373</v>
      </c>
      <c r="U156" s="32">
        <f t="shared" si="209"/>
        <v>3.317541345000198</v>
      </c>
      <c r="V156" s="32">
        <f t="shared" si="209"/>
        <v>3.4728119113190163</v>
      </c>
      <c r="W156" s="32">
        <f t="shared" ref="W156" si="210">IF(W19=0,0,W19/W46)</f>
        <v>3.3568455713382246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0.32736803613915855</v>
      </c>
      <c r="C157" s="141">
        <f t="shared" si="211"/>
        <v>0.32813160278613818</v>
      </c>
      <c r="D157" s="141">
        <f t="shared" si="211"/>
        <v>0.32881344217362912</v>
      </c>
      <c r="E157" s="141">
        <f t="shared" si="211"/>
        <v>0.32975978870849149</v>
      </c>
      <c r="F157" s="141">
        <f t="shared" si="211"/>
        <v>0.33211035529087307</v>
      </c>
      <c r="G157" s="141">
        <f t="shared" si="211"/>
        <v>0.33142636634884853</v>
      </c>
      <c r="H157" s="141">
        <f t="shared" si="211"/>
        <v>0.33346162285315284</v>
      </c>
      <c r="I157" s="141">
        <f t="shared" si="211"/>
        <v>0.33425303859575928</v>
      </c>
      <c r="J157" s="141">
        <f t="shared" si="211"/>
        <v>0.33403120442221917</v>
      </c>
      <c r="K157" s="141">
        <f t="shared" si="211"/>
        <v>0.3363589999102255</v>
      </c>
      <c r="L157" s="141">
        <f t="shared" ref="L157" si="212">IF(L20=0,0,L20/L47)</f>
        <v>0.33632380533157757</v>
      </c>
      <c r="M157" s="141">
        <f t="shared" ref="M157:V157" si="213">IF(M20=0,0,M20/M47)</f>
        <v>0.33679540653331169</v>
      </c>
      <c r="N157" s="141">
        <f t="shared" si="213"/>
        <v>0.3382139308134216</v>
      </c>
      <c r="O157" s="141">
        <f t="shared" si="213"/>
        <v>0.33795773881538071</v>
      </c>
      <c r="P157" s="141">
        <f t="shared" si="213"/>
        <v>0.33919250573685855</v>
      </c>
      <c r="Q157" s="141">
        <f t="shared" si="213"/>
        <v>0.33990117263196601</v>
      </c>
      <c r="R157" s="141">
        <f t="shared" si="213"/>
        <v>0.34046781843753404</v>
      </c>
      <c r="S157" s="141">
        <f t="shared" si="213"/>
        <v>0.34093559300664439</v>
      </c>
      <c r="T157" s="141">
        <f t="shared" si="213"/>
        <v>0.34139822937971553</v>
      </c>
      <c r="U157" s="141">
        <f t="shared" si="213"/>
        <v>0.34196278306498779</v>
      </c>
      <c r="V157" s="141">
        <f t="shared" si="213"/>
        <v>0.34409646927583049</v>
      </c>
      <c r="W157" s="141">
        <f t="shared" ref="W157" si="214">IF(W20=0,0,W20/W47)</f>
        <v>0.34278856823744491</v>
      </c>
      <c r="DA157" s="174" t="s">
        <v>567</v>
      </c>
    </row>
    <row r="158" spans="1:105" ht="11.45" customHeight="1" x14ac:dyDescent="0.25">
      <c r="A158" s="111" t="s">
        <v>110</v>
      </c>
      <c r="B158" s="96">
        <v>0.2660164429915895</v>
      </c>
      <c r="C158" s="96">
        <v>0.26615084140765893</v>
      </c>
      <c r="D158" s="96">
        <v>0.26628830227572264</v>
      </c>
      <c r="E158" s="96">
        <v>0.26659707512517328</v>
      </c>
      <c r="F158" s="96">
        <v>0.26787129959079164</v>
      </c>
      <c r="G158" s="96">
        <v>0.26704601300033415</v>
      </c>
      <c r="H158" s="96">
        <v>0.26834229624786815</v>
      </c>
      <c r="I158" s="96">
        <v>0.26864725193544081</v>
      </c>
      <c r="J158" s="96">
        <v>0.26824477147044934</v>
      </c>
      <c r="K158" s="96">
        <v>0.26995800477225101</v>
      </c>
      <c r="L158" s="96">
        <v>0.26978566876045235</v>
      </c>
      <c r="M158" s="96">
        <v>0.27001603024130455</v>
      </c>
      <c r="N158" s="96">
        <v>0.27103943986866497</v>
      </c>
      <c r="O158" s="96">
        <v>0.27067696520214984</v>
      </c>
      <c r="P158" s="96">
        <v>0.27157551574140115</v>
      </c>
      <c r="Q158" s="96">
        <v>0.27205613407821233</v>
      </c>
      <c r="R158" s="96">
        <v>0.27242866131975463</v>
      </c>
      <c r="S158" s="96">
        <v>0.27272674722988499</v>
      </c>
      <c r="T158" s="96">
        <v>0.27303487356751965</v>
      </c>
      <c r="U158" s="96">
        <v>0.27343967208495967</v>
      </c>
      <c r="V158" s="96">
        <v>0.27512203736599972</v>
      </c>
      <c r="W158" s="96">
        <v>0.27406903717555897</v>
      </c>
      <c r="DA158" s="171" t="s">
        <v>568</v>
      </c>
    </row>
    <row r="159" spans="1:105" ht="11.45" customHeight="1" x14ac:dyDescent="0.25">
      <c r="A159" s="111" t="s">
        <v>111</v>
      </c>
      <c r="B159" s="96">
        <v>0.33506358965312349</v>
      </c>
      <c r="C159" s="96">
        <v>0.33523288881828234</v>
      </c>
      <c r="D159" s="96">
        <v>0.33540818489176111</v>
      </c>
      <c r="E159" s="96">
        <v>0.33579646257651075</v>
      </c>
      <c r="F159" s="96">
        <v>0.33740201791350993</v>
      </c>
      <c r="G159" s="96">
        <v>0.33636168267457495</v>
      </c>
      <c r="H159" s="96">
        <v>0.3379963281330704</v>
      </c>
      <c r="I159" s="96">
        <v>0.33837789069951613</v>
      </c>
      <c r="J159" s="96">
        <v>0.33787416676023496</v>
      </c>
      <c r="K159" s="96">
        <v>0.34003426833863226</v>
      </c>
      <c r="L159" s="96">
        <v>0.3398178240067567</v>
      </c>
      <c r="M159" s="96">
        <v>0.34010265941710038</v>
      </c>
      <c r="N159" s="96">
        <v>0.34139877610066666</v>
      </c>
      <c r="O159" s="96">
        <v>0.34093584502113261</v>
      </c>
      <c r="P159" s="96">
        <v>0.34206826082877589</v>
      </c>
      <c r="Q159" s="96">
        <v>0.34267319335818186</v>
      </c>
      <c r="R159" s="96">
        <v>0.3431424167407191</v>
      </c>
      <c r="S159" s="96">
        <v>0.34351787620633861</v>
      </c>
      <c r="T159" s="96">
        <v>0.34390598227287805</v>
      </c>
      <c r="U159" s="96">
        <v>0.3444158535209858</v>
      </c>
      <c r="V159" s="96">
        <v>0.34653490694796413</v>
      </c>
      <c r="W159" s="96">
        <v>0.34520858163246376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0.25550185701873984</v>
      </c>
      <c r="D161" s="96">
        <v>0.25578948067162804</v>
      </c>
      <c r="E161" s="96">
        <v>0.25656135886042813</v>
      </c>
      <c r="F161" s="96">
        <v>0.26010757037291621</v>
      </c>
      <c r="G161" s="96">
        <v>0.25763948068868114</v>
      </c>
      <c r="H161" s="96">
        <v>0.26132627507809914</v>
      </c>
      <c r="I161" s="96">
        <v>0.26213580213555121</v>
      </c>
      <c r="J161" s="96">
        <v>0.26091140973660709</v>
      </c>
      <c r="K161" s="96">
        <v>0.26590759725824747</v>
      </c>
      <c r="L161" s="96">
        <v>0.26536558339591015</v>
      </c>
      <c r="M161" s="96">
        <v>0.26599827011683769</v>
      </c>
      <c r="N161" s="96">
        <v>0.26902279509152394</v>
      </c>
      <c r="O161" s="96">
        <v>0.26793780490439062</v>
      </c>
      <c r="P161" s="96">
        <v>0.27061605680507383</v>
      </c>
      <c r="Q161" s="96">
        <v>0.27205613407821233</v>
      </c>
      <c r="R161" s="96">
        <v>0.27317524680917216</v>
      </c>
      <c r="S161" s="96">
        <v>0.27407293675362715</v>
      </c>
      <c r="T161" s="96">
        <v>0.27500292844875862</v>
      </c>
      <c r="U161" s="96">
        <v>0.27622789177452972</v>
      </c>
      <c r="V161" s="96">
        <v>0.27792741185964726</v>
      </c>
      <c r="W161" s="96">
        <v>0.27813963307952266</v>
      </c>
      <c r="DA161" s="171" t="s">
        <v>571</v>
      </c>
    </row>
    <row r="162" spans="1:105" ht="11.45" customHeight="1" x14ac:dyDescent="0.25">
      <c r="A162" s="111" t="s">
        <v>115</v>
      </c>
      <c r="B162" s="96">
        <v>0.27764774095221018</v>
      </c>
      <c r="C162" s="96">
        <v>0.27761373673476269</v>
      </c>
      <c r="D162" s="96">
        <v>0.27758326172834019</v>
      </c>
      <c r="E162" s="96">
        <v>0.27750512656062393</v>
      </c>
      <c r="F162" s="96">
        <v>0.27682530927664767</v>
      </c>
      <c r="G162" s="96">
        <v>0.27620202331155458</v>
      </c>
      <c r="H162" s="96">
        <v>0.27551015142687646</v>
      </c>
      <c r="I162" s="96">
        <v>0.27543045343008909</v>
      </c>
      <c r="J162" s="96">
        <v>0.27446540916490098</v>
      </c>
      <c r="K162" s="96">
        <v>0.27380082558461583</v>
      </c>
      <c r="L162" s="96">
        <v>0.27333119392462563</v>
      </c>
      <c r="M162" s="96">
        <v>0.2731222612968871</v>
      </c>
      <c r="N162" s="96">
        <v>0.27283695668966951</v>
      </c>
      <c r="O162" s="96">
        <v>0.27229739145113507</v>
      </c>
      <c r="P162" s="96">
        <v>0.27206432939931602</v>
      </c>
      <c r="Q162" s="96">
        <v>0.27205613407821233</v>
      </c>
      <c r="R162" s="96">
        <v>0.27227958924990686</v>
      </c>
      <c r="S162" s="96">
        <v>0.27245830383123759</v>
      </c>
      <c r="T162" s="96">
        <v>0.27264295595022586</v>
      </c>
      <c r="U162" s="96">
        <v>0.27288541456413068</v>
      </c>
      <c r="V162" s="96">
        <v>0.27456436971962928</v>
      </c>
      <c r="W162" s="96">
        <v>0.27326209489946118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12.818186188714765</v>
      </c>
      <c r="C163" s="130">
        <f t="shared" si="215"/>
        <v>11.980667722863512</v>
      </c>
      <c r="D163" s="130">
        <f t="shared" si="215"/>
        <v>12.308624930942974</v>
      </c>
      <c r="E163" s="130">
        <f t="shared" si="215"/>
        <v>11.702582576134601</v>
      </c>
      <c r="F163" s="130">
        <f t="shared" si="215"/>
        <v>11.804817800826783</v>
      </c>
      <c r="G163" s="130">
        <f t="shared" si="215"/>
        <v>11.668270025366196</v>
      </c>
      <c r="H163" s="130">
        <f t="shared" si="215"/>
        <v>11.242927670440219</v>
      </c>
      <c r="I163" s="130">
        <f t="shared" si="215"/>
        <v>11.457312231497966</v>
      </c>
      <c r="J163" s="130">
        <f t="shared" si="215"/>
        <v>11.701027087463634</v>
      </c>
      <c r="K163" s="130">
        <f t="shared" si="215"/>
        <v>11.884187545789555</v>
      </c>
      <c r="L163" s="130">
        <f t="shared" ref="L163" si="216">IF(L26=0,0,L26/L53)</f>
        <v>11.262241008573383</v>
      </c>
      <c r="M163" s="130">
        <f t="shared" ref="M163:V163" si="217">IF(M26=0,0,M26/M53)</f>
        <v>11.214935947341719</v>
      </c>
      <c r="N163" s="130">
        <f t="shared" si="217"/>
        <v>11.54505855936697</v>
      </c>
      <c r="O163" s="130">
        <f t="shared" si="217"/>
        <v>10.93790379983086</v>
      </c>
      <c r="P163" s="130">
        <f t="shared" si="217"/>
        <v>11.458997111644395</v>
      </c>
      <c r="Q163" s="130">
        <f t="shared" si="217"/>
        <v>13.344137274798205</v>
      </c>
      <c r="R163" s="130">
        <f t="shared" si="217"/>
        <v>13.139678579836136</v>
      </c>
      <c r="S163" s="130">
        <f t="shared" si="217"/>
        <v>13.464631916504274</v>
      </c>
      <c r="T163" s="130">
        <f t="shared" si="217"/>
        <v>13.759783960320638</v>
      </c>
      <c r="U163" s="130">
        <f t="shared" si="217"/>
        <v>14.088617510290865</v>
      </c>
      <c r="V163" s="130">
        <f t="shared" si="217"/>
        <v>15.218440368971178</v>
      </c>
      <c r="W163" s="130">
        <f t="shared" ref="W163" si="218">IF(W26=0,0,W26/W53)</f>
        <v>14.870838853095112</v>
      </c>
      <c r="DA163" s="176" t="s">
        <v>573</v>
      </c>
    </row>
    <row r="164" spans="1:105" ht="11.45" customHeight="1" x14ac:dyDescent="0.25">
      <c r="A164" s="128" t="s">
        <v>27</v>
      </c>
      <c r="B164" s="97">
        <v>12.784594095940959</v>
      </c>
      <c r="C164" s="97">
        <v>11.925793473401878</v>
      </c>
      <c r="D164" s="97">
        <v>12.258078602620087</v>
      </c>
      <c r="E164" s="97">
        <v>11.638251839030723</v>
      </c>
      <c r="F164" s="97">
        <v>11.740120274914089</v>
      </c>
      <c r="G164" s="97">
        <v>11.599249374478733</v>
      </c>
      <c r="H164" s="97">
        <v>11.149299474605954</v>
      </c>
      <c r="I164" s="97">
        <v>11.367775831873905</v>
      </c>
      <c r="J164" s="97">
        <v>11.627368421052632</v>
      </c>
      <c r="K164" s="97">
        <v>11.818798449612403</v>
      </c>
      <c r="L164" s="97">
        <v>11.140832595217006</v>
      </c>
      <c r="M164" s="97">
        <v>11.131332082551594</v>
      </c>
      <c r="N164" s="97">
        <v>11.444676409185805</v>
      </c>
      <c r="O164" s="97">
        <v>10.830578512396695</v>
      </c>
      <c r="P164" s="97">
        <v>11.333333333333334</v>
      </c>
      <c r="Q164" s="97">
        <v>13.304779639975171</v>
      </c>
      <c r="R164" s="97">
        <v>13.105543710021323</v>
      </c>
      <c r="S164" s="97">
        <v>13.440530883103625</v>
      </c>
      <c r="T164" s="97">
        <v>13.74074074074074</v>
      </c>
      <c r="U164" s="97">
        <v>14.088080168776372</v>
      </c>
      <c r="V164" s="97">
        <v>15.275219298245615</v>
      </c>
      <c r="W164" s="97">
        <v>14.914778856526429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13.731801555818864</v>
      </c>
      <c r="L165" s="98">
        <v>14.178700182725072</v>
      </c>
      <c r="M165" s="98">
        <v>14.133203670456812</v>
      </c>
      <c r="N165" s="98">
        <v>14.086426180736334</v>
      </c>
      <c r="O165" s="98">
        <v>14.105166269382362</v>
      </c>
      <c r="P165" s="98">
        <v>14.13821157163504</v>
      </c>
      <c r="Q165" s="98">
        <v>14.005556317739059</v>
      </c>
      <c r="R165" s="98">
        <v>13.931044885469865</v>
      </c>
      <c r="S165" s="98">
        <v>14.049661034098955</v>
      </c>
      <c r="T165" s="98">
        <v>14.155971572922999</v>
      </c>
      <c r="U165" s="98">
        <v>14.102032210128923</v>
      </c>
      <c r="V165" s="98">
        <v>13.88679019247664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15141.770072771442</v>
      </c>
      <c r="C167" s="54">
        <f t="shared" si="219"/>
        <v>15256.825590284843</v>
      </c>
      <c r="D167" s="54">
        <f t="shared" si="219"/>
        <v>15337.384340414723</v>
      </c>
      <c r="E167" s="54">
        <f t="shared" si="219"/>
        <v>15088.115645144038</v>
      </c>
      <c r="F167" s="54">
        <f t="shared" si="219"/>
        <v>14881.673340504491</v>
      </c>
      <c r="G167" s="54">
        <f t="shared" si="219"/>
        <v>14585.232542072479</v>
      </c>
      <c r="H167" s="54">
        <f t="shared" si="219"/>
        <v>14124.558321521559</v>
      </c>
      <c r="I167" s="54">
        <f t="shared" si="219"/>
        <v>13953.254279538833</v>
      </c>
      <c r="J167" s="54">
        <f t="shared" si="219"/>
        <v>13207.142945764792</v>
      </c>
      <c r="K167" s="54">
        <f t="shared" si="219"/>
        <v>12855.053082736689</v>
      </c>
      <c r="L167" s="54">
        <f t="shared" si="219"/>
        <v>12620.440563142525</v>
      </c>
      <c r="M167" s="54">
        <f>IF(M30=0,0,M30*1000000/M57)</f>
        <v>12292.868534055586</v>
      </c>
      <c r="N167" s="54">
        <f t="shared" ref="N167:V167" si="220">IF(N30=0,0,N30*1000000/N57)</f>
        <v>11875.217269115947</v>
      </c>
      <c r="O167" s="54">
        <f t="shared" si="220"/>
        <v>11619.840346603112</v>
      </c>
      <c r="P167" s="54">
        <f t="shared" si="220"/>
        <v>11418.525096668922</v>
      </c>
      <c r="Q167" s="54">
        <f t="shared" si="220"/>
        <v>11302.002961122296</v>
      </c>
      <c r="R167" s="54">
        <f t="shared" si="220"/>
        <v>10657.43268252977</v>
      </c>
      <c r="S167" s="54">
        <f t="shared" si="220"/>
        <v>10957.022100647942</v>
      </c>
      <c r="T167" s="54">
        <f t="shared" si="220"/>
        <v>10757.088490914542</v>
      </c>
      <c r="U167" s="54">
        <f t="shared" si="220"/>
        <v>10555.99825523375</v>
      </c>
      <c r="V167" s="54">
        <f t="shared" si="220"/>
        <v>9998.5627906464833</v>
      </c>
      <c r="W167" s="54">
        <f t="shared" ref="W167:W191" si="221">IF(W30=0,0,W30*1000000/W57)</f>
        <v>9866.2948662366034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14548.915547111457</v>
      </c>
      <c r="C168" s="28">
        <f t="shared" si="219"/>
        <v>14674.482677574402</v>
      </c>
      <c r="D168" s="28">
        <f t="shared" si="219"/>
        <v>14774.929707928355</v>
      </c>
      <c r="E168" s="28">
        <f t="shared" si="219"/>
        <v>14535.420753202423</v>
      </c>
      <c r="F168" s="28">
        <f t="shared" si="219"/>
        <v>14360.410156322947</v>
      </c>
      <c r="G168" s="28">
        <f t="shared" si="219"/>
        <v>14017.427751053468</v>
      </c>
      <c r="H168" s="28">
        <f t="shared" si="219"/>
        <v>13606.53128937108</v>
      </c>
      <c r="I168" s="28">
        <f t="shared" si="219"/>
        <v>13456.954549339749</v>
      </c>
      <c r="J168" s="28">
        <f t="shared" si="219"/>
        <v>12622.180002042238</v>
      </c>
      <c r="K168" s="28">
        <f t="shared" si="219"/>
        <v>12401.053289718495</v>
      </c>
      <c r="L168" s="28">
        <f t="shared" si="219"/>
        <v>12092.872713693943</v>
      </c>
      <c r="M168" s="28">
        <f t="shared" ref="M168:M192" si="222">IF(M31=0,0,M31*1000000/M58)</f>
        <v>11800.346687153928</v>
      </c>
      <c r="N168" s="28">
        <f t="shared" si="219"/>
        <v>11428.62363346269</v>
      </c>
      <c r="O168" s="28">
        <f t="shared" si="219"/>
        <v>11135.802764217487</v>
      </c>
      <c r="P168" s="28">
        <f t="shared" si="219"/>
        <v>10976.570917512543</v>
      </c>
      <c r="Q168" s="28">
        <f t="shared" si="219"/>
        <v>10908.551393853968</v>
      </c>
      <c r="R168" s="28">
        <f t="shared" si="219"/>
        <v>10123.892976604671</v>
      </c>
      <c r="S168" s="28">
        <f t="shared" si="219"/>
        <v>10466.465588503799</v>
      </c>
      <c r="T168" s="28">
        <f t="shared" si="219"/>
        <v>10266.439089002895</v>
      </c>
      <c r="U168" s="28">
        <f t="shared" si="219"/>
        <v>10057.803973141488</v>
      </c>
      <c r="V168" s="28">
        <f t="shared" si="219"/>
        <v>9485.653390194675</v>
      </c>
      <c r="W168" s="28">
        <f t="shared" si="221"/>
        <v>9290.925785757061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4367.3417554197295</v>
      </c>
      <c r="C169" s="137">
        <f t="shared" si="219"/>
        <v>4095.9283085388488</v>
      </c>
      <c r="D169" s="137">
        <f t="shared" si="219"/>
        <v>3777.5665334655723</v>
      </c>
      <c r="E169" s="137">
        <f t="shared" si="219"/>
        <v>3443.3319862824305</v>
      </c>
      <c r="F169" s="137">
        <f t="shared" si="219"/>
        <v>3109.9839584549641</v>
      </c>
      <c r="G169" s="137">
        <f t="shared" si="219"/>
        <v>2797.4342062188693</v>
      </c>
      <c r="H169" s="137">
        <f t="shared" si="219"/>
        <v>2495.2950366153568</v>
      </c>
      <c r="I169" s="137">
        <f t="shared" si="219"/>
        <v>2246.4774370824089</v>
      </c>
      <c r="J169" s="137">
        <f t="shared" si="219"/>
        <v>2007.6570978797422</v>
      </c>
      <c r="K169" s="137">
        <f t="shared" si="219"/>
        <v>1856.0445220243018</v>
      </c>
      <c r="L169" s="137">
        <f t="shared" si="219"/>
        <v>2315.3281912511293</v>
      </c>
      <c r="M169" s="137">
        <f t="shared" si="222"/>
        <v>2184.2844516725941</v>
      </c>
      <c r="N169" s="137">
        <f t="shared" si="219"/>
        <v>2089.0737859039314</v>
      </c>
      <c r="O169" s="137">
        <f t="shared" si="219"/>
        <v>2026.8814746984795</v>
      </c>
      <c r="P169" s="137">
        <f t="shared" si="219"/>
        <v>1977.8772524310741</v>
      </c>
      <c r="Q169" s="137">
        <f t="shared" si="219"/>
        <v>1933.8243461999446</v>
      </c>
      <c r="R169" s="137">
        <f t="shared" si="219"/>
        <v>1947.5297197705536</v>
      </c>
      <c r="S169" s="137">
        <f t="shared" si="219"/>
        <v>1804.2489127968072</v>
      </c>
      <c r="T169" s="137">
        <f t="shared" si="219"/>
        <v>1692.2116959230216</v>
      </c>
      <c r="U169" s="137">
        <f t="shared" si="219"/>
        <v>1765.7777981861266</v>
      </c>
      <c r="V169" s="137">
        <f t="shared" si="219"/>
        <v>1550.6063609245937</v>
      </c>
      <c r="W169" s="137">
        <f t="shared" si="221"/>
        <v>1583.8517128587837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15371.98181688721</v>
      </c>
      <c r="C170" s="110">
        <f t="shared" si="219"/>
        <v>15588.240875348225</v>
      </c>
      <c r="D170" s="110">
        <f t="shared" si="219"/>
        <v>15799.548271891657</v>
      </c>
      <c r="E170" s="110">
        <f t="shared" si="219"/>
        <v>15635.874274645352</v>
      </c>
      <c r="F170" s="110">
        <f t="shared" si="219"/>
        <v>15566.367782178235</v>
      </c>
      <c r="G170" s="110">
        <f t="shared" si="219"/>
        <v>15314.698118991337</v>
      </c>
      <c r="H170" s="110">
        <f t="shared" si="219"/>
        <v>15010.718235528188</v>
      </c>
      <c r="I170" s="110">
        <f t="shared" si="219"/>
        <v>15001.812978435672</v>
      </c>
      <c r="J170" s="110">
        <f t="shared" si="219"/>
        <v>14177.046256756177</v>
      </c>
      <c r="K170" s="110">
        <f t="shared" si="219"/>
        <v>14027.624516326068</v>
      </c>
      <c r="L170" s="110">
        <f t="shared" si="219"/>
        <v>13638.650988154932</v>
      </c>
      <c r="M170" s="110">
        <f t="shared" si="222"/>
        <v>13354.689197976721</v>
      </c>
      <c r="N170" s="110">
        <f t="shared" si="219"/>
        <v>12958.367075673983</v>
      </c>
      <c r="O170" s="110">
        <f t="shared" si="219"/>
        <v>12633.501513558072</v>
      </c>
      <c r="P170" s="110">
        <f t="shared" si="219"/>
        <v>12457.158953974238</v>
      </c>
      <c r="Q170" s="110">
        <f t="shared" si="219"/>
        <v>12388.02657554793</v>
      </c>
      <c r="R170" s="110">
        <f t="shared" si="219"/>
        <v>11439.271608978468</v>
      </c>
      <c r="S170" s="110">
        <f t="shared" si="219"/>
        <v>11865.751702119203</v>
      </c>
      <c r="T170" s="110">
        <f t="shared" si="219"/>
        <v>11650.904362894282</v>
      </c>
      <c r="U170" s="110">
        <f t="shared" si="219"/>
        <v>11391.020458404788</v>
      </c>
      <c r="V170" s="110">
        <f t="shared" si="219"/>
        <v>10782.215951053317</v>
      </c>
      <c r="W170" s="110">
        <f t="shared" si="221"/>
        <v>10572.475078834765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14269.392070511954</v>
      </c>
      <c r="C171" s="84">
        <f t="shared" si="219"/>
        <v>14436.053372479309</v>
      </c>
      <c r="D171" s="84">
        <f t="shared" si="219"/>
        <v>14600.344988394731</v>
      </c>
      <c r="E171" s="84">
        <f t="shared" si="219"/>
        <v>14388.292883218619</v>
      </c>
      <c r="F171" s="84">
        <f t="shared" si="219"/>
        <v>14324.738984654117</v>
      </c>
      <c r="G171" s="84">
        <f t="shared" si="219"/>
        <v>14005.297581558925</v>
      </c>
      <c r="H171" s="84">
        <f t="shared" si="219"/>
        <v>13614.030245612663</v>
      </c>
      <c r="I171" s="84">
        <f t="shared" si="219"/>
        <v>13477.644015353502</v>
      </c>
      <c r="J171" s="84">
        <f t="shared" si="219"/>
        <v>12421.807984910771</v>
      </c>
      <c r="K171" s="84">
        <f t="shared" si="219"/>
        <v>12131.240979749868</v>
      </c>
      <c r="L171" s="84">
        <f t="shared" si="219"/>
        <v>11577.458403701317</v>
      </c>
      <c r="M171" s="84">
        <f t="shared" si="222"/>
        <v>10921.221058735044</v>
      </c>
      <c r="N171" s="84">
        <f t="shared" si="219"/>
        <v>10420.458964382828</v>
      </c>
      <c r="O171" s="84">
        <f t="shared" si="219"/>
        <v>10217.405878606927</v>
      </c>
      <c r="P171" s="84">
        <f t="shared" si="219"/>
        <v>9951.5979302444211</v>
      </c>
      <c r="Q171" s="84">
        <f t="shared" si="219"/>
        <v>9798.25253310058</v>
      </c>
      <c r="R171" s="84">
        <f t="shared" si="219"/>
        <v>9018.3844939233259</v>
      </c>
      <c r="S171" s="84">
        <f t="shared" si="219"/>
        <v>9211.8764334137159</v>
      </c>
      <c r="T171" s="84">
        <f t="shared" si="219"/>
        <v>9009.4219825528016</v>
      </c>
      <c r="U171" s="84">
        <f t="shared" si="219"/>
        <v>8822.1439046626783</v>
      </c>
      <c r="V171" s="84">
        <f t="shared" si="219"/>
        <v>8433.4272545729491</v>
      </c>
      <c r="W171" s="84">
        <f t="shared" si="221"/>
        <v>8296.8269122091751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24996.881595194645</v>
      </c>
      <c r="C172" s="84">
        <f t="shared" si="219"/>
        <v>25186.46805199084</v>
      </c>
      <c r="D172" s="84">
        <f t="shared" si="219"/>
        <v>25358.615649966319</v>
      </c>
      <c r="E172" s="84">
        <f t="shared" si="219"/>
        <v>25063.636870003818</v>
      </c>
      <c r="F172" s="84">
        <f t="shared" si="219"/>
        <v>24887.628759489569</v>
      </c>
      <c r="G172" s="84">
        <f t="shared" si="219"/>
        <v>24506.604510545294</v>
      </c>
      <c r="H172" s="84">
        <f t="shared" si="219"/>
        <v>24085.007418766865</v>
      </c>
      <c r="I172" s="84">
        <f t="shared" si="219"/>
        <v>23999.093843073304</v>
      </c>
      <c r="J172" s="84">
        <f t="shared" si="219"/>
        <v>22957.874413602371</v>
      </c>
      <c r="K172" s="84">
        <f t="shared" si="219"/>
        <v>22716.020038484454</v>
      </c>
      <c r="L172" s="84">
        <f t="shared" si="219"/>
        <v>22190.341570916964</v>
      </c>
      <c r="M172" s="84">
        <f t="shared" si="222"/>
        <v>22589.378592716028</v>
      </c>
      <c r="N172" s="84">
        <f t="shared" si="219"/>
        <v>22023.792186259638</v>
      </c>
      <c r="O172" s="84">
        <f t="shared" si="219"/>
        <v>20855.131445449548</v>
      </c>
      <c r="P172" s="84">
        <f t="shared" si="219"/>
        <v>20603.828386636877</v>
      </c>
      <c r="Q172" s="84">
        <f t="shared" si="219"/>
        <v>20478.539886510611</v>
      </c>
      <c r="R172" s="84">
        <f t="shared" si="219"/>
        <v>18722.578770326985</v>
      </c>
      <c r="S172" s="84">
        <f t="shared" si="219"/>
        <v>19599.129024828981</v>
      </c>
      <c r="T172" s="84">
        <f t="shared" si="219"/>
        <v>19156.547832554777</v>
      </c>
      <c r="U172" s="84">
        <f t="shared" si="219"/>
        <v>18623.915457028725</v>
      </c>
      <c r="V172" s="84">
        <f t="shared" si="219"/>
        <v>17388.124213926651</v>
      </c>
      <c r="W172" s="84">
        <f t="shared" si="221"/>
        <v>16966.354589155329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0</v>
      </c>
      <c r="E173" s="84">
        <f t="shared" si="219"/>
        <v>0</v>
      </c>
      <c r="F173" s="84">
        <f t="shared" si="219"/>
        <v>0</v>
      </c>
      <c r="G173" s="84">
        <f t="shared" si="219"/>
        <v>0</v>
      </c>
      <c r="H173" s="84">
        <f t="shared" si="219"/>
        <v>0</v>
      </c>
      <c r="I173" s="84">
        <f t="shared" si="219"/>
        <v>0</v>
      </c>
      <c r="J173" s="84">
        <f t="shared" si="219"/>
        <v>0</v>
      </c>
      <c r="K173" s="84">
        <f t="shared" si="219"/>
        <v>0</v>
      </c>
      <c r="L173" s="84">
        <f t="shared" si="219"/>
        <v>0</v>
      </c>
      <c r="M173" s="84">
        <f t="shared" si="222"/>
        <v>0</v>
      </c>
      <c r="N173" s="84">
        <f t="shared" si="219"/>
        <v>0</v>
      </c>
      <c r="O173" s="84">
        <f t="shared" si="219"/>
        <v>0</v>
      </c>
      <c r="P173" s="84">
        <f t="shared" si="219"/>
        <v>0</v>
      </c>
      <c r="Q173" s="84">
        <f t="shared" si="219"/>
        <v>0</v>
      </c>
      <c r="R173" s="84">
        <f t="shared" si="219"/>
        <v>0</v>
      </c>
      <c r="S173" s="84">
        <f t="shared" si="219"/>
        <v>0</v>
      </c>
      <c r="T173" s="84">
        <f t="shared" si="219"/>
        <v>0</v>
      </c>
      <c r="U173" s="84">
        <f t="shared" si="219"/>
        <v>0</v>
      </c>
      <c r="V173" s="84">
        <f t="shared" si="219"/>
        <v>0</v>
      </c>
      <c r="W173" s="84">
        <f t="shared" si="221"/>
        <v>0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13087.092157945715</v>
      </c>
      <c r="I174" s="84">
        <f t="shared" si="219"/>
        <v>13057.895776014015</v>
      </c>
      <c r="J174" s="84">
        <f t="shared" si="219"/>
        <v>12700.877223281781</v>
      </c>
      <c r="K174" s="84">
        <f t="shared" si="219"/>
        <v>12617.0862636486</v>
      </c>
      <c r="L174" s="84">
        <f t="shared" si="219"/>
        <v>12433.801004486073</v>
      </c>
      <c r="M174" s="84">
        <f t="shared" si="222"/>
        <v>12291.152050342231</v>
      </c>
      <c r="N174" s="84">
        <f t="shared" si="219"/>
        <v>12111.056142850186</v>
      </c>
      <c r="O174" s="84">
        <f t="shared" si="219"/>
        <v>11960.780008078762</v>
      </c>
      <c r="P174" s="84">
        <f t="shared" si="219"/>
        <v>11870.496186981005</v>
      </c>
      <c r="Q174" s="84">
        <f t="shared" si="219"/>
        <v>11825.330518583418</v>
      </c>
      <c r="R174" s="84">
        <f t="shared" si="219"/>
        <v>10493.192817500774</v>
      </c>
      <c r="S174" s="84">
        <f t="shared" si="219"/>
        <v>11085.441129528523</v>
      </c>
      <c r="T174" s="84">
        <f t="shared" si="219"/>
        <v>10785.730179886912</v>
      </c>
      <c r="U174" s="84">
        <f t="shared" si="219"/>
        <v>10426.872028617623</v>
      </c>
      <c r="V174" s="84">
        <f t="shared" si="219"/>
        <v>9602.2306636126141</v>
      </c>
      <c r="W174" s="84">
        <f t="shared" si="221"/>
        <v>9323.4168241735733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10067.586560994201</v>
      </c>
      <c r="O175" s="84">
        <f t="shared" si="219"/>
        <v>9942.6661595842779</v>
      </c>
      <c r="P175" s="84">
        <f t="shared" si="219"/>
        <v>9867.6157120231419</v>
      </c>
      <c r="Q175" s="84">
        <f t="shared" si="219"/>
        <v>9830.070738998942</v>
      </c>
      <c r="R175" s="84">
        <f t="shared" si="219"/>
        <v>8722.7014510833869</v>
      </c>
      <c r="S175" s="84">
        <f t="shared" si="219"/>
        <v>9215.0211197079952</v>
      </c>
      <c r="T175" s="84">
        <f t="shared" si="219"/>
        <v>8965.879682891522</v>
      </c>
      <c r="U175" s="84">
        <f t="shared" si="219"/>
        <v>8667.5708105348549</v>
      </c>
      <c r="V175" s="84">
        <f t="shared" si="219"/>
        <v>7982.0692138086633</v>
      </c>
      <c r="W175" s="84">
        <f t="shared" si="221"/>
        <v>7750.298967692449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12612.122222626924</v>
      </c>
      <c r="J176" s="84">
        <f t="shared" si="219"/>
        <v>12966.645893995887</v>
      </c>
      <c r="K176" s="84">
        <f t="shared" si="219"/>
        <v>13052.758303785127</v>
      </c>
      <c r="L176" s="84">
        <f t="shared" si="219"/>
        <v>13245.167542732404</v>
      </c>
      <c r="M176" s="84">
        <f t="shared" si="222"/>
        <v>13397.540205447473</v>
      </c>
      <c r="N176" s="84">
        <f t="shared" si="219"/>
        <v>13598.040074314631</v>
      </c>
      <c r="O176" s="84">
        <f t="shared" si="219"/>
        <v>13769.001680277182</v>
      </c>
      <c r="P176" s="84">
        <f t="shared" si="219"/>
        <v>13840.912520110685</v>
      </c>
      <c r="Q176" s="84">
        <f t="shared" si="219"/>
        <v>13945.59368839317</v>
      </c>
      <c r="R176" s="84">
        <f t="shared" si="219"/>
        <v>13720.259291156044</v>
      </c>
      <c r="S176" s="84">
        <f t="shared" si="219"/>
        <v>13679.480846630744</v>
      </c>
      <c r="T176" s="84">
        <f t="shared" si="219"/>
        <v>13671.083453954758</v>
      </c>
      <c r="U176" s="84">
        <f t="shared" si="219"/>
        <v>13643.12093336155</v>
      </c>
      <c r="V176" s="84">
        <f t="shared" si="219"/>
        <v>13002.568898548076</v>
      </c>
      <c r="W176" s="84">
        <f t="shared" si="221"/>
        <v>13616.793235925488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36099.641693146739</v>
      </c>
      <c r="C177" s="110">
        <f t="shared" si="219"/>
        <v>35904.849850605046</v>
      </c>
      <c r="D177" s="110">
        <f t="shared" si="219"/>
        <v>35768.88499450386</v>
      </c>
      <c r="E177" s="110">
        <f t="shared" si="219"/>
        <v>35652.688214224545</v>
      </c>
      <c r="F177" s="110">
        <f t="shared" si="219"/>
        <v>35535.633279858826</v>
      </c>
      <c r="G177" s="110">
        <f t="shared" si="219"/>
        <v>35392.356734923262</v>
      </c>
      <c r="H177" s="110">
        <f t="shared" si="219"/>
        <v>35258.989726773027</v>
      </c>
      <c r="I177" s="110">
        <f t="shared" si="219"/>
        <v>35138.253661806251</v>
      </c>
      <c r="J177" s="110">
        <f t="shared" si="219"/>
        <v>35071.231907168512</v>
      </c>
      <c r="K177" s="110">
        <f t="shared" si="219"/>
        <v>34999.163179762138</v>
      </c>
      <c r="L177" s="110">
        <f t="shared" si="219"/>
        <v>34907.816647927619</v>
      </c>
      <c r="M177" s="110">
        <f t="shared" si="222"/>
        <v>34806.001300394717</v>
      </c>
      <c r="N177" s="110">
        <f t="shared" si="219"/>
        <v>34716.578808798571</v>
      </c>
      <c r="O177" s="110">
        <f t="shared" si="219"/>
        <v>34612.648256590088</v>
      </c>
      <c r="P177" s="110">
        <f t="shared" si="219"/>
        <v>34518.014838687443</v>
      </c>
      <c r="Q177" s="110">
        <f t="shared" si="219"/>
        <v>34409.112482202181</v>
      </c>
      <c r="R177" s="110">
        <f t="shared" si="219"/>
        <v>35070.711678832107</v>
      </c>
      <c r="S177" s="110">
        <f t="shared" si="219"/>
        <v>34777.808446039191</v>
      </c>
      <c r="T177" s="110">
        <f t="shared" si="219"/>
        <v>33155.137966412876</v>
      </c>
      <c r="U177" s="110">
        <f t="shared" si="219"/>
        <v>31405.131420807858</v>
      </c>
      <c r="V177" s="110">
        <f t="shared" si="219"/>
        <v>27123.74235037859</v>
      </c>
      <c r="W177" s="110">
        <f t="shared" si="221"/>
        <v>23611.964761319399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17443.926455414952</v>
      </c>
      <c r="C178" s="102">
        <f t="shared" si="219"/>
        <v>17439.208022975585</v>
      </c>
      <c r="D178" s="102">
        <f t="shared" si="219"/>
        <v>17435.900120335809</v>
      </c>
      <c r="E178" s="102">
        <f t="shared" si="219"/>
        <v>17433.06367701156</v>
      </c>
      <c r="F178" s="102">
        <f t="shared" si="219"/>
        <v>17430.197391981052</v>
      </c>
      <c r="G178" s="102">
        <f t="shared" si="219"/>
        <v>17426.676793642167</v>
      </c>
      <c r="H178" s="102">
        <f t="shared" si="219"/>
        <v>17423.387504372495</v>
      </c>
      <c r="I178" s="102">
        <f t="shared" si="219"/>
        <v>17420.399528106063</v>
      </c>
      <c r="J178" s="102">
        <f t="shared" si="219"/>
        <v>17418.73666109741</v>
      </c>
      <c r="K178" s="102">
        <f t="shared" si="219"/>
        <v>17416.945202564752</v>
      </c>
      <c r="L178" s="102">
        <f t="shared" si="219"/>
        <v>17414.669500613731</v>
      </c>
      <c r="M178" s="102">
        <f t="shared" si="222"/>
        <v>17412.126314098838</v>
      </c>
      <c r="N178" s="102">
        <f t="shared" si="219"/>
        <v>17409.886845362827</v>
      </c>
      <c r="O178" s="102">
        <f t="shared" si="219"/>
        <v>17407.277145286178</v>
      </c>
      <c r="P178" s="102">
        <f t="shared" si="219"/>
        <v>17404.894413308539</v>
      </c>
      <c r="Q178" s="102">
        <f t="shared" si="219"/>
        <v>17402.144718175969</v>
      </c>
      <c r="R178" s="102">
        <f t="shared" si="219"/>
        <v>17398.568408721618</v>
      </c>
      <c r="S178" s="102">
        <f t="shared" si="219"/>
        <v>16901.105179961425</v>
      </c>
      <c r="T178" s="102">
        <f t="shared" si="219"/>
        <v>15752.599807895025</v>
      </c>
      <c r="U178" s="102">
        <f t="shared" si="219"/>
        <v>14583.124386747439</v>
      </c>
      <c r="V178" s="102">
        <f t="shared" si="219"/>
        <v>12253.018826238978</v>
      </c>
      <c r="W178" s="102">
        <f t="shared" si="221"/>
        <v>10381.038897716464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36127.9818247929</v>
      </c>
      <c r="C179" s="102">
        <f t="shared" si="219"/>
        <v>35937.133077767357</v>
      </c>
      <c r="D179" s="102">
        <f t="shared" si="219"/>
        <v>35783.519305939306</v>
      </c>
      <c r="E179" s="102">
        <f t="shared" si="219"/>
        <v>35664.296905953212</v>
      </c>
      <c r="F179" s="102">
        <f t="shared" si="219"/>
        <v>35547.359391103993</v>
      </c>
      <c r="G179" s="102">
        <f t="shared" si="219"/>
        <v>35406.799123813034</v>
      </c>
      <c r="H179" s="102">
        <f t="shared" si="219"/>
        <v>35254.438265653684</v>
      </c>
      <c r="I179" s="102">
        <f t="shared" si="219"/>
        <v>35131.945625862463</v>
      </c>
      <c r="J179" s="102">
        <f t="shared" si="219"/>
        <v>35064.150600561712</v>
      </c>
      <c r="K179" s="102">
        <f t="shared" si="219"/>
        <v>34990.998552676283</v>
      </c>
      <c r="L179" s="102">
        <f t="shared" si="219"/>
        <v>34902.299387650273</v>
      </c>
      <c r="M179" s="102">
        <f t="shared" si="222"/>
        <v>34800.596041891193</v>
      </c>
      <c r="N179" s="102">
        <f t="shared" si="219"/>
        <v>34704.269434314963</v>
      </c>
      <c r="O179" s="102">
        <f t="shared" si="219"/>
        <v>34612.79281613091</v>
      </c>
      <c r="P179" s="102">
        <f t="shared" si="219"/>
        <v>34519.226410227348</v>
      </c>
      <c r="Q179" s="102">
        <f t="shared" si="219"/>
        <v>34411.289906511862</v>
      </c>
      <c r="R179" s="102">
        <f t="shared" si="219"/>
        <v>35081.763966797618</v>
      </c>
      <c r="S179" s="102">
        <f t="shared" si="219"/>
        <v>34796.770164749039</v>
      </c>
      <c r="T179" s="102">
        <f t="shared" si="219"/>
        <v>33180.4300351446</v>
      </c>
      <c r="U179" s="102">
        <f t="shared" si="219"/>
        <v>31418.459867385216</v>
      </c>
      <c r="V179" s="102">
        <f t="shared" si="219"/>
        <v>27127.042705936485</v>
      </c>
      <c r="W179" s="102">
        <f t="shared" si="221"/>
        <v>23504.023849681329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38273.339139032243</v>
      </c>
      <c r="C181" s="102">
        <f t="shared" si="223"/>
        <v>38262.986529175854</v>
      </c>
      <c r="D181" s="102">
        <f t="shared" si="223"/>
        <v>38255.728732033982</v>
      </c>
      <c r="E181" s="102">
        <f t="shared" si="223"/>
        <v>38249.505353508786</v>
      </c>
      <c r="F181" s="102">
        <f t="shared" si="223"/>
        <v>38243.216499945796</v>
      </c>
      <c r="G181" s="102">
        <f t="shared" si="223"/>
        <v>38235.492031802634</v>
      </c>
      <c r="H181" s="102">
        <f t="shared" si="223"/>
        <v>38228.275073850746</v>
      </c>
      <c r="I181" s="102">
        <f t="shared" si="223"/>
        <v>38221.719220197221</v>
      </c>
      <c r="J181" s="102">
        <f t="shared" si="223"/>
        <v>38218.070759907736</v>
      </c>
      <c r="K181" s="102">
        <f t="shared" si="223"/>
        <v>38214.140159755923</v>
      </c>
      <c r="L181" s="102">
        <f t="shared" si="223"/>
        <v>38209.147091665815</v>
      </c>
      <c r="M181" s="102">
        <f t="shared" si="222"/>
        <v>38203.567141519437</v>
      </c>
      <c r="N181" s="102">
        <f t="shared" si="223"/>
        <v>38698.589264204405</v>
      </c>
      <c r="O181" s="102">
        <f t="shared" si="223"/>
        <v>37692.93833653519</v>
      </c>
      <c r="P181" s="102">
        <f t="shared" si="223"/>
        <v>37687.778875422686</v>
      </c>
      <c r="Q181" s="102">
        <f t="shared" si="223"/>
        <v>37681.824808729136</v>
      </c>
      <c r="R181" s="102">
        <f t="shared" si="223"/>
        <v>37097.436734091243</v>
      </c>
      <c r="S181" s="102">
        <f t="shared" si="223"/>
        <v>35485.156907161254</v>
      </c>
      <c r="T181" s="102">
        <f t="shared" si="223"/>
        <v>32567.551085518488</v>
      </c>
      <c r="U181" s="102">
        <f t="shared" si="223"/>
        <v>29688.255631350828</v>
      </c>
      <c r="V181" s="102">
        <f t="shared" si="223"/>
        <v>24562.832075455721</v>
      </c>
      <c r="W181" s="102">
        <f t="shared" si="221"/>
        <v>20491.671936687246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41516.011137086381</v>
      </c>
      <c r="O182" s="102">
        <f t="shared" si="223"/>
        <v>41509.787987079202</v>
      </c>
      <c r="P182" s="102">
        <f t="shared" si="223"/>
        <v>41504.106070349982</v>
      </c>
      <c r="Q182" s="102">
        <f t="shared" si="223"/>
        <v>41497.549084956496</v>
      </c>
      <c r="R182" s="102">
        <f t="shared" si="223"/>
        <v>41104.265612034404</v>
      </c>
      <c r="S182" s="102">
        <f t="shared" si="223"/>
        <v>40932.258612138634</v>
      </c>
      <c r="T182" s="102">
        <f t="shared" si="223"/>
        <v>39965.939217824853</v>
      </c>
      <c r="U182" s="102">
        <f t="shared" si="223"/>
        <v>38896.892926548477</v>
      </c>
      <c r="V182" s="102">
        <f t="shared" si="223"/>
        <v>34847.903688690334</v>
      </c>
      <c r="W182" s="102">
        <f t="shared" si="221"/>
        <v>33727.229436794987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19651.229419504547</v>
      </c>
      <c r="C183" s="28">
        <f t="shared" si="223"/>
        <v>19638.43121655683</v>
      </c>
      <c r="D183" s="28">
        <f t="shared" si="223"/>
        <v>19565.963857286792</v>
      </c>
      <c r="E183" s="28">
        <f t="shared" si="223"/>
        <v>19318.577174206981</v>
      </c>
      <c r="F183" s="28">
        <f t="shared" si="223"/>
        <v>18705.070818650824</v>
      </c>
      <c r="G183" s="28">
        <f t="shared" si="223"/>
        <v>18822.506959761544</v>
      </c>
      <c r="H183" s="28">
        <f t="shared" si="223"/>
        <v>18015.003644411259</v>
      </c>
      <c r="I183" s="28">
        <f t="shared" si="223"/>
        <v>17626.037397613243</v>
      </c>
      <c r="J183" s="28">
        <f t="shared" si="223"/>
        <v>17461.408041548759</v>
      </c>
      <c r="K183" s="28">
        <f t="shared" si="223"/>
        <v>16121.955791718969</v>
      </c>
      <c r="L183" s="28">
        <f t="shared" si="223"/>
        <v>16395.84767141179</v>
      </c>
      <c r="M183" s="28">
        <f t="shared" si="222"/>
        <v>15762.126255552634</v>
      </c>
      <c r="N183" s="28">
        <f t="shared" si="223"/>
        <v>14991.007271188428</v>
      </c>
      <c r="O183" s="28">
        <f t="shared" si="223"/>
        <v>14960.804558308875</v>
      </c>
      <c r="P183" s="28">
        <f t="shared" si="223"/>
        <v>14437.004956345696</v>
      </c>
      <c r="Q183" s="28">
        <f t="shared" si="223"/>
        <v>13953.171824070572</v>
      </c>
      <c r="R183" s="28">
        <f t="shared" si="223"/>
        <v>14208.351497405904</v>
      </c>
      <c r="S183" s="28">
        <f t="shared" si="223"/>
        <v>14167.130295374389</v>
      </c>
      <c r="T183" s="28">
        <f t="shared" si="223"/>
        <v>13917.306642704918</v>
      </c>
      <c r="U183" s="28">
        <f t="shared" si="223"/>
        <v>13720.677140954629</v>
      </c>
      <c r="V183" s="28">
        <f t="shared" si="223"/>
        <v>13213.210601472505</v>
      </c>
      <c r="W183" s="28">
        <f t="shared" si="221"/>
        <v>13422.382118768324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15984.002285032382</v>
      </c>
      <c r="C184" s="137">
        <f t="shared" si="223"/>
        <v>16033.174740310342</v>
      </c>
      <c r="D184" s="137">
        <f t="shared" si="223"/>
        <v>16068.397149703793</v>
      </c>
      <c r="E184" s="137">
        <f t="shared" si="223"/>
        <v>16061.173220424731</v>
      </c>
      <c r="F184" s="137">
        <f t="shared" si="223"/>
        <v>15797.973404896726</v>
      </c>
      <c r="G184" s="137">
        <f t="shared" si="223"/>
        <v>16095.824685849575</v>
      </c>
      <c r="H184" s="137">
        <f t="shared" si="223"/>
        <v>15774.148416976184</v>
      </c>
      <c r="I184" s="137">
        <f t="shared" si="223"/>
        <v>15747.675180396323</v>
      </c>
      <c r="J184" s="137">
        <f t="shared" si="223"/>
        <v>15907.695261591229</v>
      </c>
      <c r="K184" s="137">
        <f t="shared" si="223"/>
        <v>15437.515488774179</v>
      </c>
      <c r="L184" s="137">
        <f t="shared" si="223"/>
        <v>15513.499478431952</v>
      </c>
      <c r="M184" s="137">
        <f t="shared" si="222"/>
        <v>15476.910440930698</v>
      </c>
      <c r="N184" s="137">
        <f t="shared" si="223"/>
        <v>15205.215366669943</v>
      </c>
      <c r="O184" s="137">
        <f t="shared" si="223"/>
        <v>15338.886217722329</v>
      </c>
      <c r="P184" s="137">
        <f t="shared" si="223"/>
        <v>15102.911064204043</v>
      </c>
      <c r="Q184" s="137">
        <f t="shared" si="223"/>
        <v>14985.730306339681</v>
      </c>
      <c r="R184" s="137">
        <f t="shared" si="223"/>
        <v>14898.113094643228</v>
      </c>
      <c r="S184" s="137">
        <f t="shared" si="223"/>
        <v>14830.971525451681</v>
      </c>
      <c r="T184" s="137">
        <f t="shared" si="223"/>
        <v>14759.063541581425</v>
      </c>
      <c r="U184" s="137">
        <f t="shared" si="223"/>
        <v>14658.830590331623</v>
      </c>
      <c r="V184" s="137">
        <f t="shared" si="223"/>
        <v>14220.805915750585</v>
      </c>
      <c r="W184" s="137">
        <f t="shared" si="221"/>
        <v>14497.148439123353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10174.907616457273</v>
      </c>
      <c r="C185" s="84">
        <f t="shared" si="223"/>
        <v>10149.243390286503</v>
      </c>
      <c r="D185" s="84">
        <f t="shared" si="223"/>
        <v>10123.074681740174</v>
      </c>
      <c r="E185" s="84">
        <f t="shared" si="223"/>
        <v>10064.587570636091</v>
      </c>
      <c r="F185" s="84">
        <f t="shared" si="223"/>
        <v>9827.4753120148198</v>
      </c>
      <c r="G185" s="84">
        <f t="shared" si="223"/>
        <v>9980.272360010651</v>
      </c>
      <c r="H185" s="84">
        <f t="shared" si="223"/>
        <v>9741.5312047267216</v>
      </c>
      <c r="I185" s="84">
        <f t="shared" si="223"/>
        <v>9686.3659555085305</v>
      </c>
      <c r="J185" s="84">
        <f t="shared" si="223"/>
        <v>9759.2525514302324</v>
      </c>
      <c r="K185" s="84">
        <f t="shared" si="223"/>
        <v>9453.4827621291697</v>
      </c>
      <c r="L185" s="84">
        <f t="shared" si="223"/>
        <v>9483.7152472690705</v>
      </c>
      <c r="M185" s="84">
        <f t="shared" si="222"/>
        <v>9443.3295304504391</v>
      </c>
      <c r="N185" s="84">
        <f t="shared" si="223"/>
        <v>9266.3868975653877</v>
      </c>
      <c r="O185" s="84">
        <f t="shared" si="223"/>
        <v>9328.5982950000052</v>
      </c>
      <c r="P185" s="84">
        <f t="shared" si="223"/>
        <v>9175.290430609035</v>
      </c>
      <c r="Q185" s="84">
        <f t="shared" si="223"/>
        <v>9094.5302694180282</v>
      </c>
      <c r="R185" s="84">
        <f t="shared" si="223"/>
        <v>9032.5194053724936</v>
      </c>
      <c r="S185" s="84">
        <f t="shared" si="223"/>
        <v>8983.2652053459606</v>
      </c>
      <c r="T185" s="84">
        <f t="shared" si="223"/>
        <v>8932.690343710201</v>
      </c>
      <c r="U185" s="84">
        <f t="shared" si="223"/>
        <v>8866.7663030463391</v>
      </c>
      <c r="V185" s="84">
        <f t="shared" si="223"/>
        <v>8598.9612202850985</v>
      </c>
      <c r="W185" s="84">
        <f t="shared" si="221"/>
        <v>8765.4257339733831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17220.015300228268</v>
      </c>
      <c r="C186" s="84">
        <f t="shared" si="223"/>
        <v>17176.576974267253</v>
      </c>
      <c r="D186" s="84">
        <f t="shared" si="223"/>
        <v>17131.738461297413</v>
      </c>
      <c r="E186" s="84">
        <f t="shared" si="223"/>
        <v>17032.921063073441</v>
      </c>
      <c r="F186" s="84">
        <f t="shared" si="223"/>
        <v>16631.496905764136</v>
      </c>
      <c r="G186" s="84">
        <f t="shared" si="223"/>
        <v>16890.291140356101</v>
      </c>
      <c r="H186" s="84">
        <f t="shared" si="223"/>
        <v>16485.791625190512</v>
      </c>
      <c r="I186" s="84">
        <f t="shared" si="223"/>
        <v>16393.052252791153</v>
      </c>
      <c r="J186" s="84">
        <f t="shared" si="223"/>
        <v>16515.616097850281</v>
      </c>
      <c r="K186" s="84">
        <f t="shared" si="223"/>
        <v>15997.653369214286</v>
      </c>
      <c r="L186" s="84">
        <f t="shared" si="223"/>
        <v>16048.666219554392</v>
      </c>
      <c r="M186" s="84">
        <f t="shared" si="222"/>
        <v>15981.575035183385</v>
      </c>
      <c r="N186" s="84">
        <f t="shared" si="223"/>
        <v>15680.500417818839</v>
      </c>
      <c r="O186" s="84">
        <f t="shared" si="223"/>
        <v>15787.246756614059</v>
      </c>
      <c r="P186" s="84">
        <f t="shared" si="223"/>
        <v>15527.653091892926</v>
      </c>
      <c r="Q186" s="84">
        <f t="shared" si="223"/>
        <v>15391.078697782932</v>
      </c>
      <c r="R186" s="84">
        <f t="shared" si="223"/>
        <v>15286.134950237036</v>
      </c>
      <c r="S186" s="84">
        <f t="shared" si="223"/>
        <v>15202.779873465905</v>
      </c>
      <c r="T186" s="84">
        <f t="shared" si="223"/>
        <v>15117.189782223591</v>
      </c>
      <c r="U186" s="84">
        <f t="shared" si="223"/>
        <v>15005.623591571035</v>
      </c>
      <c r="V186" s="84">
        <f t="shared" si="223"/>
        <v>14552.405120430769</v>
      </c>
      <c r="W186" s="84">
        <f t="shared" si="221"/>
        <v>14834.120432235268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0</v>
      </c>
      <c r="T187" s="84">
        <f t="shared" si="223"/>
        <v>0</v>
      </c>
      <c r="U187" s="84">
        <f t="shared" si="223"/>
        <v>0</v>
      </c>
      <c r="V187" s="84">
        <f t="shared" si="223"/>
        <v>0</v>
      </c>
      <c r="W187" s="84">
        <f t="shared" si="221"/>
        <v>0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15276.139256015291</v>
      </c>
      <c r="D188" s="84">
        <f t="shared" si="223"/>
        <v>15190.445566456963</v>
      </c>
      <c r="E188" s="84">
        <f t="shared" si="223"/>
        <v>14963.310155015728</v>
      </c>
      <c r="F188" s="84">
        <f t="shared" si="223"/>
        <v>13970.725239769445</v>
      </c>
      <c r="G188" s="84">
        <f t="shared" si="223"/>
        <v>14652.84103750247</v>
      </c>
      <c r="H188" s="84">
        <f t="shared" si="223"/>
        <v>13647.984579071221</v>
      </c>
      <c r="I188" s="84">
        <f t="shared" si="223"/>
        <v>13438.543828077933</v>
      </c>
      <c r="J188" s="84">
        <f t="shared" si="223"/>
        <v>13756.835904249179</v>
      </c>
      <c r="K188" s="84">
        <f t="shared" si="223"/>
        <v>12512.099370251775</v>
      </c>
      <c r="L188" s="84">
        <f t="shared" si="223"/>
        <v>12640.403340040864</v>
      </c>
      <c r="M188" s="84">
        <f t="shared" si="222"/>
        <v>12490.788430460403</v>
      </c>
      <c r="N188" s="84">
        <f t="shared" si="223"/>
        <v>11804.253039858226</v>
      </c>
      <c r="O188" s="84">
        <f t="shared" si="223"/>
        <v>12045.197859873821</v>
      </c>
      <c r="P188" s="84">
        <f t="shared" si="223"/>
        <v>11460.830928055393</v>
      </c>
      <c r="Q188" s="84">
        <f t="shared" si="223"/>
        <v>11160.696582907181</v>
      </c>
      <c r="R188" s="84">
        <f t="shared" si="223"/>
        <v>10933.952755495193</v>
      </c>
      <c r="S188" s="84">
        <f t="shared" si="223"/>
        <v>10756.058280406673</v>
      </c>
      <c r="T188" s="84">
        <f t="shared" si="223"/>
        <v>10575.412610490996</v>
      </c>
      <c r="U188" s="84">
        <f t="shared" si="223"/>
        <v>10342.993924715121</v>
      </c>
      <c r="V188" s="84">
        <f t="shared" si="223"/>
        <v>10030.601982789723</v>
      </c>
      <c r="W188" s="84">
        <f t="shared" si="221"/>
        <v>9992.3934645306854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8492.9404736695778</v>
      </c>
      <c r="C189" s="84">
        <f t="shared" si="223"/>
        <v>8498.143144013975</v>
      </c>
      <c r="D189" s="84">
        <f t="shared" si="223"/>
        <v>8502.8090924749868</v>
      </c>
      <c r="E189" s="84">
        <f t="shared" si="223"/>
        <v>8514.7862161263765</v>
      </c>
      <c r="F189" s="84">
        <f t="shared" si="223"/>
        <v>8619.8524602132966</v>
      </c>
      <c r="G189" s="84">
        <f t="shared" si="223"/>
        <v>8717.5515261557921</v>
      </c>
      <c r="H189" s="84">
        <f t="shared" si="223"/>
        <v>8827.5619497495554</v>
      </c>
      <c r="I189" s="84">
        <f t="shared" si="223"/>
        <v>8840.3409700468601</v>
      </c>
      <c r="J189" s="84">
        <f t="shared" si="223"/>
        <v>8996.8547803948768</v>
      </c>
      <c r="K189" s="84">
        <f t="shared" si="223"/>
        <v>9106.5742882121685</v>
      </c>
      <c r="L189" s="84">
        <f t="shared" si="223"/>
        <v>9185.0771695961648</v>
      </c>
      <c r="M189" s="84">
        <f t="shared" si="222"/>
        <v>9220.2628887899864</v>
      </c>
      <c r="N189" s="84">
        <f t="shared" si="223"/>
        <v>9268.5717918973332</v>
      </c>
      <c r="O189" s="84">
        <f t="shared" si="223"/>
        <v>9360.7661696378509</v>
      </c>
      <c r="P189" s="84">
        <f t="shared" si="223"/>
        <v>9400.9291037350195</v>
      </c>
      <c r="Q189" s="84">
        <f t="shared" si="223"/>
        <v>9402.3451400752529</v>
      </c>
      <c r="R189" s="84">
        <f t="shared" si="223"/>
        <v>9363.8267008314269</v>
      </c>
      <c r="S189" s="84">
        <f t="shared" si="223"/>
        <v>9333.1567150585834</v>
      </c>
      <c r="T189" s="84">
        <f t="shared" si="223"/>
        <v>9301.594293947921</v>
      </c>
      <c r="U189" s="84">
        <f t="shared" si="223"/>
        <v>9260.3453389343977</v>
      </c>
      <c r="V189" s="84">
        <f t="shared" si="223"/>
        <v>8980.6528935567694</v>
      </c>
      <c r="W189" s="84">
        <f t="shared" si="221"/>
        <v>9196.6960686490711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32492.700885770268</v>
      </c>
      <c r="C190" s="110">
        <f t="shared" si="223"/>
        <v>31876.380479563973</v>
      </c>
      <c r="D190" s="110">
        <f t="shared" si="223"/>
        <v>30979.683724178885</v>
      </c>
      <c r="E190" s="110">
        <f t="shared" si="223"/>
        <v>29442.841256083673</v>
      </c>
      <c r="F190" s="110">
        <f t="shared" si="223"/>
        <v>27949.055493448272</v>
      </c>
      <c r="G190" s="110">
        <f t="shared" si="223"/>
        <v>27094.655049416251</v>
      </c>
      <c r="H190" s="110">
        <f t="shared" si="223"/>
        <v>24690.125578677751</v>
      </c>
      <c r="I190" s="110">
        <f t="shared" si="223"/>
        <v>23092.356403577385</v>
      </c>
      <c r="J190" s="110">
        <f t="shared" si="223"/>
        <v>21877.11760464936</v>
      </c>
      <c r="K190" s="110">
        <f t="shared" si="223"/>
        <v>18044.356174830682</v>
      </c>
      <c r="L190" s="110">
        <f t="shared" si="223"/>
        <v>18851.723762863519</v>
      </c>
      <c r="M190" s="110">
        <f t="shared" si="222"/>
        <v>16548.913066093697</v>
      </c>
      <c r="N190" s="110">
        <f t="shared" si="223"/>
        <v>14403.556553223596</v>
      </c>
      <c r="O190" s="110">
        <f t="shared" si="223"/>
        <v>13929.523980902415</v>
      </c>
      <c r="P190" s="110">
        <f t="shared" si="223"/>
        <v>12622.29235450996</v>
      </c>
      <c r="Q190" s="110">
        <f t="shared" si="223"/>
        <v>11132.315659269907</v>
      </c>
      <c r="R190" s="110">
        <f t="shared" si="223"/>
        <v>12317.818851926724</v>
      </c>
      <c r="S190" s="110">
        <f t="shared" si="223"/>
        <v>12347.172729485224</v>
      </c>
      <c r="T190" s="110">
        <f t="shared" si="223"/>
        <v>11600.373945789712</v>
      </c>
      <c r="U190" s="110">
        <f t="shared" si="223"/>
        <v>11139.933682619343</v>
      </c>
      <c r="V190" s="110">
        <f t="shared" si="223"/>
        <v>10437.023235258239</v>
      </c>
      <c r="W190" s="110">
        <f t="shared" si="221"/>
        <v>10460.01818020793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32030.730590234172</v>
      </c>
      <c r="C191" s="102">
        <f t="shared" si="223"/>
        <v>31400.898371701292</v>
      </c>
      <c r="D191" s="102">
        <f t="shared" si="223"/>
        <v>30497.143389844052</v>
      </c>
      <c r="E191" s="102">
        <f t="shared" si="223"/>
        <v>28965.344362975498</v>
      </c>
      <c r="F191" s="102">
        <f t="shared" si="223"/>
        <v>27405.323319246119</v>
      </c>
      <c r="G191" s="102">
        <f t="shared" si="223"/>
        <v>26558.86587661978</v>
      </c>
      <c r="H191" s="102">
        <f t="shared" si="223"/>
        <v>24126.930471341348</v>
      </c>
      <c r="I191" s="102">
        <f t="shared" si="223"/>
        <v>22539.325399175006</v>
      </c>
      <c r="J191" s="102">
        <f t="shared" si="223"/>
        <v>21349.65795600622</v>
      </c>
      <c r="K191" s="102">
        <f t="shared" si="223"/>
        <v>17554.901593889805</v>
      </c>
      <c r="L191" s="102">
        <f t="shared" si="223"/>
        <v>18260.187454005838</v>
      </c>
      <c r="M191" s="102">
        <f t="shared" si="222"/>
        <v>16175.778819744768</v>
      </c>
      <c r="N191" s="102">
        <f t="shared" si="223"/>
        <v>13946.006536280725</v>
      </c>
      <c r="O191" s="102">
        <f t="shared" si="223"/>
        <v>13545.755406757486</v>
      </c>
      <c r="P191" s="102">
        <f t="shared" si="223"/>
        <v>12137.517874206249</v>
      </c>
      <c r="Q191" s="102">
        <f t="shared" si="223"/>
        <v>10584.965538085507</v>
      </c>
      <c r="R191" s="102">
        <f t="shared" si="223"/>
        <v>11879.65830151282</v>
      </c>
      <c r="S191" s="102">
        <f t="shared" si="223"/>
        <v>11927.158486913004</v>
      </c>
      <c r="T191" s="102">
        <f t="shared" si="223"/>
        <v>11138.088727547027</v>
      </c>
      <c r="U191" s="102">
        <f t="shared" si="223"/>
        <v>10765.203863209235</v>
      </c>
      <c r="V191" s="102">
        <f t="shared" si="223"/>
        <v>10060.728409974683</v>
      </c>
      <c r="W191" s="102">
        <f t="shared" si="221"/>
        <v>9996.0102224570564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85044.733580493732</v>
      </c>
      <c r="C192" s="86">
        <f t="shared" si="223"/>
        <v>84969.398291691992</v>
      </c>
      <c r="D192" s="86">
        <f t="shared" si="223"/>
        <v>84978.895594325106</v>
      </c>
      <c r="E192" s="86">
        <f t="shared" si="223"/>
        <v>85059.030477449938</v>
      </c>
      <c r="F192" s="86">
        <f t="shared" si="223"/>
        <v>84971.792532893116</v>
      </c>
      <c r="G192" s="86">
        <f t="shared" si="223"/>
        <v>85030.468716234682</v>
      </c>
      <c r="H192" s="86">
        <f t="shared" si="223"/>
        <v>85001.695749614417</v>
      </c>
      <c r="I192" s="86">
        <f t="shared" si="223"/>
        <v>85015.940713092132</v>
      </c>
      <c r="J192" s="86">
        <f t="shared" si="223"/>
        <v>85037.713615423243</v>
      </c>
      <c r="K192" s="86">
        <f t="shared" si="223"/>
        <v>85037.526022959762</v>
      </c>
      <c r="L192" s="86">
        <f t="shared" si="223"/>
        <v>84988.79911947684</v>
      </c>
      <c r="M192" s="86">
        <f t="shared" si="222"/>
        <v>84949.246775803447</v>
      </c>
      <c r="N192" s="86">
        <f t="shared" si="223"/>
        <v>85034.370236066607</v>
      </c>
      <c r="O192" s="86">
        <f t="shared" si="223"/>
        <v>84977.912481570413</v>
      </c>
      <c r="P192" s="86">
        <f t="shared" si="223"/>
        <v>85023.949782784461</v>
      </c>
      <c r="Q192" s="86">
        <f t="shared" si="223"/>
        <v>84984.307143225524</v>
      </c>
      <c r="R192" s="86">
        <f t="shared" si="223"/>
        <v>84999.541162549081</v>
      </c>
      <c r="S192" s="86">
        <f t="shared" si="223"/>
        <v>85040.617723963253</v>
      </c>
      <c r="T192" s="86">
        <f t="shared" si="223"/>
        <v>84981.341310770542</v>
      </c>
      <c r="U192" s="86">
        <f t="shared" si="223"/>
        <v>85046.473418304231</v>
      </c>
      <c r="V192" s="86">
        <f t="shared" ref="V192:W192" si="224">IF(V55=0,0,V55*1000000/V82)</f>
        <v>84996.450042999699</v>
      </c>
      <c r="W192" s="86">
        <f t="shared" si="224"/>
        <v>84972.063163658459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27503.77107265433</v>
      </c>
      <c r="C195" s="28">
        <f t="shared" si="225"/>
        <v>27603.997816610536</v>
      </c>
      <c r="D195" s="28">
        <f t="shared" si="225"/>
        <v>27552.057696483833</v>
      </c>
      <c r="E195" s="28">
        <f t="shared" si="225"/>
        <v>26938.947534131101</v>
      </c>
      <c r="F195" s="28">
        <f t="shared" si="225"/>
        <v>26414.95578441906</v>
      </c>
      <c r="G195" s="28">
        <f t="shared" si="225"/>
        <v>25647.669784978385</v>
      </c>
      <c r="H195" s="28">
        <f t="shared" si="225"/>
        <v>24831.623700033317</v>
      </c>
      <c r="I195" s="28">
        <f t="shared" si="225"/>
        <v>24414.996187946679</v>
      </c>
      <c r="J195" s="28">
        <f t="shared" si="225"/>
        <v>22922.27382274816</v>
      </c>
      <c r="K195" s="28">
        <f t="shared" si="225"/>
        <v>22421.049860410931</v>
      </c>
      <c r="L195" s="28">
        <f t="shared" si="225"/>
        <v>21756.391442999062</v>
      </c>
      <c r="M195" s="28">
        <f>IF(M4=0,0,M4*1000000/M58)</f>
        <v>21158.743256725433</v>
      </c>
      <c r="N195" s="28">
        <f t="shared" ref="N195:V195" si="226">IF(N4=0,0,N4*1000000/N58)</f>
        <v>20498.212300337946</v>
      </c>
      <c r="O195" s="28">
        <f t="shared" si="226"/>
        <v>19975.13410355903</v>
      </c>
      <c r="P195" s="28">
        <f t="shared" si="226"/>
        <v>19648.505561022714</v>
      </c>
      <c r="Q195" s="28">
        <f t="shared" si="226"/>
        <v>19461.767060538172</v>
      </c>
      <c r="R195" s="28">
        <f t="shared" si="226"/>
        <v>16811.325656723053</v>
      </c>
      <c r="S195" s="28">
        <f t="shared" si="226"/>
        <v>18791.496705500202</v>
      </c>
      <c r="T195" s="28">
        <f t="shared" si="226"/>
        <v>18392.783504048257</v>
      </c>
      <c r="U195" s="28">
        <f t="shared" si="226"/>
        <v>17990.200639230014</v>
      </c>
      <c r="V195" s="28">
        <f t="shared" si="226"/>
        <v>16777.835277878166</v>
      </c>
      <c r="W195" s="28">
        <f t="shared" ref="W195" si="227">IF(W4=0,0,W4*1000000/W58)</f>
        <v>16315.750503147356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4673.0556782991107</v>
      </c>
      <c r="C196" s="137">
        <f t="shared" si="228"/>
        <v>4382.6432901365679</v>
      </c>
      <c r="D196" s="137">
        <f t="shared" si="228"/>
        <v>4041.9961908081627</v>
      </c>
      <c r="E196" s="137">
        <f t="shared" si="228"/>
        <v>3684.3652253222017</v>
      </c>
      <c r="F196" s="137">
        <f t="shared" si="228"/>
        <v>3327.6828355468128</v>
      </c>
      <c r="G196" s="137">
        <f t="shared" si="228"/>
        <v>2993.2546006541897</v>
      </c>
      <c r="H196" s="137">
        <f t="shared" si="228"/>
        <v>2669.9656891784321</v>
      </c>
      <c r="I196" s="137">
        <f t="shared" si="228"/>
        <v>2403.730857678177</v>
      </c>
      <c r="J196" s="137">
        <f t="shared" si="228"/>
        <v>2148.1930947313249</v>
      </c>
      <c r="K196" s="137">
        <f t="shared" si="228"/>
        <v>1985.967638566003</v>
      </c>
      <c r="L196" s="137">
        <f t="shared" si="228"/>
        <v>2477.4011646387089</v>
      </c>
      <c r="M196" s="137">
        <f>IF(M5=0,0,M5*1000000/M59)</f>
        <v>2337.1843632896757</v>
      </c>
      <c r="N196" s="137">
        <f t="shared" ref="N196:V196" si="229">IF(N5=0,0,N5*1000000/N59)</f>
        <v>2225.6130920023907</v>
      </c>
      <c r="O196" s="137">
        <f t="shared" si="229"/>
        <v>2159.3176586374329</v>
      </c>
      <c r="P196" s="137">
        <f t="shared" si="229"/>
        <v>2110.9182111028977</v>
      </c>
      <c r="Q196" s="137">
        <f t="shared" si="229"/>
        <v>2067.4247485369383</v>
      </c>
      <c r="R196" s="137">
        <f t="shared" si="229"/>
        <v>2084.2379164412282</v>
      </c>
      <c r="S196" s="137">
        <f t="shared" si="229"/>
        <v>1928.3807355265717</v>
      </c>
      <c r="T196" s="137">
        <f t="shared" si="229"/>
        <v>1806.5979434705032</v>
      </c>
      <c r="U196" s="137">
        <f t="shared" si="229"/>
        <v>1886.7738096224721</v>
      </c>
      <c r="V196" s="137">
        <f t="shared" si="229"/>
        <v>1654.8747116545812</v>
      </c>
      <c r="W196" s="137">
        <f t="shared" ref="W196" si="230">IF(W5=0,0,W5*1000000/W59)</f>
        <v>1690.368134782831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26092.317147664715</v>
      </c>
      <c r="C197" s="110">
        <f t="shared" si="231"/>
        <v>26381.524046759168</v>
      </c>
      <c r="D197" s="110">
        <f t="shared" si="231"/>
        <v>26564.200843584244</v>
      </c>
      <c r="E197" s="110">
        <f t="shared" si="231"/>
        <v>26198.277745708321</v>
      </c>
      <c r="F197" s="110">
        <f t="shared" si="231"/>
        <v>25968.093420365225</v>
      </c>
      <c r="G197" s="110">
        <f t="shared" si="231"/>
        <v>25473.749611680647</v>
      </c>
      <c r="H197" s="110">
        <f t="shared" si="231"/>
        <v>24926.732448814488</v>
      </c>
      <c r="I197" s="110">
        <f t="shared" si="231"/>
        <v>24815.628652217823</v>
      </c>
      <c r="J197" s="110">
        <f t="shared" si="231"/>
        <v>23477.203413303945</v>
      </c>
      <c r="K197" s="110">
        <f t="shared" si="231"/>
        <v>23168.089477156762</v>
      </c>
      <c r="L197" s="110">
        <f t="shared" si="231"/>
        <v>22500.559516577679</v>
      </c>
      <c r="M197" s="110">
        <f>IF(M6=0,0,M6*1000000/M60)</f>
        <v>21985.887269368912</v>
      </c>
      <c r="N197" s="110">
        <f t="shared" ref="N197:V197" si="232">IF(N6=0,0,N6*1000000/N60)</f>
        <v>21347.617845261004</v>
      </c>
      <c r="O197" s="110">
        <f t="shared" si="232"/>
        <v>20820.816275761423</v>
      </c>
      <c r="P197" s="110">
        <f t="shared" si="232"/>
        <v>20507.363182522415</v>
      </c>
      <c r="Q197" s="110">
        <f t="shared" si="232"/>
        <v>20350.990504917612</v>
      </c>
      <c r="R197" s="110">
        <f t="shared" si="232"/>
        <v>17037.03371632738</v>
      </c>
      <c r="S197" s="110">
        <f t="shared" si="232"/>
        <v>19459.844477841478</v>
      </c>
      <c r="T197" s="110">
        <f t="shared" si="232"/>
        <v>19113.91550275893</v>
      </c>
      <c r="U197" s="110">
        <f t="shared" si="232"/>
        <v>18687.562420095281</v>
      </c>
      <c r="V197" s="110">
        <f t="shared" si="232"/>
        <v>17644.544188572556</v>
      </c>
      <c r="W197" s="110">
        <f t="shared" ref="W197:W209" si="233">IF(W6=0,0,W6*1000000/W60)</f>
        <v>17343.1021901393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23876.925510838213</v>
      </c>
      <c r="C198" s="84">
        <f t="shared" si="231"/>
        <v>24072.375795587246</v>
      </c>
      <c r="D198" s="84">
        <f t="shared" si="231"/>
        <v>24175.268253205773</v>
      </c>
      <c r="E198" s="84">
        <f t="shared" si="231"/>
        <v>23724.969980534821</v>
      </c>
      <c r="F198" s="84">
        <f t="shared" si="231"/>
        <v>23515.981435205107</v>
      </c>
      <c r="G198" s="84">
        <f t="shared" si="231"/>
        <v>22902.012630885569</v>
      </c>
      <c r="H198" s="84">
        <f t="shared" si="231"/>
        <v>22198.0381634246</v>
      </c>
      <c r="I198" s="84">
        <f t="shared" si="231"/>
        <v>21857.923908245066</v>
      </c>
      <c r="J198" s="84">
        <f t="shared" si="231"/>
        <v>20103.239216763057</v>
      </c>
      <c r="K198" s="84">
        <f t="shared" si="231"/>
        <v>19547.382082221215</v>
      </c>
      <c r="L198" s="84">
        <f t="shared" si="231"/>
        <v>18593.868379523887</v>
      </c>
      <c r="M198" s="84">
        <f t="shared" ref="M198:M219" si="234">IF(M7=0,0,M7*1000000/M61)</f>
        <v>17449.351120177111</v>
      </c>
      <c r="N198" s="84">
        <f t="shared" si="231"/>
        <v>16634.021424850678</v>
      </c>
      <c r="O198" s="84">
        <f t="shared" si="231"/>
        <v>16312.169637348125</v>
      </c>
      <c r="P198" s="84">
        <f t="shared" si="231"/>
        <v>15851.623172217624</v>
      </c>
      <c r="Q198" s="84">
        <f t="shared" si="231"/>
        <v>15559.656222204147</v>
      </c>
      <c r="R198" s="84">
        <f t="shared" si="231"/>
        <v>12975.541167310099</v>
      </c>
      <c r="S198" s="84">
        <f t="shared" si="231"/>
        <v>14578.416220384217</v>
      </c>
      <c r="T198" s="84">
        <f t="shared" si="231"/>
        <v>14256.239273468547</v>
      </c>
      <c r="U198" s="84">
        <f t="shared" si="231"/>
        <v>13960.492734630003</v>
      </c>
      <c r="V198" s="84">
        <f t="shared" si="231"/>
        <v>13319.636044533085</v>
      </c>
      <c r="W198" s="84">
        <f t="shared" si="233"/>
        <v>13144.532941340431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45431.262158040809</v>
      </c>
      <c r="C199" s="84">
        <f t="shared" si="231"/>
        <v>45617.74162775882</v>
      </c>
      <c r="D199" s="84">
        <f t="shared" si="231"/>
        <v>45606.816809841104</v>
      </c>
      <c r="E199" s="84">
        <f t="shared" si="231"/>
        <v>44888.648246222314</v>
      </c>
      <c r="F199" s="84">
        <f t="shared" si="231"/>
        <v>44376.796411829491</v>
      </c>
      <c r="G199" s="84">
        <f t="shared" si="231"/>
        <v>43527.175523296457</v>
      </c>
      <c r="H199" s="84">
        <f t="shared" si="231"/>
        <v>42655.074299292217</v>
      </c>
      <c r="I199" s="84">
        <f t="shared" si="231"/>
        <v>42275.213375797619</v>
      </c>
      <c r="J199" s="84">
        <f t="shared" si="231"/>
        <v>40356.076855838903</v>
      </c>
      <c r="K199" s="84">
        <f t="shared" si="231"/>
        <v>39756.821054458167</v>
      </c>
      <c r="L199" s="84">
        <f t="shared" si="231"/>
        <v>38709.409480903923</v>
      </c>
      <c r="M199" s="84">
        <f t="shared" si="234"/>
        <v>39202.016198495759</v>
      </c>
      <c r="N199" s="84">
        <f t="shared" si="231"/>
        <v>38185.505577736716</v>
      </c>
      <c r="O199" s="84">
        <f t="shared" si="231"/>
        <v>36164.298952807243</v>
      </c>
      <c r="P199" s="84">
        <f t="shared" si="231"/>
        <v>35647.155302731437</v>
      </c>
      <c r="Q199" s="84">
        <f t="shared" si="231"/>
        <v>35322.090021118376</v>
      </c>
      <c r="R199" s="84">
        <f t="shared" si="231"/>
        <v>29258.929657083558</v>
      </c>
      <c r="S199" s="84">
        <f t="shared" si="231"/>
        <v>33689.537532763745</v>
      </c>
      <c r="T199" s="84">
        <f t="shared" si="231"/>
        <v>32924.662445581002</v>
      </c>
      <c r="U199" s="84">
        <f t="shared" si="231"/>
        <v>32010.586884720651</v>
      </c>
      <c r="V199" s="84">
        <f t="shared" si="231"/>
        <v>29828.885330963472</v>
      </c>
      <c r="W199" s="84">
        <f t="shared" si="233"/>
        <v>29195.620124621357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0</v>
      </c>
      <c r="C200" s="84">
        <f t="shared" si="231"/>
        <v>0</v>
      </c>
      <c r="D200" s="84">
        <f t="shared" si="231"/>
        <v>0</v>
      </c>
      <c r="E200" s="84">
        <f t="shared" si="231"/>
        <v>0</v>
      </c>
      <c r="F200" s="84">
        <f t="shared" si="231"/>
        <v>0</v>
      </c>
      <c r="G200" s="84">
        <f t="shared" si="231"/>
        <v>0</v>
      </c>
      <c r="H200" s="84">
        <f t="shared" si="231"/>
        <v>0</v>
      </c>
      <c r="I200" s="84">
        <f t="shared" si="231"/>
        <v>0</v>
      </c>
      <c r="J200" s="84">
        <f t="shared" si="231"/>
        <v>0</v>
      </c>
      <c r="K200" s="84">
        <f t="shared" si="231"/>
        <v>0</v>
      </c>
      <c r="L200" s="84">
        <f t="shared" si="231"/>
        <v>0</v>
      </c>
      <c r="M200" s="84">
        <f t="shared" si="234"/>
        <v>0</v>
      </c>
      <c r="N200" s="84">
        <f t="shared" si="231"/>
        <v>0</v>
      </c>
      <c r="O200" s="84">
        <f t="shared" si="231"/>
        <v>0</v>
      </c>
      <c r="P200" s="84">
        <f t="shared" si="231"/>
        <v>0</v>
      </c>
      <c r="Q200" s="84">
        <f t="shared" si="231"/>
        <v>0</v>
      </c>
      <c r="R200" s="84">
        <f t="shared" si="231"/>
        <v>0</v>
      </c>
      <c r="S200" s="84">
        <f t="shared" si="231"/>
        <v>0</v>
      </c>
      <c r="T200" s="84">
        <f t="shared" si="231"/>
        <v>0</v>
      </c>
      <c r="U200" s="84">
        <f t="shared" si="231"/>
        <v>0</v>
      </c>
      <c r="V200" s="84">
        <f t="shared" si="231"/>
        <v>0</v>
      </c>
      <c r="W200" s="84">
        <f t="shared" si="233"/>
        <v>0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21080.396450485638</v>
      </c>
      <c r="I201" s="84">
        <f t="shared" si="231"/>
        <v>20952.047344680035</v>
      </c>
      <c r="J201" s="84">
        <f t="shared" si="231"/>
        <v>20401.685973028161</v>
      </c>
      <c r="K201" s="84">
        <f t="shared" si="231"/>
        <v>20213.284841085984</v>
      </c>
      <c r="L201" s="84">
        <f t="shared" si="231"/>
        <v>19897.455794480502</v>
      </c>
      <c r="M201" s="84">
        <f t="shared" si="234"/>
        <v>19627.931657707526</v>
      </c>
      <c r="N201" s="84">
        <f t="shared" si="231"/>
        <v>19353.204831158924</v>
      </c>
      <c r="O201" s="84">
        <f t="shared" si="231"/>
        <v>19120.764477835157</v>
      </c>
      <c r="P201" s="84">
        <f t="shared" si="231"/>
        <v>18955.333237835821</v>
      </c>
      <c r="Q201" s="84">
        <f t="shared" si="231"/>
        <v>18843.79824377656</v>
      </c>
      <c r="R201" s="84">
        <f t="shared" si="231"/>
        <v>15159.155176704471</v>
      </c>
      <c r="S201" s="84">
        <f t="shared" si="231"/>
        <v>17634.73033917051</v>
      </c>
      <c r="T201" s="84">
        <f t="shared" si="231"/>
        <v>17163.71562296656</v>
      </c>
      <c r="U201" s="84">
        <f t="shared" si="231"/>
        <v>16592.651897595842</v>
      </c>
      <c r="V201" s="84">
        <f t="shared" si="231"/>
        <v>15242.151938102754</v>
      </c>
      <c r="W201" s="84">
        <f t="shared" si="233"/>
        <v>14835.321005826931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16087.784795330861</v>
      </c>
      <c r="O202" s="84">
        <f t="shared" si="231"/>
        <v>15894.563547757283</v>
      </c>
      <c r="P202" s="84">
        <f t="shared" si="231"/>
        <v>15757.045125834262</v>
      </c>
      <c r="Q202" s="84">
        <f t="shared" si="231"/>
        <v>15664.329164977746</v>
      </c>
      <c r="R202" s="84">
        <f t="shared" si="231"/>
        <v>12601.387123707887</v>
      </c>
      <c r="S202" s="84">
        <f t="shared" si="231"/>
        <v>14659.264400669197</v>
      </c>
      <c r="T202" s="84">
        <f t="shared" si="231"/>
        <v>14267.722872750111</v>
      </c>
      <c r="U202" s="84">
        <f t="shared" si="231"/>
        <v>13793.013366064552</v>
      </c>
      <c r="V202" s="84">
        <f t="shared" si="231"/>
        <v>12670.380039751184</v>
      </c>
      <c r="W202" s="84">
        <f t="shared" si="233"/>
        <v>12332.192719168514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18776.395082293377</v>
      </c>
      <c r="J203" s="84">
        <f t="shared" si="231"/>
        <v>19325.50123315673</v>
      </c>
      <c r="K203" s="84">
        <f t="shared" si="231"/>
        <v>19402.196341829203</v>
      </c>
      <c r="L203" s="84">
        <f t="shared" si="231"/>
        <v>19666.264117691131</v>
      </c>
      <c r="M203" s="84">
        <f t="shared" si="234"/>
        <v>19850.78977499446</v>
      </c>
      <c r="N203" s="84">
        <f t="shared" si="231"/>
        <v>20161.273803267653</v>
      </c>
      <c r="O203" s="84">
        <f t="shared" si="231"/>
        <v>20422.973676793823</v>
      </c>
      <c r="P203" s="84">
        <f t="shared" si="231"/>
        <v>20506.807273514747</v>
      </c>
      <c r="Q203" s="84">
        <f t="shared" si="231"/>
        <v>20618.778843137719</v>
      </c>
      <c r="R203" s="84">
        <f t="shared" si="231"/>
        <v>18390.792291446287</v>
      </c>
      <c r="S203" s="84">
        <f t="shared" si="231"/>
        <v>20190.925855034737</v>
      </c>
      <c r="T203" s="84">
        <f t="shared" si="231"/>
        <v>20185.312079467563</v>
      </c>
      <c r="U203" s="84">
        <f t="shared" si="231"/>
        <v>20144.025505027173</v>
      </c>
      <c r="V203" s="84">
        <f t="shared" si="231"/>
        <v>19150.234263827777</v>
      </c>
      <c r="W203" s="84">
        <f t="shared" si="233"/>
        <v>20103.305172019675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781567.19447827863</v>
      </c>
      <c r="C204" s="110">
        <f t="shared" si="231"/>
        <v>788207.59545501089</v>
      </c>
      <c r="D204" s="110">
        <f t="shared" si="231"/>
        <v>769615.19240379822</v>
      </c>
      <c r="E204" s="110">
        <f t="shared" si="231"/>
        <v>740490.4421703032</v>
      </c>
      <c r="F204" s="110">
        <f t="shared" si="231"/>
        <v>709686.45016797318</v>
      </c>
      <c r="G204" s="110">
        <f t="shared" si="231"/>
        <v>690412.96584561851</v>
      </c>
      <c r="H204" s="110">
        <f t="shared" si="231"/>
        <v>673876.12834033428</v>
      </c>
      <c r="I204" s="110">
        <f t="shared" si="231"/>
        <v>653209.73750324873</v>
      </c>
      <c r="J204" s="110">
        <f t="shared" si="231"/>
        <v>614206.58194851747</v>
      </c>
      <c r="K204" s="110">
        <f t="shared" si="231"/>
        <v>579242.52900053782</v>
      </c>
      <c r="L204" s="110">
        <f t="shared" si="231"/>
        <v>552380.95238095231</v>
      </c>
      <c r="M204" s="110">
        <f t="shared" si="234"/>
        <v>530015.46464220446</v>
      </c>
      <c r="N204" s="110">
        <f t="shared" si="231"/>
        <v>505023.44273275277</v>
      </c>
      <c r="O204" s="110">
        <f t="shared" si="231"/>
        <v>485324.4078269825</v>
      </c>
      <c r="P204" s="110">
        <f t="shared" si="231"/>
        <v>463971.44791089772</v>
      </c>
      <c r="Q204" s="110">
        <f t="shared" si="231"/>
        <v>447318.46226862835</v>
      </c>
      <c r="R204" s="110">
        <f t="shared" si="231"/>
        <v>470745.89416058396</v>
      </c>
      <c r="S204" s="110">
        <f t="shared" si="231"/>
        <v>454540.43610267731</v>
      </c>
      <c r="T204" s="110">
        <f t="shared" si="231"/>
        <v>431988.76829202438</v>
      </c>
      <c r="U204" s="110">
        <f t="shared" si="231"/>
        <v>412812.87558133464</v>
      </c>
      <c r="V204" s="110">
        <f t="shared" si="231"/>
        <v>352660.51239497971</v>
      </c>
      <c r="W204" s="110">
        <f t="shared" si="233"/>
        <v>307314.0749846343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145256.083322975</v>
      </c>
      <c r="C205" s="102">
        <f t="shared" si="231"/>
        <v>147245.12019131848</v>
      </c>
      <c r="D205" s="102">
        <f t="shared" si="231"/>
        <v>144291.00371526778</v>
      </c>
      <c r="E205" s="102">
        <f t="shared" si="231"/>
        <v>139260.36994426695</v>
      </c>
      <c r="F205" s="102">
        <f t="shared" si="231"/>
        <v>133884.84233041716</v>
      </c>
      <c r="G205" s="102">
        <f t="shared" si="231"/>
        <v>130749.69504382987</v>
      </c>
      <c r="H205" s="102">
        <f t="shared" si="231"/>
        <v>128076.50130782988</v>
      </c>
      <c r="I205" s="102">
        <f t="shared" si="231"/>
        <v>124553.87392455054</v>
      </c>
      <c r="J205" s="102">
        <f t="shared" si="231"/>
        <v>117329.37318050313</v>
      </c>
      <c r="K205" s="102">
        <f t="shared" si="231"/>
        <v>115588.34880116644</v>
      </c>
      <c r="L205" s="102">
        <f t="shared" si="231"/>
        <v>115086.84628945193</v>
      </c>
      <c r="M205" s="102">
        <f t="shared" si="234"/>
        <v>114670.70770091611</v>
      </c>
      <c r="N205" s="102">
        <f t="shared" si="231"/>
        <v>114200.17920207787</v>
      </c>
      <c r="O205" s="102">
        <f t="shared" si="231"/>
        <v>113831.26771243692</v>
      </c>
      <c r="P205" s="102">
        <f t="shared" si="231"/>
        <v>113427.31469663198</v>
      </c>
      <c r="Q205" s="102">
        <f t="shared" si="231"/>
        <v>113113.94066814381</v>
      </c>
      <c r="R205" s="102">
        <f t="shared" si="231"/>
        <v>113373.59820805184</v>
      </c>
      <c r="S205" s="102">
        <f t="shared" si="231"/>
        <v>109902.58346388346</v>
      </c>
      <c r="T205" s="102">
        <f t="shared" si="231"/>
        <v>102409.66038978809</v>
      </c>
      <c r="U205" s="102">
        <f t="shared" si="231"/>
        <v>94871.502154050788</v>
      </c>
      <c r="V205" s="102">
        <f t="shared" si="231"/>
        <v>79645.523460333192</v>
      </c>
      <c r="W205" s="102">
        <f t="shared" si="233"/>
        <v>67482.815514306363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782819.0443146351</v>
      </c>
      <c r="C206" s="102">
        <f t="shared" si="231"/>
        <v>789641.52014605282</v>
      </c>
      <c r="D206" s="102">
        <f t="shared" si="231"/>
        <v>770600.46577680367</v>
      </c>
      <c r="E206" s="102">
        <f t="shared" si="231"/>
        <v>741356.44295559265</v>
      </c>
      <c r="F206" s="102">
        <f t="shared" si="231"/>
        <v>710521.36470402079</v>
      </c>
      <c r="G206" s="102">
        <f t="shared" si="231"/>
        <v>691328.03804668807</v>
      </c>
      <c r="H206" s="102">
        <f t="shared" si="231"/>
        <v>674357.59853309498</v>
      </c>
      <c r="I206" s="102">
        <f t="shared" si="231"/>
        <v>653645.60376996314</v>
      </c>
      <c r="J206" s="102">
        <f t="shared" si="231"/>
        <v>614557.12374903623</v>
      </c>
      <c r="K206" s="102">
        <f t="shared" si="231"/>
        <v>579518.99732970749</v>
      </c>
      <c r="L206" s="102">
        <f t="shared" si="231"/>
        <v>552670.25150822778</v>
      </c>
      <c r="M206" s="102">
        <f t="shared" si="234"/>
        <v>530261.36536677694</v>
      </c>
      <c r="N206" s="102">
        <f t="shared" si="231"/>
        <v>505133.3187996145</v>
      </c>
      <c r="O206" s="102">
        <f t="shared" si="231"/>
        <v>485586.58623229165</v>
      </c>
      <c r="P206" s="102">
        <f t="shared" si="231"/>
        <v>464217.86225094512</v>
      </c>
      <c r="Q206" s="102">
        <f t="shared" si="231"/>
        <v>447555.00435510295</v>
      </c>
      <c r="R206" s="102">
        <f t="shared" si="231"/>
        <v>471106.92356567766</v>
      </c>
      <c r="S206" s="102">
        <f t="shared" si="231"/>
        <v>454984.60499016551</v>
      </c>
      <c r="T206" s="102">
        <f t="shared" si="231"/>
        <v>432496.28420055116</v>
      </c>
      <c r="U206" s="102">
        <f t="shared" si="231"/>
        <v>413150.16751073295</v>
      </c>
      <c r="V206" s="102">
        <f t="shared" si="231"/>
        <v>352831.61424882</v>
      </c>
      <c r="W206" s="102">
        <f t="shared" si="233"/>
        <v>306016.16743402445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829304.52392406447</v>
      </c>
      <c r="C208" s="102">
        <f t="shared" si="231"/>
        <v>840747.16763976868</v>
      </c>
      <c r="D208" s="102">
        <f t="shared" si="231"/>
        <v>823839.66002593248</v>
      </c>
      <c r="E208" s="102">
        <f t="shared" si="231"/>
        <v>795095.36690052634</v>
      </c>
      <c r="F208" s="102">
        <f t="shared" si="231"/>
        <v>764406.21310996672</v>
      </c>
      <c r="G208" s="102">
        <f t="shared" si="231"/>
        <v>746559.08876885904</v>
      </c>
      <c r="H208" s="102">
        <f t="shared" si="231"/>
        <v>731242.05186897074</v>
      </c>
      <c r="I208" s="102">
        <f t="shared" si="231"/>
        <v>711132.2271437248</v>
      </c>
      <c r="J208" s="102">
        <f t="shared" si="231"/>
        <v>669834.78108463809</v>
      </c>
      <c r="K208" s="102">
        <f t="shared" si="231"/>
        <v>632900.49170388235</v>
      </c>
      <c r="L208" s="102">
        <f t="shared" si="231"/>
        <v>605033.45921494835</v>
      </c>
      <c r="M208" s="102">
        <f t="shared" si="234"/>
        <v>582112.89398486249</v>
      </c>
      <c r="N208" s="102">
        <f t="shared" si="231"/>
        <v>563272.10301571852</v>
      </c>
      <c r="O208" s="102">
        <f t="shared" si="231"/>
        <v>528798.27840336517</v>
      </c>
      <c r="P208" s="102">
        <f t="shared" si="231"/>
        <v>506828.85921659973</v>
      </c>
      <c r="Q208" s="102">
        <f t="shared" si="231"/>
        <v>490091.74931241345</v>
      </c>
      <c r="R208" s="102">
        <f t="shared" si="231"/>
        <v>498175.04354999604</v>
      </c>
      <c r="S208" s="102">
        <f t="shared" si="231"/>
        <v>463985.59469679586</v>
      </c>
      <c r="T208" s="102">
        <f t="shared" si="231"/>
        <v>424507.60327937955</v>
      </c>
      <c r="U208" s="102">
        <f t="shared" si="231"/>
        <v>390398.12387260929</v>
      </c>
      <c r="V208" s="102">
        <f t="shared" si="231"/>
        <v>319479.85579014657</v>
      </c>
      <c r="W208" s="102">
        <f t="shared" si="233"/>
        <v>266796.14309808507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0</v>
      </c>
      <c r="M209" s="102">
        <f t="shared" si="234"/>
        <v>0</v>
      </c>
      <c r="N209" s="102">
        <f t="shared" si="231"/>
        <v>604280.70755646972</v>
      </c>
      <c r="O209" s="102">
        <f t="shared" si="231"/>
        <v>582345.27190415619</v>
      </c>
      <c r="P209" s="102">
        <f t="shared" si="231"/>
        <v>558151.1927771921</v>
      </c>
      <c r="Q209" s="102">
        <f t="shared" si="231"/>
        <v>539719.25527642679</v>
      </c>
      <c r="R209" s="102">
        <f t="shared" si="231"/>
        <v>551982.05358884239</v>
      </c>
      <c r="S209" s="102">
        <f t="shared" si="231"/>
        <v>535209.08486115281</v>
      </c>
      <c r="T209" s="102">
        <f t="shared" si="231"/>
        <v>520943.22430378367</v>
      </c>
      <c r="U209" s="102">
        <f t="shared" si="231"/>
        <v>511490.94819038908</v>
      </c>
      <c r="V209" s="102">
        <f t="shared" si="231"/>
        <v>453254.05518594489</v>
      </c>
      <c r="W209" s="102">
        <f t="shared" si="233"/>
        <v>439119.59741122992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96590.644633183867</v>
      </c>
      <c r="C210" s="28">
        <f t="shared" si="231"/>
        <v>90968.480776321085</v>
      </c>
      <c r="D210" s="28">
        <f t="shared" si="231"/>
        <v>93485.371519649852</v>
      </c>
      <c r="E210" s="28">
        <f t="shared" si="231"/>
        <v>87880.201548321755</v>
      </c>
      <c r="F210" s="28">
        <f t="shared" ref="B210:V219" si="235">IF(F19=0,0,F19*1000000/F73)</f>
        <v>82926.687694338791</v>
      </c>
      <c r="G210" s="28">
        <f t="shared" si="235"/>
        <v>82387.206736988912</v>
      </c>
      <c r="H210" s="28">
        <f t="shared" si="235"/>
        <v>73704.658811328889</v>
      </c>
      <c r="I210" s="28">
        <f t="shared" si="235"/>
        <v>71581.500751705506</v>
      </c>
      <c r="J210" s="28">
        <f t="shared" si="235"/>
        <v>70557.979499321547</v>
      </c>
      <c r="K210" s="28">
        <f t="shared" si="235"/>
        <v>60132.272068560291</v>
      </c>
      <c r="L210" s="28">
        <f t="shared" si="235"/>
        <v>59956.237373370692</v>
      </c>
      <c r="M210" s="28">
        <f t="shared" si="234"/>
        <v>53204.903811938602</v>
      </c>
      <c r="N210" s="28">
        <f t="shared" si="235"/>
        <v>48202.148118631747</v>
      </c>
      <c r="O210" s="28">
        <f t="shared" si="235"/>
        <v>44665.943479366491</v>
      </c>
      <c r="P210" s="28">
        <f t="shared" si="235"/>
        <v>42574.970093110096</v>
      </c>
      <c r="Q210" s="28">
        <f t="shared" si="235"/>
        <v>43534.440607428929</v>
      </c>
      <c r="R210" s="28">
        <f t="shared" si="235"/>
        <v>46982.556616243521</v>
      </c>
      <c r="S210" s="28">
        <f t="shared" si="235"/>
        <v>48138.415829678393</v>
      </c>
      <c r="T210" s="28">
        <f t="shared" si="235"/>
        <v>46232.609217314661</v>
      </c>
      <c r="U210" s="28">
        <f t="shared" si="235"/>
        <v>45518.913696516087</v>
      </c>
      <c r="V210" s="28">
        <f t="shared" si="235"/>
        <v>45886.995163560423</v>
      </c>
      <c r="W210" s="28">
        <f t="shared" ref="W210" si="236">IF(W19=0,0,W19*1000000/W73)</f>
        <v>45056.863972196821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5232.6514376948735</v>
      </c>
      <c r="C211" s="137">
        <f t="shared" si="235"/>
        <v>5260.991325288257</v>
      </c>
      <c r="D211" s="137">
        <f t="shared" si="235"/>
        <v>5283.5049770070354</v>
      </c>
      <c r="E211" s="137">
        <f t="shared" si="235"/>
        <v>5296.3290875777411</v>
      </c>
      <c r="F211" s="137">
        <f t="shared" si="235"/>
        <v>5246.6705603760156</v>
      </c>
      <c r="G211" s="137">
        <f t="shared" si="235"/>
        <v>5334.5806890192207</v>
      </c>
      <c r="H211" s="137">
        <f t="shared" si="235"/>
        <v>5260.0731302513705</v>
      </c>
      <c r="I211" s="137">
        <f t="shared" si="235"/>
        <v>5263.7082798664924</v>
      </c>
      <c r="J211" s="137">
        <f t="shared" si="235"/>
        <v>5313.6666078109474</v>
      </c>
      <c r="K211" s="137">
        <f t="shared" si="235"/>
        <v>5192.547270902699</v>
      </c>
      <c r="L211" s="137">
        <f t="shared" si="235"/>
        <v>5217.5591785956785</v>
      </c>
      <c r="M211" s="137">
        <f t="shared" si="234"/>
        <v>5212.552343832911</v>
      </c>
      <c r="N211" s="137">
        <f t="shared" si="235"/>
        <v>5142.6156580260831</v>
      </c>
      <c r="O211" s="137">
        <f t="shared" si="235"/>
        <v>5183.8953020878453</v>
      </c>
      <c r="P211" s="137">
        <f t="shared" si="235"/>
        <v>5122.7942477882943</v>
      </c>
      <c r="Q211" s="137">
        <f t="shared" si="235"/>
        <v>5093.6673038712488</v>
      </c>
      <c r="R211" s="137">
        <f t="shared" si="235"/>
        <v>5072.3280641688389</v>
      </c>
      <c r="S211" s="137">
        <f t="shared" si="235"/>
        <v>5056.4060718945266</v>
      </c>
      <c r="T211" s="137">
        <f t="shared" si="235"/>
        <v>5038.7181603986119</v>
      </c>
      <c r="U211" s="137">
        <f t="shared" si="235"/>
        <v>5012.7745051479797</v>
      </c>
      <c r="V211" s="137">
        <f t="shared" si="235"/>
        <v>4893.32910586662</v>
      </c>
      <c r="W211" s="137">
        <f t="shared" ref="W211" si="237">IF(W20=0,0,W20*1000000/W74)</f>
        <v>4969.4567569728033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2706.6927318979956</v>
      </c>
      <c r="C212" s="84">
        <f t="shared" si="235"/>
        <v>2701.2296679758738</v>
      </c>
      <c r="D212" s="84">
        <f t="shared" si="235"/>
        <v>2695.6563708109429</v>
      </c>
      <c r="E212" s="84">
        <f t="shared" si="235"/>
        <v>2683.1896086727547</v>
      </c>
      <c r="F212" s="84">
        <f t="shared" si="235"/>
        <v>2632.4985835258299</v>
      </c>
      <c r="G212" s="84">
        <f t="shared" si="235"/>
        <v>2665.1919423982795</v>
      </c>
      <c r="H212" s="84">
        <f t="shared" si="235"/>
        <v>2614.0648524466296</v>
      </c>
      <c r="I212" s="84">
        <f t="shared" si="235"/>
        <v>2602.2155951883774</v>
      </c>
      <c r="J212" s="84">
        <f t="shared" si="235"/>
        <v>2617.8684703808017</v>
      </c>
      <c r="K212" s="84">
        <f t="shared" si="235"/>
        <v>2552.0433446132588</v>
      </c>
      <c r="L212" s="84">
        <f t="shared" si="235"/>
        <v>2558.5704603181848</v>
      </c>
      <c r="M212" s="84">
        <f t="shared" si="234"/>
        <v>2549.8503520727104</v>
      </c>
      <c r="N212" s="84">
        <f t="shared" si="235"/>
        <v>2511.5563143224585</v>
      </c>
      <c r="O212" s="84">
        <f t="shared" si="235"/>
        <v>2525.0366760805509</v>
      </c>
      <c r="P212" s="84">
        <f t="shared" si="235"/>
        <v>2491.7842307697911</v>
      </c>
      <c r="Q212" s="84">
        <f t="shared" si="235"/>
        <v>2474.2227463551517</v>
      </c>
      <c r="R212" s="84">
        <f t="shared" si="235"/>
        <v>2460.7171699503347</v>
      </c>
      <c r="S212" s="84">
        <f t="shared" si="235"/>
        <v>2449.9766989574086</v>
      </c>
      <c r="T212" s="84">
        <f t="shared" si="235"/>
        <v>2438.9359786127184</v>
      </c>
      <c r="U212" s="84">
        <f t="shared" si="235"/>
        <v>2424.5256703589612</v>
      </c>
      <c r="V212" s="84">
        <f t="shared" si="235"/>
        <v>2365.763730156059</v>
      </c>
      <c r="W212" s="84">
        <f t="shared" ref="W212" si="238">IF(W21=0,0,W21*1000000/W75)</f>
        <v>2402.3317913439528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5769.8001403761937</v>
      </c>
      <c r="C213" s="84">
        <f t="shared" si="235"/>
        <v>5758.1535190932027</v>
      </c>
      <c r="D213" s="84">
        <f t="shared" si="235"/>
        <v>5746.1253013441383</v>
      </c>
      <c r="E213" s="84">
        <f t="shared" si="235"/>
        <v>5719.5946403250027</v>
      </c>
      <c r="F213" s="84">
        <f t="shared" si="235"/>
        <v>5611.5006169271164</v>
      </c>
      <c r="G213" s="84">
        <f t="shared" si="235"/>
        <v>5681.2467488336433</v>
      </c>
      <c r="H213" s="84">
        <f t="shared" si="235"/>
        <v>5572.1370356813159</v>
      </c>
      <c r="I213" s="84">
        <f t="shared" si="235"/>
        <v>5547.0464434264222</v>
      </c>
      <c r="J213" s="84">
        <f t="shared" si="235"/>
        <v>5580.2000275930859</v>
      </c>
      <c r="K213" s="84">
        <f t="shared" si="235"/>
        <v>5439.7503585358336</v>
      </c>
      <c r="L213" s="84">
        <f t="shared" si="235"/>
        <v>5453.6228329397154</v>
      </c>
      <c r="M213" s="84">
        <f t="shared" si="234"/>
        <v>5435.3761711398083</v>
      </c>
      <c r="N213" s="84">
        <f t="shared" si="235"/>
        <v>5353.3036512893432</v>
      </c>
      <c r="O213" s="84">
        <f t="shared" si="235"/>
        <v>5382.4383135233493</v>
      </c>
      <c r="P213" s="84">
        <f t="shared" si="235"/>
        <v>5311.5172878963776</v>
      </c>
      <c r="Q213" s="84">
        <f t="shared" si="235"/>
        <v>5274.1100865963645</v>
      </c>
      <c r="R213" s="84">
        <f t="shared" si="235"/>
        <v>5245.321289449108</v>
      </c>
      <c r="S213" s="84">
        <f t="shared" si="235"/>
        <v>5222.4266545654764</v>
      </c>
      <c r="T213" s="84">
        <f t="shared" si="235"/>
        <v>5198.8920012611206</v>
      </c>
      <c r="U213" s="84">
        <f t="shared" si="235"/>
        <v>5168.1746569055786</v>
      </c>
      <c r="V213" s="84">
        <f t="shared" si="235"/>
        <v>5042.9163542775541</v>
      </c>
      <c r="W213" s="84">
        <f t="shared" ref="W213" si="239">IF(W22=0,0,W22*1000000/W76)</f>
        <v>5120.8656741770865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0</v>
      </c>
      <c r="P214" s="84">
        <f t="shared" si="235"/>
        <v>0</v>
      </c>
      <c r="Q214" s="84">
        <f t="shared" si="235"/>
        <v>0</v>
      </c>
      <c r="R214" s="84">
        <f t="shared" si="235"/>
        <v>0</v>
      </c>
      <c r="S214" s="84">
        <f t="shared" si="235"/>
        <v>0</v>
      </c>
      <c r="T214" s="84">
        <f t="shared" si="235"/>
        <v>0</v>
      </c>
      <c r="U214" s="84">
        <f t="shared" si="235"/>
        <v>0</v>
      </c>
      <c r="V214" s="84">
        <f t="shared" si="235"/>
        <v>0</v>
      </c>
      <c r="W214" s="84">
        <f t="shared" ref="W214" si="240">IF(W23=0,0,W23*1000000/W77)</f>
        <v>0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3903.0819479887778</v>
      </c>
      <c r="D215" s="84">
        <f t="shared" si="235"/>
        <v>3885.5561826146609</v>
      </c>
      <c r="E215" s="84">
        <f t="shared" si="235"/>
        <v>3839.007186420879</v>
      </c>
      <c r="F215" s="84">
        <f t="shared" si="235"/>
        <v>3633.8913984640076</v>
      </c>
      <c r="G215" s="84">
        <f t="shared" si="235"/>
        <v>3775.150355515932</v>
      </c>
      <c r="H215" s="84">
        <f t="shared" si="235"/>
        <v>3566.5769723720209</v>
      </c>
      <c r="I215" s="84">
        <f t="shared" si="235"/>
        <v>3522.72346590697</v>
      </c>
      <c r="J215" s="84">
        <f t="shared" si="235"/>
        <v>3589.3154492928252</v>
      </c>
      <c r="K215" s="84">
        <f t="shared" si="235"/>
        <v>3327.0622802000807</v>
      </c>
      <c r="L215" s="84">
        <f t="shared" si="235"/>
        <v>3354.3280066895559</v>
      </c>
      <c r="M215" s="84">
        <f t="shared" si="234"/>
        <v>3322.5281148978775</v>
      </c>
      <c r="N215" s="84">
        <f t="shared" si="235"/>
        <v>3175.6131467502782</v>
      </c>
      <c r="O215" s="84">
        <f t="shared" si="235"/>
        <v>3227.3638742136554</v>
      </c>
      <c r="P215" s="84">
        <f t="shared" si="235"/>
        <v>3101.4848734599859</v>
      </c>
      <c r="Q215" s="84">
        <f t="shared" si="235"/>
        <v>3036.3359659656421</v>
      </c>
      <c r="R215" s="84">
        <f t="shared" si="235"/>
        <v>2986.8852425822274</v>
      </c>
      <c r="S215" s="84">
        <f t="shared" si="235"/>
        <v>2947.9444808042253</v>
      </c>
      <c r="T215" s="84">
        <f t="shared" si="235"/>
        <v>2908.2694374389548</v>
      </c>
      <c r="U215" s="84">
        <f t="shared" si="235"/>
        <v>2857.0234064608276</v>
      </c>
      <c r="V215" s="84">
        <f t="shared" si="235"/>
        <v>2787.7792484709939</v>
      </c>
      <c r="W215" s="84">
        <f t="shared" ref="W215" si="241">IF(W24=0,0,W24*1000000/W78)</f>
        <v>2779.2806518107845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2358.0457365559523</v>
      </c>
      <c r="C216" s="84">
        <f t="shared" si="235"/>
        <v>2359.201273516624</v>
      </c>
      <c r="D216" s="84">
        <f t="shared" si="235"/>
        <v>2360.2374817425953</v>
      </c>
      <c r="E216" s="84">
        <f t="shared" si="235"/>
        <v>2362.8968265428061</v>
      </c>
      <c r="F216" s="84">
        <f t="shared" si="235"/>
        <v>2386.1933232176179</v>
      </c>
      <c r="G216" s="84">
        <f t="shared" si="235"/>
        <v>2407.8053698469598</v>
      </c>
      <c r="H216" s="84">
        <f t="shared" si="235"/>
        <v>2432.0829295056328</v>
      </c>
      <c r="I216" s="84">
        <f t="shared" si="235"/>
        <v>2434.8991218566007</v>
      </c>
      <c r="J216" s="84">
        <f t="shared" si="235"/>
        <v>2469.325428498275</v>
      </c>
      <c r="K216" s="84">
        <f t="shared" si="235"/>
        <v>2493.3875583601271</v>
      </c>
      <c r="L216" s="84">
        <f t="shared" si="235"/>
        <v>2510.5681090555413</v>
      </c>
      <c r="M216" s="84">
        <f t="shared" si="234"/>
        <v>2518.2590499380899</v>
      </c>
      <c r="N216" s="84">
        <f t="shared" si="235"/>
        <v>2528.8089205609849</v>
      </c>
      <c r="O216" s="84">
        <f t="shared" si="235"/>
        <v>2548.9122099764199</v>
      </c>
      <c r="P216" s="84">
        <f t="shared" si="235"/>
        <v>2557.6574723381814</v>
      </c>
      <c r="Q216" s="84">
        <f t="shared" si="235"/>
        <v>2557.9656700779415</v>
      </c>
      <c r="R216" s="84">
        <f t="shared" si="235"/>
        <v>2549.5788879096917</v>
      </c>
      <c r="S216" s="84">
        <f t="shared" si="235"/>
        <v>2542.8960479759867</v>
      </c>
      <c r="T216" s="84">
        <f t="shared" si="235"/>
        <v>2536.0141633517155</v>
      </c>
      <c r="U216" s="84">
        <f t="shared" si="235"/>
        <v>2527.0131768221281</v>
      </c>
      <c r="V216" s="84">
        <f t="shared" si="235"/>
        <v>2465.7673013901799</v>
      </c>
      <c r="W216" s="84">
        <f t="shared" ref="W216" si="242">IF(W25=0,0,W25*1000000/W79)</f>
        <v>2513.1084338726841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416497.48972802045</v>
      </c>
      <c r="C217" s="110">
        <f t="shared" si="235"/>
        <v>381900.32273322862</v>
      </c>
      <c r="D217" s="110">
        <f t="shared" si="235"/>
        <v>381317.30744015647</v>
      </c>
      <c r="E217" s="110">
        <f t="shared" si="235"/>
        <v>344557.2810753418</v>
      </c>
      <c r="F217" s="110">
        <f t="shared" si="235"/>
        <v>329933.50780535373</v>
      </c>
      <c r="G217" s="110">
        <f t="shared" si="235"/>
        <v>316147.75136074051</v>
      </c>
      <c r="H217" s="110">
        <f t="shared" si="235"/>
        <v>277589.29605515994</v>
      </c>
      <c r="I217" s="110">
        <f t="shared" si="235"/>
        <v>264576.33747681754</v>
      </c>
      <c r="J217" s="110">
        <f t="shared" si="235"/>
        <v>255984.74568762971</v>
      </c>
      <c r="K217" s="110">
        <f t="shared" si="235"/>
        <v>214442.51292471366</v>
      </c>
      <c r="L217" s="110">
        <f t="shared" si="235"/>
        <v>212312.65644441888</v>
      </c>
      <c r="M217" s="110">
        <f t="shared" si="234"/>
        <v>185595.00003436726</v>
      </c>
      <c r="N217" s="110">
        <f t="shared" si="235"/>
        <v>166289.9038701203</v>
      </c>
      <c r="O217" s="110">
        <f t="shared" si="235"/>
        <v>152359.7932805476</v>
      </c>
      <c r="P217" s="110">
        <f t="shared" si="235"/>
        <v>144638.81163266077</v>
      </c>
      <c r="Q217" s="110">
        <f t="shared" si="235"/>
        <v>148551.14834368331</v>
      </c>
      <c r="R217" s="110">
        <f t="shared" si="235"/>
        <v>161852.18051896332</v>
      </c>
      <c r="S217" s="110">
        <f t="shared" si="235"/>
        <v>166250.13601201793</v>
      </c>
      <c r="T217" s="110">
        <f t="shared" si="235"/>
        <v>159618.6393529987</v>
      </c>
      <c r="U217" s="110">
        <f t="shared" si="235"/>
        <v>156946.26474442988</v>
      </c>
      <c r="V217" s="110">
        <f t="shared" si="235"/>
        <v>158835.21573534416</v>
      </c>
      <c r="W217" s="110">
        <f t="shared" ref="W217" si="243">IF(W26=0,0,W26*1000000/W80)</f>
        <v>155549.24475831731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409499.88919258321</v>
      </c>
      <c r="C218" s="163">
        <f t="shared" si="235"/>
        <v>374480.62886019092</v>
      </c>
      <c r="D218" s="163">
        <f t="shared" si="235"/>
        <v>373836.38082808396</v>
      </c>
      <c r="E218" s="163">
        <f t="shared" si="235"/>
        <v>337105.97230055777</v>
      </c>
      <c r="F218" s="163">
        <f t="shared" si="235"/>
        <v>321741.79194085725</v>
      </c>
      <c r="G218" s="163">
        <f t="shared" si="235"/>
        <v>308062.90840624651</v>
      </c>
      <c r="H218" s="163">
        <f t="shared" si="235"/>
        <v>268998.37322798045</v>
      </c>
      <c r="I218" s="163">
        <f t="shared" si="235"/>
        <v>256221.99853948329</v>
      </c>
      <c r="J218" s="163">
        <f t="shared" si="235"/>
        <v>248240.33871794181</v>
      </c>
      <c r="K218" s="163">
        <f t="shared" si="235"/>
        <v>207477.84374096314</v>
      </c>
      <c r="L218" s="163">
        <f t="shared" si="235"/>
        <v>203433.69158236089</v>
      </c>
      <c r="M218" s="163">
        <f t="shared" si="234"/>
        <v>180057.96573648351</v>
      </c>
      <c r="N218" s="163">
        <f t="shared" si="235"/>
        <v>159607.53200812303</v>
      </c>
      <c r="O218" s="163">
        <f t="shared" si="235"/>
        <v>146708.36744260896</v>
      </c>
      <c r="P218" s="163">
        <f t="shared" si="235"/>
        <v>137558.53590767083</v>
      </c>
      <c r="Q218" s="163">
        <f t="shared" si="235"/>
        <v>140830.6339809589</v>
      </c>
      <c r="R218" s="163">
        <f t="shared" si="235"/>
        <v>155689.38113059392</v>
      </c>
      <c r="S218" s="163">
        <f t="shared" si="235"/>
        <v>160307.34199102572</v>
      </c>
      <c r="T218" s="163">
        <f t="shared" si="235"/>
        <v>153045.58955259062</v>
      </c>
      <c r="U218" s="163">
        <f t="shared" si="235"/>
        <v>151661.0550581128</v>
      </c>
      <c r="V218" s="163">
        <f t="shared" si="235"/>
        <v>153679.83276245318</v>
      </c>
      <c r="W218" s="163">
        <f t="shared" ref="W218" si="244">IF(W27=0,0,W27*1000000/W81)</f>
        <v>149088.28191552454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1212518.6531583839</v>
      </c>
      <c r="C219" s="86">
        <f t="shared" si="235"/>
        <v>1210394.0398417045</v>
      </c>
      <c r="D219" s="86">
        <f t="shared" si="235"/>
        <v>1218478.7059109688</v>
      </c>
      <c r="E219" s="86">
        <f t="shared" si="235"/>
        <v>1212444.3914346781</v>
      </c>
      <c r="F219" s="86">
        <f t="shared" si="235"/>
        <v>1189022.0109428621</v>
      </c>
      <c r="G219" s="86">
        <f t="shared" si="235"/>
        <v>1190375.8595778183</v>
      </c>
      <c r="H219" s="86">
        <f t="shared" si="235"/>
        <v>1197576.061165757</v>
      </c>
      <c r="I219" s="86">
        <f t="shared" si="235"/>
        <v>1200022.2843009396</v>
      </c>
      <c r="J219" s="86">
        <f t="shared" si="235"/>
        <v>1183337.8829631875</v>
      </c>
      <c r="K219" s="86">
        <f t="shared" si="235"/>
        <v>1167718.4321450661</v>
      </c>
      <c r="L219" s="86">
        <f t="shared" si="235"/>
        <v>1205030.7016049109</v>
      </c>
      <c r="M219" s="86">
        <f t="shared" si="234"/>
        <v>1200605.0063343267</v>
      </c>
      <c r="N219" s="86">
        <f t="shared" si="235"/>
        <v>1197830.3791557553</v>
      </c>
      <c r="O219" s="86">
        <f t="shared" si="235"/>
        <v>1198627.5847775734</v>
      </c>
      <c r="P219" s="86">
        <f t="shared" si="235"/>
        <v>1202086.5906850798</v>
      </c>
      <c r="Q219" s="86">
        <f t="shared" si="235"/>
        <v>1190252.4998184789</v>
      </c>
      <c r="R219" s="86">
        <f t="shared" si="235"/>
        <v>1184132.4231798148</v>
      </c>
      <c r="S219" s="86">
        <f t="shared" si="235"/>
        <v>1194791.8531520714</v>
      </c>
      <c r="T219" s="86">
        <f t="shared" si="235"/>
        <v>1202993.4518241347</v>
      </c>
      <c r="U219" s="86">
        <f t="shared" si="235"/>
        <v>1199328.1075027995</v>
      </c>
      <c r="V219" s="86">
        <f t="shared" si="235"/>
        <v>1180327.8688524591</v>
      </c>
      <c r="W219" s="86">
        <f t="shared" ref="W219" si="245">IF(W28=0,0,W28*1000000/W82)</f>
        <v>1193073.593073593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1.405625742979978E-2</v>
      </c>
      <c r="C223" s="154">
        <f t="shared" si="250"/>
        <v>1.3777459368375201E-2</v>
      </c>
      <c r="D223" s="154">
        <f t="shared" si="250"/>
        <v>1.3507435578451178E-2</v>
      </c>
      <c r="E223" s="154">
        <f t="shared" si="250"/>
        <v>1.3263245814125007E-2</v>
      </c>
      <c r="F223" s="154">
        <f t="shared" si="250"/>
        <v>1.3019559712326665E-2</v>
      </c>
      <c r="G223" s="154">
        <f t="shared" si="250"/>
        <v>1.2840594367490441E-2</v>
      </c>
      <c r="H223" s="154">
        <f t="shared" si="250"/>
        <v>1.2745396948811437E-2</v>
      </c>
      <c r="I223" s="154">
        <f t="shared" si="250"/>
        <v>1.2530535303484636E-2</v>
      </c>
      <c r="J223" s="154">
        <f t="shared" si="250"/>
        <v>1.2604229631854792E-2</v>
      </c>
      <c r="K223" s="154">
        <f t="shared" si="250"/>
        <v>1.2449057002893902E-2</v>
      </c>
      <c r="L223" s="154">
        <f t="shared" ref="L223" si="251">IF(L5=0,0,L5/L$4)</f>
        <v>1.6409030435430166E-2</v>
      </c>
      <c r="M223" s="154">
        <f t="shared" ref="M223:V223" si="252">IF(M5=0,0,M5/M$4)</f>
        <v>1.6230357266998782E-2</v>
      </c>
      <c r="N223" s="154">
        <f t="shared" si="252"/>
        <v>1.6179757322722352E-2</v>
      </c>
      <c r="O223" s="154">
        <f t="shared" si="252"/>
        <v>1.6205509298083304E-2</v>
      </c>
      <c r="P223" s="154">
        <f t="shared" si="252"/>
        <v>1.6151553243084E-2</v>
      </c>
      <c r="Q223" s="154">
        <f t="shared" si="252"/>
        <v>1.6011914835558742E-2</v>
      </c>
      <c r="R223" s="154">
        <f t="shared" si="252"/>
        <v>1.8549544119682817E-2</v>
      </c>
      <c r="S223" s="154">
        <f t="shared" si="252"/>
        <v>1.5318298551009116E-2</v>
      </c>
      <c r="T223" s="154">
        <f t="shared" si="252"/>
        <v>1.4606784370222307E-2</v>
      </c>
      <c r="U223" s="154">
        <f t="shared" si="252"/>
        <v>1.5516373904405583E-2</v>
      </c>
      <c r="V223" s="154">
        <f t="shared" si="252"/>
        <v>1.4638067048075265E-2</v>
      </c>
      <c r="W223" s="154">
        <f t="shared" ref="W223" si="253">IF(W5=0,0,W5/W$4)</f>
        <v>1.5448466669903545E-2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0.86619978645363016</v>
      </c>
      <c r="C224" s="156">
        <f t="shared" si="254"/>
        <v>0.86885138819169416</v>
      </c>
      <c r="D224" s="156">
        <f t="shared" si="254"/>
        <v>0.87140176523903479</v>
      </c>
      <c r="E224" s="156">
        <f t="shared" si="254"/>
        <v>0.8742141418664332</v>
      </c>
      <c r="F224" s="156">
        <f t="shared" si="254"/>
        <v>0.87747593597097984</v>
      </c>
      <c r="G224" s="156">
        <f t="shared" si="254"/>
        <v>0.87998615986621553</v>
      </c>
      <c r="H224" s="156">
        <f t="shared" si="254"/>
        <v>0.88090558230676441</v>
      </c>
      <c r="I224" s="156">
        <f t="shared" si="254"/>
        <v>0.88308082447482972</v>
      </c>
      <c r="J224" s="156">
        <f t="shared" si="254"/>
        <v>0.88244843306090226</v>
      </c>
      <c r="K224" s="156">
        <f t="shared" si="254"/>
        <v>0.8839453480312206</v>
      </c>
      <c r="L224" s="156">
        <f t="shared" ref="L224" si="255">IF(L6=0,0,L6/L$4)</f>
        <v>0.88099325343374246</v>
      </c>
      <c r="M224" s="156">
        <f t="shared" ref="M224:V224" si="256">IF(M6=0,0,M6/M$4)</f>
        <v>0.88220010821010897</v>
      </c>
      <c r="N224" s="156">
        <f t="shared" si="256"/>
        <v>0.88193856942103999</v>
      </c>
      <c r="O224" s="156">
        <f t="shared" si="256"/>
        <v>0.88169813862852253</v>
      </c>
      <c r="P224" s="156">
        <f t="shared" si="256"/>
        <v>0.88231248605958312</v>
      </c>
      <c r="Q224" s="156">
        <f t="shared" si="256"/>
        <v>0.88350362437836572</v>
      </c>
      <c r="R224" s="156">
        <f t="shared" si="256"/>
        <v>0.85730474077800467</v>
      </c>
      <c r="S224" s="156">
        <f t="shared" si="256"/>
        <v>0.87634711038619117</v>
      </c>
      <c r="T224" s="156">
        <f t="shared" si="256"/>
        <v>0.88000356689932013</v>
      </c>
      <c r="U224" s="156">
        <f t="shared" si="256"/>
        <v>0.88036822253260649</v>
      </c>
      <c r="V224" s="156">
        <f t="shared" si="256"/>
        <v>0.89085613402282626</v>
      </c>
      <c r="W224" s="156">
        <f t="shared" ref="W224" si="257">IF(W6=0,0,W6/W$4)</f>
        <v>0.89967640114646741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0.71118394703150001</v>
      </c>
      <c r="C225" s="103">
        <f t="shared" si="258"/>
        <v>0.70783230737131975</v>
      </c>
      <c r="D225" s="103">
        <f t="shared" si="258"/>
        <v>0.70463796472519213</v>
      </c>
      <c r="E225" s="103">
        <f t="shared" si="258"/>
        <v>0.69916151857682751</v>
      </c>
      <c r="F225" s="103">
        <f t="shared" si="258"/>
        <v>0.70121335455256195</v>
      </c>
      <c r="G225" s="103">
        <f t="shared" si="258"/>
        <v>0.69249853147752727</v>
      </c>
      <c r="H225" s="103">
        <f t="shared" si="258"/>
        <v>0.6798347751328101</v>
      </c>
      <c r="I225" s="103">
        <f t="shared" si="258"/>
        <v>0.66511593087981857</v>
      </c>
      <c r="J225" s="103">
        <f t="shared" si="258"/>
        <v>0.62968777109929042</v>
      </c>
      <c r="K225" s="103">
        <f t="shared" si="258"/>
        <v>0.61208646269113942</v>
      </c>
      <c r="L225" s="103">
        <f t="shared" ref="L225" si="259">IF(L7=0,0,L7/L$4)</f>
        <v>0.58651703667121247</v>
      </c>
      <c r="M225" s="103">
        <f t="shared" ref="M225:V225" si="260">IF(M7=0,0,M7/M$4)</f>
        <v>0.55400449883244274</v>
      </c>
      <c r="N225" s="103">
        <f t="shared" si="260"/>
        <v>0.53669075070474759</v>
      </c>
      <c r="O225" s="103">
        <f t="shared" si="260"/>
        <v>0.53360075945358387</v>
      </c>
      <c r="P225" s="103">
        <f t="shared" si="260"/>
        <v>0.52119662515755505</v>
      </c>
      <c r="Q225" s="103">
        <f t="shared" si="260"/>
        <v>0.51115994439338663</v>
      </c>
      <c r="R225" s="103">
        <f t="shared" si="260"/>
        <v>0.48916844810021781</v>
      </c>
      <c r="S225" s="103">
        <f t="shared" si="260"/>
        <v>0.48703148855296863</v>
      </c>
      <c r="T225" s="103">
        <f t="shared" si="260"/>
        <v>0.48191312175883028</v>
      </c>
      <c r="U225" s="103">
        <f t="shared" si="260"/>
        <v>0.47881513103635703</v>
      </c>
      <c r="V225" s="103">
        <f t="shared" si="260"/>
        <v>0.48436353406087745</v>
      </c>
      <c r="W225" s="103">
        <f t="shared" ref="W225" si="261">IF(W7=0,0,W7/W$4)</f>
        <v>0.48381778798256964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0.15501583942213018</v>
      </c>
      <c r="C226" s="103">
        <f t="shared" si="262"/>
        <v>0.16101908082037442</v>
      </c>
      <c r="D226" s="103">
        <f t="shared" si="262"/>
        <v>0.16676380051384265</v>
      </c>
      <c r="E226" s="103">
        <f t="shared" si="262"/>
        <v>0.17505262328960561</v>
      </c>
      <c r="F226" s="103">
        <f t="shared" si="262"/>
        <v>0.17626258141841789</v>
      </c>
      <c r="G226" s="103">
        <f t="shared" si="262"/>
        <v>0.18748762838868815</v>
      </c>
      <c r="H226" s="103">
        <f t="shared" si="262"/>
        <v>0.20106991517945055</v>
      </c>
      <c r="I226" s="103">
        <f t="shared" si="262"/>
        <v>0.21793336592463139</v>
      </c>
      <c r="J226" s="103">
        <f t="shared" si="262"/>
        <v>0.25269914622296991</v>
      </c>
      <c r="K226" s="103">
        <f t="shared" si="262"/>
        <v>0.2717537642617735</v>
      </c>
      <c r="L226" s="103">
        <f t="shared" ref="L226" si="263">IF(L8=0,0,L8/L$4)</f>
        <v>0.29433902031142406</v>
      </c>
      <c r="M226" s="103">
        <f t="shared" ref="M226:V226" si="264">IF(M8=0,0,M8/M$4)</f>
        <v>0.32801644031751648</v>
      </c>
      <c r="N226" s="103">
        <f t="shared" si="264"/>
        <v>0.34497299049058705</v>
      </c>
      <c r="O226" s="103">
        <f t="shared" si="264"/>
        <v>0.34772457452650923</v>
      </c>
      <c r="P226" s="103">
        <f t="shared" si="264"/>
        <v>0.36057727451215876</v>
      </c>
      <c r="Q226" s="103">
        <f t="shared" si="264"/>
        <v>0.37158521179080628</v>
      </c>
      <c r="R226" s="103">
        <f t="shared" si="264"/>
        <v>0.36702565262887321</v>
      </c>
      <c r="S226" s="103">
        <f t="shared" si="264"/>
        <v>0.38709563688091481</v>
      </c>
      <c r="T226" s="103">
        <f t="shared" si="264"/>
        <v>0.3937234235869444</v>
      </c>
      <c r="U226" s="103">
        <f t="shared" si="264"/>
        <v>0.3937739682751461</v>
      </c>
      <c r="V226" s="103">
        <f t="shared" si="264"/>
        <v>0.39326081761280068</v>
      </c>
      <c r="W226" s="103">
        <f t="shared" ref="W226" si="265">IF(W8=0,0,W8/W$4)</f>
        <v>0.39308230326099453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</v>
      </c>
      <c r="C227" s="103">
        <f t="shared" si="266"/>
        <v>0</v>
      </c>
      <c r="D227" s="103">
        <f t="shared" si="266"/>
        <v>0</v>
      </c>
      <c r="E227" s="103">
        <f t="shared" si="266"/>
        <v>0</v>
      </c>
      <c r="F227" s="103">
        <f t="shared" si="266"/>
        <v>0</v>
      </c>
      <c r="G227" s="103">
        <f t="shared" si="266"/>
        <v>0</v>
      </c>
      <c r="H227" s="103">
        <f t="shared" si="266"/>
        <v>0</v>
      </c>
      <c r="I227" s="103">
        <f t="shared" si="266"/>
        <v>0</v>
      </c>
      <c r="J227" s="103">
        <f t="shared" si="266"/>
        <v>0</v>
      </c>
      <c r="K227" s="103">
        <f t="shared" si="266"/>
        <v>0</v>
      </c>
      <c r="L227" s="103">
        <f t="shared" ref="L227" si="267">IF(L9=0,0,L9/L$4)</f>
        <v>0</v>
      </c>
      <c r="M227" s="103">
        <f t="shared" ref="M227:V227" si="268">IF(M9=0,0,M9/M$4)</f>
        <v>0</v>
      </c>
      <c r="N227" s="103">
        <f t="shared" si="268"/>
        <v>0</v>
      </c>
      <c r="O227" s="103">
        <f t="shared" si="268"/>
        <v>0</v>
      </c>
      <c r="P227" s="103">
        <f t="shared" si="268"/>
        <v>0</v>
      </c>
      <c r="Q227" s="103">
        <f t="shared" si="268"/>
        <v>0</v>
      </c>
      <c r="R227" s="103">
        <f t="shared" si="268"/>
        <v>0</v>
      </c>
      <c r="S227" s="103">
        <f t="shared" si="268"/>
        <v>0</v>
      </c>
      <c r="T227" s="103">
        <f t="shared" si="268"/>
        <v>0</v>
      </c>
      <c r="U227" s="103">
        <f t="shared" si="268"/>
        <v>0</v>
      </c>
      <c r="V227" s="103">
        <f t="shared" si="268"/>
        <v>0</v>
      </c>
      <c r="W227" s="103">
        <f t="shared" ref="W227" si="269">IF(W9=0,0,W9/W$4)</f>
        <v>0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8.9199450374537667E-7</v>
      </c>
      <c r="I228" s="103">
        <f t="shared" si="270"/>
        <v>3.0747812680395475E-5</v>
      </c>
      <c r="J228" s="103">
        <f t="shared" si="270"/>
        <v>5.9632831576133292E-5</v>
      </c>
      <c r="K228" s="103">
        <f t="shared" si="270"/>
        <v>1.0165525745308732E-4</v>
      </c>
      <c r="L228" s="103">
        <f t="shared" ref="L228" si="271">IF(L10=0,0,L10/L$4)</f>
        <v>1.3104162126295138E-4</v>
      </c>
      <c r="M228" s="103">
        <f t="shared" ref="M228:V228" si="272">IF(M10=0,0,M10/M$4)</f>
        <v>1.6419436694918148E-4</v>
      </c>
      <c r="N228" s="103">
        <f t="shared" si="272"/>
        <v>2.173094637239371E-4</v>
      </c>
      <c r="O228" s="103">
        <f t="shared" si="272"/>
        <v>2.6408534589951417E-4</v>
      </c>
      <c r="P228" s="103">
        <f t="shared" si="272"/>
        <v>3.1907293942999793E-4</v>
      </c>
      <c r="Q228" s="103">
        <f t="shared" si="272"/>
        <v>3.7744613862709399E-4</v>
      </c>
      <c r="R228" s="103">
        <f t="shared" si="272"/>
        <v>4.1537277517634348E-4</v>
      </c>
      <c r="S228" s="103">
        <f t="shared" si="272"/>
        <v>7.3202257115118476E-4</v>
      </c>
      <c r="T228" s="103">
        <f t="shared" si="272"/>
        <v>1.2664406820347897E-3</v>
      </c>
      <c r="U228" s="103">
        <f t="shared" si="272"/>
        <v>2.0511930484702146E-3</v>
      </c>
      <c r="V228" s="103">
        <f t="shared" si="272"/>
        <v>2.6176337307561269E-3</v>
      </c>
      <c r="W228" s="103">
        <f t="shared" ref="W228" si="273">IF(W10=0,0,W10/W$4)</f>
        <v>2.827211088004961E-3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2.7824728851939641E-5</v>
      </c>
      <c r="O229" s="103">
        <f t="shared" si="276"/>
        <v>6.1984053492723104E-5</v>
      </c>
      <c r="P229" s="103">
        <f t="shared" si="276"/>
        <v>1.2009909820493243E-4</v>
      </c>
      <c r="Q229" s="103">
        <f t="shared" si="276"/>
        <v>2.1230504484132597E-4</v>
      </c>
      <c r="R229" s="103">
        <f t="shared" si="276"/>
        <v>4.6183680457807195E-4</v>
      </c>
      <c r="S229" s="103">
        <f t="shared" si="276"/>
        <v>1.1030331386200844E-3</v>
      </c>
      <c r="T229" s="103">
        <f t="shared" si="276"/>
        <v>2.4613203251649977E-3</v>
      </c>
      <c r="U229" s="103">
        <f t="shared" si="276"/>
        <v>4.4905211991783621E-3</v>
      </c>
      <c r="V229" s="103">
        <f t="shared" si="276"/>
        <v>8.033308911535671E-3</v>
      </c>
      <c r="W229" s="103">
        <f t="shared" ref="W229" si="277">IF(W11=0,0,W11/W$4)</f>
        <v>1.3430860424323567E-2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7.7985769929937005E-7</v>
      </c>
      <c r="J230" s="103">
        <f t="shared" si="278"/>
        <v>1.8829070657604074E-6</v>
      </c>
      <c r="K230" s="103">
        <f t="shared" si="278"/>
        <v>3.4658208545519626E-6</v>
      </c>
      <c r="L230" s="103">
        <f t="shared" ref="L230" si="279">IF(L12=0,0,L12/L$4)</f>
        <v>6.1548298429598497E-6</v>
      </c>
      <c r="M230" s="103">
        <f t="shared" ref="M230:V230" si="280">IF(M12=0,0,M12/M$4)</f>
        <v>1.4974693200536714E-5</v>
      </c>
      <c r="N230" s="103">
        <f t="shared" si="280"/>
        <v>2.9694033129428749E-5</v>
      </c>
      <c r="O230" s="103">
        <f t="shared" si="280"/>
        <v>4.6735249037225594E-5</v>
      </c>
      <c r="P230" s="103">
        <f t="shared" si="280"/>
        <v>9.9414352234283184E-5</v>
      </c>
      <c r="Q230" s="103">
        <f t="shared" si="280"/>
        <v>1.6871701070420448E-4</v>
      </c>
      <c r="R230" s="103">
        <f t="shared" si="280"/>
        <v>2.3343046915927606E-4</v>
      </c>
      <c r="S230" s="103">
        <f t="shared" si="280"/>
        <v>3.8492924253665742E-4</v>
      </c>
      <c r="T230" s="103">
        <f t="shared" si="280"/>
        <v>6.3926054634570902E-4</v>
      </c>
      <c r="U230" s="103">
        <f t="shared" si="280"/>
        <v>1.2374089734550251E-3</v>
      </c>
      <c r="V230" s="103">
        <f t="shared" si="280"/>
        <v>2.5808397068563735E-3</v>
      </c>
      <c r="W230" s="103">
        <f t="shared" ref="W230" si="281">IF(W12=0,0,W12/W$4)</f>
        <v>6.5182383905747696E-3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0.11974395611657007</v>
      </c>
      <c r="C231" s="156">
        <f t="shared" si="282"/>
        <v>0.11737115243993063</v>
      </c>
      <c r="D231" s="156">
        <f t="shared" si="282"/>
        <v>0.11509079918251404</v>
      </c>
      <c r="E231" s="156">
        <f t="shared" si="282"/>
        <v>0.11252261231944188</v>
      </c>
      <c r="F231" s="156">
        <f t="shared" si="282"/>
        <v>0.10950450431669349</v>
      </c>
      <c r="G231" s="156">
        <f t="shared" si="282"/>
        <v>0.10717324576629406</v>
      </c>
      <c r="H231" s="156">
        <f t="shared" si="282"/>
        <v>0.10634902074442404</v>
      </c>
      <c r="I231" s="156">
        <f t="shared" si="282"/>
        <v>0.10438864022168561</v>
      </c>
      <c r="J231" s="156">
        <f t="shared" si="282"/>
        <v>0.10494733730724295</v>
      </c>
      <c r="K231" s="156">
        <f t="shared" si="282"/>
        <v>0.10360559496588534</v>
      </c>
      <c r="L231" s="156">
        <f t="shared" ref="L231" si="283">IF(L13=0,0,L13/L$4)</f>
        <v>0.10259771613082734</v>
      </c>
      <c r="M231" s="156">
        <f t="shared" ref="M231:V231" si="284">IF(M13=0,0,M13/M$4)</f>
        <v>0.10156953452289239</v>
      </c>
      <c r="N231" s="156">
        <f t="shared" si="284"/>
        <v>0.1018816732562378</v>
      </c>
      <c r="O231" s="156">
        <f t="shared" si="284"/>
        <v>0.10209635207339417</v>
      </c>
      <c r="P231" s="156">
        <f t="shared" si="284"/>
        <v>0.10153596069733298</v>
      </c>
      <c r="Q231" s="156">
        <f t="shared" si="284"/>
        <v>0.10048446078607551</v>
      </c>
      <c r="R231" s="156">
        <f t="shared" si="284"/>
        <v>0.12414571510231255</v>
      </c>
      <c r="S231" s="156">
        <f t="shared" si="284"/>
        <v>0.1083345910627997</v>
      </c>
      <c r="T231" s="156">
        <f t="shared" si="284"/>
        <v>0.10538964873045749</v>
      </c>
      <c r="U231" s="156">
        <f t="shared" si="284"/>
        <v>0.10411540356298793</v>
      </c>
      <c r="V231" s="156">
        <f t="shared" si="284"/>
        <v>9.4505798929098578E-2</v>
      </c>
      <c r="W231" s="156">
        <f t="shared" ref="W231" si="285">IF(W13=0,0,W13/W$4)</f>
        <v>8.4875132183629007E-2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6.0990328287202771E-5</v>
      </c>
      <c r="C232" s="103">
        <f t="shared" si="286"/>
        <v>6.7333751096147328E-5</v>
      </c>
      <c r="D232" s="103">
        <f t="shared" si="286"/>
        <v>6.2544213122166348E-5</v>
      </c>
      <c r="E232" s="103">
        <f t="shared" si="286"/>
        <v>5.9247493864709704E-5</v>
      </c>
      <c r="F232" s="103">
        <f t="shared" si="286"/>
        <v>5.7834293076571965E-5</v>
      </c>
      <c r="G232" s="103">
        <f t="shared" si="286"/>
        <v>6.1329533637455237E-5</v>
      </c>
      <c r="H232" s="103">
        <f t="shared" si="286"/>
        <v>5.6000679751757194E-5</v>
      </c>
      <c r="I232" s="103">
        <f t="shared" si="286"/>
        <v>5.5180942316507563E-5</v>
      </c>
      <c r="J232" s="103">
        <f t="shared" si="286"/>
        <v>5.0625406419081038E-5</v>
      </c>
      <c r="K232" s="103">
        <f t="shared" si="286"/>
        <v>4.9236550279674137E-5</v>
      </c>
      <c r="L232" s="103">
        <f t="shared" ref="L232" si="287">IF(L14=0,0,L14/L$4)</f>
        <v>5.0112032195214218E-5</v>
      </c>
      <c r="M232" s="103">
        <f t="shared" ref="M232:V232" si="288">IF(M14=0,0,M14/M$4)</f>
        <v>4.7885751000314819E-5</v>
      </c>
      <c r="N232" s="103">
        <f t="shared" si="288"/>
        <v>4.7835817724319225E-5</v>
      </c>
      <c r="O232" s="103">
        <f t="shared" si="288"/>
        <v>4.7781760311037411E-5</v>
      </c>
      <c r="P232" s="103">
        <f t="shared" si="288"/>
        <v>4.7350861058127129E-5</v>
      </c>
      <c r="Q232" s="103">
        <f t="shared" si="288"/>
        <v>4.6731033607191462E-5</v>
      </c>
      <c r="R232" s="103">
        <f t="shared" si="288"/>
        <v>5.2855268215758524E-5</v>
      </c>
      <c r="S232" s="103">
        <f t="shared" si="288"/>
        <v>4.6271562540898823E-5</v>
      </c>
      <c r="T232" s="103">
        <f t="shared" si="288"/>
        <v>4.3171672540340859E-5</v>
      </c>
      <c r="U232" s="103">
        <f t="shared" si="288"/>
        <v>4.0010469806160505E-5</v>
      </c>
      <c r="V232" s="103">
        <f t="shared" si="288"/>
        <v>3.4314099793837741E-5</v>
      </c>
      <c r="W232" s="103">
        <f t="shared" ref="W232" si="289">IF(W14=0,0,W14/W$4)</f>
        <v>2.9592666582317715E-5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0.11832881754482782</v>
      </c>
      <c r="C233" s="103">
        <f t="shared" si="290"/>
        <v>0.11598382066421395</v>
      </c>
      <c r="D233" s="103">
        <f t="shared" si="290"/>
        <v>0.11310730004474005</v>
      </c>
      <c r="E233" s="103">
        <f t="shared" si="290"/>
        <v>0.11062038427527422</v>
      </c>
      <c r="F233" s="103">
        <f t="shared" si="290"/>
        <v>0.10774063213580665</v>
      </c>
      <c r="G233" s="103">
        <f t="shared" si="290"/>
        <v>0.10547773602738451</v>
      </c>
      <c r="H233" s="103">
        <f t="shared" si="290"/>
        <v>0.1041992964761959</v>
      </c>
      <c r="I233" s="103">
        <f t="shared" si="290"/>
        <v>0.10229546668980199</v>
      </c>
      <c r="J233" s="103">
        <f t="shared" si="290"/>
        <v>0.10302273673917491</v>
      </c>
      <c r="K233" s="103">
        <f t="shared" si="290"/>
        <v>0.10179965411011087</v>
      </c>
      <c r="L233" s="103">
        <f t="shared" ref="L233" si="291">IF(L15=0,0,L15/L$4)</f>
        <v>0.10096691314228572</v>
      </c>
      <c r="M233" s="103">
        <f t="shared" ref="M233:V233" si="292">IF(M15=0,0,M15/M$4)</f>
        <v>0.10010233665539223</v>
      </c>
      <c r="N233" s="103">
        <f t="shared" si="292"/>
        <v>0.10049097291361161</v>
      </c>
      <c r="O233" s="103">
        <f t="shared" si="292"/>
        <v>0.10086277672880303</v>
      </c>
      <c r="P233" s="103">
        <f t="shared" si="292"/>
        <v>0.10043339563672152</v>
      </c>
      <c r="Q233" s="103">
        <f t="shared" si="292"/>
        <v>9.9499774142692649E-2</v>
      </c>
      <c r="R233" s="103">
        <f t="shared" si="292"/>
        <v>0.12300106754726446</v>
      </c>
      <c r="S233" s="103">
        <f t="shared" si="292"/>
        <v>0.10739286445461914</v>
      </c>
      <c r="T233" s="103">
        <f t="shared" si="292"/>
        <v>0.10451069037976815</v>
      </c>
      <c r="U233" s="103">
        <f t="shared" si="292"/>
        <v>0.10303524736745472</v>
      </c>
      <c r="V233" s="103">
        <f t="shared" si="292"/>
        <v>9.3369877680266181E-2</v>
      </c>
      <c r="W233" s="103">
        <f t="shared" ref="W233" si="293">IF(W15=0,0,W15/W$4)</f>
        <v>8.2650932448669501E-2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1.3541482434550392E-3</v>
      </c>
      <c r="C235" s="103">
        <f t="shared" si="298"/>
        <v>1.319998024620543E-3</v>
      </c>
      <c r="D235" s="103">
        <f t="shared" si="298"/>
        <v>1.9209549246518307E-3</v>
      </c>
      <c r="E235" s="103">
        <f t="shared" si="298"/>
        <v>1.8429805503029609E-3</v>
      </c>
      <c r="F235" s="103">
        <f t="shared" si="298"/>
        <v>1.7060378878102813E-3</v>
      </c>
      <c r="G235" s="103">
        <f t="shared" si="298"/>
        <v>1.6341802052720902E-3</v>
      </c>
      <c r="H235" s="103">
        <f t="shared" si="298"/>
        <v>2.0937235884763792E-3</v>
      </c>
      <c r="I235" s="103">
        <f t="shared" si="298"/>
        <v>2.0379925895670985E-3</v>
      </c>
      <c r="J235" s="103">
        <f t="shared" si="298"/>
        <v>1.8739751616489607E-3</v>
      </c>
      <c r="K235" s="103">
        <f t="shared" si="298"/>
        <v>1.7567043054947992E-3</v>
      </c>
      <c r="L235" s="103">
        <f t="shared" ref="L235" si="299">IF(L17=0,0,L17/L$4)</f>
        <v>1.5806909563464264E-3</v>
      </c>
      <c r="M235" s="103">
        <f t="shared" ref="M235:V235" si="300">IF(M17=0,0,M17/M$4)</f>
        <v>1.4193121164998337E-3</v>
      </c>
      <c r="N235" s="103">
        <f t="shared" si="300"/>
        <v>1.2938737055896857E-3</v>
      </c>
      <c r="O235" s="103">
        <f t="shared" si="300"/>
        <v>1.1384816522573308E-3</v>
      </c>
      <c r="P235" s="103">
        <f t="shared" si="300"/>
        <v>1.0101167850390233E-3</v>
      </c>
      <c r="Q235" s="103">
        <f t="shared" si="300"/>
        <v>8.9479905937064235E-4</v>
      </c>
      <c r="R235" s="103">
        <f t="shared" si="300"/>
        <v>9.5897347299066195E-4</v>
      </c>
      <c r="S235" s="103">
        <f t="shared" si="300"/>
        <v>7.2645337255287457E-4</v>
      </c>
      <c r="T235" s="103">
        <f t="shared" si="300"/>
        <v>6.7108060789533336E-4</v>
      </c>
      <c r="U235" s="103">
        <f t="shared" si="300"/>
        <v>6.0197919131847061E-4</v>
      </c>
      <c r="V235" s="103">
        <f t="shared" si="300"/>
        <v>5.2837223273101755E-4</v>
      </c>
      <c r="W235" s="103">
        <f t="shared" ref="W235" si="301">IF(W17=0,0,W17/W$4)</f>
        <v>4.4911309857872527E-4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0</v>
      </c>
      <c r="M236" s="103">
        <f t="shared" ref="M236:V236" si="304">IF(M18=0,0,M18/M$4)</f>
        <v>0</v>
      </c>
      <c r="N236" s="103">
        <f t="shared" si="304"/>
        <v>4.8990819312188146E-5</v>
      </c>
      <c r="O236" s="103">
        <f t="shared" si="304"/>
        <v>4.7311932022761148E-5</v>
      </c>
      <c r="P236" s="103">
        <f t="shared" si="304"/>
        <v>4.509741451431923E-5</v>
      </c>
      <c r="Q236" s="103">
        <f t="shared" si="304"/>
        <v>4.3156550405024385E-5</v>
      </c>
      <c r="R236" s="103">
        <f t="shared" si="304"/>
        <v>1.3281881384165687E-4</v>
      </c>
      <c r="S236" s="103">
        <f t="shared" si="304"/>
        <v>1.6900167308679599E-4</v>
      </c>
      <c r="T236" s="103">
        <f t="shared" si="304"/>
        <v>1.6470607025366308E-4</v>
      </c>
      <c r="U236" s="103">
        <f t="shared" si="304"/>
        <v>4.3816653440857602E-4</v>
      </c>
      <c r="V236" s="103">
        <f t="shared" si="304"/>
        <v>5.7323491630754909E-4</v>
      </c>
      <c r="W236" s="103">
        <f t="shared" ref="W236" si="305">IF(W18=0,0,W18/W$4)</f>
        <v>1.7454939697984545E-3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4.2139433606332523E-2</v>
      </c>
      <c r="C238" s="154">
        <f t="shared" si="310"/>
        <v>4.4672702920874122E-2</v>
      </c>
      <c r="D238" s="154">
        <f t="shared" si="310"/>
        <v>4.3260402409831374E-2</v>
      </c>
      <c r="E238" s="154">
        <f t="shared" si="310"/>
        <v>4.5597090398030019E-2</v>
      </c>
      <c r="F238" s="154">
        <f t="shared" si="310"/>
        <v>4.8131981234481126E-2</v>
      </c>
      <c r="G238" s="154">
        <f t="shared" si="310"/>
        <v>4.869813244254937E-2</v>
      </c>
      <c r="H238" s="154">
        <f t="shared" si="310"/>
        <v>5.3430236683621679E-2</v>
      </c>
      <c r="I238" s="154">
        <f t="shared" si="310"/>
        <v>5.4728435656540141E-2</v>
      </c>
      <c r="J238" s="154">
        <f t="shared" si="310"/>
        <v>5.5707845212409103E-2</v>
      </c>
      <c r="K238" s="154">
        <f t="shared" si="310"/>
        <v>6.3679874505606887E-2</v>
      </c>
      <c r="L238" s="154">
        <f t="shared" ref="L238" si="311">IF(L20=0,0,L20/L$19)</f>
        <v>6.402122094290337E-2</v>
      </c>
      <c r="M238" s="154">
        <f t="shared" ref="M238:V238" si="312">IF(M20=0,0,M20/M$19)</f>
        <v>7.190514871158557E-2</v>
      </c>
      <c r="N238" s="154">
        <f t="shared" si="312"/>
        <v>7.8180697772864766E-2</v>
      </c>
      <c r="O238" s="154">
        <f t="shared" si="312"/>
        <v>8.4924679691215421E-2</v>
      </c>
      <c r="P238" s="154">
        <f t="shared" si="312"/>
        <v>8.8023858486364542E-2</v>
      </c>
      <c r="Q238" s="154">
        <f t="shared" si="312"/>
        <v>8.565107244781793E-2</v>
      </c>
      <c r="R238" s="154">
        <f t="shared" si="312"/>
        <v>7.9101667133291337E-2</v>
      </c>
      <c r="S238" s="154">
        <f t="shared" si="312"/>
        <v>7.6965305916547239E-2</v>
      </c>
      <c r="T238" s="154">
        <f t="shared" si="312"/>
        <v>7.9942574641519118E-2</v>
      </c>
      <c r="U238" s="154">
        <f t="shared" si="312"/>
        <v>8.0765255477059095E-2</v>
      </c>
      <c r="V238" s="154">
        <f t="shared" si="312"/>
        <v>7.8241540851715127E-2</v>
      </c>
      <c r="W238" s="154">
        <f t="shared" ref="W238" si="313">IF(W20=0,0,W20/W$19)</f>
        <v>8.0930757442315968E-2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3.8064754750808203E-3</v>
      </c>
      <c r="C239" s="103">
        <f t="shared" si="314"/>
        <v>3.7141866613433555E-3</v>
      </c>
      <c r="D239" s="103">
        <f t="shared" si="314"/>
        <v>3.3336326356413334E-3</v>
      </c>
      <c r="E239" s="103">
        <f t="shared" si="314"/>
        <v>3.2070440508563886E-3</v>
      </c>
      <c r="F239" s="103">
        <f t="shared" si="314"/>
        <v>2.9462905321212922E-3</v>
      </c>
      <c r="G239" s="103">
        <f t="shared" si="314"/>
        <v>2.7861383436042927E-3</v>
      </c>
      <c r="H239" s="103">
        <f t="shared" si="314"/>
        <v>2.7909600486703927E-3</v>
      </c>
      <c r="I239" s="103">
        <f t="shared" si="314"/>
        <v>2.5932005875090852E-3</v>
      </c>
      <c r="J239" s="103">
        <f t="shared" si="314"/>
        <v>2.459091445336284E-3</v>
      </c>
      <c r="K239" s="103">
        <f t="shared" si="314"/>
        <v>2.6667027153157341E-3</v>
      </c>
      <c r="L239" s="103">
        <f t="shared" ref="L239" si="315">IF(L21=0,0,L21/L$19)</f>
        <v>2.5463109993171711E-3</v>
      </c>
      <c r="M239" s="103">
        <f t="shared" ref="M239:V239" si="316">IF(M21=0,0,M21/M$19)</f>
        <v>2.6998755536595496E-3</v>
      </c>
      <c r="N239" s="103">
        <f t="shared" si="316"/>
        <v>2.8107749654961286E-3</v>
      </c>
      <c r="O239" s="103">
        <f t="shared" si="316"/>
        <v>2.8494443565353737E-3</v>
      </c>
      <c r="P239" s="103">
        <f t="shared" si="316"/>
        <v>2.83610940997139E-3</v>
      </c>
      <c r="Q239" s="103">
        <f t="shared" si="316"/>
        <v>2.6472293723506929E-3</v>
      </c>
      <c r="R239" s="103">
        <f t="shared" si="316"/>
        <v>2.3451836877318786E-3</v>
      </c>
      <c r="S239" s="103">
        <f t="shared" si="316"/>
        <v>2.184930033985932E-3</v>
      </c>
      <c r="T239" s="103">
        <f t="shared" si="316"/>
        <v>2.1819673666910325E-3</v>
      </c>
      <c r="U239" s="103">
        <f t="shared" si="316"/>
        <v>2.1316404587592317E-3</v>
      </c>
      <c r="V239" s="103">
        <f t="shared" si="316"/>
        <v>2.0225115637470402E-3</v>
      </c>
      <c r="W239" s="103">
        <f t="shared" ref="W239" si="317">IF(W21=0,0,W21/W$19)</f>
        <v>2.0562533499520518E-3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3.8320488653331222E-2</v>
      </c>
      <c r="C240" s="103">
        <f t="shared" si="318"/>
        <v>4.0945546642206218E-2</v>
      </c>
      <c r="D240" s="103">
        <f t="shared" si="318"/>
        <v>3.991575302548582E-2</v>
      </c>
      <c r="E240" s="103">
        <f t="shared" si="318"/>
        <v>4.2379401612877309E-2</v>
      </c>
      <c r="F240" s="103">
        <f t="shared" si="318"/>
        <v>4.5176011919570651E-2</v>
      </c>
      <c r="G240" s="103">
        <f t="shared" si="318"/>
        <v>4.590306758896321E-2</v>
      </c>
      <c r="H240" s="103">
        <f t="shared" si="318"/>
        <v>5.0630001149073456E-2</v>
      </c>
      <c r="I240" s="103">
        <f t="shared" si="318"/>
        <v>5.2125627371904938E-2</v>
      </c>
      <c r="J240" s="103">
        <f t="shared" si="318"/>
        <v>5.3238191250998414E-2</v>
      </c>
      <c r="K240" s="103">
        <f t="shared" si="318"/>
        <v>6.099907325223787E-2</v>
      </c>
      <c r="L240" s="103">
        <f t="shared" ref="L240" si="319">IF(L22=0,0,L22/L$19)</f>
        <v>6.1458899750640408E-2</v>
      </c>
      <c r="M240" s="103">
        <f t="shared" ref="M240:V240" si="320">IF(M22=0,0,M22/M$19)</f>
        <v>6.9184976406942267E-2</v>
      </c>
      <c r="N240" s="103">
        <f t="shared" si="320"/>
        <v>7.5344748323830174E-2</v>
      </c>
      <c r="O240" s="103">
        <f t="shared" si="320"/>
        <v>8.2042145524786725E-2</v>
      </c>
      <c r="P240" s="103">
        <f t="shared" si="320"/>
        <v>8.5149015901009054E-2</v>
      </c>
      <c r="Q240" s="103">
        <f t="shared" si="320"/>
        <v>8.2959999256977737E-2</v>
      </c>
      <c r="R240" s="103">
        <f t="shared" si="320"/>
        <v>7.6707416123230385E-2</v>
      </c>
      <c r="S240" s="103">
        <f t="shared" si="320"/>
        <v>7.4718720708390654E-2</v>
      </c>
      <c r="T240" s="103">
        <f t="shared" si="320"/>
        <v>7.7678621872808662E-2</v>
      </c>
      <c r="U240" s="103">
        <f t="shared" si="320"/>
        <v>7.8530078532031852E-2</v>
      </c>
      <c r="V240" s="103">
        <f t="shared" si="320"/>
        <v>7.610176768066601E-2</v>
      </c>
      <c r="W240" s="103">
        <f t="shared" ref="W240" si="321">IF(W22=0,0,W22/W$19)</f>
        <v>7.8724325572041565E-2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0</v>
      </c>
      <c r="P241" s="103">
        <f t="shared" si="324"/>
        <v>0</v>
      </c>
      <c r="Q241" s="103">
        <f t="shared" si="324"/>
        <v>0</v>
      </c>
      <c r="R241" s="103">
        <f t="shared" si="324"/>
        <v>0</v>
      </c>
      <c r="S241" s="103">
        <f t="shared" si="324"/>
        <v>0</v>
      </c>
      <c r="T241" s="103">
        <f t="shared" si="324"/>
        <v>0</v>
      </c>
      <c r="U241" s="103">
        <f t="shared" si="324"/>
        <v>0</v>
      </c>
      <c r="V241" s="103">
        <f t="shared" si="324"/>
        <v>0</v>
      </c>
      <c r="W241" s="103">
        <f t="shared" ref="W241" si="325">IF(W23=0,0,W23/W$19)</f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4.07507026844339E-7</v>
      </c>
      <c r="D242" s="103">
        <f t="shared" si="326"/>
        <v>3.8604836094657332E-7</v>
      </c>
      <c r="E242" s="103">
        <f t="shared" si="326"/>
        <v>3.9643911816385958E-7</v>
      </c>
      <c r="F242" s="103">
        <f t="shared" si="326"/>
        <v>3.6675321520507969E-7</v>
      </c>
      <c r="G242" s="103">
        <f t="shared" si="326"/>
        <v>4.9863752172629065E-7</v>
      </c>
      <c r="H242" s="103">
        <f t="shared" si="326"/>
        <v>5.0913249108680123E-7</v>
      </c>
      <c r="I242" s="103">
        <f t="shared" si="326"/>
        <v>1.3541296201816017E-6</v>
      </c>
      <c r="J242" s="103">
        <f t="shared" si="326"/>
        <v>2.3607470519138569E-6</v>
      </c>
      <c r="K242" s="103">
        <f t="shared" si="326"/>
        <v>4.5384065228483935E-6</v>
      </c>
      <c r="L242" s="103">
        <f t="shared" ref="L242" si="327">IF(L24=0,0,L24/L$19)</f>
        <v>6.1632982025424594E-6</v>
      </c>
      <c r="M242" s="103">
        <f t="shared" ref="M242:V242" si="328">IF(M24=0,0,M24/M$19)</f>
        <v>9.6538551158395731E-6</v>
      </c>
      <c r="N242" s="103">
        <f t="shared" si="328"/>
        <v>1.2603546050983834E-5</v>
      </c>
      <c r="O242" s="103">
        <f t="shared" si="328"/>
        <v>1.9559635021281636E-5</v>
      </c>
      <c r="P242" s="103">
        <f t="shared" si="328"/>
        <v>2.2774587358403931E-5</v>
      </c>
      <c r="Q242" s="103">
        <f t="shared" si="328"/>
        <v>2.474393891869498E-5</v>
      </c>
      <c r="R242" s="103">
        <f t="shared" si="328"/>
        <v>2.6422229505161124E-5</v>
      </c>
      <c r="S242" s="103">
        <f t="shared" si="328"/>
        <v>3.6955971246943793E-5</v>
      </c>
      <c r="T242" s="103">
        <f t="shared" si="328"/>
        <v>5.3307373265935985E-5</v>
      </c>
      <c r="U242" s="103">
        <f t="shared" si="328"/>
        <v>7.0425995606683838E-5</v>
      </c>
      <c r="V242" s="103">
        <f t="shared" si="328"/>
        <v>8.2393879102723433E-5</v>
      </c>
      <c r="W242" s="103">
        <f t="shared" ref="W242" si="329">IF(W24=0,0,W24/W$19)</f>
        <v>8.6846186558362727E-5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1.2469477920488212E-5</v>
      </c>
      <c r="C243" s="103">
        <f t="shared" si="330"/>
        <v>1.2562110297702106E-5</v>
      </c>
      <c r="D243" s="103">
        <f t="shared" si="330"/>
        <v>1.0630700343266593E-5</v>
      </c>
      <c r="E243" s="103">
        <f t="shared" si="330"/>
        <v>1.0248295178161936E-5</v>
      </c>
      <c r="F243" s="103">
        <f t="shared" si="330"/>
        <v>9.312029573976853E-6</v>
      </c>
      <c r="G243" s="103">
        <f t="shared" si="330"/>
        <v>8.4278724601354269E-6</v>
      </c>
      <c r="H243" s="103">
        <f t="shared" si="330"/>
        <v>8.7663533867419819E-6</v>
      </c>
      <c r="I243" s="103">
        <f t="shared" si="330"/>
        <v>8.2535675059398892E-6</v>
      </c>
      <c r="J243" s="103">
        <f t="shared" si="330"/>
        <v>8.2017690225007579E-6</v>
      </c>
      <c r="K243" s="103">
        <f t="shared" si="330"/>
        <v>9.5601315304348421E-6</v>
      </c>
      <c r="L243" s="103">
        <f t="shared" ref="L243" si="331">IF(L25=0,0,L25/L$19)</f>
        <v>9.8468947432521403E-6</v>
      </c>
      <c r="M243" s="103">
        <f t="shared" ref="M243:V243" si="332">IF(M25=0,0,M25/M$19)</f>
        <v>1.0642895867920682E-5</v>
      </c>
      <c r="N243" s="103">
        <f t="shared" si="332"/>
        <v>1.2570937487478997E-5</v>
      </c>
      <c r="O243" s="103">
        <f t="shared" si="332"/>
        <v>1.3530174872055036E-5</v>
      </c>
      <c r="P243" s="103">
        <f t="shared" si="332"/>
        <v>1.5958588025705021E-5</v>
      </c>
      <c r="Q243" s="103">
        <f t="shared" si="332"/>
        <v>1.9099879570813435E-5</v>
      </c>
      <c r="R243" s="103">
        <f t="shared" si="332"/>
        <v>2.2645092823893277E-5</v>
      </c>
      <c r="S243" s="103">
        <f t="shared" si="332"/>
        <v>2.4699202923710565E-5</v>
      </c>
      <c r="T243" s="103">
        <f t="shared" si="332"/>
        <v>2.8678028753486099E-5</v>
      </c>
      <c r="U243" s="103">
        <f t="shared" si="332"/>
        <v>3.3110490661322763E-5</v>
      </c>
      <c r="V243" s="103">
        <f t="shared" si="332"/>
        <v>3.4867728199376358E-5</v>
      </c>
      <c r="W243" s="103">
        <f t="shared" ref="W243" si="333">IF(W25=0,0,W25/W$19)</f>
        <v>6.3332333763989573E-5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0.95786056639366746</v>
      </c>
      <c r="C244" s="156">
        <f t="shared" si="334"/>
        <v>0.95532729707912589</v>
      </c>
      <c r="D244" s="156">
        <f t="shared" si="334"/>
        <v>0.95673959759016869</v>
      </c>
      <c r="E244" s="156">
        <f t="shared" si="334"/>
        <v>0.95440290960197005</v>
      </c>
      <c r="F244" s="156">
        <f t="shared" si="334"/>
        <v>0.95186801876551885</v>
      </c>
      <c r="G244" s="156">
        <f t="shared" si="334"/>
        <v>0.95130186755745061</v>
      </c>
      <c r="H244" s="156">
        <f t="shared" si="334"/>
        <v>0.94656976331637832</v>
      </c>
      <c r="I244" s="156">
        <f t="shared" si="334"/>
        <v>0.94527156434345994</v>
      </c>
      <c r="J244" s="156">
        <f t="shared" si="334"/>
        <v>0.94429215478759088</v>
      </c>
      <c r="K244" s="156">
        <f t="shared" si="334"/>
        <v>0.93632012549439303</v>
      </c>
      <c r="L244" s="156">
        <f t="shared" ref="L244" si="335">IF(L26=0,0,L26/L$19)</f>
        <v>0.9359787790570967</v>
      </c>
      <c r="M244" s="156">
        <f t="shared" ref="M244:V244" si="336">IF(M26=0,0,M26/M$19)</f>
        <v>0.92809485128841451</v>
      </c>
      <c r="N244" s="156">
        <f t="shared" si="336"/>
        <v>0.92181930222713526</v>
      </c>
      <c r="O244" s="156">
        <f t="shared" si="336"/>
        <v>0.91507532030878458</v>
      </c>
      <c r="P244" s="156">
        <f t="shared" si="336"/>
        <v>0.91197614151363537</v>
      </c>
      <c r="Q244" s="156">
        <f t="shared" si="336"/>
        <v>0.91434892755218211</v>
      </c>
      <c r="R244" s="156">
        <f t="shared" si="336"/>
        <v>0.92089833286670864</v>
      </c>
      <c r="S244" s="156">
        <f t="shared" si="336"/>
        <v>0.92303469408345273</v>
      </c>
      <c r="T244" s="156">
        <f t="shared" si="336"/>
        <v>0.9200574253584809</v>
      </c>
      <c r="U244" s="156">
        <f t="shared" si="336"/>
        <v>0.91923474452294096</v>
      </c>
      <c r="V244" s="156">
        <f t="shared" si="336"/>
        <v>0.9217584591482848</v>
      </c>
      <c r="W244" s="156">
        <f t="shared" ref="W244" si="337">IF(W26=0,0,W26/W$19)</f>
        <v>0.91906924255768407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0.93356081737922125</v>
      </c>
      <c r="C245" s="103">
        <f t="shared" si="338"/>
        <v>0.92845197778089583</v>
      </c>
      <c r="D245" s="103">
        <f t="shared" si="338"/>
        <v>0.92966214966587735</v>
      </c>
      <c r="E245" s="103">
        <f t="shared" si="338"/>
        <v>0.92581458385477133</v>
      </c>
      <c r="F245" s="103">
        <f t="shared" si="338"/>
        <v>0.91946722541083814</v>
      </c>
      <c r="G245" s="103">
        <f t="shared" si="338"/>
        <v>0.91848015050259391</v>
      </c>
      <c r="H245" s="103">
        <f t="shared" si="338"/>
        <v>0.90878866388959023</v>
      </c>
      <c r="I245" s="103">
        <f t="shared" si="338"/>
        <v>0.90732024393423205</v>
      </c>
      <c r="J245" s="103">
        <f t="shared" si="338"/>
        <v>0.90814015596547026</v>
      </c>
      <c r="K245" s="103">
        <f t="shared" si="338"/>
        <v>0.89933968845645718</v>
      </c>
      <c r="L245" s="103">
        <f t="shared" ref="L245" si="339">IF(L27=0,0,L27/L$19)</f>
        <v>0.88888564997194608</v>
      </c>
      <c r="M245" s="103">
        <f t="shared" ref="M245:V245" si="340">IF(M27=0,0,M27/M$19)</f>
        <v>0.89552090114917438</v>
      </c>
      <c r="N245" s="103">
        <f t="shared" si="340"/>
        <v>0.8790811937772407</v>
      </c>
      <c r="O245" s="103">
        <f t="shared" si="340"/>
        <v>0.87639889034858387</v>
      </c>
      <c r="P245" s="103">
        <f t="shared" si="340"/>
        <v>0.86156489414997661</v>
      </c>
      <c r="Q245" s="103">
        <f t="shared" si="340"/>
        <v>0.86045111061156188</v>
      </c>
      <c r="R245" s="103">
        <f t="shared" si="340"/>
        <v>0.88052531709794357</v>
      </c>
      <c r="S245" s="103">
        <f t="shared" si="340"/>
        <v>0.88492679962993004</v>
      </c>
      <c r="T245" s="103">
        <f t="shared" si="340"/>
        <v>0.87664702584971199</v>
      </c>
      <c r="U245" s="103">
        <f t="shared" si="340"/>
        <v>0.88379811608063763</v>
      </c>
      <c r="V245" s="103">
        <f t="shared" si="340"/>
        <v>0.88736211004040888</v>
      </c>
      <c r="W245" s="103">
        <f t="shared" ref="W245" si="341">IF(W27=0,0,W27/W$19)</f>
        <v>0.87544273838116016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2.4299749014446211E-2</v>
      </c>
      <c r="C246" s="105">
        <f t="shared" si="342"/>
        <v>2.6875319298230092E-2</v>
      </c>
      <c r="D246" s="105">
        <f t="shared" si="342"/>
        <v>2.7077447924291335E-2</v>
      </c>
      <c r="E246" s="105">
        <f t="shared" si="342"/>
        <v>2.8588325747198707E-2</v>
      </c>
      <c r="F246" s="105">
        <f t="shared" si="342"/>
        <v>3.240079335468074E-2</v>
      </c>
      <c r="G246" s="105">
        <f t="shared" si="342"/>
        <v>3.2821717054856751E-2</v>
      </c>
      <c r="H246" s="105">
        <f t="shared" si="342"/>
        <v>3.7781099426788145E-2</v>
      </c>
      <c r="I246" s="105">
        <f t="shared" si="342"/>
        <v>3.7951320409227808E-2</v>
      </c>
      <c r="J246" s="105">
        <f t="shared" si="342"/>
        <v>3.6151998822120654E-2</v>
      </c>
      <c r="K246" s="105">
        <f t="shared" si="342"/>
        <v>3.6980437037935854E-2</v>
      </c>
      <c r="L246" s="105">
        <f t="shared" ref="L246" si="343">IF(L28=0,0,L28/L$19)</f>
        <v>4.7093129085150578E-2</v>
      </c>
      <c r="M246" s="105">
        <f t="shared" ref="M246:V246" si="344">IF(M28=0,0,M28/M$19)</f>
        <v>3.257395013924011E-2</v>
      </c>
      <c r="N246" s="105">
        <f t="shared" si="344"/>
        <v>4.2738108449894591E-2</v>
      </c>
      <c r="O246" s="105">
        <f t="shared" si="344"/>
        <v>3.8676429960200653E-2</v>
      </c>
      <c r="P246" s="105">
        <f t="shared" si="344"/>
        <v>5.041124736365872E-2</v>
      </c>
      <c r="Q246" s="105">
        <f t="shared" si="344"/>
        <v>5.3897816940620215E-2</v>
      </c>
      <c r="R246" s="105">
        <f t="shared" si="344"/>
        <v>4.0373015768765043E-2</v>
      </c>
      <c r="S246" s="105">
        <f t="shared" si="344"/>
        <v>3.8107894453522723E-2</v>
      </c>
      <c r="T246" s="105">
        <f t="shared" si="344"/>
        <v>4.3410399508768946E-2</v>
      </c>
      <c r="U246" s="105">
        <f t="shared" si="344"/>
        <v>3.5436628442303282E-2</v>
      </c>
      <c r="V246" s="105">
        <f t="shared" si="344"/>
        <v>3.4396349107876013E-2</v>
      </c>
      <c r="W246" s="105">
        <f t="shared" ref="W246" si="345">IF(W28=0,0,W28/W$19)</f>
        <v>4.3626504176523889E-2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2.4834049718306033E-2</v>
      </c>
      <c r="C250" s="154">
        <f t="shared" si="350"/>
        <v>2.4221138089804348E-2</v>
      </c>
      <c r="D250" s="154">
        <f t="shared" si="350"/>
        <v>2.3540611663277655E-2</v>
      </c>
      <c r="E250" s="154">
        <f t="shared" si="350"/>
        <v>2.2973071156390846E-2</v>
      </c>
      <c r="F250" s="154">
        <f t="shared" si="350"/>
        <v>2.238182851390379E-2</v>
      </c>
      <c r="G250" s="154">
        <f t="shared" si="350"/>
        <v>2.1957401154250603E-2</v>
      </c>
      <c r="H250" s="154">
        <f t="shared" si="350"/>
        <v>2.1738385285716328E-2</v>
      </c>
      <c r="I250" s="154">
        <f t="shared" si="350"/>
        <v>2.1246907244986533E-2</v>
      </c>
      <c r="J250" s="154">
        <f t="shared" si="350"/>
        <v>2.1392219989563952E-2</v>
      </c>
      <c r="K250" s="154">
        <f t="shared" si="350"/>
        <v>2.1035364825153922E-2</v>
      </c>
      <c r="L250" s="154">
        <f t="shared" ref="L250" si="351">IF(L32=0,0,L32/L$31)</f>
        <v>2.7590306514873993E-2</v>
      </c>
      <c r="M250" s="154">
        <f t="shared" ref="M250:V250" si="352">IF(M32=0,0,M32/M$31)</f>
        <v>2.7198152469489804E-2</v>
      </c>
      <c r="N250" s="154">
        <f t="shared" si="352"/>
        <v>2.7239439789732652E-2</v>
      </c>
      <c r="O250" s="154">
        <f t="shared" si="352"/>
        <v>2.7286175919169486E-2</v>
      </c>
      <c r="P250" s="154">
        <f t="shared" si="352"/>
        <v>2.7089753854085227E-2</v>
      </c>
      <c r="Q250" s="154">
        <f t="shared" si="352"/>
        <v>2.672057333003975E-2</v>
      </c>
      <c r="R250" s="154">
        <f t="shared" si="352"/>
        <v>2.8782231228806025E-2</v>
      </c>
      <c r="S250" s="154">
        <f t="shared" si="352"/>
        <v>2.5732117146941062E-2</v>
      </c>
      <c r="T250" s="154">
        <f t="shared" si="352"/>
        <v>2.4511812343814967E-2</v>
      </c>
      <c r="U250" s="154">
        <f t="shared" si="352"/>
        <v>2.5974027093025754E-2</v>
      </c>
      <c r="V250" s="154">
        <f t="shared" si="352"/>
        <v>2.4259891193925538E-2</v>
      </c>
      <c r="W250" s="154">
        <f t="shared" ref="W250" si="353">IF(W32=0,0,W32/W$31)</f>
        <v>2.5419480238961827E-2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0.9647102820730008</v>
      </c>
      <c r="C251" s="156">
        <f t="shared" si="354"/>
        <v>0.96572152375279363</v>
      </c>
      <c r="D251" s="156">
        <f t="shared" si="354"/>
        <v>0.96648466194553473</v>
      </c>
      <c r="E251" s="156">
        <f t="shared" si="354"/>
        <v>0.96698619056552382</v>
      </c>
      <c r="F251" s="156">
        <f t="shared" si="354"/>
        <v>0.96753231989465072</v>
      </c>
      <c r="G251" s="156">
        <f t="shared" si="354"/>
        <v>0.96799027399580873</v>
      </c>
      <c r="H251" s="156">
        <f t="shared" si="354"/>
        <v>0.96810659008109146</v>
      </c>
      <c r="I251" s="156">
        <f t="shared" si="354"/>
        <v>0.96856505280844096</v>
      </c>
      <c r="J251" s="156">
        <f t="shared" si="354"/>
        <v>0.96772521409885259</v>
      </c>
      <c r="K251" s="156">
        <f t="shared" si="354"/>
        <v>0.96764642382700672</v>
      </c>
      <c r="L251" s="156">
        <f t="shared" ref="L251" si="355">IF(L33=0,0,L33/L$31)</f>
        <v>0.96074484593113552</v>
      </c>
      <c r="M251" s="156">
        <f t="shared" ref="M251:V251" si="356">IF(M33=0,0,M33/M$31)</f>
        <v>0.96084204098798687</v>
      </c>
      <c r="N251" s="156">
        <f t="shared" si="356"/>
        <v>0.9601990022271546</v>
      </c>
      <c r="O251" s="156">
        <f t="shared" si="356"/>
        <v>0.95965268379644697</v>
      </c>
      <c r="P251" s="156">
        <f t="shared" si="356"/>
        <v>0.95938836001658578</v>
      </c>
      <c r="Q251" s="156">
        <f t="shared" si="356"/>
        <v>0.95948922103984957</v>
      </c>
      <c r="R251" s="156">
        <f t="shared" si="356"/>
        <v>0.95585943193332823</v>
      </c>
      <c r="S251" s="156">
        <f t="shared" si="356"/>
        <v>0.95938599054878615</v>
      </c>
      <c r="T251" s="156">
        <f t="shared" si="356"/>
        <v>0.96099700050770698</v>
      </c>
      <c r="U251" s="156">
        <f t="shared" si="356"/>
        <v>0.95985840811312417</v>
      </c>
      <c r="V251" s="156">
        <f t="shared" si="356"/>
        <v>0.96288369303188059</v>
      </c>
      <c r="W251" s="156">
        <f t="shared" ref="W251" si="357">IF(W33=0,0,W33/W$31)</f>
        <v>0.96312860245858511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0.80347178974202738</v>
      </c>
      <c r="C252" s="103">
        <f t="shared" si="358"/>
        <v>0.79848928016416443</v>
      </c>
      <c r="D252" s="103">
        <f t="shared" si="358"/>
        <v>0.79357224549994065</v>
      </c>
      <c r="E252" s="103">
        <f t="shared" si="358"/>
        <v>0.78584000127419873</v>
      </c>
      <c r="F252" s="103">
        <f t="shared" si="358"/>
        <v>0.78570014099589103</v>
      </c>
      <c r="G252" s="103">
        <f t="shared" si="358"/>
        <v>0.77484910390476958</v>
      </c>
      <c r="H252" s="103">
        <f t="shared" si="358"/>
        <v>0.76090981655993561</v>
      </c>
      <c r="I252" s="103">
        <f t="shared" si="358"/>
        <v>0.74406743379467655</v>
      </c>
      <c r="J252" s="103">
        <f t="shared" si="358"/>
        <v>0.70658978914286741</v>
      </c>
      <c r="K252" s="103">
        <f t="shared" si="358"/>
        <v>0.68679444377863008</v>
      </c>
      <c r="L252" s="103">
        <f t="shared" ref="L252" si="359">IF(L34=0,0,L34/L$31)</f>
        <v>0.65702438898874327</v>
      </c>
      <c r="M252" s="103">
        <f t="shared" ref="M252:V252" si="360">IF(M34=0,0,M34/M$31)</f>
        <v>0.62172783248697117</v>
      </c>
      <c r="N252" s="103">
        <f t="shared" si="360"/>
        <v>0.6030256117567695</v>
      </c>
      <c r="O252" s="103">
        <f t="shared" si="360"/>
        <v>0.59953360206377471</v>
      </c>
      <c r="P252" s="103">
        <f t="shared" si="360"/>
        <v>0.58571117859691069</v>
      </c>
      <c r="Q252" s="103">
        <f t="shared" si="360"/>
        <v>0.57427595587685754</v>
      </c>
      <c r="R252" s="103">
        <f t="shared" si="360"/>
        <v>0.56456781975404458</v>
      </c>
      <c r="S252" s="103">
        <f t="shared" si="360"/>
        <v>0.5525303286947717</v>
      </c>
      <c r="T252" s="103">
        <f t="shared" si="360"/>
        <v>0.54561754700176401</v>
      </c>
      <c r="U252" s="103">
        <f t="shared" si="360"/>
        <v>0.54122032372718132</v>
      </c>
      <c r="V252" s="103">
        <f t="shared" si="360"/>
        <v>0.54244018989677445</v>
      </c>
      <c r="W252" s="103">
        <f t="shared" ref="W252" si="361">IF(W34=0,0,W34/W$31)</f>
        <v>0.53628637941762092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0.1612384923309734</v>
      </c>
      <c r="C253" s="103">
        <f t="shared" si="362"/>
        <v>0.1672322435886292</v>
      </c>
      <c r="D253" s="103">
        <f t="shared" si="362"/>
        <v>0.1729124164455941</v>
      </c>
      <c r="E253" s="103">
        <f t="shared" si="362"/>
        <v>0.18114618929132506</v>
      </c>
      <c r="F253" s="103">
        <f t="shared" si="362"/>
        <v>0.18183217889875966</v>
      </c>
      <c r="G253" s="103">
        <f t="shared" si="362"/>
        <v>0.19314117009103901</v>
      </c>
      <c r="H253" s="103">
        <f t="shared" si="362"/>
        <v>0.20719576290960323</v>
      </c>
      <c r="I253" s="103">
        <f t="shared" si="362"/>
        <v>0.22446190133578886</v>
      </c>
      <c r="J253" s="103">
        <f t="shared" si="362"/>
        <v>0.26106571257597866</v>
      </c>
      <c r="K253" s="103">
        <f t="shared" si="362"/>
        <v>0.280733041783709</v>
      </c>
      <c r="L253" s="103">
        <f t="shared" ref="L253" si="363">IF(L35=0,0,L35/L$31)</f>
        <v>0.30356567534066292</v>
      </c>
      <c r="M253" s="103">
        <f t="shared" ref="M253:V253" si="364">IF(M35=0,0,M35/M$31)</f>
        <v>0.33891172474399295</v>
      </c>
      <c r="N253" s="103">
        <f t="shared" si="364"/>
        <v>0.35686232852396954</v>
      </c>
      <c r="O253" s="103">
        <f t="shared" si="364"/>
        <v>0.35969668773183522</v>
      </c>
      <c r="P253" s="103">
        <f t="shared" si="364"/>
        <v>0.37306476576167036</v>
      </c>
      <c r="Q253" s="103">
        <f t="shared" si="364"/>
        <v>0.38434939798302709</v>
      </c>
      <c r="R253" s="103">
        <f t="shared" si="364"/>
        <v>0.38999412690751101</v>
      </c>
      <c r="S253" s="103">
        <f t="shared" si="364"/>
        <v>0.40431636598051385</v>
      </c>
      <c r="T253" s="103">
        <f t="shared" si="364"/>
        <v>0.41040703265856099</v>
      </c>
      <c r="U253" s="103">
        <f t="shared" si="364"/>
        <v>0.40978607561855224</v>
      </c>
      <c r="V253" s="103">
        <f t="shared" si="364"/>
        <v>0.40547591461739396</v>
      </c>
      <c r="W253" s="103">
        <f t="shared" ref="W253" si="365">IF(W35=0,0,W35/W$31)</f>
        <v>0.40114593138996862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</v>
      </c>
      <c r="C254" s="103">
        <f t="shared" si="366"/>
        <v>0</v>
      </c>
      <c r="D254" s="103">
        <f t="shared" si="366"/>
        <v>0</v>
      </c>
      <c r="E254" s="103">
        <f t="shared" si="366"/>
        <v>0</v>
      </c>
      <c r="F254" s="103">
        <f t="shared" si="366"/>
        <v>0</v>
      </c>
      <c r="G254" s="103">
        <f t="shared" si="366"/>
        <v>0</v>
      </c>
      <c r="H254" s="103">
        <f t="shared" si="366"/>
        <v>0</v>
      </c>
      <c r="I254" s="103">
        <f t="shared" si="366"/>
        <v>0</v>
      </c>
      <c r="J254" s="103">
        <f t="shared" si="366"/>
        <v>0</v>
      </c>
      <c r="K254" s="103">
        <f t="shared" si="366"/>
        <v>0</v>
      </c>
      <c r="L254" s="103">
        <f t="shared" ref="L254" si="367">IF(L36=0,0,L36/L$31)</f>
        <v>0</v>
      </c>
      <c r="M254" s="103">
        <f t="shared" ref="M254:V254" si="368">IF(M36=0,0,M36/M$31)</f>
        <v>0</v>
      </c>
      <c r="N254" s="103">
        <f t="shared" si="368"/>
        <v>0</v>
      </c>
      <c r="O254" s="103">
        <f t="shared" si="368"/>
        <v>0</v>
      </c>
      <c r="P254" s="103">
        <f t="shared" si="368"/>
        <v>0</v>
      </c>
      <c r="Q254" s="103">
        <f t="shared" si="368"/>
        <v>0</v>
      </c>
      <c r="R254" s="103">
        <f t="shared" si="368"/>
        <v>0</v>
      </c>
      <c r="S254" s="103">
        <f t="shared" si="368"/>
        <v>0</v>
      </c>
      <c r="T254" s="103">
        <f t="shared" si="368"/>
        <v>0</v>
      </c>
      <c r="U254" s="103">
        <f t="shared" si="368"/>
        <v>0</v>
      </c>
      <c r="V254" s="103">
        <f t="shared" si="368"/>
        <v>0</v>
      </c>
      <c r="W254" s="103">
        <f t="shared" ref="W254" si="369">IF(W36=0,0,W36/W$31)</f>
        <v>0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1.0106115524944818E-6</v>
      </c>
      <c r="I255" s="103">
        <f t="shared" si="370"/>
        <v>3.4767289425762085E-5</v>
      </c>
      <c r="J255" s="103">
        <f t="shared" si="370"/>
        <v>6.7418085864703054E-5</v>
      </c>
      <c r="K255" s="103">
        <f t="shared" si="370"/>
        <v>1.1472270847707134E-4</v>
      </c>
      <c r="L255" s="103">
        <f t="shared" ref="L255" si="371">IF(L37=0,0,L37/L$31)</f>
        <v>1.4732383109976788E-4</v>
      </c>
      <c r="M255" s="103">
        <f t="shared" ref="M255:V255" si="372">IF(M37=0,0,M37/M$31)</f>
        <v>1.8436199953121517E-4</v>
      </c>
      <c r="N255" s="103">
        <f t="shared" si="372"/>
        <v>2.4391012024679902E-4</v>
      </c>
      <c r="O255" s="103">
        <f t="shared" si="372"/>
        <v>2.9632393135289056E-4</v>
      </c>
      <c r="P255" s="103">
        <f t="shared" si="372"/>
        <v>3.5767637780812948E-4</v>
      </c>
      <c r="Q255" s="103">
        <f t="shared" si="372"/>
        <v>4.2258591458865048E-4</v>
      </c>
      <c r="R255" s="103">
        <f t="shared" si="372"/>
        <v>4.7744692261470222E-4</v>
      </c>
      <c r="S255" s="103">
        <f t="shared" si="372"/>
        <v>8.2617100946892684E-4</v>
      </c>
      <c r="T255" s="103">
        <f t="shared" si="372"/>
        <v>1.425774090594555E-3</v>
      </c>
      <c r="U255" s="103">
        <f t="shared" si="372"/>
        <v>2.3055663092968483E-3</v>
      </c>
      <c r="V255" s="103">
        <f t="shared" si="372"/>
        <v>2.9167781712460573E-3</v>
      </c>
      <c r="W255" s="103">
        <f t="shared" ref="W255" si="373">IF(W37=0,0,W37/W$31)</f>
        <v>3.1202145142612109E-3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3.1230728951284057E-5</v>
      </c>
      <c r="O256" s="103">
        <f t="shared" si="376"/>
        <v>6.9550842927651314E-5</v>
      </c>
      <c r="P256" s="103">
        <f t="shared" si="376"/>
        <v>1.3462943771008008E-4</v>
      </c>
      <c r="Q256" s="103">
        <f t="shared" si="376"/>
        <v>2.3769516326856404E-4</v>
      </c>
      <c r="R256" s="103">
        <f t="shared" si="376"/>
        <v>5.3085463052410047E-4</v>
      </c>
      <c r="S256" s="103">
        <f t="shared" si="376"/>
        <v>1.244898774334684E-3</v>
      </c>
      <c r="T256" s="103">
        <f t="shared" si="376"/>
        <v>2.7709839063568688E-3</v>
      </c>
      <c r="U256" s="103">
        <f t="shared" si="376"/>
        <v>5.0474012651955669E-3</v>
      </c>
      <c r="V256" s="103">
        <f t="shared" si="376"/>
        <v>8.9513593138469041E-3</v>
      </c>
      <c r="W256" s="103">
        <f t="shared" ref="W256" si="377">IF(W38=0,0,W38/W$31)</f>
        <v>1.4822793321938666E-2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9.5038854978618973E-7</v>
      </c>
      <c r="J257" s="103">
        <f t="shared" si="378"/>
        <v>2.2942941417625245E-6</v>
      </c>
      <c r="K257" s="103">
        <f t="shared" si="378"/>
        <v>4.2155561904638577E-6</v>
      </c>
      <c r="L257" s="103">
        <f t="shared" ref="L257" si="379">IF(L39=0,0,L39/L$31)</f>
        <v>7.4577706294818178E-6</v>
      </c>
      <c r="M257" s="103">
        <f t="shared" ref="M257:V257" si="380">IF(M39=0,0,M39/M$31)</f>
        <v>1.8121757491512388E-5</v>
      </c>
      <c r="N257" s="103">
        <f t="shared" si="380"/>
        <v>3.5921097217682828E-5</v>
      </c>
      <c r="O257" s="103">
        <f t="shared" si="380"/>
        <v>5.6519226556547915E-5</v>
      </c>
      <c r="P257" s="103">
        <f t="shared" si="380"/>
        <v>1.2010984248665144E-4</v>
      </c>
      <c r="Q257" s="103">
        <f t="shared" si="380"/>
        <v>2.0358610210776776E-4</v>
      </c>
      <c r="R257" s="103">
        <f t="shared" si="380"/>
        <v>2.8918371863380452E-4</v>
      </c>
      <c r="S257" s="103">
        <f t="shared" si="380"/>
        <v>4.6822608969721881E-4</v>
      </c>
      <c r="T257" s="103">
        <f t="shared" si="380"/>
        <v>7.7566285043053002E-4</v>
      </c>
      <c r="U257" s="103">
        <f t="shared" si="380"/>
        <v>1.499041192898179E-3</v>
      </c>
      <c r="V257" s="103">
        <f t="shared" si="380"/>
        <v>3.099451032619454E-3</v>
      </c>
      <c r="W257" s="103">
        <f t="shared" ref="W257" si="381">IF(W39=0,0,W39/W$31)</f>
        <v>7.7532838147955528E-3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1.0455668208692977E-2</v>
      </c>
      <c r="C258" s="156">
        <f t="shared" si="382"/>
        <v>1.0057338157402146E-2</v>
      </c>
      <c r="D258" s="156">
        <f t="shared" si="382"/>
        <v>9.9747263911875439E-3</v>
      </c>
      <c r="E258" s="156">
        <f t="shared" si="382"/>
        <v>1.0040738278085297E-2</v>
      </c>
      <c r="F258" s="156">
        <f t="shared" si="382"/>
        <v>1.0085851591445491E-2</v>
      </c>
      <c r="G258" s="156">
        <f t="shared" si="382"/>
        <v>1.005232484994065E-2</v>
      </c>
      <c r="H258" s="156">
        <f t="shared" si="382"/>
        <v>1.015502463319219E-2</v>
      </c>
      <c r="I258" s="156">
        <f t="shared" si="382"/>
        <v>1.01880399465725E-2</v>
      </c>
      <c r="J258" s="156">
        <f t="shared" si="382"/>
        <v>1.0882565911583613E-2</v>
      </c>
      <c r="K258" s="156">
        <f t="shared" si="382"/>
        <v>1.1318211347839384E-2</v>
      </c>
      <c r="L258" s="156">
        <f t="shared" ref="L258" si="383">IF(L40=0,0,L40/L$31)</f>
        <v>1.166484755399046E-2</v>
      </c>
      <c r="M258" s="156">
        <f t="shared" ref="M258:V258" si="384">IF(M40=0,0,M40/M$31)</f>
        <v>1.1959806542523278E-2</v>
      </c>
      <c r="N258" s="156">
        <f t="shared" si="384"/>
        <v>1.25615579831127E-2</v>
      </c>
      <c r="O258" s="156">
        <f t="shared" si="384"/>
        <v>1.3061140284383561E-2</v>
      </c>
      <c r="P258" s="156">
        <f t="shared" si="384"/>
        <v>1.3521886129328911E-2</v>
      </c>
      <c r="Q258" s="156">
        <f t="shared" si="384"/>
        <v>1.3790205630110587E-2</v>
      </c>
      <c r="R258" s="156">
        <f t="shared" si="384"/>
        <v>1.5358336837865869E-2</v>
      </c>
      <c r="S258" s="156">
        <f t="shared" si="384"/>
        <v>1.4881892304272797E-2</v>
      </c>
      <c r="T258" s="156">
        <f t="shared" si="384"/>
        <v>1.4491187148478123E-2</v>
      </c>
      <c r="U258" s="156">
        <f t="shared" si="384"/>
        <v>1.4167564793850082E-2</v>
      </c>
      <c r="V258" s="156">
        <f t="shared" si="384"/>
        <v>1.2856415774193801E-2</v>
      </c>
      <c r="W258" s="156">
        <f t="shared" ref="W258" si="385">IF(W40=0,0,W40/W$31)</f>
        <v>1.145191730245306E-2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1.3846260877773247E-5</v>
      </c>
      <c r="C259" s="103">
        <f t="shared" si="386"/>
        <v>1.5001263549575351E-5</v>
      </c>
      <c r="D259" s="103">
        <f t="shared" si="386"/>
        <v>1.4093565132575255E-5</v>
      </c>
      <c r="E259" s="103">
        <f t="shared" si="386"/>
        <v>1.374577318185488E-5</v>
      </c>
      <c r="F259" s="103">
        <f t="shared" si="386"/>
        <v>1.3849668206037601E-5</v>
      </c>
      <c r="G259" s="103">
        <f t="shared" si="386"/>
        <v>1.4956264649714257E-5</v>
      </c>
      <c r="H259" s="103">
        <f t="shared" si="386"/>
        <v>1.3903179585219521E-5</v>
      </c>
      <c r="I259" s="103">
        <f t="shared" si="386"/>
        <v>1.4002315509447459E-5</v>
      </c>
      <c r="J259" s="103">
        <f t="shared" si="386"/>
        <v>1.3649028878293136E-5</v>
      </c>
      <c r="K259" s="103">
        <f t="shared" si="386"/>
        <v>1.3413524696196004E-5</v>
      </c>
      <c r="L259" s="103">
        <f t="shared" ref="L259" si="387">IF(L41=0,0,L41/L$31)</f>
        <v>1.3642342385574749E-5</v>
      </c>
      <c r="M259" s="103">
        <f t="shared" ref="M259:V259" si="388">IF(M41=0,0,M41/M$31)</f>
        <v>1.303769212048668E-5</v>
      </c>
      <c r="N259" s="103">
        <f t="shared" si="388"/>
        <v>1.3079899932154384E-5</v>
      </c>
      <c r="O259" s="103">
        <f t="shared" si="388"/>
        <v>1.3106888056996593E-5</v>
      </c>
      <c r="P259" s="103">
        <f t="shared" si="388"/>
        <v>1.3006021264593555E-5</v>
      </c>
      <c r="Q259" s="103">
        <f t="shared" si="388"/>
        <v>1.2826472027803921E-5</v>
      </c>
      <c r="R259" s="103">
        <f t="shared" si="388"/>
        <v>1.3469276906750824E-5</v>
      </c>
      <c r="S259" s="103">
        <f t="shared" si="388"/>
        <v>1.2775640742164979E-5</v>
      </c>
      <c r="T259" s="103">
        <f t="shared" si="388"/>
        <v>1.1897009609969368E-5</v>
      </c>
      <c r="U259" s="103">
        <f t="shared" si="388"/>
        <v>1.1000724640054287E-5</v>
      </c>
      <c r="V259" s="103">
        <f t="shared" si="388"/>
        <v>9.3373365967375232E-6</v>
      </c>
      <c r="W259" s="103">
        <f t="shared" ref="W259" si="389">IF(W41=0,0,W41/W$31)</f>
        <v>7.9942880001651201E-6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1.0323678361081924E-2</v>
      </c>
      <c r="C260" s="103">
        <f t="shared" si="390"/>
        <v>9.9293323471069742E-3</v>
      </c>
      <c r="D260" s="103">
        <f t="shared" si="390"/>
        <v>9.794291724166999E-3</v>
      </c>
      <c r="E260" s="103">
        <f t="shared" si="390"/>
        <v>9.8626763100854147E-3</v>
      </c>
      <c r="F260" s="103">
        <f t="shared" si="390"/>
        <v>9.9150011037221798E-3</v>
      </c>
      <c r="G260" s="103">
        <f t="shared" si="390"/>
        <v>9.8842309174008956E-3</v>
      </c>
      <c r="H260" s="103">
        <f t="shared" si="390"/>
        <v>9.9413651084762911E-3</v>
      </c>
      <c r="I260" s="103">
        <f t="shared" si="390"/>
        <v>9.9753035582038074E-3</v>
      </c>
      <c r="J260" s="103">
        <f t="shared" si="390"/>
        <v>1.0674744158859847E-2</v>
      </c>
      <c r="K260" s="103">
        <f t="shared" si="390"/>
        <v>1.1113026044833232E-2</v>
      </c>
      <c r="L260" s="103">
        <f t="shared" ref="L260" si="391">IF(L42=0,0,L42/L$31)</f>
        <v>1.1471611013667249E-2</v>
      </c>
      <c r="M260" s="103">
        <f t="shared" ref="M260:V260" si="392">IF(M42=0,0,M42/M$31)</f>
        <v>1.1779748377552727E-2</v>
      </c>
      <c r="N260" s="103">
        <f t="shared" si="392"/>
        <v>1.2383003556409557E-2</v>
      </c>
      <c r="O260" s="103">
        <f t="shared" si="392"/>
        <v>1.2896416629512802E-2</v>
      </c>
      <c r="P260" s="103">
        <f t="shared" si="392"/>
        <v>1.3368423340225156E-2</v>
      </c>
      <c r="Q260" s="103">
        <f t="shared" si="392"/>
        <v>1.3648716651461236E-2</v>
      </c>
      <c r="R260" s="103">
        <f t="shared" si="392"/>
        <v>1.5209860534221912E-2</v>
      </c>
      <c r="S260" s="103">
        <f t="shared" si="392"/>
        <v>1.4746161338320959E-2</v>
      </c>
      <c r="T260" s="103">
        <f t="shared" si="392"/>
        <v>1.436441588635312E-2</v>
      </c>
      <c r="U260" s="103">
        <f t="shared" si="392"/>
        <v>1.4015081157928721E-2</v>
      </c>
      <c r="V260" s="103">
        <f t="shared" si="392"/>
        <v>1.269727203329753E-2</v>
      </c>
      <c r="W260" s="103">
        <f t="shared" ref="W260" si="393">IF(W42=0,0,W42/W$31)</f>
        <v>1.1147915534502385E-2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1.1814358673328046E-4</v>
      </c>
      <c r="C262" s="103">
        <f t="shared" si="398"/>
        <v>1.130045467455967E-4</v>
      </c>
      <c r="D262" s="103">
        <f t="shared" si="398"/>
        <v>1.6634110188796974E-4</v>
      </c>
      <c r="E262" s="103">
        <f t="shared" si="398"/>
        <v>1.64316194818029E-4</v>
      </c>
      <c r="F262" s="103">
        <f t="shared" si="398"/>
        <v>1.5700081951727405E-4</v>
      </c>
      <c r="G262" s="103">
        <f t="shared" si="398"/>
        <v>1.531376678900402E-4</v>
      </c>
      <c r="H262" s="103">
        <f t="shared" si="398"/>
        <v>1.9975634513067826E-4</v>
      </c>
      <c r="I262" s="103">
        <f t="shared" si="398"/>
        <v>1.987340728592459E-4</v>
      </c>
      <c r="J262" s="103">
        <f t="shared" si="398"/>
        <v>1.9417272384547311E-4</v>
      </c>
      <c r="K262" s="103">
        <f t="shared" si="398"/>
        <v>1.9177177830995599E-4</v>
      </c>
      <c r="L262" s="103">
        <f t="shared" ref="L262" si="399">IF(L44=0,0,L44/L$31)</f>
        <v>1.7959419793763719E-4</v>
      </c>
      <c r="M262" s="103">
        <f t="shared" ref="M262:V262" si="400">IF(M44=0,0,M44/M$31)</f>
        <v>1.670204728500634E-4</v>
      </c>
      <c r="N262" s="103">
        <f t="shared" si="400"/>
        <v>1.594376313943686E-4</v>
      </c>
      <c r="O262" s="103">
        <f t="shared" si="400"/>
        <v>1.4556741534138106E-4</v>
      </c>
      <c r="P262" s="103">
        <f t="shared" si="400"/>
        <v>1.3445397041351773E-4</v>
      </c>
      <c r="Q262" s="103">
        <f t="shared" si="400"/>
        <v>1.2274257832816258E-4</v>
      </c>
      <c r="R262" s="103">
        <f t="shared" si="400"/>
        <v>1.1858313973252E-4</v>
      </c>
      <c r="S262" s="103">
        <f t="shared" si="400"/>
        <v>9.9749631326379192E-5</v>
      </c>
      <c r="T262" s="103">
        <f t="shared" si="400"/>
        <v>9.2236314869290583E-5</v>
      </c>
      <c r="U262" s="103">
        <f t="shared" si="400"/>
        <v>8.1882534737113231E-5</v>
      </c>
      <c r="V262" s="103">
        <f t="shared" si="400"/>
        <v>7.1852787435368486E-5</v>
      </c>
      <c r="W262" s="103">
        <f t="shared" ref="W262" si="401">IF(W44=0,0,W44/W$31)</f>
        <v>6.0576145241962951E-5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0</v>
      </c>
      <c r="M263" s="103">
        <f t="shared" ref="M263:V263" si="404">IF(M45=0,0,M45/M$31)</f>
        <v>0</v>
      </c>
      <c r="N263" s="103">
        <f t="shared" si="404"/>
        <v>6.0368953766201602E-6</v>
      </c>
      <c r="O263" s="103">
        <f t="shared" si="404"/>
        <v>6.0493514723799648E-6</v>
      </c>
      <c r="P263" s="103">
        <f t="shared" si="404"/>
        <v>6.0027974256463571E-6</v>
      </c>
      <c r="Q263" s="103">
        <f t="shared" si="404"/>
        <v>5.9199282933843877E-6</v>
      </c>
      <c r="R263" s="103">
        <f t="shared" si="404"/>
        <v>1.6423887004688946E-5</v>
      </c>
      <c r="S263" s="103">
        <f t="shared" si="404"/>
        <v>2.3205693883294853E-5</v>
      </c>
      <c r="T263" s="103">
        <f t="shared" si="404"/>
        <v>2.2637937645740761E-5</v>
      </c>
      <c r="U263" s="103">
        <f t="shared" si="404"/>
        <v>5.960037654419483E-5</v>
      </c>
      <c r="V263" s="103">
        <f t="shared" si="404"/>
        <v>7.7953616864165763E-5</v>
      </c>
      <c r="W263" s="103">
        <f t="shared" ref="W263" si="405">IF(W45=0,0,W45/W$31)</f>
        <v>2.3543133470854951E-4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0.63269989080461297</v>
      </c>
      <c r="C265" s="154">
        <f t="shared" si="410"/>
        <v>0.63063536300101408</v>
      </c>
      <c r="D265" s="154">
        <f t="shared" si="410"/>
        <v>0.62861306449264231</v>
      </c>
      <c r="E265" s="154">
        <f t="shared" si="410"/>
        <v>0.62900680168102785</v>
      </c>
      <c r="F265" s="154">
        <f t="shared" si="410"/>
        <v>0.64251945685325906</v>
      </c>
      <c r="G265" s="154">
        <f t="shared" si="410"/>
        <v>0.64314302417504166</v>
      </c>
      <c r="H265" s="154">
        <f t="shared" si="410"/>
        <v>0.65554396623615807</v>
      </c>
      <c r="I265" s="154">
        <f t="shared" si="410"/>
        <v>0.66494202663639101</v>
      </c>
      <c r="J265" s="154">
        <f t="shared" si="410"/>
        <v>0.67390114678143931</v>
      </c>
      <c r="K265" s="154">
        <f t="shared" si="410"/>
        <v>0.70613710732867108</v>
      </c>
      <c r="L265" s="154">
        <f t="shared" ref="L265" si="411">IF(L47=0,0,L47/L$46)</f>
        <v>0.69609231592151521</v>
      </c>
      <c r="M265" s="154">
        <f t="shared" ref="M265:V265" si="412">IF(M47=0,0,M47/M$46)</f>
        <v>0.72066045183162819</v>
      </c>
      <c r="N265" s="154">
        <f t="shared" si="412"/>
        <v>0.74326490732466544</v>
      </c>
      <c r="O265" s="154">
        <f t="shared" si="412"/>
        <v>0.7502276812309534</v>
      </c>
      <c r="P265" s="154">
        <f t="shared" si="412"/>
        <v>0.76529944704373343</v>
      </c>
      <c r="Q265" s="154">
        <f t="shared" si="412"/>
        <v>0.78621290554233669</v>
      </c>
      <c r="R265" s="154">
        <f t="shared" si="412"/>
        <v>0.76824991702313872</v>
      </c>
      <c r="S265" s="154">
        <f t="shared" si="412"/>
        <v>0.76706569910462796</v>
      </c>
      <c r="T265" s="154">
        <f t="shared" si="412"/>
        <v>0.77787546710301492</v>
      </c>
      <c r="U265" s="154">
        <f t="shared" si="412"/>
        <v>0.78354162369103941</v>
      </c>
      <c r="V265" s="154">
        <f t="shared" si="412"/>
        <v>0.78965691104484503</v>
      </c>
      <c r="W265" s="154">
        <f t="shared" ref="W265" si="413">IF(W47=0,0,W47/W$46)</f>
        <v>0.7925353406683705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7.0333121505699148E-2</v>
      </c>
      <c r="C266" s="103">
        <f t="shared" si="414"/>
        <v>6.4642781060528093E-2</v>
      </c>
      <c r="D266" s="103">
        <f t="shared" si="414"/>
        <v>5.9814718287742909E-2</v>
      </c>
      <c r="E266" s="103">
        <f t="shared" si="414"/>
        <v>5.472243977770503E-2</v>
      </c>
      <c r="F266" s="103">
        <f t="shared" si="414"/>
        <v>4.8762318582563566E-2</v>
      </c>
      <c r="G266" s="103">
        <f t="shared" si="414"/>
        <v>4.5666622374093836E-2</v>
      </c>
      <c r="H266" s="103">
        <f t="shared" si="414"/>
        <v>4.2552499357928805E-2</v>
      </c>
      <c r="I266" s="103">
        <f t="shared" si="414"/>
        <v>3.9201241479378465E-2</v>
      </c>
      <c r="J266" s="103">
        <f t="shared" si="414"/>
        <v>3.7043352818798295E-2</v>
      </c>
      <c r="K266" s="103">
        <f t="shared" si="414"/>
        <v>3.6844127905203111E-2</v>
      </c>
      <c r="L266" s="103">
        <f t="shared" ref="L266" si="415">IF(L48=0,0,L48/L$46)</f>
        <v>3.4513822860485974E-2</v>
      </c>
      <c r="M266" s="103">
        <f t="shared" ref="M266:V266" si="416">IF(M48=0,0,M48/M$46)</f>
        <v>3.3751343036019774E-2</v>
      </c>
      <c r="N266" s="103">
        <f t="shared" si="416"/>
        <v>3.3344880377210395E-2</v>
      </c>
      <c r="O266" s="103">
        <f t="shared" si="416"/>
        <v>3.1428991425461024E-2</v>
      </c>
      <c r="P266" s="103">
        <f t="shared" si="416"/>
        <v>3.0797085153548353E-2</v>
      </c>
      <c r="Q266" s="103">
        <f t="shared" si="416"/>
        <v>3.0359392471221911E-2</v>
      </c>
      <c r="R266" s="103">
        <f t="shared" si="416"/>
        <v>2.8465382350438811E-2</v>
      </c>
      <c r="S266" s="103">
        <f t="shared" si="416"/>
        <v>2.7221979823284986E-2</v>
      </c>
      <c r="T266" s="103">
        <f t="shared" si="416"/>
        <v>2.6547482179093619E-2</v>
      </c>
      <c r="U266" s="103">
        <f t="shared" si="416"/>
        <v>2.5862396998529456E-2</v>
      </c>
      <c r="V266" s="103">
        <f t="shared" si="416"/>
        <v>2.5529769685506083E-2</v>
      </c>
      <c r="W266" s="103">
        <f t="shared" ref="W266" si="417">IF(W48=0,0,W48/W$46)</f>
        <v>2.5185351189140052E-2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0.56214601993291191</v>
      </c>
      <c r="C267" s="103">
        <f t="shared" si="418"/>
        <v>0.56577558696059083</v>
      </c>
      <c r="D267" s="103">
        <f t="shared" si="418"/>
        <v>0.56860815199251025</v>
      </c>
      <c r="E267" s="103">
        <f t="shared" si="418"/>
        <v>0.57410933771574846</v>
      </c>
      <c r="F267" s="103">
        <f t="shared" si="418"/>
        <v>0.59360175426079775</v>
      </c>
      <c r="G267" s="103">
        <f t="shared" si="418"/>
        <v>0.59733437132976996</v>
      </c>
      <c r="H267" s="103">
        <f t="shared" si="418"/>
        <v>0.6128533166539385</v>
      </c>
      <c r="I267" s="103">
        <f t="shared" si="418"/>
        <v>0.62559811051113223</v>
      </c>
      <c r="J267" s="103">
        <f t="shared" si="418"/>
        <v>0.63670048262227286</v>
      </c>
      <c r="K267" s="103">
        <f t="shared" si="418"/>
        <v>0.66909908763671222</v>
      </c>
      <c r="L267" s="103">
        <f t="shared" ref="L267" si="419">IF(L49=0,0,L49/L$46)</f>
        <v>0.66136182364861196</v>
      </c>
      <c r="M267" s="103">
        <f t="shared" ref="M267:V267" si="420">IF(M49=0,0,M49/M$46)</f>
        <v>0.68665506791392084</v>
      </c>
      <c r="N267" s="103">
        <f t="shared" si="420"/>
        <v>0.70962123786246911</v>
      </c>
      <c r="O267" s="103">
        <f t="shared" si="420"/>
        <v>0.71843239617068422</v>
      </c>
      <c r="P267" s="103">
        <f t="shared" si="420"/>
        <v>0.73408119597167409</v>
      </c>
      <c r="Q267" s="103">
        <f t="shared" si="420"/>
        <v>0.75535069616115502</v>
      </c>
      <c r="R267" s="103">
        <f t="shared" si="420"/>
        <v>0.73918969108709442</v>
      </c>
      <c r="S267" s="103">
        <f t="shared" si="420"/>
        <v>0.73907751761873819</v>
      </c>
      <c r="T267" s="103">
        <f t="shared" si="420"/>
        <v>0.75033462785900729</v>
      </c>
      <c r="U267" s="103">
        <f t="shared" si="420"/>
        <v>0.75643086603809262</v>
      </c>
      <c r="V267" s="103">
        <f t="shared" si="420"/>
        <v>0.76265657506628892</v>
      </c>
      <c r="W267" s="103">
        <f t="shared" ref="W267" si="421">IF(W49=0,0,W49/W$46)</f>
        <v>0.76552385344363783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0</v>
      </c>
      <c r="P268" s="103">
        <f t="shared" si="424"/>
        <v>0</v>
      </c>
      <c r="Q268" s="103">
        <f t="shared" si="424"/>
        <v>0</v>
      </c>
      <c r="R268" s="103">
        <f t="shared" si="424"/>
        <v>0</v>
      </c>
      <c r="S268" s="103">
        <f t="shared" si="424"/>
        <v>0</v>
      </c>
      <c r="T268" s="103">
        <f t="shared" si="424"/>
        <v>0</v>
      </c>
      <c r="U268" s="103">
        <f t="shared" si="424"/>
        <v>0</v>
      </c>
      <c r="V268" s="103">
        <f t="shared" si="424"/>
        <v>0</v>
      </c>
      <c r="W268" s="103">
        <f t="shared" ref="W268" si="425">IF(W50=0,0,W50/W$46)</f>
        <v>0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7.3879711487137627E-6</v>
      </c>
      <c r="D269" s="103">
        <f t="shared" si="426"/>
        <v>7.2110987695233931E-6</v>
      </c>
      <c r="E269" s="103">
        <f t="shared" si="426"/>
        <v>7.0291232984535571E-6</v>
      </c>
      <c r="F269" s="103">
        <f t="shared" si="426"/>
        <v>6.251092127523707E-6</v>
      </c>
      <c r="G269" s="103">
        <f t="shared" si="426"/>
        <v>8.4713934469261764E-6</v>
      </c>
      <c r="H269" s="103">
        <f t="shared" si="426"/>
        <v>7.9709176221683545E-6</v>
      </c>
      <c r="I269" s="103">
        <f t="shared" si="426"/>
        <v>2.0978769428490676E-5</v>
      </c>
      <c r="J269" s="103">
        <f t="shared" si="426"/>
        <v>3.6561437217397877E-5</v>
      </c>
      <c r="K269" s="103">
        <f t="shared" si="426"/>
        <v>6.3659399386014991E-5</v>
      </c>
      <c r="L269" s="103">
        <f t="shared" ref="L269" si="427">IF(L51=0,0,L51/L$46)</f>
        <v>8.4931555903736933E-5</v>
      </c>
      <c r="M269" s="103">
        <f t="shared" ref="M269:V269" si="428">IF(M51=0,0,M51/M$46)</f>
        <v>1.2250641328720254E-4</v>
      </c>
      <c r="N269" s="103">
        <f t="shared" si="428"/>
        <v>1.5063963338155415E-4</v>
      </c>
      <c r="O269" s="103">
        <f t="shared" si="428"/>
        <v>2.179457046000805E-4</v>
      </c>
      <c r="P269" s="103">
        <f t="shared" si="428"/>
        <v>2.4818424088965895E-4</v>
      </c>
      <c r="Q269" s="103">
        <f t="shared" si="428"/>
        <v>2.8377252109798898E-4</v>
      </c>
      <c r="R269" s="103">
        <f t="shared" si="428"/>
        <v>3.1983137834929609E-4</v>
      </c>
      <c r="S269" s="103">
        <f t="shared" si="428"/>
        <v>4.5817181882933425E-4</v>
      </c>
      <c r="T269" s="103">
        <f t="shared" si="428"/>
        <v>6.4393669251087764E-4</v>
      </c>
      <c r="U269" s="103">
        <f t="shared" si="428"/>
        <v>8.4582751831116629E-4</v>
      </c>
      <c r="V269" s="103">
        <f t="shared" si="428"/>
        <v>1.0295438037332431E-3</v>
      </c>
      <c r="W269" s="103">
        <f t="shared" ref="W269" si="429">IF(W51=0,0,W51/W$46)</f>
        <v>1.0481398623715819E-3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2.2074936600192602E-4</v>
      </c>
      <c r="C270" s="103">
        <f t="shared" si="430"/>
        <v>2.0960700874636981E-4</v>
      </c>
      <c r="D270" s="103">
        <f t="shared" si="430"/>
        <v>1.8298311361956559E-4</v>
      </c>
      <c r="E270" s="103">
        <f t="shared" si="430"/>
        <v>1.6799506427584389E-4</v>
      </c>
      <c r="F270" s="103">
        <f t="shared" si="430"/>
        <v>1.4913291777017662E-4</v>
      </c>
      <c r="G270" s="103">
        <f t="shared" si="430"/>
        <v>1.3355907773086582E-4</v>
      </c>
      <c r="H270" s="103">
        <f t="shared" si="430"/>
        <v>1.3017930666862297E-4</v>
      </c>
      <c r="I270" s="103">
        <f t="shared" si="430"/>
        <v>1.2169587645188879E-4</v>
      </c>
      <c r="J270" s="103">
        <f t="shared" si="430"/>
        <v>1.2074990315066206E-4</v>
      </c>
      <c r="K270" s="103">
        <f t="shared" si="430"/>
        <v>1.3023238736963583E-4</v>
      </c>
      <c r="L270" s="103">
        <f t="shared" ref="L270" si="431">IF(L52=0,0,L52/L$46)</f>
        <v>1.317378565135859E-4</v>
      </c>
      <c r="M270" s="103">
        <f t="shared" ref="M270:V270" si="432">IF(M52=0,0,M52/M$46)</f>
        <v>1.315344684004361E-4</v>
      </c>
      <c r="N270" s="103">
        <f t="shared" si="432"/>
        <v>1.4814945160444219E-4</v>
      </c>
      <c r="O270" s="103">
        <f t="shared" si="432"/>
        <v>1.4834793020813747E-4</v>
      </c>
      <c r="P270" s="103">
        <f t="shared" si="432"/>
        <v>1.7298167762131919E-4</v>
      </c>
      <c r="Q270" s="103">
        <f t="shared" si="432"/>
        <v>2.1904438886173751E-4</v>
      </c>
      <c r="R270" s="103">
        <f t="shared" si="432"/>
        <v>2.7501220725621776E-4</v>
      </c>
      <c r="S270" s="103">
        <f t="shared" si="432"/>
        <v>3.0802984377549135E-4</v>
      </c>
      <c r="T270" s="103">
        <f t="shared" si="432"/>
        <v>3.4942037240311239E-4</v>
      </c>
      <c r="U270" s="103">
        <f t="shared" si="432"/>
        <v>4.0253313610635091E-4</v>
      </c>
      <c r="V270" s="103">
        <f t="shared" si="432"/>
        <v>4.4102248931672365E-4</v>
      </c>
      <c r="W270" s="103">
        <f t="shared" ref="W270" si="433">IF(W52=0,0,W52/W$46)</f>
        <v>7.7799617322110313E-4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0.36730010919538714</v>
      </c>
      <c r="C271" s="156">
        <f t="shared" si="434"/>
        <v>0.36936463699898586</v>
      </c>
      <c r="D271" s="156">
        <f t="shared" si="434"/>
        <v>0.37138693550735774</v>
      </c>
      <c r="E271" s="156">
        <f t="shared" si="434"/>
        <v>0.37099319831897215</v>
      </c>
      <c r="F271" s="156">
        <f t="shared" si="434"/>
        <v>0.35748054314674088</v>
      </c>
      <c r="G271" s="156">
        <f t="shared" si="434"/>
        <v>0.35685697582495829</v>
      </c>
      <c r="H271" s="156">
        <f t="shared" si="434"/>
        <v>0.34445603376384193</v>
      </c>
      <c r="I271" s="156">
        <f t="shared" si="434"/>
        <v>0.33505797336360899</v>
      </c>
      <c r="J271" s="156">
        <f t="shared" si="434"/>
        <v>0.32609885321856064</v>
      </c>
      <c r="K271" s="156">
        <f t="shared" si="434"/>
        <v>0.29386289267132892</v>
      </c>
      <c r="L271" s="156">
        <f t="shared" ref="L271" si="435">IF(L53=0,0,L53/L$46)</f>
        <v>0.30390768407848479</v>
      </c>
      <c r="M271" s="156">
        <f t="shared" ref="M271:V271" si="436">IF(M53=0,0,M53/M$46)</f>
        <v>0.27933954816837175</v>
      </c>
      <c r="N271" s="156">
        <f t="shared" si="436"/>
        <v>0.25673509267533451</v>
      </c>
      <c r="O271" s="156">
        <f t="shared" si="436"/>
        <v>0.24977231876904657</v>
      </c>
      <c r="P271" s="156">
        <f t="shared" si="436"/>
        <v>0.23470055295626654</v>
      </c>
      <c r="Q271" s="156">
        <f t="shared" si="436"/>
        <v>0.21378709445766333</v>
      </c>
      <c r="R271" s="156">
        <f t="shared" si="436"/>
        <v>0.23175008297686123</v>
      </c>
      <c r="S271" s="156">
        <f t="shared" si="436"/>
        <v>0.23293430089537198</v>
      </c>
      <c r="T271" s="156">
        <f t="shared" si="436"/>
        <v>0.22212453289698506</v>
      </c>
      <c r="U271" s="156">
        <f t="shared" si="436"/>
        <v>0.21645837630896053</v>
      </c>
      <c r="V271" s="156">
        <f t="shared" si="436"/>
        <v>0.21034308895515499</v>
      </c>
      <c r="W271" s="156">
        <f t="shared" ref="W271" si="437">IF(W53=0,0,W53/W$46)</f>
        <v>0.20746465933162955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0.35892276955917218</v>
      </c>
      <c r="C272" s="104">
        <f t="shared" si="438"/>
        <v>0.36062539936074678</v>
      </c>
      <c r="D272" s="104">
        <f t="shared" si="438"/>
        <v>0.36236409502634881</v>
      </c>
      <c r="E272" s="104">
        <f t="shared" si="438"/>
        <v>0.36186966151294298</v>
      </c>
      <c r="F272" s="104">
        <f t="shared" si="438"/>
        <v>0.34721515223489213</v>
      </c>
      <c r="G272" s="104">
        <f t="shared" si="438"/>
        <v>0.34659492711577755</v>
      </c>
      <c r="H272" s="104">
        <f t="shared" si="438"/>
        <v>0.33348469408718107</v>
      </c>
      <c r="I272" s="104">
        <f t="shared" si="438"/>
        <v>0.32413894343197863</v>
      </c>
      <c r="J272" s="104">
        <f t="shared" si="438"/>
        <v>0.3156009637524973</v>
      </c>
      <c r="K272" s="104">
        <f t="shared" si="438"/>
        <v>0.28381825192326138</v>
      </c>
      <c r="L272" s="104">
        <f t="shared" ref="L272" si="439">IF(L54=0,0,L54/L$46)</f>
        <v>0.29176200996072438</v>
      </c>
      <c r="M272" s="104">
        <f t="shared" ref="M272:V272" si="440">IF(M54=0,0,M54/M$46)</f>
        <v>0.27155977973667156</v>
      </c>
      <c r="N272" s="104">
        <f t="shared" si="440"/>
        <v>0.24697958104162493</v>
      </c>
      <c r="O272" s="104">
        <f t="shared" si="440"/>
        <v>0.24158597963435738</v>
      </c>
      <c r="P272" s="104">
        <f t="shared" si="440"/>
        <v>0.22418553028845994</v>
      </c>
      <c r="Q272" s="104">
        <f t="shared" si="440"/>
        <v>0.20178019602549649</v>
      </c>
      <c r="R272" s="104">
        <f t="shared" si="440"/>
        <v>0.22216710581430407</v>
      </c>
      <c r="S272" s="104">
        <f t="shared" si="440"/>
        <v>0.22371794974798098</v>
      </c>
      <c r="T272" s="104">
        <f t="shared" si="440"/>
        <v>0.21193750937609468</v>
      </c>
      <c r="U272" s="104">
        <f t="shared" si="440"/>
        <v>0.20812181330633808</v>
      </c>
      <c r="V272" s="104">
        <f t="shared" si="440"/>
        <v>0.20174124149925884</v>
      </c>
      <c r="W272" s="104">
        <f t="shared" ref="W272" si="441">IF(W54=0,0,W54/W$46)</f>
        <v>0.19703450567817662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8.3773396362149359E-3</v>
      </c>
      <c r="C273" s="105">
        <f t="shared" si="442"/>
        <v>8.7392376382390922E-3</v>
      </c>
      <c r="D273" s="105">
        <f t="shared" si="442"/>
        <v>9.0228404810089209E-3</v>
      </c>
      <c r="E273" s="105">
        <f t="shared" si="442"/>
        <v>9.1235368060291339E-3</v>
      </c>
      <c r="F273" s="105">
        <f t="shared" si="442"/>
        <v>1.0265390911848764E-2</v>
      </c>
      <c r="G273" s="105">
        <f t="shared" si="442"/>
        <v>1.0262048709180712E-2</v>
      </c>
      <c r="H273" s="105">
        <f t="shared" si="442"/>
        <v>1.0971339676660856E-2</v>
      </c>
      <c r="I273" s="105">
        <f t="shared" si="442"/>
        <v>1.0919029931630369E-2</v>
      </c>
      <c r="J273" s="105">
        <f t="shared" si="442"/>
        <v>1.0497889466063387E-2</v>
      </c>
      <c r="K273" s="105">
        <f t="shared" si="442"/>
        <v>1.0044640748067556E-2</v>
      </c>
      <c r="L273" s="105">
        <f t="shared" ref="L273" si="443">IF(L55=0,0,L55/L$46)</f>
        <v>1.2145674117760394E-2</v>
      </c>
      <c r="M273" s="105">
        <f t="shared" ref="M273:V273" si="444">IF(M55=0,0,M55/M$46)</f>
        <v>7.7797684317001741E-3</v>
      </c>
      <c r="N273" s="105">
        <f t="shared" si="444"/>
        <v>9.7555116337095585E-3</v>
      </c>
      <c r="O273" s="105">
        <f t="shared" si="444"/>
        <v>8.1863391346892033E-3</v>
      </c>
      <c r="P273" s="105">
        <f t="shared" si="444"/>
        <v>1.0515022667806614E-2</v>
      </c>
      <c r="Q273" s="105">
        <f t="shared" si="444"/>
        <v>1.2006898432166842E-2</v>
      </c>
      <c r="R273" s="105">
        <f t="shared" si="444"/>
        <v>9.5829771625571564E-3</v>
      </c>
      <c r="S273" s="105">
        <f t="shared" si="444"/>
        <v>9.2163511473910258E-3</v>
      </c>
      <c r="T273" s="105">
        <f t="shared" si="444"/>
        <v>1.0187023520890374E-2</v>
      </c>
      <c r="U273" s="105">
        <f t="shared" si="444"/>
        <v>8.3365630026224647E-3</v>
      </c>
      <c r="V273" s="105">
        <f t="shared" si="444"/>
        <v>8.601847455896169E-3</v>
      </c>
      <c r="W273" s="105">
        <f t="shared" ref="W273" si="445">IF(W55=0,0,W55/W$46)</f>
        <v>1.043015365345292E-2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3539.8852551423688</v>
      </c>
      <c r="C4" s="145">
        <f t="shared" si="0"/>
        <v>3600.4799092307858</v>
      </c>
      <c r="D4" s="145">
        <f t="shared" si="0"/>
        <v>3673.8878470822633</v>
      </c>
      <c r="E4" s="145">
        <f t="shared" si="0"/>
        <v>3732.6363373727036</v>
      </c>
      <c r="F4" s="145">
        <f t="shared" si="0"/>
        <v>3842.1415873200772</v>
      </c>
      <c r="G4" s="145">
        <f t="shared" si="0"/>
        <v>3849.5038615234907</v>
      </c>
      <c r="H4" s="145">
        <f t="shared" si="0"/>
        <v>3900.1011273562685</v>
      </c>
      <c r="I4" s="145">
        <f t="shared" si="0"/>
        <v>4023.8873394395514</v>
      </c>
      <c r="J4" s="145">
        <f t="shared" si="0"/>
        <v>3917.9952677254487</v>
      </c>
      <c r="K4" s="145">
        <f t="shared" si="0"/>
        <v>3802.2969812537576</v>
      </c>
      <c r="L4" s="145">
        <f t="shared" ref="L4" si="1">L5+L9+L10+L15</f>
        <v>3952.2312213209893</v>
      </c>
      <c r="M4" s="145">
        <f t="shared" ref="M4:V4" si="2">M5+M9+M10+M15</f>
        <v>3948.8536742197089</v>
      </c>
      <c r="N4" s="145">
        <f t="shared" si="2"/>
        <v>3871.1120934291589</v>
      </c>
      <c r="O4" s="145">
        <f t="shared" si="2"/>
        <v>3900.1465299470046</v>
      </c>
      <c r="P4" s="145">
        <f t="shared" si="2"/>
        <v>3824.8100010771414</v>
      </c>
      <c r="Q4" s="145">
        <f t="shared" si="2"/>
        <v>3826.6107986936845</v>
      </c>
      <c r="R4" s="145">
        <f t="shared" si="2"/>
        <v>3908.6513431260978</v>
      </c>
      <c r="S4" s="145">
        <f t="shared" si="2"/>
        <v>3912.5057630128094</v>
      </c>
      <c r="T4" s="145">
        <f t="shared" si="2"/>
        <v>3944.7150411298367</v>
      </c>
      <c r="U4" s="145">
        <f t="shared" si="2"/>
        <v>3880.6839681342958</v>
      </c>
      <c r="V4" s="145">
        <f t="shared" si="2"/>
        <v>3654.480774196335</v>
      </c>
      <c r="W4" s="145">
        <f t="shared" ref="W4" si="3">W5+W9+W10+W15</f>
        <v>3789.0349989733722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3538.1436801375748</v>
      </c>
      <c r="C5" s="97">
        <f t="shared" si="4"/>
        <v>3598.7389509888217</v>
      </c>
      <c r="D5" s="97">
        <f t="shared" si="4"/>
        <v>3670.6314703353401</v>
      </c>
      <c r="E5" s="97">
        <f t="shared" si="4"/>
        <v>3726.0914875322442</v>
      </c>
      <c r="F5" s="97">
        <f t="shared" si="4"/>
        <v>3834.9398968185724</v>
      </c>
      <c r="G5" s="97">
        <f t="shared" si="4"/>
        <v>3846.90928632846</v>
      </c>
      <c r="H5" s="97">
        <f t="shared" si="4"/>
        <v>3895.9546001719677</v>
      </c>
      <c r="I5" s="97">
        <f t="shared" si="4"/>
        <v>4019.0481513327591</v>
      </c>
      <c r="J5" s="97">
        <f t="shared" si="4"/>
        <v>3842.705503009458</v>
      </c>
      <c r="K5" s="97">
        <f t="shared" si="4"/>
        <v>3666.8728288907987</v>
      </c>
      <c r="L5" s="97">
        <f t="shared" ref="L5" si="5">SUM(L6:L8)</f>
        <v>3808.9916595012892</v>
      </c>
      <c r="M5" s="97">
        <f t="shared" ref="M5:V5" si="6">SUM(M6:M8)</f>
        <v>3750.0100601891663</v>
      </c>
      <c r="N5" s="97">
        <f t="shared" si="6"/>
        <v>3673.0926053310404</v>
      </c>
      <c r="O5" s="97">
        <f t="shared" si="6"/>
        <v>3675.5183147033531</v>
      </c>
      <c r="P5" s="97">
        <f t="shared" si="6"/>
        <v>3326.52622527945</v>
      </c>
      <c r="Q5" s="97">
        <f t="shared" si="6"/>
        <v>3328.0225279449701</v>
      </c>
      <c r="R5" s="97">
        <f t="shared" si="6"/>
        <v>3728.6746345657775</v>
      </c>
      <c r="S5" s="97">
        <f t="shared" si="6"/>
        <v>3517.0679277730014</v>
      </c>
      <c r="T5" s="97">
        <f t="shared" si="6"/>
        <v>3570.3807394668956</v>
      </c>
      <c r="U5" s="97">
        <f t="shared" si="6"/>
        <v>3437.4153052450561</v>
      </c>
      <c r="V5" s="97">
        <f t="shared" si="6"/>
        <v>3235.4361994840929</v>
      </c>
      <c r="W5" s="97">
        <f t="shared" ref="W5" si="7">SUM(W6:W8)</f>
        <v>3084.6955288048148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0</v>
      </c>
      <c r="E6" s="97">
        <v>0</v>
      </c>
      <c r="F6" s="97">
        <v>0</v>
      </c>
      <c r="G6" s="97">
        <v>0</v>
      </c>
      <c r="H6" s="97">
        <v>0</v>
      </c>
      <c r="I6" s="97">
        <v>0</v>
      </c>
      <c r="J6" s="97">
        <v>0</v>
      </c>
      <c r="K6" s="97">
        <v>0</v>
      </c>
      <c r="L6" s="97">
        <v>0</v>
      </c>
      <c r="M6" s="97">
        <v>0</v>
      </c>
      <c r="N6" s="97">
        <v>0</v>
      </c>
      <c r="O6" s="97">
        <v>0</v>
      </c>
      <c r="P6" s="97">
        <v>0</v>
      </c>
      <c r="Q6" s="97">
        <v>0</v>
      </c>
      <c r="R6" s="97">
        <v>0</v>
      </c>
      <c r="S6" s="97">
        <v>0</v>
      </c>
      <c r="T6" s="97">
        <v>0</v>
      </c>
      <c r="U6" s="97">
        <v>0</v>
      </c>
      <c r="V6" s="97">
        <v>0</v>
      </c>
      <c r="W6" s="97">
        <v>0</v>
      </c>
      <c r="DA6" s="175" t="s">
        <v>629</v>
      </c>
    </row>
    <row r="7" spans="1:105" ht="11.45" customHeight="1" x14ac:dyDescent="0.25">
      <c r="A7" s="128" t="s">
        <v>53</v>
      </c>
      <c r="B7" s="97">
        <v>1701.8008598452279</v>
      </c>
      <c r="C7" s="97">
        <v>1725.422785898538</v>
      </c>
      <c r="D7" s="97">
        <v>1756.2338779019781</v>
      </c>
      <c r="E7" s="97">
        <v>1761.369045571797</v>
      </c>
      <c r="F7" s="97">
        <v>1793.4858125537401</v>
      </c>
      <c r="G7" s="97">
        <v>1789.099054170249</v>
      </c>
      <c r="H7" s="97">
        <v>1773.0374892519339</v>
      </c>
      <c r="I7" s="97">
        <v>1768.271195184866</v>
      </c>
      <c r="J7" s="97">
        <v>1585.745657781599</v>
      </c>
      <c r="K7" s="97">
        <v>1528.231556319862</v>
      </c>
      <c r="L7" s="97">
        <v>1492.285296646603</v>
      </c>
      <c r="M7" s="97">
        <v>1411.1493551160791</v>
      </c>
      <c r="N7" s="97">
        <v>1355.689337919174</v>
      </c>
      <c r="O7" s="97">
        <v>1385.922441960447</v>
      </c>
      <c r="P7" s="97">
        <v>1334.0928632846089</v>
      </c>
      <c r="Q7" s="97">
        <v>1326.83671539123</v>
      </c>
      <c r="R7" s="97">
        <v>1321.6537403267409</v>
      </c>
      <c r="S7" s="97">
        <v>1269.824247635426</v>
      </c>
      <c r="T7" s="97">
        <v>1251.1656061908859</v>
      </c>
      <c r="U7" s="97">
        <v>1223.177644024076</v>
      </c>
      <c r="V7" s="97">
        <v>1127.8111779879621</v>
      </c>
      <c r="W7" s="97">
        <v>1136.1039552880479</v>
      </c>
      <c r="DA7" s="175" t="s">
        <v>630</v>
      </c>
    </row>
    <row r="8" spans="1:105" ht="11.45" customHeight="1" x14ac:dyDescent="0.25">
      <c r="A8" s="128" t="s">
        <v>54</v>
      </c>
      <c r="B8" s="97">
        <v>1836.3428202923469</v>
      </c>
      <c r="C8" s="97">
        <v>1873.3161650902839</v>
      </c>
      <c r="D8" s="97">
        <v>1914.397592433362</v>
      </c>
      <c r="E8" s="97">
        <v>1964.722441960447</v>
      </c>
      <c r="F8" s="97">
        <v>2041.4540842648321</v>
      </c>
      <c r="G8" s="97">
        <v>2057.810232158211</v>
      </c>
      <c r="H8" s="97">
        <v>2122.9171109200338</v>
      </c>
      <c r="I8" s="97">
        <v>2250.7769561478931</v>
      </c>
      <c r="J8" s="97">
        <v>2256.9598452278592</v>
      </c>
      <c r="K8" s="97">
        <v>2138.641272570937</v>
      </c>
      <c r="L8" s="97">
        <v>2316.7063628546862</v>
      </c>
      <c r="M8" s="97">
        <v>2338.860705073087</v>
      </c>
      <c r="N8" s="97">
        <v>2317.4032674118662</v>
      </c>
      <c r="O8" s="97">
        <v>2289.5958727429061</v>
      </c>
      <c r="P8" s="97">
        <v>1992.4333619948411</v>
      </c>
      <c r="Q8" s="97">
        <v>2001.1858125537401</v>
      </c>
      <c r="R8" s="97">
        <v>2407.0208942390368</v>
      </c>
      <c r="S8" s="97">
        <v>2247.2436801375752</v>
      </c>
      <c r="T8" s="97">
        <v>2319.21513327601</v>
      </c>
      <c r="U8" s="97">
        <v>2214.23766122098</v>
      </c>
      <c r="V8" s="97">
        <v>2107.625021496131</v>
      </c>
      <c r="W8" s="97">
        <v>1948.5915735167671</v>
      </c>
      <c r="DA8" s="175" t="s">
        <v>631</v>
      </c>
    </row>
    <row r="9" spans="1:105" ht="11.45" customHeight="1" x14ac:dyDescent="0.25">
      <c r="A9" s="92" t="s">
        <v>55</v>
      </c>
      <c r="B9" s="97">
        <v>1.7196904557179711</v>
      </c>
      <c r="C9" s="97">
        <v>1.7196904557179711</v>
      </c>
      <c r="D9" s="97">
        <v>2.5795356835769558</v>
      </c>
      <c r="E9" s="97">
        <v>2.5795356835769558</v>
      </c>
      <c r="F9" s="97">
        <v>2.5795356835769558</v>
      </c>
      <c r="G9" s="97">
        <v>2.5795356835769558</v>
      </c>
      <c r="H9" s="97">
        <v>3.4393809114359408</v>
      </c>
      <c r="I9" s="97">
        <v>3.4393809114359408</v>
      </c>
      <c r="J9" s="97">
        <v>4.2991401547721413</v>
      </c>
      <c r="K9" s="97">
        <v>5.1590713671539117</v>
      </c>
      <c r="L9" s="97">
        <v>5.1590713671539117</v>
      </c>
      <c r="M9" s="97">
        <v>3.4393809114359408</v>
      </c>
      <c r="N9" s="97">
        <v>5.5030094582975062</v>
      </c>
      <c r="O9" s="97">
        <v>3.4393809114359408</v>
      </c>
      <c r="P9" s="97">
        <v>3.654342218400688</v>
      </c>
      <c r="Q9" s="97">
        <v>3.5253654342218401</v>
      </c>
      <c r="R9" s="97">
        <v>3.955374032674118</v>
      </c>
      <c r="S9" s="97">
        <v>4.8191745485812536</v>
      </c>
      <c r="T9" s="97">
        <v>6.9009458297506443</v>
      </c>
      <c r="U9" s="97">
        <v>10.92115219260533</v>
      </c>
      <c r="V9" s="97">
        <v>13.86638005159071</v>
      </c>
      <c r="W9" s="97">
        <v>16.30644883920894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0.65795356835769558</v>
      </c>
      <c r="E10" s="97">
        <f t="shared" si="8"/>
        <v>3.9478073946689589</v>
      </c>
      <c r="F10" s="97">
        <f t="shared" si="8"/>
        <v>4.6058469475494412</v>
      </c>
      <c r="G10" s="97">
        <f t="shared" si="8"/>
        <v>0</v>
      </c>
      <c r="H10" s="97">
        <f t="shared" si="8"/>
        <v>0.69269131556319852</v>
      </c>
      <c r="I10" s="97">
        <f t="shared" si="8"/>
        <v>1.385296646603611</v>
      </c>
      <c r="J10" s="97">
        <f t="shared" si="8"/>
        <v>70.974548581255362</v>
      </c>
      <c r="K10" s="97">
        <f t="shared" si="8"/>
        <v>130.24720550300944</v>
      </c>
      <c r="L10" s="97">
        <f t="shared" si="8"/>
        <v>138.05950128976784</v>
      </c>
      <c r="M10" s="97">
        <f t="shared" si="8"/>
        <v>195.37592433361993</v>
      </c>
      <c r="N10" s="97">
        <f t="shared" si="8"/>
        <v>192.37162510748067</v>
      </c>
      <c r="O10" s="97">
        <f t="shared" si="8"/>
        <v>221.01435941530522</v>
      </c>
      <c r="P10" s="97">
        <f t="shared" si="8"/>
        <v>494.37472055030094</v>
      </c>
      <c r="Q10" s="97">
        <f t="shared" si="8"/>
        <v>494.67248495270849</v>
      </c>
      <c r="R10" s="97">
        <f t="shared" si="8"/>
        <v>175.25339638865003</v>
      </c>
      <c r="S10" s="97">
        <f t="shared" si="8"/>
        <v>389.17497850386928</v>
      </c>
      <c r="T10" s="97">
        <f t="shared" si="8"/>
        <v>364.85503009458296</v>
      </c>
      <c r="U10" s="97">
        <f t="shared" si="8"/>
        <v>427.23215821152189</v>
      </c>
      <c r="V10" s="97">
        <f t="shared" si="8"/>
        <v>396.2986242476353</v>
      </c>
      <c r="W10" s="97">
        <f t="shared" si="8"/>
        <v>669.34978503869297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2.3903697334479789E-2</v>
      </c>
      <c r="L11" s="97">
        <v>4.7807394668959592E-2</v>
      </c>
      <c r="M11" s="97">
        <v>7.1625107480653469E-2</v>
      </c>
      <c r="N11" s="97">
        <v>7.1625107480653469E-2</v>
      </c>
      <c r="O11" s="97">
        <v>9.5528804815133275E-2</v>
      </c>
      <c r="P11" s="97">
        <v>0.16715391229578669</v>
      </c>
      <c r="Q11" s="97">
        <v>0.16715391229578669</v>
      </c>
      <c r="R11" s="97">
        <v>0.19105760963026661</v>
      </c>
      <c r="S11" s="97">
        <v>0.3343938091143594</v>
      </c>
      <c r="T11" s="97">
        <v>0.9792777300085983</v>
      </c>
      <c r="U11" s="97">
        <v>1.5525365434221841</v>
      </c>
      <c r="V11" s="97">
        <v>4.08426483233018</v>
      </c>
      <c r="W11" s="97">
        <v>5.3024075666380046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0.65795356835769558</v>
      </c>
      <c r="E12" s="97">
        <v>3.9478073946689589</v>
      </c>
      <c r="F12" s="97">
        <v>4.6058469475494412</v>
      </c>
      <c r="G12" s="97">
        <v>0</v>
      </c>
      <c r="H12" s="97">
        <v>0.69269131556319852</v>
      </c>
      <c r="I12" s="97">
        <v>1.385296646603611</v>
      </c>
      <c r="J12" s="97">
        <v>59.794325021496128</v>
      </c>
      <c r="K12" s="97">
        <v>71.510748065348224</v>
      </c>
      <c r="L12" s="97">
        <v>75.422098022355968</v>
      </c>
      <c r="M12" s="97">
        <v>86.048409286328464</v>
      </c>
      <c r="N12" s="97">
        <v>89.429062768701627</v>
      </c>
      <c r="O12" s="97">
        <v>64.952536543422184</v>
      </c>
      <c r="P12" s="97">
        <v>67.975408426483227</v>
      </c>
      <c r="Q12" s="97">
        <v>64.227343078245923</v>
      </c>
      <c r="R12" s="97">
        <v>66.202665520206367</v>
      </c>
      <c r="S12" s="97">
        <v>78.723043852106613</v>
      </c>
      <c r="T12" s="97">
        <v>82.410834049871013</v>
      </c>
      <c r="U12" s="97">
        <v>87.161220980223547</v>
      </c>
      <c r="V12" s="97">
        <v>90.723989681857248</v>
      </c>
      <c r="W12" s="97">
        <v>109.20636285468611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11.18022355975924</v>
      </c>
      <c r="K13" s="97">
        <v>58.71255374032674</v>
      </c>
      <c r="L13" s="97">
        <v>62.589595872742898</v>
      </c>
      <c r="M13" s="97">
        <v>109.2558899398108</v>
      </c>
      <c r="N13" s="97">
        <v>102.8709372312984</v>
      </c>
      <c r="O13" s="97">
        <v>155.96629406706791</v>
      </c>
      <c r="P13" s="97">
        <v>426.23215821152189</v>
      </c>
      <c r="Q13" s="97">
        <v>430.27798796216678</v>
      </c>
      <c r="R13" s="97">
        <v>108.8596732588134</v>
      </c>
      <c r="S13" s="97">
        <v>310.11754084264828</v>
      </c>
      <c r="T13" s="97">
        <v>281.46491831470331</v>
      </c>
      <c r="U13" s="97">
        <v>338.51840068787618</v>
      </c>
      <c r="V13" s="97">
        <v>301.49036973344789</v>
      </c>
      <c r="W13" s="97">
        <v>554.84101461736884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2.1884549075601042E-2</v>
      </c>
      <c r="C15" s="98">
        <v>2.1267786245874384E-2</v>
      </c>
      <c r="D15" s="98">
        <v>1.8887494988427896E-2</v>
      </c>
      <c r="E15" s="98">
        <v>1.7506762213483195E-2</v>
      </c>
      <c r="F15" s="98">
        <v>1.6307870378386255E-2</v>
      </c>
      <c r="G15" s="98">
        <v>1.5039511453579291E-2</v>
      </c>
      <c r="H15" s="98">
        <v>1.4454957301759285E-2</v>
      </c>
      <c r="I15" s="98">
        <v>1.4510548752726666E-2</v>
      </c>
      <c r="J15" s="98">
        <v>1.6075979963066197E-2</v>
      </c>
      <c r="K15" s="98">
        <v>1.7875492795800738E-2</v>
      </c>
      <c r="L15" s="98">
        <v>2.0989162778086268E-2</v>
      </c>
      <c r="M15" s="98">
        <v>2.8308785486865828E-2</v>
      </c>
      <c r="N15" s="98">
        <v>0.14485353234007667</v>
      </c>
      <c r="O15" s="98">
        <v>0.17447491691051931</v>
      </c>
      <c r="P15" s="98">
        <v>0.25471302898942805</v>
      </c>
      <c r="Q15" s="98">
        <v>0.39042036178379858</v>
      </c>
      <c r="R15" s="98">
        <v>0.76793813899626362</v>
      </c>
      <c r="S15" s="98">
        <v>1.4436821873579921</v>
      </c>
      <c r="T15" s="98">
        <v>2.5783257386076004</v>
      </c>
      <c r="U15" s="98">
        <v>5.1153524851125489</v>
      </c>
      <c r="V15" s="98">
        <v>8.8795704130162303</v>
      </c>
      <c r="W15" s="98">
        <v>18.683236290655586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3539.8852551423679</v>
      </c>
      <c r="C17" s="79">
        <f t="shared" si="9"/>
        <v>3600.4799092307853</v>
      </c>
      <c r="D17" s="79">
        <f t="shared" si="9"/>
        <v>3673.8878470822629</v>
      </c>
      <c r="E17" s="79">
        <f t="shared" si="9"/>
        <v>3732.6363373727036</v>
      </c>
      <c r="F17" s="79">
        <f t="shared" si="9"/>
        <v>3842.1415873200776</v>
      </c>
      <c r="G17" s="79">
        <f t="shared" si="9"/>
        <v>3849.5038615234903</v>
      </c>
      <c r="H17" s="79">
        <f t="shared" si="9"/>
        <v>3900.1011273562685</v>
      </c>
      <c r="I17" s="79">
        <f t="shared" si="9"/>
        <v>4023.8873394395519</v>
      </c>
      <c r="J17" s="79">
        <f t="shared" si="9"/>
        <v>3917.9952677254487</v>
      </c>
      <c r="K17" s="79">
        <f t="shared" si="9"/>
        <v>3802.2969812537581</v>
      </c>
      <c r="L17" s="79">
        <f t="shared" ref="L17" si="10">L18+L42</f>
        <v>3952.2312213209884</v>
      </c>
      <c r="M17" s="79">
        <f t="shared" ref="M17:V17" si="11">M18+M42</f>
        <v>3948.8536742197084</v>
      </c>
      <c r="N17" s="79">
        <f t="shared" si="11"/>
        <v>3871.1120934291584</v>
      </c>
      <c r="O17" s="79">
        <f t="shared" si="11"/>
        <v>3900.1465299470051</v>
      </c>
      <c r="P17" s="79">
        <f t="shared" si="11"/>
        <v>3824.8100010771409</v>
      </c>
      <c r="Q17" s="79">
        <f t="shared" si="11"/>
        <v>3826.6107986936836</v>
      </c>
      <c r="R17" s="79">
        <f t="shared" si="11"/>
        <v>3908.6513431260978</v>
      </c>
      <c r="S17" s="79">
        <f t="shared" si="11"/>
        <v>3912.5057630128103</v>
      </c>
      <c r="T17" s="79">
        <f t="shared" si="11"/>
        <v>3944.7150411298367</v>
      </c>
      <c r="U17" s="79">
        <f t="shared" si="11"/>
        <v>3880.6839681342954</v>
      </c>
      <c r="V17" s="79">
        <f t="shared" si="11"/>
        <v>3654.4807741963355</v>
      </c>
      <c r="W17" s="79">
        <f t="shared" ref="W17" si="12">W18+W42</f>
        <v>3789.0349989733722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2335.2684596597119</v>
      </c>
      <c r="C18" s="32">
        <f t="shared" si="13"/>
        <v>2361.9402816709348</v>
      </c>
      <c r="D18" s="32">
        <f t="shared" si="13"/>
        <v>2419.4644419097272</v>
      </c>
      <c r="E18" s="32">
        <f t="shared" si="13"/>
        <v>2468.2109080149412</v>
      </c>
      <c r="F18" s="32">
        <f t="shared" si="13"/>
        <v>2529.0327302436676</v>
      </c>
      <c r="G18" s="32">
        <f t="shared" si="13"/>
        <v>2545.8015531204492</v>
      </c>
      <c r="H18" s="32">
        <f t="shared" si="13"/>
        <v>2602.6610795839592</v>
      </c>
      <c r="I18" s="32">
        <f t="shared" si="13"/>
        <v>2688.7979184564356</v>
      </c>
      <c r="J18" s="32">
        <f t="shared" si="13"/>
        <v>2619.4114770407577</v>
      </c>
      <c r="K18" s="32">
        <f t="shared" si="13"/>
        <v>2635.3590134945102</v>
      </c>
      <c r="L18" s="32">
        <f t="shared" ref="L18" si="14">L19+L21+L33</f>
        <v>2691.1178549479496</v>
      </c>
      <c r="M18" s="32">
        <f t="shared" ref="M18:V18" si="15">M19+M21+M33</f>
        <v>2728.1164482554491</v>
      </c>
      <c r="N18" s="32">
        <f t="shared" si="15"/>
        <v>2720.4263966351473</v>
      </c>
      <c r="O18" s="32">
        <f t="shared" si="15"/>
        <v>2731.8717744908072</v>
      </c>
      <c r="P18" s="32">
        <f t="shared" si="15"/>
        <v>2710.4539921659011</v>
      </c>
      <c r="Q18" s="32">
        <f t="shared" si="15"/>
        <v>2746.9914254335908</v>
      </c>
      <c r="R18" s="32">
        <f t="shared" si="15"/>
        <v>2730.6235183936506</v>
      </c>
      <c r="S18" s="32">
        <f t="shared" si="15"/>
        <v>2746.9610460047638</v>
      </c>
      <c r="T18" s="32">
        <f t="shared" si="15"/>
        <v>2759.6898444745798</v>
      </c>
      <c r="U18" s="32">
        <f t="shared" si="15"/>
        <v>2709.9524193115576</v>
      </c>
      <c r="V18" s="32">
        <f t="shared" si="15"/>
        <v>2516.4984013485964</v>
      </c>
      <c r="W18" s="32">
        <f t="shared" ref="W18" si="16">W19+W21+W33</f>
        <v>2547.7220686023052</v>
      </c>
      <c r="DA18" s="173" t="s">
        <v>390</v>
      </c>
    </row>
    <row r="19" spans="1:105" ht="11.45" customHeight="1" x14ac:dyDescent="0.25">
      <c r="A19" s="107" t="s">
        <v>181</v>
      </c>
      <c r="B19" s="129">
        <v>39.47603358400351</v>
      </c>
      <c r="C19" s="129">
        <v>38.962899956726176</v>
      </c>
      <c r="D19" s="129">
        <v>38.401675221345243</v>
      </c>
      <c r="E19" s="129">
        <v>37.814966912611879</v>
      </c>
      <c r="F19" s="129">
        <v>37.328158551797117</v>
      </c>
      <c r="G19" s="129">
        <v>36.862710673633984</v>
      </c>
      <c r="H19" s="129">
        <v>36.459840805516734</v>
      </c>
      <c r="I19" s="129">
        <v>36.23370104522477</v>
      </c>
      <c r="J19" s="129">
        <v>35.678252337084459</v>
      </c>
      <c r="K19" s="129">
        <v>35.181231209468685</v>
      </c>
      <c r="L19" s="129">
        <v>46.143503291004151</v>
      </c>
      <c r="M19" s="129">
        <v>45.41819023854557</v>
      </c>
      <c r="N19" s="129">
        <v>44.762809146392065</v>
      </c>
      <c r="O19" s="129">
        <v>44.361541318166452</v>
      </c>
      <c r="P19" s="129">
        <v>43.8569827258397</v>
      </c>
      <c r="Q19" s="129">
        <v>43.505302069241687</v>
      </c>
      <c r="R19" s="129">
        <v>44.163883381932635</v>
      </c>
      <c r="S19" s="129">
        <v>41.409958143077191</v>
      </c>
      <c r="T19" s="129">
        <v>39.181973982917164</v>
      </c>
      <c r="U19" s="129">
        <v>41.261943765286333</v>
      </c>
      <c r="V19" s="129">
        <v>36.677778975655031</v>
      </c>
      <c r="W19" s="129">
        <v>36.625032282431768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1.4381374419421115E-2</v>
      </c>
      <c r="E20" s="97">
        <v>8.4566238494754253E-2</v>
      </c>
      <c r="F20" s="97">
        <v>9.561680808369992E-2</v>
      </c>
      <c r="G20" s="97">
        <v>0</v>
      </c>
      <c r="H20" s="97">
        <v>1.4238589030896353E-2</v>
      </c>
      <c r="I20" s="97">
        <v>2.8363936607855425E-2</v>
      </c>
      <c r="J20" s="97">
        <v>1.2964479980659691</v>
      </c>
      <c r="K20" s="97">
        <v>1.572650891804684</v>
      </c>
      <c r="L20" s="97">
        <v>2.2199549738322921</v>
      </c>
      <c r="M20" s="97">
        <v>2.6103185000751079</v>
      </c>
      <c r="N20" s="97">
        <v>2.7700817226814323</v>
      </c>
      <c r="O20" s="97">
        <v>1.9859703119024155</v>
      </c>
      <c r="P20" s="97">
        <v>2.1262846990353075</v>
      </c>
      <c r="Q20" s="97">
        <v>2.0086997034473537</v>
      </c>
      <c r="R20" s="97">
        <v>2.1066781745502272</v>
      </c>
      <c r="S20" s="97">
        <v>2.417355306253643</v>
      </c>
      <c r="T20" s="97">
        <v>2.4213228865003043</v>
      </c>
      <c r="U20" s="97">
        <v>2.7446651356005369</v>
      </c>
      <c r="V20" s="97">
        <v>2.7307824424173033</v>
      </c>
      <c r="W20" s="97">
        <v>3.211799104792612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2078.2599342563194</v>
      </c>
      <c r="C21" s="130">
        <f t="shared" si="17"/>
        <v>2109.9163652175889</v>
      </c>
      <c r="D21" s="130">
        <f t="shared" si="17"/>
        <v>2165.8834438987997</v>
      </c>
      <c r="E21" s="130">
        <f t="shared" si="17"/>
        <v>2209.2448803330817</v>
      </c>
      <c r="F21" s="130">
        <f t="shared" si="17"/>
        <v>2262.1892100338173</v>
      </c>
      <c r="G21" s="130">
        <f t="shared" si="17"/>
        <v>2282.4160054035556</v>
      </c>
      <c r="H21" s="130">
        <f t="shared" si="17"/>
        <v>2331.4187472753297</v>
      </c>
      <c r="I21" s="130">
        <f t="shared" si="17"/>
        <v>2408.8730014567295</v>
      </c>
      <c r="J21" s="130">
        <f t="shared" si="17"/>
        <v>2339.0081293545877</v>
      </c>
      <c r="K21" s="130">
        <f t="shared" si="17"/>
        <v>2346.0769857160517</v>
      </c>
      <c r="L21" s="130">
        <f t="shared" ref="L21" si="18">L22+L24+L26+L27+L29+L32</f>
        <v>2379.1973541568882</v>
      </c>
      <c r="M21" s="130">
        <f t="shared" ref="M21:V21" si="19">M22+M24+M26+M27+M29+M32</f>
        <v>2410.5947909889383</v>
      </c>
      <c r="N21" s="130">
        <f t="shared" si="19"/>
        <v>2391.9700462138439</v>
      </c>
      <c r="O21" s="130">
        <f t="shared" si="19"/>
        <v>2394.8235043460336</v>
      </c>
      <c r="P21" s="130">
        <f t="shared" si="19"/>
        <v>2364.5677934840951</v>
      </c>
      <c r="Q21" s="130">
        <f t="shared" si="19"/>
        <v>2389.5772691616526</v>
      </c>
      <c r="R21" s="130">
        <f t="shared" si="19"/>
        <v>2349.1991183060818</v>
      </c>
      <c r="S21" s="130">
        <f t="shared" si="19"/>
        <v>2368.1131034961345</v>
      </c>
      <c r="T21" s="130">
        <f t="shared" si="19"/>
        <v>2385.1776907412054</v>
      </c>
      <c r="U21" s="130">
        <f t="shared" si="19"/>
        <v>2342.7362972572323</v>
      </c>
      <c r="V21" s="130">
        <f t="shared" si="19"/>
        <v>2195.9878598947389</v>
      </c>
      <c r="W21" s="130">
        <f t="shared" ref="W21" si="20">W22+W24+W26+W27+W29+W32</f>
        <v>2250.6632527570605</v>
      </c>
      <c r="DA21" s="176" t="s">
        <v>392</v>
      </c>
    </row>
    <row r="22" spans="1:105" ht="11.45" customHeight="1" x14ac:dyDescent="0.25">
      <c r="A22" s="111" t="s">
        <v>110</v>
      </c>
      <c r="B22" s="96">
        <v>1623.595471127775</v>
      </c>
      <c r="C22" s="96">
        <v>1650.0051267996996</v>
      </c>
      <c r="D22" s="96">
        <v>1684.2327061985479</v>
      </c>
      <c r="E22" s="96">
        <v>1695.8862495620449</v>
      </c>
      <c r="F22" s="96">
        <v>1731.324867906799</v>
      </c>
      <c r="G22" s="96">
        <v>1724.0414892906949</v>
      </c>
      <c r="H22" s="96">
        <v>1711.5332367811639</v>
      </c>
      <c r="I22" s="96">
        <v>1709.314450223311</v>
      </c>
      <c r="J22" s="96">
        <v>1585.9566700990813</v>
      </c>
      <c r="K22" s="96">
        <v>1541.8944278377758</v>
      </c>
      <c r="L22" s="96">
        <v>1499.2197811014614</v>
      </c>
      <c r="M22" s="96">
        <v>1429.8399866587156</v>
      </c>
      <c r="N22" s="96">
        <v>1379.0766459150241</v>
      </c>
      <c r="O22" s="96">
        <v>1386.0009396281291</v>
      </c>
      <c r="P22" s="96">
        <v>1338.3756902782704</v>
      </c>
      <c r="Q22" s="96">
        <v>1328.0882792597956</v>
      </c>
      <c r="R22" s="96">
        <v>1324.3925849296058</v>
      </c>
      <c r="S22" s="96">
        <v>1287.6005743959493</v>
      </c>
      <c r="T22" s="96">
        <v>1273.8257502417193</v>
      </c>
      <c r="U22" s="96">
        <v>1247.2078780835272</v>
      </c>
      <c r="V22" s="96">
        <v>1158.6301370298268</v>
      </c>
      <c r="W22" s="96">
        <v>1181.9436349400805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0.63074282613100274</v>
      </c>
      <c r="E23" s="96">
        <v>3.79253858325094</v>
      </c>
      <c r="F23" s="96">
        <v>4.4348225052535213</v>
      </c>
      <c r="G23" s="96">
        <v>0</v>
      </c>
      <c r="H23" s="96">
        <v>0.66840166695295644</v>
      </c>
      <c r="I23" s="96">
        <v>1.3380605709726356</v>
      </c>
      <c r="J23" s="96">
        <v>57.629233925008592</v>
      </c>
      <c r="K23" s="96">
        <v>68.924866005119327</v>
      </c>
      <c r="L23" s="96">
        <v>72.12717224642968</v>
      </c>
      <c r="M23" s="96">
        <v>82.177157427880644</v>
      </c>
      <c r="N23" s="96">
        <v>85.342164262582486</v>
      </c>
      <c r="O23" s="96">
        <v>62.04826605614624</v>
      </c>
      <c r="P23" s="96">
        <v>64.887449498955888</v>
      </c>
      <c r="Q23" s="96">
        <v>61.31966463432849</v>
      </c>
      <c r="R23" s="96">
        <v>63.175353695204521</v>
      </c>
      <c r="S23" s="96">
        <v>75.165207124741826</v>
      </c>
      <c r="T23" s="96">
        <v>78.718429138318271</v>
      </c>
      <c r="U23" s="96">
        <v>82.961869157072812</v>
      </c>
      <c r="V23" s="96">
        <v>86.263861221168725</v>
      </c>
      <c r="W23" s="96">
        <v>103.64947884119177</v>
      </c>
      <c r="DA23" s="171" t="s">
        <v>641</v>
      </c>
    </row>
    <row r="24" spans="1:105" ht="11.45" customHeight="1" x14ac:dyDescent="0.25">
      <c r="A24" s="111" t="s">
        <v>111</v>
      </c>
      <c r="B24" s="96">
        <v>454.66446312854458</v>
      </c>
      <c r="C24" s="96">
        <v>459.91123841788931</v>
      </c>
      <c r="D24" s="96">
        <v>481.65073770025185</v>
      </c>
      <c r="E24" s="96">
        <v>513.35863077103659</v>
      </c>
      <c r="F24" s="96">
        <v>530.86434212701806</v>
      </c>
      <c r="G24" s="96">
        <v>558.37451611286087</v>
      </c>
      <c r="H24" s="96">
        <v>619.88212493070807</v>
      </c>
      <c r="I24" s="96">
        <v>699.43792890938721</v>
      </c>
      <c r="J24" s="96">
        <v>752.79103320915237</v>
      </c>
      <c r="K24" s="96">
        <v>803.68032125145908</v>
      </c>
      <c r="L24" s="96">
        <v>879.32278745393239</v>
      </c>
      <c r="M24" s="96">
        <v>980.12482772322323</v>
      </c>
      <c r="N24" s="96">
        <v>1011.6549073172716</v>
      </c>
      <c r="O24" s="96">
        <v>1007.7549456045663</v>
      </c>
      <c r="P24" s="96">
        <v>1024.8496031031505</v>
      </c>
      <c r="Q24" s="96">
        <v>1059.7886064640984</v>
      </c>
      <c r="R24" s="96">
        <v>1022.4159208611857</v>
      </c>
      <c r="S24" s="96">
        <v>1075.8705867496903</v>
      </c>
      <c r="T24" s="96">
        <v>1101.8310807034993</v>
      </c>
      <c r="U24" s="96">
        <v>1078.3927702669623</v>
      </c>
      <c r="V24" s="96">
        <v>1009.9851265910397</v>
      </c>
      <c r="W24" s="96">
        <v>1027.4627537207941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3.7106932507740766</v>
      </c>
      <c r="K25" s="96">
        <v>21.474067347056035</v>
      </c>
      <c r="L25" s="96">
        <v>23.131404778189836</v>
      </c>
      <c r="M25" s="96">
        <v>43.741548308257897</v>
      </c>
      <c r="N25" s="96">
        <v>42.999214002577737</v>
      </c>
      <c r="O25" s="96">
        <v>64.269805252477454</v>
      </c>
      <c r="P25" s="96">
        <v>180.60531914127887</v>
      </c>
      <c r="Q25" s="96">
        <v>187.54287403244339</v>
      </c>
      <c r="R25" s="96">
        <v>44.238929509380455</v>
      </c>
      <c r="S25" s="96">
        <v>130.46508169849628</v>
      </c>
      <c r="T25" s="96">
        <v>119.24834619203611</v>
      </c>
      <c r="U25" s="96">
        <v>143.00457507528751</v>
      </c>
      <c r="V25" s="96">
        <v>126.39526954572429</v>
      </c>
      <c r="W25" s="96">
        <v>227.71872486524327</v>
      </c>
      <c r="DA25" s="171" t="s">
        <v>643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3.3855634580350845E-3</v>
      </c>
      <c r="I27" s="96">
        <v>0.12000800288548065</v>
      </c>
      <c r="J27" s="96">
        <v>0.25895923563841416</v>
      </c>
      <c r="K27" s="96">
        <v>0.49950477643556923</v>
      </c>
      <c r="L27" s="96">
        <v>0.64991802804155485</v>
      </c>
      <c r="M27" s="96">
        <v>0.61797383338550149</v>
      </c>
      <c r="N27" s="96">
        <v>1.1820589192948388</v>
      </c>
      <c r="O27" s="96">
        <v>0.95290098395853451</v>
      </c>
      <c r="P27" s="96">
        <v>1.0992788437015708</v>
      </c>
      <c r="Q27" s="96">
        <v>1.231253699886663</v>
      </c>
      <c r="R27" s="96">
        <v>1.432066680316076</v>
      </c>
      <c r="S27" s="96">
        <v>2.4902432325825097</v>
      </c>
      <c r="T27" s="96">
        <v>4.8101282172560103</v>
      </c>
      <c r="U27" s="96">
        <v>8.8557058202886996</v>
      </c>
      <c r="V27" s="96">
        <v>13.530881474146391</v>
      </c>
      <c r="W27" s="96">
        <v>16.711833582396274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2.3036983285624644E-3</v>
      </c>
      <c r="L28" s="96">
        <v>5.9672769600222038E-3</v>
      </c>
      <c r="M28" s="96">
        <v>1.2606769113465154E-2</v>
      </c>
      <c r="N28" s="96">
        <v>1.5187560035361628E-2</v>
      </c>
      <c r="O28" s="96">
        <v>2.5751574838314126E-2</v>
      </c>
      <c r="P28" s="96">
        <v>4.8082937452881218E-2</v>
      </c>
      <c r="Q28" s="96">
        <v>5.573670809844615E-2</v>
      </c>
      <c r="R28" s="96">
        <v>6.5986192556711981E-2</v>
      </c>
      <c r="S28" s="96">
        <v>0.16158161925242565</v>
      </c>
      <c r="T28" s="96">
        <v>0.59775606693430994</v>
      </c>
      <c r="U28" s="96">
        <v>1.1022246261512301</v>
      </c>
      <c r="V28" s="96">
        <v>3.0786472415141999</v>
      </c>
      <c r="W28" s="96">
        <v>4.1007701275536332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3.3577768903161623E-2</v>
      </c>
      <c r="O29" s="96">
        <v>7.8733378630364476E-2</v>
      </c>
      <c r="P29" s="96">
        <v>0.16664503842562398</v>
      </c>
      <c r="Q29" s="96">
        <v>0.32867518669914497</v>
      </c>
      <c r="R29" s="96">
        <v>0.7683614045279139</v>
      </c>
      <c r="S29" s="96">
        <v>1.8342643635900391</v>
      </c>
      <c r="T29" s="96">
        <v>4.1810076030008894</v>
      </c>
      <c r="U29" s="96">
        <v>7.3020299924347896</v>
      </c>
      <c r="V29" s="96">
        <v>11.814036262065668</v>
      </c>
      <c r="W29" s="96">
        <v>19.168226899461104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1.3269566070995943E-3</v>
      </c>
      <c r="O30" s="96">
        <v>2.2680175329239305E-3</v>
      </c>
      <c r="P30" s="96">
        <v>4.9774043609073374E-3</v>
      </c>
      <c r="Q30" s="96">
        <v>9.2379170570686137E-3</v>
      </c>
      <c r="R30" s="96">
        <v>2.2878155334716661E-2</v>
      </c>
      <c r="S30" s="96">
        <v>6.5834482824094626E-2</v>
      </c>
      <c r="T30" s="96">
        <v>0.15788939697578383</v>
      </c>
      <c r="U30" s="96">
        <v>0.27918034933492042</v>
      </c>
      <c r="V30" s="96">
        <v>0.46601196557152491</v>
      </c>
      <c r="W30" s="96">
        <v>0.84656185447849641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1.2134969991205443E-2</v>
      </c>
      <c r="O31" s="96">
        <v>2.8071617528431816E-2</v>
      </c>
      <c r="P31" s="96">
        <v>6.3980547083109032E-2</v>
      </c>
      <c r="Q31" s="96">
        <v>0.12859631409881167</v>
      </c>
      <c r="R31" s="96">
        <v>0.28874938006106182</v>
      </c>
      <c r="S31" s="96">
        <v>0.70650165073427162</v>
      </c>
      <c r="T31" s="96">
        <v>1.6260330975456192</v>
      </c>
      <c r="U31" s="96">
        <v>3.1049701306640767</v>
      </c>
      <c r="V31" s="96">
        <v>5.5549203369930114</v>
      </c>
      <c r="W31" s="96">
        <v>9.5146482546808695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6.1432114519648204E-4</v>
      </c>
      <c r="J32" s="96">
        <v>1.4668107154671664E-3</v>
      </c>
      <c r="K32" s="96">
        <v>2.7318503812816378E-3</v>
      </c>
      <c r="L32" s="96">
        <v>4.8675734527243927E-3</v>
      </c>
      <c r="M32" s="96">
        <v>1.2002773614382491E-2</v>
      </c>
      <c r="N32" s="96">
        <v>2.2856293350189429E-2</v>
      </c>
      <c r="O32" s="96">
        <v>3.5984750749474055E-2</v>
      </c>
      <c r="P32" s="96">
        <v>7.6576220547490997E-2</v>
      </c>
      <c r="Q32" s="96">
        <v>0.14045455117328301</v>
      </c>
      <c r="R32" s="96">
        <v>0.19018443044662131</v>
      </c>
      <c r="S32" s="96">
        <v>0.31743475432216539</v>
      </c>
      <c r="T32" s="96">
        <v>0.52972397572978724</v>
      </c>
      <c r="U32" s="96">
        <v>0.97791309401921578</v>
      </c>
      <c r="V32" s="96">
        <v>2.0276785376603832</v>
      </c>
      <c r="W32" s="96">
        <v>5.376803614328562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217.53249181938909</v>
      </c>
      <c r="C33" s="130">
        <f t="shared" si="21"/>
        <v>213.06101649661974</v>
      </c>
      <c r="D33" s="130">
        <f t="shared" si="21"/>
        <v>215.17932278958253</v>
      </c>
      <c r="E33" s="130">
        <f t="shared" si="21"/>
        <v>221.15106076924741</v>
      </c>
      <c r="F33" s="130">
        <f t="shared" si="21"/>
        <v>229.51536165805314</v>
      </c>
      <c r="G33" s="130">
        <f t="shared" si="21"/>
        <v>226.52283704325941</v>
      </c>
      <c r="H33" s="130">
        <f t="shared" si="21"/>
        <v>234.78249150311277</v>
      </c>
      <c r="I33" s="130">
        <f t="shared" si="21"/>
        <v>243.69121595448149</v>
      </c>
      <c r="J33" s="130">
        <f t="shared" si="21"/>
        <v>244.72509534908588</v>
      </c>
      <c r="K33" s="130">
        <f t="shared" si="21"/>
        <v>254.10079656898992</v>
      </c>
      <c r="L33" s="130">
        <f t="shared" ref="L33" si="22">L34+L36+L38+L39+L41</f>
        <v>265.77699750005758</v>
      </c>
      <c r="M33" s="130">
        <f t="shared" ref="M33:V33" si="23">M34+M36+M38+M39+M41</f>
        <v>272.10346702796517</v>
      </c>
      <c r="N33" s="130">
        <f t="shared" si="23"/>
        <v>283.6935412749113</v>
      </c>
      <c r="O33" s="130">
        <f t="shared" si="23"/>
        <v>292.68672882660695</v>
      </c>
      <c r="P33" s="130">
        <f t="shared" si="23"/>
        <v>302.02921595596638</v>
      </c>
      <c r="Q33" s="130">
        <f t="shared" si="23"/>
        <v>313.90885420269638</v>
      </c>
      <c r="R33" s="130">
        <f t="shared" si="23"/>
        <v>337.26051670563606</v>
      </c>
      <c r="S33" s="130">
        <f t="shared" si="23"/>
        <v>337.43798436555187</v>
      </c>
      <c r="T33" s="130">
        <f t="shared" si="23"/>
        <v>335.33017975045749</v>
      </c>
      <c r="U33" s="130">
        <f t="shared" si="23"/>
        <v>325.95417828903942</v>
      </c>
      <c r="V33" s="130">
        <f t="shared" si="23"/>
        <v>283.83276247820214</v>
      </c>
      <c r="W33" s="130">
        <f t="shared" ref="W33" si="24">W34+W36+W38+W39+W41</f>
        <v>260.43378356281301</v>
      </c>
      <c r="DA33" s="176" t="s">
        <v>393</v>
      </c>
    </row>
    <row r="34" spans="1:105" ht="11.45" customHeight="1" x14ac:dyDescent="0.25">
      <c r="A34" s="111" t="s">
        <v>110</v>
      </c>
      <c r="B34" s="97">
        <v>8.9370075902909948E-2</v>
      </c>
      <c r="C34" s="97">
        <v>9.7207720298712219E-2</v>
      </c>
      <c r="D34" s="97">
        <v>9.3895447964057563E-2</v>
      </c>
      <c r="E34" s="97">
        <v>9.3880173208253925E-2</v>
      </c>
      <c r="F34" s="97">
        <v>9.6731721253014283E-2</v>
      </c>
      <c r="G34" s="97">
        <v>0.10540981153043937</v>
      </c>
      <c r="H34" s="97">
        <v>9.8840891431813807E-2</v>
      </c>
      <c r="I34" s="97">
        <v>0.10179184227713983</v>
      </c>
      <c r="J34" s="97">
        <v>9.8514399651447149E-2</v>
      </c>
      <c r="K34" s="97">
        <v>9.7082423672386328E-2</v>
      </c>
      <c r="L34" s="97">
        <v>9.9494107529577921E-2</v>
      </c>
      <c r="M34" s="97">
        <v>9.6246563225880863E-2</v>
      </c>
      <c r="N34" s="97">
        <v>9.6234184429322342E-2</v>
      </c>
      <c r="O34" s="97">
        <v>9.6219759157020898E-2</v>
      </c>
      <c r="P34" s="97">
        <v>9.6206588464378365E-2</v>
      </c>
      <c r="Q34" s="97">
        <v>9.6191389361083637E-2</v>
      </c>
      <c r="R34" s="97">
        <v>9.6171621097989046E-2</v>
      </c>
      <c r="S34" s="97">
        <v>9.5083454094839134E-2</v>
      </c>
      <c r="T34" s="97">
        <v>8.8622109901086224E-2</v>
      </c>
      <c r="U34" s="97">
        <v>8.2042790895748646E-2</v>
      </c>
      <c r="V34" s="97">
        <v>6.6675772784042631E-2</v>
      </c>
      <c r="W34" s="97">
        <v>5.648924568076491E-2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3.5163715792789314E-5</v>
      </c>
      <c r="E35" s="97">
        <v>2.0994579040105492E-4</v>
      </c>
      <c r="F35" s="97">
        <v>2.4778019558133641E-4</v>
      </c>
      <c r="G35" s="97">
        <v>0</v>
      </c>
      <c r="H35" s="97">
        <v>3.8600136518755579E-5</v>
      </c>
      <c r="I35" s="97">
        <v>7.9683203157799356E-5</v>
      </c>
      <c r="J35" s="97">
        <v>3.579738015251291E-3</v>
      </c>
      <c r="K35" s="97">
        <v>4.3397219175731142E-3</v>
      </c>
      <c r="L35" s="97">
        <v>4.7866421733165493E-3</v>
      </c>
      <c r="M35" s="97">
        <v>5.5315762965814442E-3</v>
      </c>
      <c r="N35" s="97">
        <v>5.9553133609870036E-3</v>
      </c>
      <c r="O35" s="97">
        <v>4.3075506266503681E-3</v>
      </c>
      <c r="P35" s="97">
        <v>4.6643107729723056E-3</v>
      </c>
      <c r="Q35" s="97">
        <v>4.4412889025865236E-3</v>
      </c>
      <c r="R35" s="97">
        <v>4.5875190237716296E-3</v>
      </c>
      <c r="S35" s="97">
        <v>5.5506091433108551E-3</v>
      </c>
      <c r="T35" s="97">
        <v>5.4765679505325736E-3</v>
      </c>
      <c r="U35" s="97">
        <v>5.4573286483990194E-3</v>
      </c>
      <c r="V35" s="97">
        <v>4.9642326972449222E-3</v>
      </c>
      <c r="W35" s="97">
        <v>4.9537733457485494E-3</v>
      </c>
      <c r="DA35" s="175" t="s">
        <v>652</v>
      </c>
    </row>
    <row r="36" spans="1:105" ht="11.45" customHeight="1" x14ac:dyDescent="0.25">
      <c r="A36" s="111" t="s">
        <v>111</v>
      </c>
      <c r="B36" s="97">
        <v>215.72343128776822</v>
      </c>
      <c r="C36" s="97">
        <v>211.24847809209601</v>
      </c>
      <c r="D36" s="97">
        <v>212.51022697277227</v>
      </c>
      <c r="E36" s="97">
        <v>218.48191540332124</v>
      </c>
      <c r="F36" s="97">
        <v>226.84308146285878</v>
      </c>
      <c r="G36" s="97">
        <v>223.84350243419678</v>
      </c>
      <c r="H36" s="97">
        <v>231.25288136873058</v>
      </c>
      <c r="I36" s="97">
        <v>240.28448361435269</v>
      </c>
      <c r="J36" s="97">
        <v>240.61666331566681</v>
      </c>
      <c r="K36" s="97">
        <v>249.37734401652796</v>
      </c>
      <c r="L36" s="97">
        <v>261.20172530055879</v>
      </c>
      <c r="M36" s="97">
        <v>269.20492251639405</v>
      </c>
      <c r="N36" s="97">
        <v>279.27336938801074</v>
      </c>
      <c r="O36" s="97">
        <v>290.07837475975487</v>
      </c>
      <c r="P36" s="97">
        <v>299.31085375055414</v>
      </c>
      <c r="Q36" s="97">
        <v>311.48337464344888</v>
      </c>
      <c r="R36" s="97">
        <v>334.51062901340345</v>
      </c>
      <c r="S36" s="97">
        <v>334.76187185713661</v>
      </c>
      <c r="T36" s="97">
        <v>332.54301738163139</v>
      </c>
      <c r="U36" s="97">
        <v>322.40571835259215</v>
      </c>
      <c r="V36" s="97">
        <v>279.83115879872764</v>
      </c>
      <c r="W36" s="97">
        <v>254.09807571945933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1.186059064469696</v>
      </c>
      <c r="K37" s="97">
        <v>6.6632785930381653</v>
      </c>
      <c r="L37" s="97">
        <v>6.8711546236430427</v>
      </c>
      <c r="M37" s="97">
        <v>12.014224912989278</v>
      </c>
      <c r="N37" s="97">
        <v>11.870189418030412</v>
      </c>
      <c r="O37" s="97">
        <v>18.499815590168353</v>
      </c>
      <c r="P37" s="97">
        <v>52.746405033858082</v>
      </c>
      <c r="Q37" s="97">
        <v>55.120886314166697</v>
      </c>
      <c r="R37" s="97">
        <v>14.473945324127696</v>
      </c>
      <c r="S37" s="97">
        <v>40.594784818245188</v>
      </c>
      <c r="T37" s="97">
        <v>35.990276145731812</v>
      </c>
      <c r="U37" s="97">
        <v>42.753896378071587</v>
      </c>
      <c r="V37" s="97">
        <v>35.019659015215588</v>
      </c>
      <c r="W37" s="97">
        <v>56.316289407091389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1.7196904557179711</v>
      </c>
      <c r="C39" s="97">
        <v>1.7153306842250189</v>
      </c>
      <c r="D39" s="97">
        <v>2.5752003688461871</v>
      </c>
      <c r="E39" s="97">
        <v>2.5752651927179286</v>
      </c>
      <c r="F39" s="97">
        <v>2.5755484739413648</v>
      </c>
      <c r="G39" s="97">
        <v>2.5739247975321962</v>
      </c>
      <c r="H39" s="97">
        <v>3.4307692429503676</v>
      </c>
      <c r="I39" s="97">
        <v>3.3049404978516415</v>
      </c>
      <c r="J39" s="97">
        <v>4.0099176337676239</v>
      </c>
      <c r="K39" s="97">
        <v>4.6263701287895689</v>
      </c>
      <c r="L39" s="97">
        <v>4.4757780919692554</v>
      </c>
      <c r="M39" s="97">
        <v>2.8022979483452559</v>
      </c>
      <c r="N39" s="97">
        <v>4.2319689527015694</v>
      </c>
      <c r="O39" s="97">
        <v>2.420179343819246</v>
      </c>
      <c r="P39" s="97">
        <v>2.5302132399936332</v>
      </c>
      <c r="Q39" s="97">
        <v>2.2373603183582276</v>
      </c>
      <c r="R39" s="97">
        <v>2.4052083415836107</v>
      </c>
      <c r="S39" s="97">
        <v>2.2090879718964294</v>
      </c>
      <c r="T39" s="97">
        <v>2.3353224127228223</v>
      </c>
      <c r="U39" s="97">
        <v>2.5089701832367628</v>
      </c>
      <c r="V39" s="97">
        <v>2.7347116150289823</v>
      </c>
      <c r="W39" s="97">
        <v>2.7008651042976251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2.1336655094785825E-2</v>
      </c>
      <c r="L40" s="97">
        <v>4.1094732464741837E-2</v>
      </c>
      <c r="M40" s="97">
        <v>5.716734481844582E-2</v>
      </c>
      <c r="N40" s="97">
        <v>5.4374009186685897E-2</v>
      </c>
      <c r="O40" s="97">
        <v>6.5403888277667369E-2</v>
      </c>
      <c r="P40" s="97">
        <v>0.11067263384365991</v>
      </c>
      <c r="Q40" s="97">
        <v>0.10128140040257995</v>
      </c>
      <c r="R40" s="97">
        <v>0.11082622265306569</v>
      </c>
      <c r="S40" s="97">
        <v>0.14333861323253499</v>
      </c>
      <c r="T40" s="97">
        <v>0.29021121213460577</v>
      </c>
      <c r="U40" s="97">
        <v>0.31227874755132357</v>
      </c>
      <c r="V40" s="97">
        <v>0.62222201754058037</v>
      </c>
      <c r="W40" s="97">
        <v>0.66274157671857381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9.1968749769720082E-2</v>
      </c>
      <c r="O41" s="97">
        <v>9.1954963875793522E-2</v>
      </c>
      <c r="P41" s="97">
        <v>9.1942376954180172E-2</v>
      </c>
      <c r="Q41" s="97">
        <v>9.1927851528148599E-2</v>
      </c>
      <c r="R41" s="97">
        <v>0.24850772955102601</v>
      </c>
      <c r="S41" s="97">
        <v>0.37194108242399371</v>
      </c>
      <c r="T41" s="97">
        <v>0.36321784620219238</v>
      </c>
      <c r="U41" s="97">
        <v>0.95744696231474469</v>
      </c>
      <c r="V41" s="97">
        <v>1.2002162916615111</v>
      </c>
      <c r="W41" s="97">
        <v>3.5783534933753018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1204.616795482656</v>
      </c>
      <c r="C42" s="32">
        <f t="shared" si="25"/>
        <v>1238.5396275598505</v>
      </c>
      <c r="D42" s="32">
        <f t="shared" si="25"/>
        <v>1254.4234051725357</v>
      </c>
      <c r="E42" s="32">
        <f t="shared" si="25"/>
        <v>1264.4254293577626</v>
      </c>
      <c r="F42" s="32">
        <f t="shared" si="25"/>
        <v>1313.1088570764098</v>
      </c>
      <c r="G42" s="32">
        <f t="shared" si="25"/>
        <v>1303.7023084030411</v>
      </c>
      <c r="H42" s="32">
        <f t="shared" si="25"/>
        <v>1297.4400477723093</v>
      </c>
      <c r="I42" s="32">
        <f t="shared" si="25"/>
        <v>1335.0894209831163</v>
      </c>
      <c r="J42" s="32">
        <f t="shared" si="25"/>
        <v>1298.5837906846907</v>
      </c>
      <c r="K42" s="32">
        <f t="shared" si="25"/>
        <v>1166.9379677592478</v>
      </c>
      <c r="L42" s="32">
        <f t="shared" ref="L42" si="26">L43+L52</f>
        <v>1261.1133663730388</v>
      </c>
      <c r="M42" s="32">
        <f t="shared" ref="M42:V42" si="27">M43+M52</f>
        <v>1220.7372259642596</v>
      </c>
      <c r="N42" s="32">
        <f t="shared" si="27"/>
        <v>1150.6856967940114</v>
      </c>
      <c r="O42" s="32">
        <f t="shared" si="27"/>
        <v>1168.2747554561979</v>
      </c>
      <c r="P42" s="32">
        <f t="shared" si="27"/>
        <v>1114.3560089112398</v>
      </c>
      <c r="Q42" s="32">
        <f t="shared" si="27"/>
        <v>1079.6193732600927</v>
      </c>
      <c r="R42" s="32">
        <f t="shared" si="27"/>
        <v>1178.0278247324472</v>
      </c>
      <c r="S42" s="32">
        <f t="shared" si="27"/>
        <v>1165.5447170080465</v>
      </c>
      <c r="T42" s="32">
        <f t="shared" si="27"/>
        <v>1185.0251966552569</v>
      </c>
      <c r="U42" s="32">
        <f t="shared" si="27"/>
        <v>1170.7315488227378</v>
      </c>
      <c r="V42" s="32">
        <f t="shared" si="27"/>
        <v>1137.982372847739</v>
      </c>
      <c r="W42" s="32">
        <f t="shared" ref="W42" si="28">W43+W52</f>
        <v>1241.3129303710671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410.40850695164488</v>
      </c>
      <c r="C43" s="141">
        <f t="shared" si="29"/>
        <v>409.03830997320199</v>
      </c>
      <c r="D43" s="141">
        <f t="shared" si="29"/>
        <v>408.91813957431856</v>
      </c>
      <c r="E43" s="141">
        <f t="shared" si="29"/>
        <v>409.17948993989353</v>
      </c>
      <c r="F43" s="141">
        <f t="shared" si="29"/>
        <v>436.087045569586</v>
      </c>
      <c r="G43" s="141">
        <f t="shared" si="29"/>
        <v>436.57669744889512</v>
      </c>
      <c r="H43" s="141">
        <f t="shared" si="29"/>
        <v>446.25354908651502</v>
      </c>
      <c r="I43" s="141">
        <f t="shared" si="29"/>
        <v>471.03853053673907</v>
      </c>
      <c r="J43" s="141">
        <f t="shared" si="29"/>
        <v>483.5862015100052</v>
      </c>
      <c r="K43" s="141">
        <f t="shared" si="29"/>
        <v>482.06360294133265</v>
      </c>
      <c r="L43" s="141">
        <f t="shared" ref="L43" si="30">L44+L46+L48+L49+L51</f>
        <v>509.64428524122309</v>
      </c>
      <c r="M43" s="141">
        <f t="shared" ref="M43:V43" si="31">M44+M46+M48+M49+M51</f>
        <v>535.92358895908217</v>
      </c>
      <c r="N43" s="141">
        <f t="shared" si="31"/>
        <v>542.8054805980164</v>
      </c>
      <c r="O43" s="141">
        <f t="shared" si="31"/>
        <v>563.25905681539939</v>
      </c>
      <c r="P43" s="141">
        <f t="shared" si="31"/>
        <v>565.36756142472143</v>
      </c>
      <c r="Q43" s="141">
        <f t="shared" si="31"/>
        <v>579.28312283181276</v>
      </c>
      <c r="R43" s="141">
        <f t="shared" si="31"/>
        <v>601.41839743563207</v>
      </c>
      <c r="S43" s="141">
        <f t="shared" si="31"/>
        <v>601.5381883254056</v>
      </c>
      <c r="T43" s="141">
        <f t="shared" si="31"/>
        <v>624.69518699675666</v>
      </c>
      <c r="U43" s="141">
        <f t="shared" si="31"/>
        <v>631.99786928836693</v>
      </c>
      <c r="V43" s="141">
        <f t="shared" si="31"/>
        <v>627.11572862668413</v>
      </c>
      <c r="W43" s="141">
        <f t="shared" ref="W43" si="32">W44+W46+W48+W49+W51</f>
        <v>675.48685548387812</v>
      </c>
      <c r="DA43" s="174" t="s">
        <v>399</v>
      </c>
    </row>
    <row r="44" spans="1:105" ht="11.45" customHeight="1" x14ac:dyDescent="0.25">
      <c r="A44" s="111" t="s">
        <v>110</v>
      </c>
      <c r="B44" s="96">
        <v>38.639985057546454</v>
      </c>
      <c r="C44" s="96">
        <v>36.357551421813376</v>
      </c>
      <c r="D44" s="96">
        <v>34.163554602478527</v>
      </c>
      <c r="E44" s="96">
        <v>31.521756318600911</v>
      </c>
      <c r="F44" s="96">
        <v>29.341901321440513</v>
      </c>
      <c r="G44" s="96">
        <v>28.089444394389574</v>
      </c>
      <c r="H44" s="96">
        <v>25.638262089384934</v>
      </c>
      <c r="I44" s="96">
        <v>24.006548720656728</v>
      </c>
      <c r="J44" s="96">
        <v>23.806545967277653</v>
      </c>
      <c r="K44" s="96">
        <v>22.569562914293439</v>
      </c>
      <c r="L44" s="96">
        <v>22.244616168963507</v>
      </c>
      <c r="M44" s="96">
        <v>21.843340941920516</v>
      </c>
      <c r="N44" s="96">
        <v>21.161268643118202</v>
      </c>
      <c r="O44" s="96">
        <v>20.365616037314762</v>
      </c>
      <c r="P44" s="96">
        <v>19.636727627175187</v>
      </c>
      <c r="Q44" s="96">
        <v>19.174206878477033</v>
      </c>
      <c r="R44" s="96">
        <v>18.724153889843834</v>
      </c>
      <c r="S44" s="96">
        <v>18.313912781555466</v>
      </c>
      <c r="T44" s="96">
        <v>17.925119400763965</v>
      </c>
      <c r="U44" s="96">
        <v>17.589940502819623</v>
      </c>
      <c r="V44" s="96">
        <v>16.901459966480637</v>
      </c>
      <c r="W44" s="96">
        <v>17.031583029760647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1.2794204091478953E-2</v>
      </c>
      <c r="E45" s="96">
        <v>7.0492627132863819E-2</v>
      </c>
      <c r="F45" s="96">
        <v>7.5159854016639355E-2</v>
      </c>
      <c r="G45" s="96">
        <v>0</v>
      </c>
      <c r="H45" s="96">
        <v>1.0012459442826915E-2</v>
      </c>
      <c r="I45" s="96">
        <v>1.8792455819962077E-2</v>
      </c>
      <c r="J45" s="96">
        <v>0.86506336040631049</v>
      </c>
      <c r="K45" s="96">
        <v>1.0088914465066425</v>
      </c>
      <c r="L45" s="96">
        <v>1.0701841599206878</v>
      </c>
      <c r="M45" s="96">
        <v>1.2554017820761378</v>
      </c>
      <c r="N45" s="96">
        <v>1.3095345134696079</v>
      </c>
      <c r="O45" s="96">
        <v>0.91172460721395243</v>
      </c>
      <c r="P45" s="96">
        <v>0.95203251335815819</v>
      </c>
      <c r="Q45" s="96">
        <v>0.88529953451042331</v>
      </c>
      <c r="R45" s="96">
        <v>0.89316797609312903</v>
      </c>
      <c r="S45" s="96">
        <v>1.0690963291437343</v>
      </c>
      <c r="T45" s="96">
        <v>1.1077160601261014</v>
      </c>
      <c r="U45" s="96">
        <v>1.170049009566861</v>
      </c>
      <c r="V45" s="96">
        <v>1.2583698200024389</v>
      </c>
      <c r="W45" s="96">
        <v>1.4935692808774848</v>
      </c>
      <c r="DA45" s="171" t="s">
        <v>660</v>
      </c>
    </row>
    <row r="46" spans="1:105" ht="11.45" customHeight="1" x14ac:dyDescent="0.25">
      <c r="A46" s="111" t="s">
        <v>111</v>
      </c>
      <c r="B46" s="96">
        <v>371.7466373450228</v>
      </c>
      <c r="C46" s="96">
        <v>372.65513099364983</v>
      </c>
      <c r="D46" s="96">
        <v>374.73136216212083</v>
      </c>
      <c r="E46" s="96">
        <v>377.63595636822009</v>
      </c>
      <c r="F46" s="96">
        <v>406.72484916813153</v>
      </c>
      <c r="G46" s="96">
        <v>408.46660265700729</v>
      </c>
      <c r="H46" s="96">
        <v>420.5956059348008</v>
      </c>
      <c r="I46" s="96">
        <v>447.00365317777602</v>
      </c>
      <c r="J46" s="96">
        <v>459.73478308811383</v>
      </c>
      <c r="K46" s="96">
        <v>459.42179622536145</v>
      </c>
      <c r="L46" s="96">
        <v>487.3023648411222</v>
      </c>
      <c r="M46" s="96">
        <v>513.97320776810329</v>
      </c>
      <c r="N46" s="96">
        <v>521.46571174188739</v>
      </c>
      <c r="O46" s="96">
        <v>542.71314780485454</v>
      </c>
      <c r="P46" s="96">
        <v>545.51661586614023</v>
      </c>
      <c r="Q46" s="96">
        <v>559.85556898007951</v>
      </c>
      <c r="R46" s="96">
        <v>582.344590326446</v>
      </c>
      <c r="S46" s="96">
        <v>582.72223369075584</v>
      </c>
      <c r="T46" s="96">
        <v>605.97594384708225</v>
      </c>
      <c r="U46" s="96">
        <v>613.22389375493071</v>
      </c>
      <c r="V46" s="96">
        <v>608.43246161875663</v>
      </c>
      <c r="W46" s="96">
        <v>656.04568380669355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</v>
      </c>
      <c r="J47" s="96">
        <v>2.2661464888585865</v>
      </c>
      <c r="K47" s="96">
        <v>12.275595571988699</v>
      </c>
      <c r="L47" s="96">
        <v>12.818942499087322</v>
      </c>
      <c r="M47" s="96">
        <v>22.937878177173808</v>
      </c>
      <c r="N47" s="96">
        <v>22.164292954063463</v>
      </c>
      <c r="O47" s="96">
        <v>34.611656801596716</v>
      </c>
      <c r="P47" s="96">
        <v>96.134303225620116</v>
      </c>
      <c r="Q47" s="96">
        <v>99.073458432344339</v>
      </c>
      <c r="R47" s="96">
        <v>25.197476639370965</v>
      </c>
      <c r="S47" s="96">
        <v>70.663613972079432</v>
      </c>
      <c r="T47" s="96">
        <v>65.583219062748654</v>
      </c>
      <c r="U47" s="96">
        <v>81.319000618603937</v>
      </c>
      <c r="V47" s="96">
        <v>76.142690582225413</v>
      </c>
      <c r="W47" s="96">
        <v>145.40078073759895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4.3597714929521211E-3</v>
      </c>
      <c r="D49" s="96">
        <v>4.3353147307688905E-3</v>
      </c>
      <c r="E49" s="96">
        <v>4.2704908590271151E-3</v>
      </c>
      <c r="F49" s="96">
        <v>3.987209635590962E-3</v>
      </c>
      <c r="G49" s="96">
        <v>5.6108860447598771E-3</v>
      </c>
      <c r="H49" s="96">
        <v>5.2261050275381324E-3</v>
      </c>
      <c r="I49" s="96">
        <v>1.4432410698818527E-2</v>
      </c>
      <c r="J49" s="96">
        <v>3.0263285366103145E-2</v>
      </c>
      <c r="K49" s="96">
        <v>5.7100159263254013E-2</v>
      </c>
      <c r="L49" s="96">
        <v>8.1182641812061349E-2</v>
      </c>
      <c r="M49" s="96">
        <v>9.0734237185836869E-2</v>
      </c>
      <c r="N49" s="96">
        <v>0.16060669378175216</v>
      </c>
      <c r="O49" s="96">
        <v>0.16182938847329353</v>
      </c>
      <c r="P49" s="96">
        <v>0.19200404700127047</v>
      </c>
      <c r="Q49" s="96">
        <v>0.22390532827273638</v>
      </c>
      <c r="R49" s="96">
        <v>0.30915662040469766</v>
      </c>
      <c r="S49" s="96">
        <v>0.45423715321667374</v>
      </c>
      <c r="T49" s="96">
        <v>0.73477292978041009</v>
      </c>
      <c r="U49" s="96">
        <v>1.1090127325020522</v>
      </c>
      <c r="V49" s="96">
        <v>1.6850517947455188</v>
      </c>
      <c r="W49" s="96">
        <v>2.1961577191530459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2.6334391113150095E-4</v>
      </c>
      <c r="L50" s="96">
        <v>7.4538524419555656E-4</v>
      </c>
      <c r="M50" s="96">
        <v>1.8509935487424905E-3</v>
      </c>
      <c r="N50" s="96">
        <v>2.0635382586059493E-3</v>
      </c>
      <c r="O50" s="96">
        <v>4.3733416991517879E-3</v>
      </c>
      <c r="P50" s="96">
        <v>8.3983409992455585E-3</v>
      </c>
      <c r="Q50" s="96">
        <v>1.0135803794760602E-2</v>
      </c>
      <c r="R50" s="96">
        <v>1.4245194420488948E-2</v>
      </c>
      <c r="S50" s="96">
        <v>2.9473576629398774E-2</v>
      </c>
      <c r="T50" s="96">
        <v>9.1310450939682597E-2</v>
      </c>
      <c r="U50" s="96">
        <v>0.13803316971963037</v>
      </c>
      <c r="V50" s="96">
        <v>0.38339557327539997</v>
      </c>
      <c r="W50" s="96">
        <v>0.53889586236579734</v>
      </c>
      <c r="DA50" s="171" t="s">
        <v>665</v>
      </c>
    </row>
    <row r="51" spans="1:105" ht="11.45" customHeight="1" x14ac:dyDescent="0.25">
      <c r="A51" s="111" t="s">
        <v>115</v>
      </c>
      <c r="B51" s="96">
        <v>2.1884549075601042E-2</v>
      </c>
      <c r="C51" s="96">
        <v>2.1267786245874384E-2</v>
      </c>
      <c r="D51" s="96">
        <v>1.8887494988427896E-2</v>
      </c>
      <c r="E51" s="96">
        <v>1.7506762213483195E-2</v>
      </c>
      <c r="F51" s="96">
        <v>1.6307870378386255E-2</v>
      </c>
      <c r="G51" s="96">
        <v>1.5039511453579291E-2</v>
      </c>
      <c r="H51" s="96">
        <v>1.4454957301759285E-2</v>
      </c>
      <c r="I51" s="96">
        <v>1.3896227607530183E-2</v>
      </c>
      <c r="J51" s="96">
        <v>1.4609169247599032E-2</v>
      </c>
      <c r="K51" s="96">
        <v>1.5143642414519098E-2</v>
      </c>
      <c r="L51" s="96">
        <v>1.6121589325361875E-2</v>
      </c>
      <c r="M51" s="96">
        <v>1.6306011872483338E-2</v>
      </c>
      <c r="N51" s="96">
        <v>1.7893519228961711E-2</v>
      </c>
      <c r="O51" s="96">
        <v>1.8463584756819924E-2</v>
      </c>
      <c r="P51" s="96">
        <v>2.2213884404647808E-2</v>
      </c>
      <c r="Q51" s="96">
        <v>2.9441644983555299E-2</v>
      </c>
      <c r="R51" s="96">
        <v>4.0496598937554341E-2</v>
      </c>
      <c r="S51" s="96">
        <v>4.7804699877561398E-2</v>
      </c>
      <c r="T51" s="96">
        <v>5.93508191300013E-2</v>
      </c>
      <c r="U51" s="96">
        <v>7.5022298114512193E-2</v>
      </c>
      <c r="V51" s="96">
        <v>9.6755246701323849E-2</v>
      </c>
      <c r="W51" s="96">
        <v>0.21343092827085125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794.20828853101125</v>
      </c>
      <c r="C52" s="130">
        <f t="shared" si="33"/>
        <v>829.50131758664861</v>
      </c>
      <c r="D52" s="130">
        <f t="shared" si="33"/>
        <v>845.50526559821708</v>
      </c>
      <c r="E52" s="130">
        <f t="shared" si="33"/>
        <v>855.24593941786907</v>
      </c>
      <c r="F52" s="130">
        <f t="shared" si="33"/>
        <v>877.02181150682372</v>
      </c>
      <c r="G52" s="130">
        <f t="shared" si="33"/>
        <v>867.12561095414594</v>
      </c>
      <c r="H52" s="130">
        <f t="shared" si="33"/>
        <v>851.18649868579416</v>
      </c>
      <c r="I52" s="130">
        <f t="shared" si="33"/>
        <v>864.05089044637725</v>
      </c>
      <c r="J52" s="130">
        <f t="shared" si="33"/>
        <v>814.99758917468546</v>
      </c>
      <c r="K52" s="130">
        <f t="shared" si="33"/>
        <v>684.87436481791531</v>
      </c>
      <c r="L52" s="130">
        <f t="shared" ref="L52" si="34">L53+L55</f>
        <v>751.46908113181564</v>
      </c>
      <c r="M52" s="130">
        <f t="shared" ref="M52:V52" si="35">M53+M55</f>
        <v>684.81363700517738</v>
      </c>
      <c r="N52" s="130">
        <f t="shared" si="35"/>
        <v>607.88021619599499</v>
      </c>
      <c r="O52" s="130">
        <f t="shared" si="35"/>
        <v>605.0156986407984</v>
      </c>
      <c r="P52" s="130">
        <f t="shared" si="35"/>
        <v>548.98844748651823</v>
      </c>
      <c r="Q52" s="130">
        <f t="shared" si="35"/>
        <v>500.33625042828004</v>
      </c>
      <c r="R52" s="130">
        <f t="shared" si="35"/>
        <v>576.60942729681506</v>
      </c>
      <c r="S52" s="130">
        <f t="shared" si="35"/>
        <v>564.00652868264092</v>
      </c>
      <c r="T52" s="130">
        <f t="shared" si="35"/>
        <v>560.33000965850033</v>
      </c>
      <c r="U52" s="130">
        <f t="shared" si="35"/>
        <v>538.73367953437094</v>
      </c>
      <c r="V52" s="130">
        <f t="shared" si="35"/>
        <v>510.86664422105491</v>
      </c>
      <c r="W52" s="130">
        <f t="shared" ref="W52" si="36">W53+W55</f>
        <v>565.82607488718884</v>
      </c>
      <c r="DA52" s="176" t="s">
        <v>400</v>
      </c>
    </row>
    <row r="53" spans="1:105" ht="11.45" customHeight="1" x14ac:dyDescent="0.25">
      <c r="A53" s="128" t="s">
        <v>27</v>
      </c>
      <c r="B53" s="97">
        <v>764.11518293844188</v>
      </c>
      <c r="C53" s="97">
        <v>796.15333272746739</v>
      </c>
      <c r="D53" s="97">
        <v>810.89198349947424</v>
      </c>
      <c r="E53" s="97">
        <v>819.35999518122719</v>
      </c>
      <c r="F53" s="97">
        <v>834.64798871870528</v>
      </c>
      <c r="G53" s="97">
        <v>827.82249445886407</v>
      </c>
      <c r="H53" s="97">
        <v>807.23233273479627</v>
      </c>
      <c r="I53" s="97">
        <v>817.22845491115049</v>
      </c>
      <c r="J53" s="97">
        <v>777.46622099061301</v>
      </c>
      <c r="K53" s="97">
        <v>653.56775868682405</v>
      </c>
      <c r="L53" s="97">
        <v>711.91756910424692</v>
      </c>
      <c r="M53" s="97">
        <v>659.63638279850068</v>
      </c>
      <c r="N53" s="97">
        <v>579.02907468262697</v>
      </c>
      <c r="O53" s="97">
        <v>580.11041413563066</v>
      </c>
      <c r="P53" s="97">
        <v>519.74626470802605</v>
      </c>
      <c r="Q53" s="97">
        <v>466.66947378256816</v>
      </c>
      <c r="R53" s="97">
        <v>546.93798555848059</v>
      </c>
      <c r="S53" s="97">
        <v>538.97063578298935</v>
      </c>
      <c r="T53" s="97">
        <v>529.23467751435123</v>
      </c>
      <c r="U53" s="97">
        <v>514.65516961305957</v>
      </c>
      <c r="V53" s="97">
        <v>486.61015615940244</v>
      </c>
      <c r="W53" s="97">
        <v>527.38871614046377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</v>
      </c>
      <c r="J54" s="97">
        <v>3.8323233562389625</v>
      </c>
      <c r="K54" s="97">
        <v>17.463110262611579</v>
      </c>
      <c r="L54" s="97">
        <v>18.727654616272542</v>
      </c>
      <c r="M54" s="97">
        <v>29.438614233546414</v>
      </c>
      <c r="N54" s="97">
        <v>24.610956676933792</v>
      </c>
      <c r="O54" s="97">
        <v>36.996676130489305</v>
      </c>
      <c r="P54" s="97">
        <v>91.592892972641152</v>
      </c>
      <c r="Q54" s="97">
        <v>82.583011180311004</v>
      </c>
      <c r="R54" s="97">
        <v>23.66546773718451</v>
      </c>
      <c r="S54" s="97">
        <v>65.35809129511776</v>
      </c>
      <c r="T54" s="97">
        <v>57.277709030287255</v>
      </c>
      <c r="U54" s="97">
        <v>68.247901757164072</v>
      </c>
      <c r="V54" s="97">
        <v>60.89715603936736</v>
      </c>
      <c r="W54" s="97">
        <v>116.88626717894584</v>
      </c>
      <c r="DA54" s="175" t="s">
        <v>668</v>
      </c>
    </row>
    <row r="55" spans="1:105" ht="11.45" customHeight="1" x14ac:dyDescent="0.25">
      <c r="A55" s="128" t="s">
        <v>116</v>
      </c>
      <c r="B55" s="97">
        <v>30.093105592569355</v>
      </c>
      <c r="C55" s="97">
        <v>33.347984859181246</v>
      </c>
      <c r="D55" s="97">
        <v>34.61328209874285</v>
      </c>
      <c r="E55" s="97">
        <v>35.885944236641834</v>
      </c>
      <c r="F55" s="97">
        <v>42.373822788118488</v>
      </c>
      <c r="G55" s="97">
        <v>39.303116495281884</v>
      </c>
      <c r="H55" s="97">
        <v>43.954165950997876</v>
      </c>
      <c r="I55" s="97">
        <v>46.822435535226788</v>
      </c>
      <c r="J55" s="97">
        <v>37.531368184072427</v>
      </c>
      <c r="K55" s="97">
        <v>31.306606131091296</v>
      </c>
      <c r="L55" s="97">
        <v>39.551512027568684</v>
      </c>
      <c r="M55" s="97">
        <v>25.177254206676654</v>
      </c>
      <c r="N55" s="97">
        <v>28.851141513367985</v>
      </c>
      <c r="O55" s="97">
        <v>24.90528450516776</v>
      </c>
      <c r="P55" s="97">
        <v>29.242182778492207</v>
      </c>
      <c r="Q55" s="97">
        <v>33.666776645711856</v>
      </c>
      <c r="R55" s="97">
        <v>29.671441738334412</v>
      </c>
      <c r="S55" s="97">
        <v>25.035892899651561</v>
      </c>
      <c r="T55" s="97">
        <v>31.095332144149115</v>
      </c>
      <c r="U55" s="97">
        <v>24.078509921311383</v>
      </c>
      <c r="V55" s="97">
        <v>24.25648806165248</v>
      </c>
      <c r="W55" s="97">
        <v>38.437358746725039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0.18500139941791915</v>
      </c>
      <c r="K56" s="98">
        <v>0.8365019656322602</v>
      </c>
      <c r="L56" s="98">
        <v>1.040439355550155</v>
      </c>
      <c r="M56" s="98">
        <v>1.1236243078433972</v>
      </c>
      <c r="N56" s="98">
        <v>1.2262841796930064</v>
      </c>
      <c r="O56" s="98">
        <v>1.588340292336069</v>
      </c>
      <c r="P56" s="98">
        <v>5.1532378381236823</v>
      </c>
      <c r="Q56" s="98">
        <v>5.9577580029013468</v>
      </c>
      <c r="R56" s="98">
        <v>1.2838540487497772</v>
      </c>
      <c r="S56" s="98">
        <v>3.0359690587096391</v>
      </c>
      <c r="T56" s="98">
        <v>3.3653678838995078</v>
      </c>
      <c r="U56" s="98">
        <v>3.1930268587490747</v>
      </c>
      <c r="V56" s="98">
        <v>3.0355945509152527</v>
      </c>
      <c r="W56" s="98">
        <v>8.5189524284893654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8.8374091908833474</v>
      </c>
      <c r="C60" s="79">
        <f>IF(C17=0,0,C17/TrRoad_act!C30*100)</f>
        <v>8.7648573732114947</v>
      </c>
      <c r="D60" s="79">
        <f>IF(D17=0,0,D17/TrRoad_act!D30*100)</f>
        <v>8.7065028976686758</v>
      </c>
      <c r="E60" s="79">
        <f>IF(E17=0,0,E17/TrRoad_act!E30*100)</f>
        <v>8.6472677921869625</v>
      </c>
      <c r="F60" s="79">
        <f>IF(F17=0,0,F17/TrRoad_act!F30*100)</f>
        <v>8.6416731997934537</v>
      </c>
      <c r="G60" s="79">
        <f>IF(G17=0,0,G17/TrRoad_act!G30*100)</f>
        <v>8.484776227672846</v>
      </c>
      <c r="H60" s="79">
        <f>IF(H17=0,0,H17/TrRoad_act!H30*100)</f>
        <v>8.5345269473892422</v>
      </c>
      <c r="I60" s="79">
        <f>IF(I17=0,0,I17/TrRoad_act!I30*100)</f>
        <v>8.5874380587353247</v>
      </c>
      <c r="J60" s="79">
        <f>IF(J17=0,0,J17/TrRoad_act!J30*100)</f>
        <v>8.32072682301669</v>
      </c>
      <c r="K60" s="79">
        <f>IF(K17=0,0,K17/TrRoad_act!K30*100)</f>
        <v>8.0006980206679366</v>
      </c>
      <c r="L60" s="79">
        <f>IF(L17=0,0,L17/TrRoad_act!L30*100)</f>
        <v>8.1342218096224208</v>
      </c>
      <c r="M60" s="79">
        <f>IF(M17=0,0,M17/TrRoad_act!M30*100)</f>
        <v>8.0176306342500769</v>
      </c>
      <c r="N60" s="79">
        <f>IF(N17=0,0,N17/TrRoad_act!N30*100)</f>
        <v>7.8970044883978501</v>
      </c>
      <c r="O60" s="79">
        <f>IF(O17=0,0,O17/TrRoad_act!O30*100)</f>
        <v>7.9295679669279693</v>
      </c>
      <c r="P60" s="79">
        <f>IF(P17=0,0,P17/TrRoad_act!P30*100)</f>
        <v>7.7309991081734957</v>
      </c>
      <c r="Q60" s="79">
        <f>IF(Q17=0,0,Q17/TrRoad_act!Q30*100)</f>
        <v>7.6466804175622336</v>
      </c>
      <c r="R60" s="79">
        <f>IF(R17=0,0,R17/TrRoad_act!R30*100)</f>
        <v>8.0611537666903228</v>
      </c>
      <c r="S60" s="79">
        <f>IF(S17=0,0,S17/TrRoad_act!S30*100)</f>
        <v>7.6580825313581276</v>
      </c>
      <c r="T60" s="79">
        <f>IF(T17=0,0,T17/TrRoad_act!T30*100)</f>
        <v>7.6912567472166016</v>
      </c>
      <c r="U60" s="79">
        <f>IF(U17=0,0,U17/TrRoad_act!U30*100)</f>
        <v>7.5307917441510064</v>
      </c>
      <c r="V60" s="79">
        <f>IF(V17=0,0,V17/TrRoad_act!V30*100)</f>
        <v>7.3499207498639381</v>
      </c>
      <c r="W60" s="79">
        <f>IF(W17=0,0,W17/TrRoad_act!W30*100)</f>
        <v>7.6292182038266763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6.8653283389745638</v>
      </c>
      <c r="C61" s="32">
        <f>IF(C18=0,0,C18/TrRoad_act!C31*100)</f>
        <v>6.7724957477089012</v>
      </c>
      <c r="D61" s="32">
        <f>IF(D18=0,0,D18/TrRoad_act!D31*100)</f>
        <v>6.7436922083009794</v>
      </c>
      <c r="E61" s="32">
        <f>IF(E18=0,0,E18/TrRoad_act!E31*100)</f>
        <v>6.7108839124241264</v>
      </c>
      <c r="F61" s="32">
        <f>IF(F18=0,0,F18/TrRoad_act!F31*100)</f>
        <v>6.6983873654042112</v>
      </c>
      <c r="G61" s="32">
        <f>IF(G18=0,0,G18/TrRoad_act!G31*100)</f>
        <v>6.6209326785169775</v>
      </c>
      <c r="H61" s="32">
        <f>IF(H18=0,0,H18/TrRoad_act!H31*100)</f>
        <v>6.6994239374974711</v>
      </c>
      <c r="I61" s="32">
        <f>IF(I18=0,0,I18/TrRoad_act!I31*100)</f>
        <v>6.7538270173262029</v>
      </c>
      <c r="J61" s="32">
        <f>IF(J18=0,0,J18/TrRoad_act!J31*100)</f>
        <v>6.6210540222861676</v>
      </c>
      <c r="K61" s="32">
        <f>IF(K18=0,0,K18/TrRoad_act!K31*100)</f>
        <v>6.547100705797769</v>
      </c>
      <c r="L61" s="32">
        <f>IF(L18=0,0,L18/TrRoad_act!L31*100)</f>
        <v>6.5880433403860241</v>
      </c>
      <c r="M61" s="32">
        <f>IF(M18=0,0,M18/TrRoad_act!M31*100)</f>
        <v>6.589464495210315</v>
      </c>
      <c r="N61" s="32">
        <f>IF(N18=0,0,N18/TrRoad_act!N31*100)</f>
        <v>6.5930103777927362</v>
      </c>
      <c r="O61" s="32">
        <f>IF(O18=0,0,O18/TrRoad_act!O31*100)</f>
        <v>6.6354038981975823</v>
      </c>
      <c r="P61" s="32">
        <f>IF(P18=0,0,P18/TrRoad_act!P31*100)</f>
        <v>6.5336130915689754</v>
      </c>
      <c r="Q61" s="32">
        <f>IF(Q18=0,0,Q18/TrRoad_act!Q31*100)</f>
        <v>6.5313063139447962</v>
      </c>
      <c r="R61" s="32">
        <f>IF(R18=0,0,R18/TrRoad_act!R31*100)</f>
        <v>6.8191602882744906</v>
      </c>
      <c r="S61" s="32">
        <f>IF(S18=0,0,S18/TrRoad_act!S31*100)</f>
        <v>6.4888854683611825</v>
      </c>
      <c r="T61" s="32">
        <f>IF(T18=0,0,T18/TrRoad_act!T31*100)</f>
        <v>6.513221825412967</v>
      </c>
      <c r="U61" s="32">
        <f>IF(U18=0,0,U18/TrRoad_act!U31*100)</f>
        <v>6.3882573192757528</v>
      </c>
      <c r="V61" s="32">
        <f>IF(V18=0,0,V18/TrRoad_act!V31*100)</f>
        <v>6.1860706965261141</v>
      </c>
      <c r="W61" s="32">
        <f>IF(W18=0,0,W18/TrRoad_act!W31*100)</f>
        <v>6.3289159304269509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4.6731579726359582</v>
      </c>
      <c r="C62" s="141">
        <f>IF(C19=0,0,C19/TrRoad_act!C32*100)</f>
        <v>4.6125018761349299</v>
      </c>
      <c r="D62" s="141">
        <f>IF(D19=0,0,D19/TrRoad_act!D32*100)</f>
        <v>4.5468531047288225</v>
      </c>
      <c r="E62" s="141">
        <f>IF(E19=0,0,E19/TrRoad_act!E32*100)</f>
        <v>4.4755058171473152</v>
      </c>
      <c r="F62" s="141">
        <f>IF(F19=0,0,F19/TrRoad_act!F32*100)</f>
        <v>4.4172991458264113</v>
      </c>
      <c r="G62" s="141">
        <f>IF(G19=0,0,G19/TrRoad_act!G32*100)</f>
        <v>4.366173165529605</v>
      </c>
      <c r="H62" s="141">
        <f>IF(H19=0,0,H19/TrRoad_act!H32*100)</f>
        <v>4.3172513033370077</v>
      </c>
      <c r="I62" s="141">
        <f>IF(I19=0,0,I19/TrRoad_act!I32*100)</f>
        <v>4.2835983697234612</v>
      </c>
      <c r="J62" s="141">
        <f>IF(J19=0,0,J19/TrRoad_act!J32*100)</f>
        <v>4.2157138248424548</v>
      </c>
      <c r="K62" s="141">
        <f>IF(K19=0,0,K19/TrRoad_act!K32*100)</f>
        <v>4.1549922625780207</v>
      </c>
      <c r="L62" s="141">
        <f>IF(L19=0,0,L19/TrRoad_act!L32*100)</f>
        <v>4.094282153725417</v>
      </c>
      <c r="M62" s="141">
        <f>IF(M19=0,0,M19/TrRoad_act!M32*100)</f>
        <v>4.0334589310966704</v>
      </c>
      <c r="N62" s="141">
        <f>IF(N19=0,0,N19/TrRoad_act!N32*100)</f>
        <v>3.9825931367203014</v>
      </c>
      <c r="O62" s="141">
        <f>IF(O19=0,0,O19/TrRoad_act!O32*100)</f>
        <v>3.9488533438502995</v>
      </c>
      <c r="P62" s="141">
        <f>IF(P19=0,0,P19/TrRoad_act!P32*100)</f>
        <v>3.9025193378407019</v>
      </c>
      <c r="Q62" s="141">
        <f>IF(Q19=0,0,Q19/TrRoad_act!Q32*100)</f>
        <v>3.8711425560698967</v>
      </c>
      <c r="R62" s="141">
        <f>IF(R19=0,0,R19/TrRoad_act!R32*100)</f>
        <v>3.8318797255057211</v>
      </c>
      <c r="S62" s="141">
        <f>IF(S19=0,0,S19/TrRoad_act!S32*100)</f>
        <v>3.8014289653383027</v>
      </c>
      <c r="T62" s="141">
        <f>IF(T19=0,0,T19/TrRoad_act!T32*100)</f>
        <v>3.7726497100543517</v>
      </c>
      <c r="U62" s="141">
        <f>IF(U19=0,0,U19/TrRoad_act!U32*100)</f>
        <v>3.7448215657678947</v>
      </c>
      <c r="V62" s="141">
        <f>IF(V19=0,0,V19/TrRoad_act!V32*100)</f>
        <v>3.7164851384721227</v>
      </c>
      <c r="W62" s="141">
        <f>IF(W19=0,0,W19/TrRoad_act!W32*100)</f>
        <v>3.5792219311316056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6.3332620272933697</v>
      </c>
      <c r="C63" s="130">
        <f>IF(C21=0,0,C21/TrRoad_act!C33*100)</f>
        <v>6.264597283900204</v>
      </c>
      <c r="D63" s="130">
        <f>IF(D21=0,0,D21/TrRoad_act!D33*100)</f>
        <v>6.2462392037456373</v>
      </c>
      <c r="E63" s="130">
        <f>IF(E21=0,0,E21/TrRoad_act!E33*100)</f>
        <v>6.2118512029610056</v>
      </c>
      <c r="F63" s="130">
        <f>IF(F21=0,0,F21/TrRoad_act!F33*100)</f>
        <v>6.1926887764407805</v>
      </c>
      <c r="G63" s="130">
        <f>IF(G21=0,0,G21/TrRoad_act!G33*100)</f>
        <v>6.1322299983975164</v>
      </c>
      <c r="H63" s="130">
        <f>IF(H21=0,0,H21/TrRoad_act!H33*100)</f>
        <v>6.1989331222423019</v>
      </c>
      <c r="I63" s="130">
        <f>IF(I21=0,0,I21/TrRoad_act!I33*100)</f>
        <v>6.2470772859355019</v>
      </c>
      <c r="J63" s="130">
        <f>IF(J21=0,0,J21/TrRoad_act!J33*100)</f>
        <v>6.1094635741271723</v>
      </c>
      <c r="K63" s="130">
        <f>IF(K21=0,0,K21/TrRoad_act!K33*100)</f>
        <v>6.0233041995277317</v>
      </c>
      <c r="L63" s="130">
        <f>IF(L21=0,0,L21/TrRoad_act!L33*100)</f>
        <v>6.0624215929593266</v>
      </c>
      <c r="M63" s="130">
        <f>IF(M21=0,0,M21/TrRoad_act!M33*100)</f>
        <v>6.059815965281393</v>
      </c>
      <c r="N63" s="130">
        <f>IF(N21=0,0,N21/TrRoad_act!N33*100)</f>
        <v>6.0372792685861798</v>
      </c>
      <c r="O63" s="130">
        <f>IF(O21=0,0,O21/TrRoad_act!O33*100)</f>
        <v>6.0613098059884418</v>
      </c>
      <c r="P63" s="130">
        <f>IF(P21=0,0,P21/TrRoad_act!P33*100)</f>
        <v>5.9411251092565207</v>
      </c>
      <c r="Q63" s="130">
        <f>IF(Q21=0,0,Q21/TrRoad_act!Q33*100)</f>
        <v>5.921390829294146</v>
      </c>
      <c r="R63" s="130">
        <f>IF(R21=0,0,R21/TrRoad_act!R33*100)</f>
        <v>6.1375475777842272</v>
      </c>
      <c r="S63" s="130">
        <f>IF(S21=0,0,S21/TrRoad_act!S33*100)</f>
        <v>5.8307802814205321</v>
      </c>
      <c r="T63" s="130">
        <f>IF(T21=0,0,T21/TrRoad_act!T33*100)</f>
        <v>5.8577967747463173</v>
      </c>
      <c r="U63" s="130">
        <f>IF(U21=0,0,U21/TrRoad_act!U33*100)</f>
        <v>5.7535642645936251</v>
      </c>
      <c r="V63" s="130">
        <f>IF(V21=0,0,V21/TrRoad_act!V33*100)</f>
        <v>5.6062740473589283</v>
      </c>
      <c r="W63" s="130">
        <f>IF(W21=0,0,W21/TrRoad_act!W33*100)</f>
        <v>5.805017288068556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5.9406189585924096</v>
      </c>
      <c r="C64" s="96">
        <f>IF(C22=0,0,C22/TrRoad_act!C34*100)</f>
        <v>5.925104737253335</v>
      </c>
      <c r="D64" s="96">
        <f>IF(D22=0,0,D22/TrRoad_act!D34*100)</f>
        <v>5.9155362876234756</v>
      </c>
      <c r="E64" s="96">
        <f>IF(E22=0,0,E22/TrRoad_act!E34*100)</f>
        <v>5.8675938690866749</v>
      </c>
      <c r="F64" s="96">
        <f>IF(F22=0,0,F22/TrRoad_act!F34*100)</f>
        <v>5.8362991600157832</v>
      </c>
      <c r="G64" s="96">
        <f>IF(G22=0,0,G22/TrRoad_act!G34*100)</f>
        <v>5.7866231847742737</v>
      </c>
      <c r="H64" s="96">
        <f>IF(H22=0,0,H22/TrRoad_act!H34*100)</f>
        <v>5.7899124036759586</v>
      </c>
      <c r="I64" s="96">
        <f>IF(I22=0,0,I22/TrRoad_act!I34*100)</f>
        <v>5.7703404470735657</v>
      </c>
      <c r="J64" s="96">
        <f>IF(J22=0,0,J22/TrRoad_act!J34*100)</f>
        <v>5.6734517521228396</v>
      </c>
      <c r="K64" s="96">
        <f>IF(K22=0,0,K22/TrRoad_act!K34*100)</f>
        <v>5.5774681617107875</v>
      </c>
      <c r="L64" s="96">
        <f>IF(L22=0,0,L22/TrRoad_act!L34*100)</f>
        <v>5.5860850362983063</v>
      </c>
      <c r="M64" s="96">
        <f>IF(M22=0,0,M22/TrRoad_act!M34*100)</f>
        <v>5.5548757218835298</v>
      </c>
      <c r="N64" s="96">
        <f>IF(N22=0,0,N22/TrRoad_act!N34*100)</f>
        <v>5.542419897703402</v>
      </c>
      <c r="O64" s="96">
        <f>IF(O22=0,0,O22/TrRoad_act!O34*100)</f>
        <v>5.6150942223335223</v>
      </c>
      <c r="P64" s="96">
        <f>IF(P22=0,0,P22/TrRoad_act!P34*100)</f>
        <v>5.5081517900477275</v>
      </c>
      <c r="Q64" s="96">
        <f>IF(Q22=0,0,Q22/TrRoad_act!Q34*100)</f>
        <v>5.4985611487460728</v>
      </c>
      <c r="R64" s="96">
        <f>IF(R22=0,0,R22/TrRoad_act!R34*100)</f>
        <v>5.8582741727358183</v>
      </c>
      <c r="S64" s="96">
        <f>IF(S22=0,0,S22/TrRoad_act!S34*100)</f>
        <v>5.5048139826172733</v>
      </c>
      <c r="T64" s="96">
        <f>IF(T22=0,0,T22/TrRoad_act!T34*100)</f>
        <v>5.5100721955357335</v>
      </c>
      <c r="U64" s="96">
        <f>IF(U22=0,0,U22/TrRoad_act!U34*100)</f>
        <v>5.4323217432475719</v>
      </c>
      <c r="V64" s="96">
        <f>IF(V22=0,0,V22/TrRoad_act!V34*100)</f>
        <v>5.2506271694702864</v>
      </c>
      <c r="W64" s="96">
        <f>IF(W22=0,0,W22/TrRoad_act!W34*100)</f>
        <v>5.4749136904423148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8.289852073368623</v>
      </c>
      <c r="C65" s="96">
        <f>IF(C24=0,0,C24/TrRoad_act!C35*100)</f>
        <v>7.8855834847430515</v>
      </c>
      <c r="D65" s="96">
        <f>IF(D24=0,0,D24/TrRoad_act!D35*100)</f>
        <v>7.763982470164084</v>
      </c>
      <c r="E65" s="96">
        <f>IF(E24=0,0,E24/TrRoad_act!E35*100)</f>
        <v>7.7052924105780169</v>
      </c>
      <c r="F65" s="96">
        <f>IF(F24=0,0,F24/TrRoad_act!F35*100)</f>
        <v>7.7326547690965626</v>
      </c>
      <c r="G65" s="96">
        <f>IF(G24=0,0,G24/TrRoad_act!G35*100)</f>
        <v>7.5187450004197496</v>
      </c>
      <c r="H65" s="96">
        <f>IF(H24=0,0,H24/TrRoad_act!H35*100)</f>
        <v>7.7010170722680753</v>
      </c>
      <c r="I65" s="96">
        <f>IF(I24=0,0,I24/TrRoad_act!I35*100)</f>
        <v>7.8270536713906953</v>
      </c>
      <c r="J65" s="96">
        <f>IF(J24=0,0,J24/TrRoad_act!J35*100)</f>
        <v>7.2886652696822392</v>
      </c>
      <c r="K65" s="96">
        <f>IF(K24=0,0,K24/TrRoad_act!K35*100)</f>
        <v>7.1121193658513482</v>
      </c>
      <c r="L65" s="96">
        <f>IF(L24=0,0,L24/TrRoad_act!L35*100)</f>
        <v>7.0911944456745157</v>
      </c>
      <c r="M65" s="96">
        <f>IF(M24=0,0,M24/TrRoad_act!M35*100)</f>
        <v>6.9852509839925885</v>
      </c>
      <c r="N65" s="96">
        <f>IF(N24=0,0,N24/TrRoad_act!N35*100)</f>
        <v>6.8703437454032592</v>
      </c>
      <c r="O65" s="96">
        <f>IF(O24=0,0,O24/TrRoad_act!O35*100)</f>
        <v>6.8049596130140069</v>
      </c>
      <c r="P65" s="96">
        <f>IF(P24=0,0,P24/TrRoad_act!P35*100)</f>
        <v>6.6219710276572492</v>
      </c>
      <c r="Q65" s="96">
        <f>IF(Q24=0,0,Q24/TrRoad_act!Q35*100)</f>
        <v>6.5559523687537595</v>
      </c>
      <c r="R65" s="96">
        <f>IF(R24=0,0,R24/TrRoad_act!R35*100)</f>
        <v>6.5469437454411725</v>
      </c>
      <c r="S65" s="96">
        <f>IF(S24=0,0,S24/TrRoad_act!S35*100)</f>
        <v>6.2857386704047071</v>
      </c>
      <c r="T65" s="96">
        <f>IF(T24=0,0,T24/TrRoad_act!T35*100)</f>
        <v>6.3363012774054113</v>
      </c>
      <c r="U65" s="96">
        <f>IF(U24=0,0,U24/TrRoad_act!U35*100)</f>
        <v>6.2035531287222012</v>
      </c>
      <c r="V65" s="96">
        <f>IF(V24=0,0,V24/TrRoad_act!V35*100)</f>
        <v>6.1230546587119701</v>
      </c>
      <c r="W65" s="96">
        <f>IF(W24=0,0,W24/TrRoad_act!W35*100)</f>
        <v>6.3626930641065309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0</v>
      </c>
      <c r="E66" s="96">
        <f>IF(E26=0,0,E26/TrRoad_act!E36*100)</f>
        <v>0</v>
      </c>
      <c r="F66" s="96">
        <f>IF(F26=0,0,F26/TrRoad_act!F36*100)</f>
        <v>0</v>
      </c>
      <c r="G66" s="96">
        <f>IF(G26=0,0,G26/TrRoad_act!G36*100)</f>
        <v>0</v>
      </c>
      <c r="H66" s="96">
        <f>IF(H26=0,0,H26/TrRoad_act!H36*100)</f>
        <v>0</v>
      </c>
      <c r="I66" s="96">
        <f>IF(I26=0,0,I26/TrRoad_act!I36*100)</f>
        <v>0</v>
      </c>
      <c r="J66" s="96">
        <f>IF(J26=0,0,J26/TrRoad_act!J36*100)</f>
        <v>0</v>
      </c>
      <c r="K66" s="96">
        <f>IF(K26=0,0,K26/TrRoad_act!K36*100)</f>
        <v>0</v>
      </c>
      <c r="L66" s="96">
        <f>IF(L26=0,0,L26/TrRoad_act!L36*100)</f>
        <v>0</v>
      </c>
      <c r="M66" s="96">
        <f>IF(M26=0,0,M26/TrRoad_act!M36*100)</f>
        <v>0</v>
      </c>
      <c r="N66" s="96">
        <f>IF(N26=0,0,N26/TrRoad_act!N36*100)</f>
        <v>0</v>
      </c>
      <c r="O66" s="96">
        <f>IF(O26=0,0,O26/TrRoad_act!O36*100)</f>
        <v>0</v>
      </c>
      <c r="P66" s="96">
        <f>IF(P26=0,0,P26/TrRoad_act!P36*100)</f>
        <v>0</v>
      </c>
      <c r="Q66" s="96">
        <f>IF(Q26=0,0,Q26/TrRoad_act!Q36*100)</f>
        <v>0</v>
      </c>
      <c r="R66" s="96">
        <f>IF(R26=0,0,R26/TrRoad_act!R36*100)</f>
        <v>0</v>
      </c>
      <c r="S66" s="96">
        <f>IF(S26=0,0,S26/TrRoad_act!S36*100)</f>
        <v>0</v>
      </c>
      <c r="T66" s="96">
        <f>IF(T26=0,0,T26/TrRoad_act!T36*100)</f>
        <v>0</v>
      </c>
      <c r="U66" s="96">
        <f>IF(U26=0,0,U26/TrRoad_act!U36*100)</f>
        <v>0</v>
      </c>
      <c r="V66" s="96">
        <f>IF(V26=0,0,V26/TrRoad_act!V36*100)</f>
        <v>0</v>
      </c>
      <c r="W66" s="96">
        <f>IF(W26=0,0,W26/TrRoad_act!W36*100)</f>
        <v>0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8.6231619603380683</v>
      </c>
      <c r="I67" s="96">
        <f>IF(I27=0,0,I27/TrRoad_act!I37*100)</f>
        <v>8.6702405198958967</v>
      </c>
      <c r="J67" s="96">
        <f>IF(J27=0,0,J27/TrRoad_act!J37*100)</f>
        <v>9.7090869838922078</v>
      </c>
      <c r="K67" s="96">
        <f>IF(K27=0,0,K27/TrRoad_act!K37*100)</f>
        <v>10.816817133628765</v>
      </c>
      <c r="L67" s="96">
        <f>IF(L27=0,0,L27/TrRoad_act!L37*100)</f>
        <v>10.799640774181473</v>
      </c>
      <c r="M67" s="96">
        <f>IF(M27=0,0,M27/TrRoad_act!M37*100)</f>
        <v>8.0962870021827182</v>
      </c>
      <c r="N67" s="96">
        <f>IF(N27=0,0,N27/TrRoad_act!N37*100)</f>
        <v>11.745082810126368</v>
      </c>
      <c r="O67" s="96">
        <f>IF(O27=0,0,O27/TrRoad_act!O37*100)</f>
        <v>7.8106666146249202</v>
      </c>
      <c r="P67" s="96">
        <f>IF(P27=0,0,P27/TrRoad_act!P37*100)</f>
        <v>7.4084778016757706</v>
      </c>
      <c r="Q67" s="96">
        <f>IF(Q27=0,0,Q27/TrRoad_act!Q37*100)</f>
        <v>6.927479987361461</v>
      </c>
      <c r="R67" s="96">
        <f>IF(R27=0,0,R27/TrRoad_act!R37*100)</f>
        <v>7.4904380108779467</v>
      </c>
      <c r="S67" s="96">
        <f>IF(S27=0,0,S27/TrRoad_act!S37*100)</f>
        <v>7.1201546238159459</v>
      </c>
      <c r="T67" s="96">
        <f>IF(T27=0,0,T27/TrRoad_act!T37*100)</f>
        <v>7.9623548544090479</v>
      </c>
      <c r="U67" s="96">
        <f>IF(U27=0,0,U27/TrRoad_act!U37*100)</f>
        <v>9.0545380773889619</v>
      </c>
      <c r="V67" s="96">
        <f>IF(V27=0,0,V27/TrRoad_act!V37*100)</f>
        <v>11.40357199544516</v>
      </c>
      <c r="W67" s="96">
        <f>IF(W27=0,0,W27/TrRoad_act!W37*100)</f>
        <v>13.305062756441416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2.6056524864887258</v>
      </c>
      <c r="O68" s="96">
        <f>IF(O29=0,0,O29/TrRoad_act!O38*100)</f>
        <v>2.7495621649476996</v>
      </c>
      <c r="P68" s="96">
        <f>IF(P29=0,0,P29/TrRoad_act!P38*100)</f>
        <v>2.9837589092981895</v>
      </c>
      <c r="Q68" s="96">
        <f>IF(Q29=0,0,Q29/TrRoad_act!Q38*100)</f>
        <v>3.2876783539641559</v>
      </c>
      <c r="R68" s="96">
        <f>IF(R29=0,0,R29/TrRoad_act!R38*100)</f>
        <v>3.6145896797423296</v>
      </c>
      <c r="S68" s="96">
        <f>IF(S29=0,0,S29/TrRoad_act!S38*100)</f>
        <v>3.4805309270838967</v>
      </c>
      <c r="T68" s="96">
        <f>IF(T29=0,0,T29/TrRoad_act!T38*100)</f>
        <v>3.5610867049588477</v>
      </c>
      <c r="U68" s="96">
        <f>IF(U29=0,0,U29/TrRoad_act!U38*100)</f>
        <v>3.4103308658178766</v>
      </c>
      <c r="V68" s="96">
        <f>IF(V29=0,0,V29/TrRoad_act!V38*100)</f>
        <v>3.2443487271649225</v>
      </c>
      <c r="W68" s="96">
        <f>IF(W29=0,0,W29/TrRoad_act!W38*100)</f>
        <v>3.2123966640546722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1.6236261546698092</v>
      </c>
      <c r="J69" s="96">
        <f>IF(J32=0,0,J32/TrRoad_act!J39*100)</f>
        <v>1.6160261461362877</v>
      </c>
      <c r="K69" s="96">
        <f>IF(K32=0,0,K32/TrRoad_act!K39*100)</f>
        <v>1.6099458224146077</v>
      </c>
      <c r="L69" s="96">
        <f>IF(L32=0,0,L32/TrRoad_act!L39*100)</f>
        <v>1.5978176772512354</v>
      </c>
      <c r="M69" s="96">
        <f>IF(M32=0,0,M32/TrRoad_act!M39*100)</f>
        <v>1.5998104116666416</v>
      </c>
      <c r="N69" s="96">
        <f>IF(N32=0,0,N32/TrRoad_act!N39*100)</f>
        <v>1.5420660884558086</v>
      </c>
      <c r="O69" s="96">
        <f>IF(O32=0,0,O32/TrRoad_act!O39*100)</f>
        <v>1.546426706684596</v>
      </c>
      <c r="P69" s="96">
        <f>IF(P32=0,0,P32/TrRoad_act!P39*100)</f>
        <v>1.5368330912717127</v>
      </c>
      <c r="Q69" s="96">
        <f>IF(Q32=0,0,Q32/TrRoad_act!Q39*100)</f>
        <v>1.6403270150018019</v>
      </c>
      <c r="R69" s="96">
        <f>IF(R32=0,0,R32/TrRoad_act!R39*100)</f>
        <v>1.642366941593375</v>
      </c>
      <c r="S69" s="96">
        <f>IF(S32=0,0,S32/TrRoad_act!S39*100)</f>
        <v>1.6014613898233423</v>
      </c>
      <c r="T69" s="96">
        <f>IF(T32=0,0,T32/TrRoad_act!T39*100)</f>
        <v>1.6118040108319045</v>
      </c>
      <c r="U69" s="96">
        <f>IF(U32=0,0,U32/TrRoad_act!U39*100)</f>
        <v>1.5378268156070347</v>
      </c>
      <c r="V69" s="96">
        <f>IF(V32=0,0,V32/TrRoad_act!V39*100)</f>
        <v>1.6081721802722173</v>
      </c>
      <c r="W69" s="96">
        <f>IF(W32=0,0,W32/TrRoad_act!W39*100)</f>
        <v>1.7227242621961028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61.164135278940179</v>
      </c>
      <c r="C70" s="130">
        <f>IF(C33=0,0,C33/TrRoad_act!C40*100)</f>
        <v>60.743634007394277</v>
      </c>
      <c r="D70" s="130">
        <f>IF(D33=0,0,D33/TrRoad_act!D40*100)</f>
        <v>60.128177584842746</v>
      </c>
      <c r="E70" s="130">
        <f>IF(E33=0,0,E33/TrRoad_act!E40*100)</f>
        <v>59.885384028702369</v>
      </c>
      <c r="F70" s="130">
        <f>IF(F33=0,0,F33/TrRoad_act!F40*100)</f>
        <v>60.271915530463652</v>
      </c>
      <c r="G70" s="130">
        <f>IF(G33=0,0,G33/TrRoad_act!G40*100)</f>
        <v>58.605733027207904</v>
      </c>
      <c r="H70" s="130">
        <f>IF(H33=0,0,H33/TrRoad_act!H40*100)</f>
        <v>59.512003171337291</v>
      </c>
      <c r="I70" s="130">
        <f>IF(I33=0,0,I33/TrRoad_act!I40*100)</f>
        <v>60.081533047513325</v>
      </c>
      <c r="J70" s="130">
        <f>IF(J33=0,0,J33/TrRoad_act!J40*100)</f>
        <v>56.842164288873789</v>
      </c>
      <c r="K70" s="130">
        <f>IF(K33=0,0,K33/TrRoad_act!K40*100)</f>
        <v>55.774728003648335</v>
      </c>
      <c r="L70" s="130">
        <f>IF(L33=0,0,L33/TrRoad_act!L40*100)</f>
        <v>55.777886380219819</v>
      </c>
      <c r="M70" s="130">
        <f>IF(M33=0,0,M33/TrRoad_act!M40*100)</f>
        <v>54.953725362826567</v>
      </c>
      <c r="N70" s="130">
        <f>IF(N33=0,0,N33/TrRoad_act!N40*100)</f>
        <v>54.733436958950989</v>
      </c>
      <c r="O70" s="130">
        <f>IF(O33=0,0,O33/TrRoad_act!O40*100)</f>
        <v>54.428828805225926</v>
      </c>
      <c r="P70" s="130">
        <f>IF(P33=0,0,P33/TrRoad_act!P40*100)</f>
        <v>53.842231853584096</v>
      </c>
      <c r="Q70" s="130">
        <f>IF(Q33=0,0,Q33/TrRoad_act!Q40*100)</f>
        <v>54.1222162418442</v>
      </c>
      <c r="R70" s="130">
        <f>IF(R33=0,0,R33/TrRoad_act!R40*100)</f>
        <v>54.839108407420511</v>
      </c>
      <c r="S70" s="130">
        <f>IF(S33=0,0,S33/TrRoad_act!S40*100)</f>
        <v>53.561584819928868</v>
      </c>
      <c r="T70" s="130">
        <f>IF(T33=0,0,T33/TrRoad_act!T40*100)</f>
        <v>54.614035789976775</v>
      </c>
      <c r="U70" s="130">
        <f>IF(U33=0,0,U33/TrRoad_act!U40*100)</f>
        <v>54.235304207826864</v>
      </c>
      <c r="V70" s="130">
        <f>IF(V33=0,0,V33/TrRoad_act!V40*100)</f>
        <v>54.270126668872301</v>
      </c>
      <c r="W70" s="130">
        <f>IF(W33=0,0,W33/TrRoad_act!W40*100)</f>
        <v>56.493228538571159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18.975101848078442</v>
      </c>
      <c r="C71" s="97">
        <f>IF(C34=0,0,C34/TrRoad_act!C41*100)</f>
        <v>18.580301003471455</v>
      </c>
      <c r="D71" s="97">
        <f>IF(D34=0,0,D34/TrRoad_act!D41*100)</f>
        <v>18.569583705918618</v>
      </c>
      <c r="E71" s="97">
        <f>IF(E34=0,0,E34/TrRoad_act!E41*100)</f>
        <v>18.569583705918618</v>
      </c>
      <c r="F71" s="97">
        <f>IF(F34=0,0,F34/TrRoad_act!F41*100)</f>
        <v>18.498876610067676</v>
      </c>
      <c r="G71" s="97">
        <f>IF(G34=0,0,G34/TrRoad_act!G41*100)</f>
        <v>18.329580280096671</v>
      </c>
      <c r="H71" s="97">
        <f>IF(H34=0,0,H34/TrRoad_act!H41*100)</f>
        <v>18.299632329470974</v>
      </c>
      <c r="I71" s="97">
        <f>IF(I34=0,0,I34/TrRoad_act!I41*100)</f>
        <v>18.260172885406011</v>
      </c>
      <c r="J71" s="97">
        <f>IF(J34=0,0,J34/TrRoad_act!J41*100)</f>
        <v>18.244054787403218</v>
      </c>
      <c r="K71" s="97">
        <f>IF(K34=0,0,K34/TrRoad_act!K41*100)</f>
        <v>17.980713895481795</v>
      </c>
      <c r="L71" s="97">
        <f>IF(L34=0,0,L34/TrRoad_act!L41*100)</f>
        <v>17.853860850989651</v>
      </c>
      <c r="M71" s="97">
        <f>IF(M34=0,0,M34/TrRoad_act!M41*100)</f>
        <v>17.830836912101976</v>
      </c>
      <c r="N71" s="97">
        <f>IF(N34=0,0,N34/TrRoad_act!N41*100)</f>
        <v>17.830836912101969</v>
      </c>
      <c r="O71" s="97">
        <f>IF(O34=0,0,O34/TrRoad_act!O41*100)</f>
        <v>17.830836912101969</v>
      </c>
      <c r="P71" s="97">
        <f>IF(P34=0,0,P34/TrRoad_act!P41*100)</f>
        <v>17.830836912101969</v>
      </c>
      <c r="Q71" s="97">
        <f>IF(Q34=0,0,Q34/TrRoad_act!Q41*100)</f>
        <v>17.830836912101969</v>
      </c>
      <c r="R71" s="97">
        <f>IF(R34=0,0,R34/TrRoad_act!R41*100)</f>
        <v>17.830836912101972</v>
      </c>
      <c r="S71" s="97">
        <f>IF(S34=0,0,S34/TrRoad_act!S41*100)</f>
        <v>17.580849943391126</v>
      </c>
      <c r="T71" s="97">
        <f>IF(T34=0,0,T34/TrRoad_act!T41*100)</f>
        <v>17.580849943391136</v>
      </c>
      <c r="U71" s="97">
        <f>IF(U34=0,0,U34/TrRoad_act!U41*100)</f>
        <v>17.580849943391129</v>
      </c>
      <c r="V71" s="97">
        <f>IF(V34=0,0,V34/TrRoad_act!V41*100)</f>
        <v>17.5534813961483</v>
      </c>
      <c r="W71" s="97">
        <f>IF(W34=0,0,W34/TrRoad_act!W41*100)</f>
        <v>17.553481396148296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61.430967161787152</v>
      </c>
      <c r="C72" s="97">
        <f>IF(C36=0,0,C36/TrRoad_act!C42*100)</f>
        <v>61.003305708861703</v>
      </c>
      <c r="D72" s="97">
        <f>IF(D36=0,0,D36/TrRoad_act!D42*100)</f>
        <v>60.476311622298383</v>
      </c>
      <c r="E72" s="97">
        <f>IF(E36=0,0,E36/TrRoad_act!E42*100)</f>
        <v>60.230736477014915</v>
      </c>
      <c r="F72" s="97">
        <f>IF(F36=0,0,F36/TrRoad_act!F42*100)</f>
        <v>60.596645101724114</v>
      </c>
      <c r="G72" s="97">
        <f>IF(G36=0,0,G36/TrRoad_act!G42*100)</f>
        <v>58.897415057774502</v>
      </c>
      <c r="H72" s="97">
        <f>IF(H36=0,0,H36/TrRoad_act!H42*100)</f>
        <v>59.877129427538442</v>
      </c>
      <c r="I72" s="97">
        <f>IF(I36=0,0,I36/TrRoad_act!I42*100)</f>
        <v>60.505015475745324</v>
      </c>
      <c r="J72" s="97">
        <f>IF(J36=0,0,J36/TrRoad_act!J42*100)</f>
        <v>56.975957221720442</v>
      </c>
      <c r="K72" s="97">
        <f>IF(K36=0,0,K36/TrRoad_act!K42*100)</f>
        <v>55.748591192236127</v>
      </c>
      <c r="L72" s="97">
        <f>IF(L36=0,0,L36/TrRoad_act!L42*100)</f>
        <v>55.741077409576079</v>
      </c>
      <c r="M72" s="97">
        <f>IF(M36=0,0,M36/TrRoad_act!M42*100)</f>
        <v>55.199380207275908</v>
      </c>
      <c r="N72" s="97">
        <f>IF(N36=0,0,N36/TrRoad_act!N42*100)</f>
        <v>54.657568311330664</v>
      </c>
      <c r="O72" s="97">
        <f>IF(O36=0,0,O36/TrRoad_act!O42*100)</f>
        <v>54.632786397841436</v>
      </c>
      <c r="P72" s="97">
        <f>IF(P36=0,0,P36/TrRoad_act!P42*100)</f>
        <v>53.970152925704454</v>
      </c>
      <c r="Q72" s="97">
        <f>IF(Q36=0,0,Q36/TrRoad_act!Q42*100)</f>
        <v>54.260751197895082</v>
      </c>
      <c r="R72" s="97">
        <f>IF(R36=0,0,R36/TrRoad_act!R42*100)</f>
        <v>54.922938208566876</v>
      </c>
      <c r="S72" s="97">
        <f>IF(S36=0,0,S36/TrRoad_act!S42*100)</f>
        <v>53.625902504659173</v>
      </c>
      <c r="T72" s="97">
        <f>IF(T36=0,0,T36/TrRoad_act!T42*100)</f>
        <v>54.638083390986537</v>
      </c>
      <c r="U72" s="97">
        <f>IF(U36=0,0,U36/TrRoad_act!U42*100)</f>
        <v>54.228532825893879</v>
      </c>
      <c r="V72" s="97">
        <f>IF(V36=0,0,V36/TrRoad_act!V42*100)</f>
        <v>54.175617079275575</v>
      </c>
      <c r="W72" s="97">
        <f>IF(W36=0,0,W36/TrRoad_act!W42*100)</f>
        <v>56.621971192004104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42.792201330216315</v>
      </c>
      <c r="C74" s="97">
        <f>IF(C39=0,0,C39/TrRoad_act!C44*100)</f>
        <v>43.524297170716444</v>
      </c>
      <c r="D74" s="97">
        <f>IF(D39=0,0,D39/TrRoad_act!D44*100)</f>
        <v>43.150908946789954</v>
      </c>
      <c r="E74" s="97">
        <f>IF(E39=0,0,E39/TrRoad_act!E44*100)</f>
        <v>42.612699533534723</v>
      </c>
      <c r="F74" s="97">
        <f>IF(F39=0,0,F39/TrRoad_act!F44*100)</f>
        <v>43.449383415192585</v>
      </c>
      <c r="G74" s="97">
        <f>IF(G39=0,0,G39/TrRoad_act!G44*100)</f>
        <v>43.712782282678312</v>
      </c>
      <c r="H74" s="97">
        <f>IF(H39=0,0,H39/TrRoad_act!H44*100)</f>
        <v>44.209007771417859</v>
      </c>
      <c r="I74" s="97">
        <f>IF(I39=0,0,I39/TrRoad_act!I44*100)</f>
        <v>41.771789575730068</v>
      </c>
      <c r="J74" s="97">
        <f>IF(J39=0,0,J39/TrRoad_act!J44*100)</f>
        <v>52.200015796968081</v>
      </c>
      <c r="K74" s="97">
        <f>IF(K39=0,0,K39/TrRoad_act!K44*100)</f>
        <v>59.93284769460746</v>
      </c>
      <c r="L74" s="97">
        <f>IF(L39=0,0,L39/TrRoad_act!L44*100)</f>
        <v>61.009852360957865</v>
      </c>
      <c r="M74" s="97">
        <f>IF(M39=0,0,M39/TrRoad_act!M44*100)</f>
        <v>40.525820663625346</v>
      </c>
      <c r="N74" s="97">
        <f>IF(N39=0,0,N39/TrRoad_act!N44*100)</f>
        <v>64.327758425338999</v>
      </c>
      <c r="O74" s="97">
        <f>IF(O39=0,0,O39/TrRoad_act!O44*100)</f>
        <v>40.382242421144738</v>
      </c>
      <c r="P74" s="97">
        <f>IF(P39=0,0,P39/TrRoad_act!P44*100)</f>
        <v>45.362279007933836</v>
      </c>
      <c r="Q74" s="97">
        <f>IF(Q39=0,0,Q39/TrRoad_act!Q44*100)</f>
        <v>43.339454225450545</v>
      </c>
      <c r="R74" s="97">
        <f>IF(R39=0,0,R39/TrRoad_act!R44*100)</f>
        <v>50.652260163716313</v>
      </c>
      <c r="S74" s="97">
        <f>IF(S39=0,0,S39/TrRoad_act!S44*100)</f>
        <v>52.31416763433149</v>
      </c>
      <c r="T74" s="97">
        <f>IF(T39=0,0,T39/TrRoad_act!T44*100)</f>
        <v>59.755859612904914</v>
      </c>
      <c r="U74" s="97">
        <f>IF(U39=0,0,U39/TrRoad_act!U44*100)</f>
        <v>72.231221216207544</v>
      </c>
      <c r="V74" s="97">
        <f>IF(V39=0,0,V39/TrRoad_act!V44*100)</f>
        <v>93.559121373290438</v>
      </c>
      <c r="W74" s="97">
        <f>IF(W39=0,0,W39/TrRoad_act!W44*100)</f>
        <v>110.75887552948463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36.920996362117634</v>
      </c>
      <c r="O75" s="97">
        <f>IF(O41=0,0,O41/TrRoad_act!O45*100)</f>
        <v>36.920996362117634</v>
      </c>
      <c r="P75" s="97">
        <f>IF(P41=0,0,P41/TrRoad_act!P45*100)</f>
        <v>36.920996362117634</v>
      </c>
      <c r="Q75" s="97">
        <f>IF(Q41=0,0,Q41/TrRoad_act!Q45*100)</f>
        <v>36.920996362117634</v>
      </c>
      <c r="R75" s="97">
        <f>IF(R41=0,0,R41/TrRoad_act!R45*100)</f>
        <v>37.786183175090677</v>
      </c>
      <c r="S75" s="97">
        <f>IF(S41=0,0,S41/TrRoad_act!S45*100)</f>
        <v>37.861446268698877</v>
      </c>
      <c r="T75" s="97">
        <f>IF(T41=0,0,T41/TrRoad_act!T45*100)</f>
        <v>37.86743717595791</v>
      </c>
      <c r="U75" s="97">
        <f>IF(U41=0,0,U41/TrRoad_act!U45*100)</f>
        <v>37.869228511892231</v>
      </c>
      <c r="V75" s="97">
        <f>IF(V41=0,0,V41/TrRoad_act!V45*100)</f>
        <v>37.847872101812627</v>
      </c>
      <c r="W75" s="97">
        <f>IF(W41=0,0,W41/TrRoad_act!W45*100)</f>
        <v>37.756893411050854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19.943007218271671</v>
      </c>
      <c r="C76" s="32">
        <f>IF(C42=0,0,C42/TrRoad_act!C46*100)</f>
        <v>19.966421448944196</v>
      </c>
      <c r="D76" s="32">
        <f>IF(D42=0,0,D42/TrRoad_act!D46*100)</f>
        <v>19.849694410271475</v>
      </c>
      <c r="E76" s="32">
        <f>IF(E42=0,0,E42/TrRoad_act!E46*100)</f>
        <v>19.799100048898797</v>
      </c>
      <c r="F76" s="32">
        <f>IF(F42=0,0,F42/TrRoad_act!F46*100)</f>
        <v>19.584677478985</v>
      </c>
      <c r="G76" s="32">
        <f>IF(G42=0,0,G42/TrRoad_act!G46*100)</f>
        <v>18.84306115769904</v>
      </c>
      <c r="H76" s="32">
        <f>IF(H42=0,0,H42/TrRoad_act!H46*100)</f>
        <v>18.943800237644751</v>
      </c>
      <c r="I76" s="32">
        <f>IF(I42=0,0,I42/TrRoad_act!I46*100)</f>
        <v>18.947218664828348</v>
      </c>
      <c r="J76" s="32">
        <f>IF(J42=0,0,J42/TrRoad_act!J46*100)</f>
        <v>17.256180878040404</v>
      </c>
      <c r="K76" s="32">
        <f>IF(K42=0,0,K42/TrRoad_act!K46*100)</f>
        <v>16.046428978309731</v>
      </c>
      <c r="L76" s="32">
        <f>IF(L42=0,0,L42/TrRoad_act!L46*100)</f>
        <v>16.295171415470914</v>
      </c>
      <c r="M76" s="32">
        <f>IF(M42=0,0,M42/TrRoad_act!M46*100)</f>
        <v>15.548927401463875</v>
      </c>
      <c r="N76" s="32">
        <f>IF(N42=0,0,N42/TrRoad_act!N46*100)</f>
        <v>14.832769901084299</v>
      </c>
      <c r="O76" s="32">
        <f>IF(O42=0,0,O42/TrRoad_act!O46*100)</f>
        <v>14.578450479285893</v>
      </c>
      <c r="P76" s="32">
        <f>IF(P42=0,0,P42/TrRoad_act!P46*100)</f>
        <v>13.94877123327181</v>
      </c>
      <c r="Q76" s="32">
        <f>IF(Q42=0,0,Q42/TrRoad_act!Q46*100)</f>
        <v>13.522396571653953</v>
      </c>
      <c r="R76" s="32">
        <f>IF(R42=0,0,R42/TrRoad_act!R46*100)</f>
        <v>13.950907909889555</v>
      </c>
      <c r="S76" s="32">
        <f>IF(S42=0,0,S42/TrRoad_act!S46*100)</f>
        <v>13.31052957777595</v>
      </c>
      <c r="T76" s="32">
        <f>IF(T42=0,0,T42/TrRoad_act!T46*100)</f>
        <v>13.288427974975233</v>
      </c>
      <c r="U76" s="32">
        <f>IF(U42=0,0,U42/TrRoad_act!U46*100)</f>
        <v>12.850990128477102</v>
      </c>
      <c r="V76" s="32">
        <f>IF(V42=0,0,V42/TrRoad_act!V46*100)</f>
        <v>12.586511880623647</v>
      </c>
      <c r="W76" s="32">
        <f>IF(W42=0,0,W42/TrRoad_act!W46*100)</f>
        <v>13.192097067291913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10.738913077130299</v>
      </c>
      <c r="C77" s="141">
        <f>IF(C43=0,0,C43/TrRoad_act!C47*100)</f>
        <v>10.456250822003788</v>
      </c>
      <c r="D77" s="141">
        <f>IF(D43=0,0,D43/TrRoad_act!D47*100)</f>
        <v>10.293490074459902</v>
      </c>
      <c r="E77" s="141">
        <f>IF(E43=0,0,E43/TrRoad_act!E47*100)</f>
        <v>10.186165865421179</v>
      </c>
      <c r="F77" s="141">
        <f>IF(F43=0,0,F43/TrRoad_act!F47*100)</f>
        <v>10.122845194770308</v>
      </c>
      <c r="G77" s="141">
        <f>IF(G43=0,0,G43/TrRoad_act!G47*100)</f>
        <v>9.8112877025475616</v>
      </c>
      <c r="H77" s="141">
        <f>IF(H43=0,0,H43/TrRoad_act!H47*100)</f>
        <v>9.9393884749621915</v>
      </c>
      <c r="I77" s="141">
        <f>IF(I43=0,0,I43/TrRoad_act!I47*100)</f>
        <v>10.053279648445583</v>
      </c>
      <c r="J77" s="141">
        <f>IF(J43=0,0,J43/TrRoad_act!J47*100)</f>
        <v>9.5356963184715973</v>
      </c>
      <c r="K77" s="141">
        <f>IF(K43=0,0,K43/TrRoad_act!K47*100)</f>
        <v>9.3874132372012866</v>
      </c>
      <c r="L77" s="141">
        <f>IF(L43=0,0,L43/TrRoad_act!L47*100)</f>
        <v>9.4603046819027004</v>
      </c>
      <c r="M77" s="141">
        <f>IF(M43=0,0,M43/TrRoad_act!M47*100)</f>
        <v>9.4721906554991424</v>
      </c>
      <c r="N77" s="141">
        <f>IF(N43=0,0,N43/TrRoad_act!N47*100)</f>
        <v>9.4138254286852696</v>
      </c>
      <c r="O77" s="141">
        <f>IF(O43=0,0,O43/TrRoad_act!O47*100)</f>
        <v>9.368746174348928</v>
      </c>
      <c r="P77" s="141">
        <f>IF(P43=0,0,P43/TrRoad_act!P47*100)</f>
        <v>9.2472261670816458</v>
      </c>
      <c r="Q77" s="141">
        <f>IF(Q43=0,0,Q43/TrRoad_act!Q47*100)</f>
        <v>9.2285550344778784</v>
      </c>
      <c r="R77" s="141">
        <f>IF(R43=0,0,R43/TrRoad_act!R47*100)</f>
        <v>9.2708832185985894</v>
      </c>
      <c r="S77" s="141">
        <f>IF(S43=0,0,S43/TrRoad_act!S47*100)</f>
        <v>8.9556484104487222</v>
      </c>
      <c r="T77" s="141">
        <f>IF(T43=0,0,T43/TrRoad_act!T47*100)</f>
        <v>9.0054227948873553</v>
      </c>
      <c r="U77" s="141">
        <f>IF(U43=0,0,U43/TrRoad_act!U47*100)</f>
        <v>8.8538632518501448</v>
      </c>
      <c r="V77" s="141">
        <f>IF(V43=0,0,V43/TrRoad_act!V47*100)</f>
        <v>8.783732633173889</v>
      </c>
      <c r="W77" s="141">
        <f>IF(W43=0,0,W43/TrRoad_act!W47*100)</f>
        <v>9.0579688718954099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9.0953368834588151</v>
      </c>
      <c r="C78" s="96">
        <f>IF(C44=0,0,C44/TrRoad_act!C48*100)</f>
        <v>9.0670272717283122</v>
      </c>
      <c r="D78" s="96">
        <f>IF(D44=0,0,D44/TrRoad_act!D48*100)</f>
        <v>9.0378403654519506</v>
      </c>
      <c r="E78" s="96">
        <f>IF(E44=0,0,E44/TrRoad_act!E48*100)</f>
        <v>9.0198057371405707</v>
      </c>
      <c r="F78" s="96">
        <f>IF(F44=0,0,F44/TrRoad_act!F48*100)</f>
        <v>8.9746929264631152</v>
      </c>
      <c r="G78" s="96">
        <f>IF(G44=0,0,G44/TrRoad_act!G48*100)</f>
        <v>8.8903176996539415</v>
      </c>
      <c r="H78" s="96">
        <f>IF(H44=0,0,H44/TrRoad_act!H48*100)</f>
        <v>8.7971767015889579</v>
      </c>
      <c r="I78" s="96">
        <f>IF(I44=0,0,I44/TrRoad_act!I48*100)</f>
        <v>8.6909053483863339</v>
      </c>
      <c r="J78" s="96">
        <f>IF(J44=0,0,J44/TrRoad_act!J48*100)</f>
        <v>8.5400577592575342</v>
      </c>
      <c r="K78" s="96">
        <f>IF(K44=0,0,K44/TrRoad_act!K48*100)</f>
        <v>8.4233625804118137</v>
      </c>
      <c r="L78" s="96">
        <f>IF(L44=0,0,L44/TrRoad_act!L48*100)</f>
        <v>8.3279221211906638</v>
      </c>
      <c r="M78" s="96">
        <f>IF(M44=0,0,M44/TrRoad_act!M48*100)</f>
        <v>8.2433977032068473</v>
      </c>
      <c r="N78" s="96">
        <f>IF(N44=0,0,N44/TrRoad_act!N48*100)</f>
        <v>8.1804667111697213</v>
      </c>
      <c r="O78" s="96">
        <f>IF(O44=0,0,O44/TrRoad_act!O48*100)</f>
        <v>8.0859952268315105</v>
      </c>
      <c r="P78" s="96">
        <f>IF(P44=0,0,P44/TrRoad_act!P48*100)</f>
        <v>7.981260663241736</v>
      </c>
      <c r="Q78" s="96">
        <f>IF(Q44=0,0,Q44/TrRoad_act!Q48*100)</f>
        <v>7.9105618682260834</v>
      </c>
      <c r="R78" s="96">
        <f>IF(R44=0,0,R44/TrRoad_act!R48*100)</f>
        <v>7.7899039638531091</v>
      </c>
      <c r="S78" s="96">
        <f>IF(S44=0,0,S44/TrRoad_act!S48*100)</f>
        <v>7.6829468435614929</v>
      </c>
      <c r="T78" s="96">
        <f>IF(T44=0,0,T44/TrRoad_act!T48*100)</f>
        <v>7.5715490727747543</v>
      </c>
      <c r="U78" s="96">
        <f>IF(U44=0,0,U44/TrRoad_act!U48*100)</f>
        <v>7.4657744387556777</v>
      </c>
      <c r="V78" s="96">
        <f>IF(V44=0,0,V44/TrRoad_act!V48*100)</f>
        <v>7.322294285017696</v>
      </c>
      <c r="W78" s="96">
        <f>IF(W44=0,0,W44/TrRoad_act!W48*100)</f>
        <v>7.1868662708558757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10.948122319994617</v>
      </c>
      <c r="C79" s="96">
        <f>IF(C46=0,0,C46/TrRoad_act!C49*100)</f>
        <v>10.61825690633453</v>
      </c>
      <c r="D79" s="96">
        <f>IF(D46=0,0,D46/TrRoad_act!D49*100)</f>
        <v>10.428374921648009</v>
      </c>
      <c r="E79" s="96">
        <f>IF(E46=0,0,E46/TrRoad_act!E49*100)</f>
        <v>10.299851347004791</v>
      </c>
      <c r="F79" s="96">
        <f>IF(F46=0,0,F46/TrRoad_act!F49*100)</f>
        <v>10.219301781546488</v>
      </c>
      <c r="G79" s="96">
        <f>IF(G46=0,0,G46/TrRoad_act!G49*100)</f>
        <v>9.8835296874536738</v>
      </c>
      <c r="H79" s="96">
        <f>IF(H46=0,0,H46/TrRoad_act!H49*100)</f>
        <v>10.020467799831568</v>
      </c>
      <c r="I79" s="96">
        <f>IF(I46=0,0,I46/TrRoad_act!I49*100)</f>
        <v>10.140298900814608</v>
      </c>
      <c r="J79" s="96">
        <f>IF(J46=0,0,J46/TrRoad_act!J49*100)</f>
        <v>9.5950422413003231</v>
      </c>
      <c r="K79" s="96">
        <f>IF(K46=0,0,K46/TrRoad_act!K49*100)</f>
        <v>9.4417345366094736</v>
      </c>
      <c r="L79" s="96">
        <f>IF(L46=0,0,L46/TrRoad_act!L49*100)</f>
        <v>9.5205974221969818</v>
      </c>
      <c r="M79" s="96">
        <f>IF(M46=0,0,M46/TrRoad_act!M49*100)</f>
        <v>9.5341086862705762</v>
      </c>
      <c r="N79" s="96">
        <f>IF(N46=0,0,N46/TrRoad_act!N49*100)</f>
        <v>9.4725018187307697</v>
      </c>
      <c r="O79" s="96">
        <f>IF(O46=0,0,O46/TrRoad_act!O49*100)</f>
        <v>9.4265073141644109</v>
      </c>
      <c r="P79" s="96">
        <f>IF(P46=0,0,P46/TrRoad_act!P49*100)</f>
        <v>9.301990171135758</v>
      </c>
      <c r="Q79" s="96">
        <f>IF(Q46=0,0,Q46/TrRoad_act!Q49*100)</f>
        <v>9.2834706336013948</v>
      </c>
      <c r="R79" s="96">
        <f>IF(R46=0,0,R46/TrRoad_act!R49*100)</f>
        <v>9.3297727902099243</v>
      </c>
      <c r="S79" s="96">
        <f>IF(S46=0,0,S46/TrRoad_act!S49*100)</f>
        <v>9.0040519492167839</v>
      </c>
      <c r="T79" s="96">
        <f>IF(T46=0,0,T46/TrRoad_act!T49*100)</f>
        <v>9.0562085779676416</v>
      </c>
      <c r="U79" s="96">
        <f>IF(U46=0,0,U46/TrRoad_act!U49*100)</f>
        <v>8.8987518187122649</v>
      </c>
      <c r="V79" s="96">
        <f>IF(V46=0,0,V46/TrRoad_act!V49*100)</f>
        <v>8.8237503716564429</v>
      </c>
      <c r="W79" s="96">
        <f>IF(W46=0,0,W46/TrRoad_act!W49*100)</f>
        <v>9.1076831567555114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0</v>
      </c>
      <c r="T80" s="96">
        <f>IF(T48=0,0,T48/TrRoad_act!T50*100)</f>
        <v>0</v>
      </c>
      <c r="U80" s="96">
        <f>IF(U48=0,0,U48/TrRoad_act!U50*100)</f>
        <v>0</v>
      </c>
      <c r="V80" s="96">
        <f>IF(V48=0,0,V48/TrRoad_act!V50*100)</f>
        <v>0</v>
      </c>
      <c r="W80" s="96">
        <f>IF(W48=0,0,W48/TrRoad_act!W50*100)</f>
        <v>0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9.5132489954562587</v>
      </c>
      <c r="D81" s="96">
        <f>IF(D49=0,0,D49/TrRoad_act!D51*100)</f>
        <v>9.5132489954562587</v>
      </c>
      <c r="E81" s="96">
        <f>IF(E49=0,0,E49/TrRoad_act!E51*100)</f>
        <v>9.5132489954562605</v>
      </c>
      <c r="F81" s="96">
        <f>IF(F49=0,0,F49/TrRoad_act!F51*100)</f>
        <v>9.5132489954562605</v>
      </c>
      <c r="G81" s="96">
        <f>IF(G49=0,0,G49/TrRoad_act!G51*100)</f>
        <v>9.5730343869823269</v>
      </c>
      <c r="H81" s="96">
        <f>IF(H49=0,0,H49/TrRoad_act!H51*100)</f>
        <v>9.5730343869823269</v>
      </c>
      <c r="I81" s="96">
        <f>IF(I49=0,0,I49/TrRoad_act!I51*100)</f>
        <v>9.7632403706933903</v>
      </c>
      <c r="J81" s="96">
        <f>IF(J49=0,0,J49/TrRoad_act!J51*100)</f>
        <v>10.999362635689902</v>
      </c>
      <c r="K81" s="96">
        <f>IF(K49=0,0,K49/TrRoad_act!K51*100)</f>
        <v>12.334041650313873</v>
      </c>
      <c r="L81" s="96">
        <f>IF(L49=0,0,L49/TrRoad_act!L51*100)</f>
        <v>12.350908497409559</v>
      </c>
      <c r="M81" s="96">
        <f>IF(M49=0,0,M49/TrRoad_act!M51*100)</f>
        <v>9.4338858052032997</v>
      </c>
      <c r="N81" s="96">
        <f>IF(N49=0,0,N49/TrRoad_act!N51*100)</f>
        <v>13.743265505250463</v>
      </c>
      <c r="O81" s="96">
        <f>IF(O49=0,0,O49/TrRoad_act!O51*100)</f>
        <v>9.265640640156084</v>
      </c>
      <c r="P81" s="96">
        <f>IF(P49=0,0,P49/TrRoad_act!P51*100)</f>
        <v>9.6838526772911404</v>
      </c>
      <c r="Q81" s="96">
        <f>IF(Q49=0,0,Q49/TrRoad_act!Q51*100)</f>
        <v>9.8827336132658239</v>
      </c>
      <c r="R81" s="96">
        <f>IF(R49=0,0,R49/TrRoad_act!R51*100)</f>
        <v>11.447335327356454</v>
      </c>
      <c r="S81" s="96">
        <f>IF(S49=0,0,S49/TrRoad_act!S51*100)</f>
        <v>11.321935459112863</v>
      </c>
      <c r="T81" s="96">
        <f>IF(T49=0,0,T49/TrRoad_act!T51*100)</f>
        <v>12.795462766896129</v>
      </c>
      <c r="U81" s="96">
        <f>IF(U49=0,0,U49/TrRoad_act!U51*100)</f>
        <v>14.392425495644174</v>
      </c>
      <c r="V81" s="96">
        <f>IF(V49=0,0,V49/TrRoad_act!V51*100)</f>
        <v>18.102488515041657</v>
      </c>
      <c r="W81" s="96">
        <f>IF(W49=0,0,W49/TrRoad_act!W51*100)</f>
        <v>22.267776149567446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1.6412693902756321</v>
      </c>
      <c r="C82" s="96">
        <f>IF(C51=0,0,C51/TrRoad_act!C52*100)</f>
        <v>1.6357119020740218</v>
      </c>
      <c r="D82" s="96">
        <f>IF(D51=0,0,D51/TrRoad_act!D52*100)</f>
        <v>1.6333265643198012</v>
      </c>
      <c r="E82" s="96">
        <f>IF(E51=0,0,E51/TrRoad_act!E52*100)</f>
        <v>1.6317797502269602</v>
      </c>
      <c r="F82" s="96">
        <f>IF(F51=0,0,F51/TrRoad_act!F52*100)</f>
        <v>1.6309454264762242</v>
      </c>
      <c r="G82" s="96">
        <f>IF(G51=0,0,G51/TrRoad_act!G52*100)</f>
        <v>1.6275462565220902</v>
      </c>
      <c r="H82" s="96">
        <f>IF(H51=0,0,H51/TrRoad_act!H52*100)</f>
        <v>1.6212674568700129</v>
      </c>
      <c r="I82" s="96">
        <f>IF(I51=0,0,I51/TrRoad_act!I52*100)</f>
        <v>1.6205266167169889</v>
      </c>
      <c r="J82" s="96">
        <f>IF(J51=0,0,J51/TrRoad_act!J52*100)</f>
        <v>1.6077311861300199</v>
      </c>
      <c r="K82" s="96">
        <f>IF(K51=0,0,K51/TrRoad_act!K52*100)</f>
        <v>1.5989760988601114</v>
      </c>
      <c r="L82" s="96">
        <f>IF(L51=0,0,L51/TrRoad_act!L52*100)</f>
        <v>1.5812555604049896</v>
      </c>
      <c r="M82" s="96">
        <f>IF(M51=0,0,M51/TrRoad_act!M52*100)</f>
        <v>1.5790156254178944</v>
      </c>
      <c r="N82" s="96">
        <f>IF(N51=0,0,N51/TrRoad_act!N52*100)</f>
        <v>1.5569019441944785</v>
      </c>
      <c r="O82" s="96">
        <f>IF(O51=0,0,O51/TrRoad_act!O52*100)</f>
        <v>1.5531053175099119</v>
      </c>
      <c r="P82" s="96">
        <f>IF(P51=0,0,P51/TrRoad_act!P52*100)</f>
        <v>1.6074460112195175</v>
      </c>
      <c r="Q82" s="96">
        <f>IF(Q51=0,0,Q51/TrRoad_act!Q52*100)</f>
        <v>1.6834992922714107</v>
      </c>
      <c r="R82" s="96">
        <f>IF(R51=0,0,R51/TrRoad_act!R52*100)</f>
        <v>1.7438675753891284</v>
      </c>
      <c r="S82" s="96">
        <f>IF(S51=0,0,S51/TrRoad_act!S52*100)</f>
        <v>1.7723283930362013</v>
      </c>
      <c r="T82" s="96">
        <f>IF(T51=0,0,T51/TrRoad_act!T52*100)</f>
        <v>1.9046909451203864</v>
      </c>
      <c r="U82" s="96">
        <f>IF(U51=0,0,U51/TrRoad_act!U52*100)</f>
        <v>2.0458227077924507</v>
      </c>
      <c r="V82" s="96">
        <f>IF(V51=0,0,V51/TrRoad_act!V52*100)</f>
        <v>2.4265187050779473</v>
      </c>
      <c r="W82" s="96">
        <f>IF(W51=0,0,W51/TrRoad_act!W52*100)</f>
        <v>2.9154960093436575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35.797697190491967</v>
      </c>
      <c r="C83" s="130">
        <f>IF(C52=0,0,C52/TrRoad_act!C53*100)</f>
        <v>36.203628005181507</v>
      </c>
      <c r="D83" s="130">
        <f>IF(D52=0,0,D52/TrRoad_act!D53*100)</f>
        <v>36.024616891715027</v>
      </c>
      <c r="E83" s="130">
        <f>IF(E52=0,0,E52/TrRoad_act!E53*100)</f>
        <v>36.09751471773253</v>
      </c>
      <c r="F83" s="130">
        <f>IF(F52=0,0,F52/TrRoad_act!F53*100)</f>
        <v>36.590949447176399</v>
      </c>
      <c r="G83" s="130">
        <f>IF(G52=0,0,G52/TrRoad_act!G53*100)</f>
        <v>35.120512593759017</v>
      </c>
      <c r="H83" s="130">
        <f>IF(H52=0,0,H52/TrRoad_act!H53*100)</f>
        <v>36.080349526775144</v>
      </c>
      <c r="I83" s="130">
        <f>IF(I52=0,0,I52/TrRoad_act!I53*100)</f>
        <v>36.597757689357493</v>
      </c>
      <c r="J83" s="130">
        <f>IF(J52=0,0,J52/TrRoad_act!J53*100)</f>
        <v>33.21098521743108</v>
      </c>
      <c r="K83" s="130">
        <f>IF(K52=0,0,K52/TrRoad_act!K53*100)</f>
        <v>32.047694297444664</v>
      </c>
      <c r="L83" s="130">
        <f>IF(L52=0,0,L52/TrRoad_act!L53*100)</f>
        <v>31.95024847616061</v>
      </c>
      <c r="M83" s="130">
        <f>IF(M52=0,0,M52/TrRoad_act!M53*100)</f>
        <v>31.226134147603535</v>
      </c>
      <c r="N83" s="130">
        <f>IF(N52=0,0,N52/TrRoad_act!N53*100)</f>
        <v>30.520969044816443</v>
      </c>
      <c r="O83" s="130">
        <f>IF(O52=0,0,O52/TrRoad_act!O53*100)</f>
        <v>30.22655912420646</v>
      </c>
      <c r="P83" s="130">
        <f>IF(P52=0,0,P52/TrRoad_act!P53*100)</f>
        <v>29.279326675452559</v>
      </c>
      <c r="Q83" s="130">
        <f>IF(Q52=0,0,Q52/TrRoad_act!Q53*100)</f>
        <v>29.313217058014541</v>
      </c>
      <c r="R83" s="130">
        <f>IF(R52=0,0,R52/TrRoad_act!R53*100)</f>
        <v>29.465157288214499</v>
      </c>
      <c r="S83" s="130">
        <f>IF(S52=0,0,S52/TrRoad_act!S53*100)</f>
        <v>27.651397171312091</v>
      </c>
      <c r="T83" s="130">
        <f>IF(T52=0,0,T52/TrRoad_act!T53*100)</f>
        <v>28.287422510219184</v>
      </c>
      <c r="U83" s="130">
        <f>IF(U52=0,0,U52/TrRoad_act!U53*100)</f>
        <v>27.319893279358453</v>
      </c>
      <c r="V83" s="130">
        <f>IF(V52=0,0,V52/TrRoad_act!V53*100)</f>
        <v>26.86266865308043</v>
      </c>
      <c r="W83" s="130">
        <f>IF(W52=0,0,W52/TrRoad_act!W53*100)</f>
        <v>28.9848721272019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35.245165264688275</v>
      </c>
      <c r="C84" s="97">
        <f>IF(C53=0,0,C53/TrRoad_act!C54*100)</f>
        <v>35.590224976641366</v>
      </c>
      <c r="D84" s="97">
        <f>IF(D53=0,0,D53/TrRoad_act!D54*100)</f>
        <v>35.410130283819832</v>
      </c>
      <c r="E84" s="97">
        <f>IF(E53=0,0,E53/TrRoad_act!E54*100)</f>
        <v>35.454781271364219</v>
      </c>
      <c r="F84" s="97">
        <f>IF(F53=0,0,F53/TrRoad_act!F54*100)</f>
        <v>35.852576834995929</v>
      </c>
      <c r="G84" s="97">
        <f>IF(G53=0,0,G53/TrRoad_act!G54*100)</f>
        <v>34.52137174557398</v>
      </c>
      <c r="H84" s="97">
        <f>IF(H53=0,0,H53/TrRoad_act!H54*100)</f>
        <v>35.342921748458686</v>
      </c>
      <c r="I84" s="97">
        <f>IF(I53=0,0,I53/TrRoad_act!I54*100)</f>
        <v>35.780580337616044</v>
      </c>
      <c r="J84" s="97">
        <f>IF(J53=0,0,J53/TrRoad_act!J54*100)</f>
        <v>32.735419831183705</v>
      </c>
      <c r="K84" s="97">
        <f>IF(K53=0,0,K53/TrRoad_act!K54*100)</f>
        <v>31.665104587539929</v>
      </c>
      <c r="L84" s="97">
        <f>IF(L53=0,0,L53/TrRoad_act!L54*100)</f>
        <v>31.528678879727501</v>
      </c>
      <c r="M84" s="97">
        <f>IF(M53=0,0,M53/TrRoad_act!M54*100)</f>
        <v>30.939792814188589</v>
      </c>
      <c r="N84" s="97">
        <f>IF(N53=0,0,N53/TrRoad_act!N54*100)</f>
        <v>30.220724148362578</v>
      </c>
      <c r="O84" s="97">
        <f>IF(O53=0,0,O53/TrRoad_act!O54*100)</f>
        <v>29.964380895435465</v>
      </c>
      <c r="P84" s="97">
        <f>IF(P53=0,0,P53/TrRoad_act!P54*100)</f>
        <v>29.019891943496706</v>
      </c>
      <c r="Q84" s="97">
        <f>IF(Q53=0,0,Q53/TrRoad_act!Q54*100)</f>
        <v>28.967689247831668</v>
      </c>
      <c r="R84" s="97">
        <f>IF(R53=0,0,R53/TrRoad_act!R54*100)</f>
        <v>29.154476842136489</v>
      </c>
      <c r="S84" s="97">
        <f>IF(S53=0,0,S53/TrRoad_act!S54*100)</f>
        <v>27.512538835272554</v>
      </c>
      <c r="T84" s="97">
        <f>IF(T53=0,0,T53/TrRoad_act!T54*100)</f>
        <v>28.001834789119112</v>
      </c>
      <c r="U84" s="97">
        <f>IF(U53=0,0,U53/TrRoad_act!U54*100)</f>
        <v>27.144260000688796</v>
      </c>
      <c r="V84" s="97">
        <f>IF(V53=0,0,V53/TrRoad_act!V54*100)</f>
        <v>26.678188385932149</v>
      </c>
      <c r="W84" s="97">
        <f>IF(W53=0,0,W53/TrRoad_act!W54*100)</f>
        <v>28.445993319334619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59.470640832648712</v>
      </c>
      <c r="C85" s="98">
        <f>IF(C55=0,0,C55/TrRoad_act!C55*100)</f>
        <v>61.515757196916546</v>
      </c>
      <c r="D85" s="98">
        <f>IF(D55=0,0,D55/TrRoad_act!D55*100)</f>
        <v>60.702863619496419</v>
      </c>
      <c r="E85" s="98">
        <f>IF(E55=0,0,E55/TrRoad_act!E55*100)</f>
        <v>61.590450146747919</v>
      </c>
      <c r="F85" s="98">
        <f>IF(F55=0,0,F55/TrRoad_act!F55*100)</f>
        <v>61.565561826369752</v>
      </c>
      <c r="G85" s="98">
        <f>IF(G55=0,0,G55/TrRoad_act!G55*100)</f>
        <v>55.356157979363296</v>
      </c>
      <c r="H85" s="98">
        <f>IF(H55=0,0,H55/TrRoad_act!H55*100)</f>
        <v>58.495194414532939</v>
      </c>
      <c r="I85" s="98">
        <f>IF(I55=0,0,I55/TrRoad_act!I55*100)</f>
        <v>60.856231660814295</v>
      </c>
      <c r="J85" s="98">
        <f>IF(J55=0,0,J55/TrRoad_act!J55*100)</f>
        <v>47.508039374096825</v>
      </c>
      <c r="K85" s="98">
        <f>IF(K55=0,0,K55/TrRoad_act!K55*100)</f>
        <v>42.858030415227866</v>
      </c>
      <c r="L85" s="98">
        <f>IF(L55=0,0,L55/TrRoad_act!L55*100)</f>
        <v>42.077145641448233</v>
      </c>
      <c r="M85" s="98">
        <f>IF(M55=0,0,M55/TrRoad_act!M55*100)</f>
        <v>41.221134656207866</v>
      </c>
      <c r="N85" s="98">
        <f>IF(N55=0,0,N55/TrRoad_act!N55*100)</f>
        <v>38.122247329373558</v>
      </c>
      <c r="O85" s="98">
        <f>IF(O55=0,0,O55/TrRoad_act!O55*100)</f>
        <v>37.963666418973418</v>
      </c>
      <c r="P85" s="98">
        <f>IF(P55=0,0,P55/TrRoad_act!P55*100)</f>
        <v>34.810604619040603</v>
      </c>
      <c r="Q85" s="98">
        <f>IF(Q55=0,0,Q55/TrRoad_act!Q55*100)</f>
        <v>35.119934726598821</v>
      </c>
      <c r="R85" s="98">
        <f>IF(R55=0,0,R55/TrRoad_act!R55*100)</f>
        <v>36.667822427388117</v>
      </c>
      <c r="S85" s="98">
        <f>IF(S55=0,0,S55/TrRoad_act!S55*100)</f>
        <v>31.022048066376541</v>
      </c>
      <c r="T85" s="98">
        <f>IF(T55=0,0,T55/TrRoad_act!T55*100)</f>
        <v>34.228976507245228</v>
      </c>
      <c r="U85" s="98">
        <f>IF(U55=0,0,U55/TrRoad_act!U55*100)</f>
        <v>31.704567925512787</v>
      </c>
      <c r="V85" s="98">
        <f>IF(V55=0,0,V55/TrRoad_act!V55*100)</f>
        <v>31.189329677637257</v>
      </c>
      <c r="W85" s="98">
        <f>IF(W55=0,0,W55/TrRoad_act!W55*100)</f>
        <v>39.164752794005473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36.316140773234117</v>
      </c>
      <c r="C88" s="29">
        <f>IF(TrRoad_act!C4=0,0,C18/TrRoad_act!C4*1000)</f>
        <v>36.003071799222333</v>
      </c>
      <c r="D88" s="29">
        <f>IF(TrRoad_act!D4=0,0,D18/TrRoad_act!D4*1000)</f>
        <v>36.163389118579978</v>
      </c>
      <c r="E88" s="29">
        <f>IF(TrRoad_act!E4=0,0,E18/TrRoad_act!E4*1000)</f>
        <v>36.209848647351095</v>
      </c>
      <c r="F88" s="29">
        <f>IF(TrRoad_act!F4=0,0,F18/TrRoad_act!F4*1000)</f>
        <v>36.415578635900971</v>
      </c>
      <c r="G88" s="29">
        <f>IF(TrRoad_act!G4=0,0,G18/TrRoad_act!G4*1000)</f>
        <v>36.185917178354245</v>
      </c>
      <c r="H88" s="29">
        <f>IF(TrRoad_act!H4=0,0,H18/TrRoad_act!H4*1000)</f>
        <v>36.709609700713472</v>
      </c>
      <c r="I88" s="29">
        <f>IF(TrRoad_act!I4=0,0,I18/TrRoad_act!I4*1000)</f>
        <v>37.225458692117506</v>
      </c>
      <c r="J88" s="29">
        <f>IF(TrRoad_act!J4=0,0,J18/TrRoad_act!J4*1000)</f>
        <v>36.458920401519876</v>
      </c>
      <c r="K88" s="29">
        <f>IF(TrRoad_act!K4=0,0,K18/TrRoad_act!K4*1000)</f>
        <v>36.211928188568614</v>
      </c>
      <c r="L88" s="29">
        <f>IF(TrRoad_act!L4=0,0,L18/TrRoad_act!L4*1000)</f>
        <v>36.618374768773315</v>
      </c>
      <c r="M88" s="29">
        <f>IF(TrRoad_act!M4=0,0,M18/TrRoad_act!M4*1000)</f>
        <v>36.749803418243019</v>
      </c>
      <c r="N88" s="29">
        <f>IF(TrRoad_act!N4=0,0,N18/TrRoad_act!N4*1000)</f>
        <v>36.758831997297946</v>
      </c>
      <c r="O88" s="29">
        <f>IF(TrRoad_act!O4=0,0,O18/TrRoad_act!O4*1000)</f>
        <v>36.991265584586408</v>
      </c>
      <c r="P88" s="29">
        <f>IF(TrRoad_act!P4=0,0,P18/TrRoad_act!P4*1000)</f>
        <v>36.4998076950247</v>
      </c>
      <c r="Q88" s="29">
        <f>IF(TrRoad_act!Q4=0,0,Q18/TrRoad_act!Q4*1000)</f>
        <v>36.60874697197179</v>
      </c>
      <c r="R88" s="29">
        <f>IF(TrRoad_act!R4=0,0,R18/TrRoad_act!R4*1000)</f>
        <v>41.065440262407328</v>
      </c>
      <c r="S88" s="29">
        <f>IF(TrRoad_act!S4=0,0,S18/TrRoad_act!S4*1000)</f>
        <v>36.141717462274308</v>
      </c>
      <c r="T88" s="29">
        <f>IF(TrRoad_act!T4=0,0,T18/TrRoad_act!T4*1000)</f>
        <v>36.355342914273358</v>
      </c>
      <c r="U88" s="29">
        <f>IF(TrRoad_act!U4=0,0,U18/TrRoad_act!U4*1000)</f>
        <v>35.714910097863076</v>
      </c>
      <c r="V88" s="29">
        <f>IF(TrRoad_act!V4=0,0,V18/TrRoad_act!V4*1000)</f>
        <v>34.974072341654185</v>
      </c>
      <c r="W88" s="29">
        <f>IF(TrRoad_act!W4=0,0,W18/TrRoad_act!W4*1000)</f>
        <v>36.039707889961562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43.674373576036984</v>
      </c>
      <c r="C89" s="152">
        <f>IF(TrRoad_act!C5=0,0,C19/TrRoad_act!C5*1000)</f>
        <v>43.107494169485335</v>
      </c>
      <c r="D89" s="152">
        <f>IF(TrRoad_act!D5=0,0,D19/TrRoad_act!D5*1000)</f>
        <v>42.49395424980208</v>
      </c>
      <c r="E89" s="152">
        <f>IF(TrRoad_act!E5=0,0,E19/TrRoad_act!E5*1000)</f>
        <v>41.827157169601058</v>
      </c>
      <c r="F89" s="152">
        <f>IF(TrRoad_act!F5=0,0,F19/TrRoad_act!F5*1000)</f>
        <v>41.283169587162718</v>
      </c>
      <c r="G89" s="152">
        <f>IF(TrRoad_act!G5=0,0,G19/TrRoad_act!G5*1000)</f>
        <v>40.805356687192578</v>
      </c>
      <c r="H89" s="152">
        <f>IF(TrRoad_act!H5=0,0,H19/TrRoad_act!H5*1000)</f>
        <v>40.348143021841189</v>
      </c>
      <c r="I89" s="152">
        <f>IF(TrRoad_act!I5=0,0,I19/TrRoad_act!I5*1000)</f>
        <v>40.033629623583757</v>
      </c>
      <c r="J89" s="152">
        <f>IF(TrRoad_act!J5=0,0,J19/TrRoad_act!J5*1000)</f>
        <v>39.399194624695831</v>
      </c>
      <c r="K89" s="152">
        <f>IF(TrRoad_act!K5=0,0,K19/TrRoad_act!K5*1000)</f>
        <v>38.831703388579633</v>
      </c>
      <c r="L89" s="152">
        <f>IF(TrRoad_act!L5=0,0,L19/TrRoad_act!L5*1000)</f>
        <v>38.264319193695478</v>
      </c>
      <c r="M89" s="152">
        <f>IF(TrRoad_act!M5=0,0,M19/TrRoad_act!M5*1000)</f>
        <v>37.69587786071655</v>
      </c>
      <c r="N89" s="152">
        <f>IF(TrRoad_act!N5=0,0,N19/TrRoad_act!N5*1000)</f>
        <v>37.382647288248229</v>
      </c>
      <c r="O89" s="152">
        <f>IF(TrRoad_act!O5=0,0,O19/TrRoad_act!O5*1000)</f>
        <v>37.066606003684939</v>
      </c>
      <c r="P89" s="152">
        <f>IF(TrRoad_act!P5=0,0,P19/TrRoad_act!P5*1000)</f>
        <v>36.565624309312717</v>
      </c>
      <c r="Q89" s="152">
        <f>IF(TrRoad_act!Q5=0,0,Q19/TrRoad_act!Q5*1000)</f>
        <v>36.209829295292955</v>
      </c>
      <c r="R89" s="152">
        <f>IF(TrRoad_act!R5=0,0,R19/TrRoad_act!R5*1000)</f>
        <v>35.805411604597197</v>
      </c>
      <c r="S89" s="152">
        <f>IF(TrRoad_act!S5=0,0,S19/TrRoad_act!S5*1000)</f>
        <v>35.567271293617509</v>
      </c>
      <c r="T89" s="152">
        <f>IF(TrRoad_act!T5=0,0,T19/TrRoad_act!T5*1000)</f>
        <v>35.337812638658107</v>
      </c>
      <c r="U89" s="152">
        <f>IF(TrRoad_act!U5=0,0,U19/TrRoad_act!U5*1000)</f>
        <v>35.046717021817607</v>
      </c>
      <c r="V89" s="152">
        <f>IF(TrRoad_act!V5=0,0,V19/TrRoad_act!V5*1000)</f>
        <v>34.823213234280487</v>
      </c>
      <c r="W89" s="152">
        <f>IF(TrRoad_act!W5=0,0,W19/TrRoad_act!W5*1000)</f>
        <v>33.536817629686531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37.311668478569466</v>
      </c>
      <c r="C90" s="116">
        <f>IF(TrRoad_act!C6=0,0,C21/TrRoad_act!C6*1000)</f>
        <v>37.016076582764718</v>
      </c>
      <c r="D90" s="116">
        <f>IF(TrRoad_act!D6=0,0,D21/TrRoad_act!D6*1000)</f>
        <v>37.150659415073747</v>
      </c>
      <c r="E90" s="116">
        <f>IF(TrRoad_act!E6=0,0,E21/TrRoad_act!E6*1000)</f>
        <v>37.07408760417993</v>
      </c>
      <c r="F90" s="116">
        <f>IF(TrRoad_act!F6=0,0,F21/TrRoad_act!F6*1000)</f>
        <v>37.121582048470906</v>
      </c>
      <c r="G90" s="116">
        <f>IF(TrRoad_act!G6=0,0,G21/TrRoad_act!G6*1000)</f>
        <v>36.866677522267089</v>
      </c>
      <c r="H90" s="116">
        <f>IF(TrRoad_act!H6=0,0,H21/TrRoad_act!H6*1000)</f>
        <v>37.329577252026738</v>
      </c>
      <c r="I90" s="116">
        <f>IF(TrRoad_act!I6=0,0,I21/TrRoad_act!I6*1000)</f>
        <v>37.765509155079243</v>
      </c>
      <c r="J90" s="116">
        <f>IF(TrRoad_act!J6=0,0,J21/TrRoad_act!J6*1000)</f>
        <v>36.892872702753749</v>
      </c>
      <c r="K90" s="116">
        <f>IF(TrRoad_act!K6=0,0,K21/TrRoad_act!K6*1000)</f>
        <v>36.469407519291956</v>
      </c>
      <c r="L90" s="116">
        <f>IF(TrRoad_act!L6=0,0,L21/TrRoad_act!L6*1000)</f>
        <v>36.747198303450276</v>
      </c>
      <c r="M90" s="116">
        <f>IF(TrRoad_act!M6=0,0,M21/TrRoad_act!M6*1000)</f>
        <v>36.808593540829719</v>
      </c>
      <c r="N90" s="116">
        <f>IF(TrRoad_act!N6=0,0,N21/TrRoad_act!N6*1000)</f>
        <v>36.64731187703147</v>
      </c>
      <c r="O90" s="116">
        <f>IF(TrRoad_act!O6=0,0,O21/TrRoad_act!O6*1000)</f>
        <v>36.77836910613582</v>
      </c>
      <c r="P90" s="116">
        <f>IF(TrRoad_act!P6=0,0,P21/TrRoad_act!P6*1000)</f>
        <v>36.089252037303048</v>
      </c>
      <c r="Q90" s="116">
        <f>IF(TrRoad_act!Q6=0,0,Q21/TrRoad_act!Q6*1000)</f>
        <v>36.044607725494416</v>
      </c>
      <c r="R90" s="116">
        <f>IF(TrRoad_act!R6=0,0,R21/TrRoad_act!R6*1000)</f>
        <v>41.20968175816725</v>
      </c>
      <c r="S90" s="116">
        <f>IF(TrRoad_act!S6=0,0,S21/TrRoad_act!S6*1000)</f>
        <v>35.553516950112375</v>
      </c>
      <c r="T90" s="116">
        <f>IF(TrRoad_act!T6=0,0,T21/TrRoad_act!T6*1000)</f>
        <v>35.706252855407264</v>
      </c>
      <c r="U90" s="116">
        <f>IF(TrRoad_act!U6=0,0,U21/TrRoad_act!U6*1000)</f>
        <v>35.070902653551386</v>
      </c>
      <c r="V90" s="116">
        <f>IF(TrRoad_act!V6=0,0,V21/TrRoad_act!V6*1000)</f>
        <v>34.258780965596557</v>
      </c>
      <c r="W90" s="116">
        <f>IF(TrRoad_act!W6=0,0,W21/TrRoad_act!W6*1000)</f>
        <v>35.38778699303554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35.502485872058017</v>
      </c>
      <c r="C91" s="87">
        <f>IF(TrRoad_act!C7=0,0,C22/TrRoad_act!C7*1000)</f>
        <v>35.532482938472057</v>
      </c>
      <c r="D91" s="87">
        <f>IF(TrRoad_act!D7=0,0,D22/TrRoad_act!D7*1000)</f>
        <v>35.726127084119369</v>
      </c>
      <c r="E91" s="87">
        <f>IF(TrRoad_act!E7=0,0,E22/TrRoad_act!E7*1000)</f>
        <v>35.584727473823285</v>
      </c>
      <c r="F91" s="87">
        <f>IF(TrRoad_act!F7=0,0,F22/TrRoad_act!F7*1000)</f>
        <v>35.551763949950136</v>
      </c>
      <c r="G91" s="87">
        <f>IF(TrRoad_act!G7=0,0,G22/TrRoad_act!G7*1000)</f>
        <v>35.387012050555391</v>
      </c>
      <c r="H91" s="87">
        <f>IF(TrRoad_act!H7=0,0,H22/TrRoad_act!H7*1000)</f>
        <v>35.509463495278467</v>
      </c>
      <c r="I91" s="87">
        <f>IF(TrRoad_act!I7=0,0,I22/TrRoad_act!I7*1000)</f>
        <v>35.58004626583832</v>
      </c>
      <c r="J91" s="87">
        <f>IF(TrRoad_act!J7=0,0,J22/TrRoad_act!J7*1000)</f>
        <v>35.056304865417111</v>
      </c>
      <c r="K91" s="87">
        <f>IF(TrRoad_act!K7=0,0,K22/TrRoad_act!K7*1000)</f>
        <v>34.61415448984129</v>
      </c>
      <c r="L91" s="87">
        <f>IF(TrRoad_act!L7=0,0,L22/TrRoad_act!L7*1000)</f>
        <v>34.781717191513223</v>
      </c>
      <c r="M91" s="87">
        <f>IF(TrRoad_act!M7=0,0,M22/TrRoad_act!M7*1000)</f>
        <v>34.766923591984366</v>
      </c>
      <c r="N91" s="87">
        <f>IF(TrRoad_act!N7=0,0,N22/TrRoad_act!N7*1000)</f>
        <v>34.720743488471022</v>
      </c>
      <c r="O91" s="87">
        <f>IF(TrRoad_act!O7=0,0,O22/TrRoad_act!O7*1000)</f>
        <v>35.171101080781341</v>
      </c>
      <c r="P91" s="87">
        <f>IF(TrRoad_act!P7=0,0,P22/TrRoad_act!P7*1000)</f>
        <v>34.579999384152984</v>
      </c>
      <c r="Q91" s="87">
        <f>IF(TrRoad_act!Q7=0,0,Q22/TrRoad_act!Q7*1000)</f>
        <v>34.625630498973607</v>
      </c>
      <c r="R91" s="87">
        <f>IF(TrRoad_act!R7=0,0,R22/TrRoad_act!R7*1000)</f>
        <v>40.716736419175191</v>
      </c>
      <c r="S91" s="87">
        <f>IF(TrRoad_act!S7=0,0,S22/TrRoad_act!S7*1000)</f>
        <v>34.784070800430122</v>
      </c>
      <c r="T91" s="87">
        <f>IF(TrRoad_act!T7=0,0,T22/TrRoad_act!T7*1000)</f>
        <v>34.82164167677761</v>
      </c>
      <c r="U91" s="87">
        <f>IF(TrRoad_act!U7=0,0,U22/TrRoad_act!U7*1000)</f>
        <v>34.328819953809642</v>
      </c>
      <c r="V91" s="87">
        <f>IF(TrRoad_act!V7=0,0,V22/TrRoad_act!V7*1000)</f>
        <v>33.244738915209737</v>
      </c>
      <c r="W91" s="87">
        <f>IF(TrRoad_act!W7=0,0,W22/TrRoad_act!W7*1000)</f>
        <v>34.55764571597782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45.611863038015713</v>
      </c>
      <c r="C92" s="87">
        <f>IF(TrRoad_act!C8=0,0,C24/TrRoad_act!C8*1000)</f>
        <v>43.537884477150754</v>
      </c>
      <c r="D92" s="87">
        <f>IF(TrRoad_act!D8=0,0,D24/TrRoad_act!D8*1000)</f>
        <v>43.169828798813079</v>
      </c>
      <c r="E92" s="87">
        <f>IF(TrRoad_act!E8=0,0,E24/TrRoad_act!E8*1000)</f>
        <v>43.022603375492906</v>
      </c>
      <c r="F92" s="87">
        <f>IF(TrRoad_act!F8=0,0,F24/TrRoad_act!F8*1000)</f>
        <v>43.366681865135988</v>
      </c>
      <c r="G92" s="87">
        <f>IF(TrRoad_act!G8=0,0,G24/TrRoad_act!G8*1000)</f>
        <v>42.331924349722186</v>
      </c>
      <c r="H92" s="87">
        <f>IF(TrRoad_act!H8=0,0,H24/TrRoad_act!H8*1000)</f>
        <v>43.483467410278202</v>
      </c>
      <c r="I92" s="87">
        <f>IF(TrRoad_act!I8=0,0,I24/TrRoad_act!I8*1000)</f>
        <v>44.433175039162691</v>
      </c>
      <c r="J92" s="87">
        <f>IF(TrRoad_act!J8=0,0,J24/TrRoad_act!J8*1000)</f>
        <v>41.46395659367461</v>
      </c>
      <c r="K92" s="87">
        <f>IF(TrRoad_act!K8=0,0,K24/TrRoad_act!K8*1000)</f>
        <v>40.636811934604104</v>
      </c>
      <c r="L92" s="87">
        <f>IF(TrRoad_act!L8=0,0,L24/TrRoad_act!L8*1000)</f>
        <v>40.650588320892204</v>
      </c>
      <c r="M92" s="87">
        <f>IF(TrRoad_act!M8=0,0,M24/TrRoad_act!M8*1000)</f>
        <v>40.251113168155229</v>
      </c>
      <c r="N92" s="87">
        <f>IF(TrRoad_act!N8=0,0,N24/TrRoad_act!N8*1000)</f>
        <v>39.625250630477147</v>
      </c>
      <c r="O92" s="87">
        <f>IF(TrRoad_act!O8=0,0,O24/TrRoad_act!O8*1000)</f>
        <v>39.242659562011568</v>
      </c>
      <c r="P92" s="87">
        <f>IF(TrRoad_act!P8=0,0,P24/TrRoad_act!P8*1000)</f>
        <v>38.274570151934945</v>
      </c>
      <c r="Q92" s="87">
        <f>IF(TrRoad_act!Q8=0,0,Q24/TrRoad_act!Q8*1000)</f>
        <v>38.009169898303966</v>
      </c>
      <c r="R92" s="87">
        <f>IF(TrRoad_act!R8=0,0,R24/TrRoad_act!R8*1000)</f>
        <v>41.893422423689543</v>
      </c>
      <c r="S92" s="87">
        <f>IF(TrRoad_act!S8=0,0,S24/TrRoad_act!S8*1000)</f>
        <v>36.567733557579778</v>
      </c>
      <c r="T92" s="87">
        <f>IF(TrRoad_act!T8=0,0,T24/TrRoad_act!T8*1000)</f>
        <v>36.866485329262957</v>
      </c>
      <c r="U92" s="87">
        <f>IF(TrRoad_act!U8=0,0,U24/TrRoad_act!U8*1000)</f>
        <v>36.092574440631516</v>
      </c>
      <c r="V92" s="87">
        <f>IF(TrRoad_act!V8=0,0,V24/TrRoad_act!V8*1000)</f>
        <v>35.693065226218103</v>
      </c>
      <c r="W92" s="87">
        <f>IF(TrRoad_act!W8=0,0,W24/TrRoad_act!W8*1000)</f>
        <v>36.97530869589319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0</v>
      </c>
      <c r="E93" s="87">
        <f>IF(TrRoad_act!E9=0,0,E26/TrRoad_act!E9*1000)</f>
        <v>0</v>
      </c>
      <c r="F93" s="87">
        <f>IF(TrRoad_act!F9=0,0,F26/TrRoad_act!F9*1000)</f>
        <v>0</v>
      </c>
      <c r="G93" s="87">
        <f>IF(TrRoad_act!G9=0,0,G26/TrRoad_act!G9*1000)</f>
        <v>0</v>
      </c>
      <c r="H93" s="87">
        <f>IF(TrRoad_act!H9=0,0,H26/TrRoad_act!H9*1000)</f>
        <v>0</v>
      </c>
      <c r="I93" s="87">
        <f>IF(TrRoad_act!I9=0,0,I26/TrRoad_act!I9*1000)</f>
        <v>0</v>
      </c>
      <c r="J93" s="87">
        <f>IF(TrRoad_act!J9=0,0,J26/TrRoad_act!J9*1000)</f>
        <v>0</v>
      </c>
      <c r="K93" s="87">
        <f>IF(TrRoad_act!K9=0,0,K26/TrRoad_act!K9*1000)</f>
        <v>0</v>
      </c>
      <c r="L93" s="87">
        <f>IF(TrRoad_act!L9=0,0,L26/TrRoad_act!L9*1000)</f>
        <v>0</v>
      </c>
      <c r="M93" s="87">
        <f>IF(TrRoad_act!M9=0,0,M26/TrRoad_act!M9*1000)</f>
        <v>0</v>
      </c>
      <c r="N93" s="87">
        <f>IF(TrRoad_act!N9=0,0,N26/TrRoad_act!N9*1000)</f>
        <v>0</v>
      </c>
      <c r="O93" s="87">
        <f>IF(TrRoad_act!O9=0,0,O26/TrRoad_act!O9*1000)</f>
        <v>0</v>
      </c>
      <c r="P93" s="87">
        <f>IF(TrRoad_act!P9=0,0,P26/TrRoad_act!P9*1000)</f>
        <v>0</v>
      </c>
      <c r="Q93" s="87">
        <f>IF(TrRoad_act!Q9=0,0,Q26/TrRoad_act!Q9*1000)</f>
        <v>0</v>
      </c>
      <c r="R93" s="87">
        <f>IF(TrRoad_act!R9=0,0,R26/TrRoad_act!R9*1000)</f>
        <v>0</v>
      </c>
      <c r="S93" s="87">
        <f>IF(TrRoad_act!S9=0,0,S26/TrRoad_act!S9*1000)</f>
        <v>0</v>
      </c>
      <c r="T93" s="87">
        <f>IF(TrRoad_act!T9=0,0,T26/TrRoad_act!T9*1000)</f>
        <v>0</v>
      </c>
      <c r="U93" s="87">
        <f>IF(TrRoad_act!U9=0,0,U26/TrRoad_act!U9*1000)</f>
        <v>0</v>
      </c>
      <c r="V93" s="87">
        <f>IF(TrRoad_act!V9=0,0,V26/TrRoad_act!V9*1000)</f>
        <v>0</v>
      </c>
      <c r="W93" s="87">
        <f>IF(TrRoad_act!W9=0,0,W26/TrRoad_act!W9*1000)</f>
        <v>0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53.534152231390479</v>
      </c>
      <c r="I94" s="87">
        <f>IF(TrRoad_act!I10=0,0,I27/TrRoad_act!I10*1000)</f>
        <v>54.035338503814899</v>
      </c>
      <c r="J94" s="87">
        <f>IF(TrRoad_act!J10=0,0,J27/TrRoad_act!J10*1000)</f>
        <v>60.443005492587261</v>
      </c>
      <c r="K94" s="87">
        <f>IF(TrRoad_act!K10=0,0,K27/TrRoad_act!K10*1000)</f>
        <v>67.518325668523048</v>
      </c>
      <c r="L94" s="87">
        <f>IF(TrRoad_act!L10=0,0,L27/TrRoad_act!L10*1000)</f>
        <v>67.486308648242073</v>
      </c>
      <c r="M94" s="87">
        <f>IF(TrRoad_act!M10=0,0,M27/TrRoad_act!M10*1000)</f>
        <v>50.699531831699893</v>
      </c>
      <c r="N94" s="87">
        <f>IF(TrRoad_act!N10=0,0,N27/TrRoad_act!N10*1000)</f>
        <v>73.499639236416343</v>
      </c>
      <c r="O94" s="87">
        <f>IF(TrRoad_act!O10=0,0,O27/TrRoad_act!O10*1000)</f>
        <v>48.858749974285089</v>
      </c>
      <c r="P94" s="87">
        <f>IF(TrRoad_act!P10=0,0,P27/TrRoad_act!P10*1000)</f>
        <v>46.394492986590336</v>
      </c>
      <c r="Q94" s="87">
        <f>IF(TrRoad_act!Q10=0,0,Q27/TrRoad_act!Q10*1000)</f>
        <v>43.473051160732183</v>
      </c>
      <c r="R94" s="87">
        <f>IF(TrRoad_act!R10=0,0,R27/TrRoad_act!R10*1000)</f>
        <v>51.848938426637453</v>
      </c>
      <c r="S94" s="87">
        <f>IF(TrRoad_act!S10=0,0,S27/TrRoad_act!S10*1000)</f>
        <v>44.758299898769316</v>
      </c>
      <c r="T94" s="87">
        <f>IF(TrRoad_act!T10=0,0,T27/TrRoad_act!T10*1000)</f>
        <v>50.035675807430636</v>
      </c>
      <c r="U94" s="87">
        <f>IF(TrRoad_act!U10=0,0,U27/TrRoad_act!U10*1000)</f>
        <v>56.89898781331005</v>
      </c>
      <c r="V94" s="87">
        <f>IF(TrRoad_act!V10=0,0,V27/TrRoad_act!V10*1000)</f>
        <v>71.840071621151566</v>
      </c>
      <c r="W94" s="87">
        <f>IF(TrRoad_act!W10=0,0,W27/TrRoad_act!W10*1000)</f>
        <v>83.617095916810968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16.305931667614352</v>
      </c>
      <c r="O95" s="87">
        <f>IF(TrRoad_act!O11=0,0,O29/TrRoad_act!O11*1000)</f>
        <v>17.199578087789746</v>
      </c>
      <c r="P95" s="87">
        <f>IF(TrRoad_act!P11=0,0,P29/TrRoad_act!P11*1000)</f>
        <v>18.685347448810457</v>
      </c>
      <c r="Q95" s="87">
        <f>IF(TrRoad_act!Q11=0,0,Q29/TrRoad_act!Q11*1000)</f>
        <v>20.631659642852746</v>
      </c>
      <c r="R95" s="87">
        <f>IF(TrRoad_act!R11=0,0,R29/TrRoad_act!R11*1000)</f>
        <v>25.02025081448512</v>
      </c>
      <c r="S95" s="87">
        <f>IF(TrRoad_act!S11=0,0,S29/TrRoad_act!S11*1000)</f>
        <v>21.879110113745419</v>
      </c>
      <c r="T95" s="87">
        <f>IF(TrRoad_act!T11=0,0,T29/TrRoad_act!T11*1000)</f>
        <v>22.377975253490082</v>
      </c>
      <c r="U95" s="87">
        <f>IF(TrRoad_act!U11=0,0,U29/TrRoad_act!U11*1000)</f>
        <v>21.430621055986837</v>
      </c>
      <c r="V95" s="87">
        <f>IF(TrRoad_act!V11=0,0,V29/TrRoad_act!V11*1000)</f>
        <v>20.438705084390662</v>
      </c>
      <c r="W95" s="87">
        <f>IF(TrRoad_act!W11=0,0,W29/TrRoad_act!W11*1000)</f>
        <v>20.188651861191683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10.905912139577895</v>
      </c>
      <c r="J96" s="87">
        <f>IF(TrRoad_act!J12=0,0,J32/TrRoad_act!J12*1000)</f>
        <v>10.842895374137358</v>
      </c>
      <c r="K96" s="87">
        <f>IF(TrRoad_act!K12=0,0,K32/TrRoad_act!K12*1000)</f>
        <v>10.830853029180954</v>
      </c>
      <c r="L96" s="87">
        <f>IF(TrRoad_act!L12=0,0,L32/TrRoad_act!L12*1000)</f>
        <v>10.761252219171748</v>
      </c>
      <c r="M96" s="87">
        <f>IF(TrRoad_act!M12=0,0,M32/TrRoad_act!M12*1000)</f>
        <v>10.797315650582616</v>
      </c>
      <c r="N96" s="87">
        <f>IF(TrRoad_act!N12=0,0,N32/TrRoad_act!N12*1000)</f>
        <v>10.400670450031345</v>
      </c>
      <c r="O96" s="87">
        <f>IF(TrRoad_act!O12=0,0,O32/TrRoad_act!O12*1000)</f>
        <v>10.425882273432199</v>
      </c>
      <c r="P96" s="87">
        <f>IF(TrRoad_act!P12=0,0,P32/TrRoad_act!P12*1000)</f>
        <v>10.372737252851405</v>
      </c>
      <c r="Q96" s="87">
        <f>IF(TrRoad_act!Q12=0,0,Q32/TrRoad_act!Q12*1000)</f>
        <v>11.094417492587461</v>
      </c>
      <c r="R96" s="87">
        <f>IF(TrRoad_act!R12=0,0,R32/TrRoad_act!R12*1000)</f>
        <v>12.252707731555782</v>
      </c>
      <c r="S96" s="87">
        <f>IF(TrRoad_act!S12=0,0,S32/TrRoad_act!S12*1000)</f>
        <v>10.850002900309981</v>
      </c>
      <c r="T96" s="87">
        <f>IF(TrRoad_act!T12=0,0,T32/TrRoad_act!T12*1000)</f>
        <v>10.916406472563784</v>
      </c>
      <c r="U96" s="87">
        <f>IF(TrRoad_act!U12=0,0,U32/TrRoad_act!U12*1000)</f>
        <v>10.415374630387097</v>
      </c>
      <c r="V96" s="87">
        <f>IF(TrRoad_act!V12=0,0,V32/TrRoad_act!V12*1000)</f>
        <v>10.919119466968958</v>
      </c>
      <c r="W96" s="87">
        <f>IF(TrRoad_act!W12=0,0,W32/TrRoad_act!W12*1000)</f>
        <v>11.66871809392123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28.250972963557022</v>
      </c>
      <c r="C97" s="116">
        <f>IF(TrRoad_act!C13=0,0,C33/TrRoad_act!C13*1000)</f>
        <v>27.670261882677885</v>
      </c>
      <c r="D97" s="116">
        <f>IF(TrRoad_act!D13=0,0,D33/TrRoad_act!D13*1000)</f>
        <v>27.945366596049674</v>
      </c>
      <c r="E97" s="116">
        <f>IF(TrRoad_act!E13=0,0,E33/TrRoad_act!E13*1000)</f>
        <v>28.833254337581149</v>
      </c>
      <c r="F97" s="116">
        <f>IF(TrRoad_act!F13=0,0,F33/TrRoad_act!F13*1000)</f>
        <v>30.179534734786735</v>
      </c>
      <c r="G97" s="116">
        <f>IF(TrRoad_act!G13=0,0,G33/TrRoad_act!G13*1000)</f>
        <v>30.04281658398666</v>
      </c>
      <c r="H97" s="116">
        <f>IF(TrRoad_act!H13=0,0,H33/TrRoad_act!H13*1000)</f>
        <v>31.138261472561375</v>
      </c>
      <c r="I97" s="116">
        <f>IF(TrRoad_act!I13=0,0,I33/TrRoad_act!I13*1000)</f>
        <v>32.319789914387464</v>
      </c>
      <c r="J97" s="116">
        <f>IF(TrRoad_act!J13=0,0,J33/TrRoad_act!J13*1000)</f>
        <v>32.456909197491491</v>
      </c>
      <c r="K97" s="116">
        <f>IF(TrRoad_act!K13=0,0,K33/TrRoad_act!K13*1000)</f>
        <v>33.700370897744016</v>
      </c>
      <c r="L97" s="116">
        <f>IF(TrRoad_act!L13=0,0,L33/TrRoad_act!L13*1000)</f>
        <v>35.248938660485088</v>
      </c>
      <c r="M97" s="116">
        <f>IF(TrRoad_act!M13=0,0,M33/TrRoad_act!M13*1000)</f>
        <v>36.08799297453119</v>
      </c>
      <c r="N97" s="116">
        <f>IF(TrRoad_act!N13=0,0,N33/TrRoad_act!N13*1000)</f>
        <v>37.625138100120864</v>
      </c>
      <c r="O97" s="116">
        <f>IF(TrRoad_act!O13=0,0,O33/TrRoad_act!O13*1000)</f>
        <v>38.817868544642828</v>
      </c>
      <c r="P97" s="116">
        <f>IF(TrRoad_act!P13=0,0,P33/TrRoad_act!P13*1000)</f>
        <v>40.056925193098998</v>
      </c>
      <c r="Q97" s="116">
        <f>IF(TrRoad_act!Q13=0,0,Q33/TrRoad_act!Q13*1000)</f>
        <v>41.632474032187844</v>
      </c>
      <c r="R97" s="116">
        <f>IF(TrRoad_act!R13=0,0,R33/TrRoad_act!R13*1000)</f>
        <v>40.855301841991043</v>
      </c>
      <c r="S97" s="116">
        <f>IF(TrRoad_act!S13=0,0,S33/TrRoad_act!S13*1000)</f>
        <v>40.981052266887524</v>
      </c>
      <c r="T97" s="116">
        <f>IF(TrRoad_act!T13=0,0,T33/TrRoad_act!T13*1000)</f>
        <v>41.916272468807193</v>
      </c>
      <c r="U97" s="116">
        <f>IF(TrRoad_act!U13=0,0,U33/TrRoad_act!U13*1000)</f>
        <v>41.260022568232834</v>
      </c>
      <c r="V97" s="116">
        <f>IF(TrRoad_act!V13=0,0,V33/TrRoad_act!V13*1000)</f>
        <v>41.740112129147377</v>
      </c>
      <c r="W97" s="116">
        <f>IF(TrRoad_act!W13=0,0,W33/TrRoad_act!W13*1000)</f>
        <v>43.405630593802165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22.787361021287758</v>
      </c>
      <c r="C98" s="101">
        <f>IF(TrRoad_act!C14=0,0,C34/TrRoad_act!C14*1000)</f>
        <v>22.005872514350742</v>
      </c>
      <c r="D98" s="101">
        <f>IF(TrRoad_act!D14=0,0,D34/TrRoad_act!D14*1000)</f>
        <v>22.439195683434878</v>
      </c>
      <c r="E98" s="101">
        <f>IF(TrRoad_act!E14=0,0,E34/TrRoad_act!E14*1000)</f>
        <v>23.246005689230373</v>
      </c>
      <c r="F98" s="101">
        <f>IF(TrRoad_act!F14=0,0,F34/TrRoad_act!F14*1000)</f>
        <v>24.083314080291998</v>
      </c>
      <c r="G98" s="101">
        <f>IF(TrRoad_act!G14=0,0,G34/TrRoad_act!G14*1000)</f>
        <v>24.430165683926422</v>
      </c>
      <c r="H98" s="101">
        <f>IF(TrRoad_act!H14=0,0,H34/TrRoad_act!H14*1000)</f>
        <v>24.894620169049176</v>
      </c>
      <c r="I98" s="101">
        <f>IF(TrRoad_act!I14=0,0,I34/TrRoad_act!I14*1000)</f>
        <v>25.539109872146824</v>
      </c>
      <c r="J98" s="101">
        <f>IF(TrRoad_act!J14=0,0,J34/TrRoad_act!J14*1000)</f>
        <v>27.085151599976136</v>
      </c>
      <c r="K98" s="101">
        <f>IF(TrRoad_act!K14=0,0,K34/TrRoad_act!K14*1000)</f>
        <v>27.09348406380564</v>
      </c>
      <c r="L98" s="101">
        <f>IF(TrRoad_act!L14=0,0,L34/TrRoad_act!L14*1000)</f>
        <v>27.016040151795153</v>
      </c>
      <c r="M98" s="101">
        <f>IF(TrRoad_act!M14=0,0,M34/TrRoad_act!M14*1000)</f>
        <v>27.075160764629633</v>
      </c>
      <c r="N98" s="101">
        <f>IF(TrRoad_act!N14=0,0,N34/TrRoad_act!N14*1000)</f>
        <v>27.183219428097505</v>
      </c>
      <c r="O98" s="101">
        <f>IF(TrRoad_act!O14=0,0,O34/TrRoad_act!O14*1000)</f>
        <v>27.267228600621628</v>
      </c>
      <c r="P98" s="101">
        <f>IF(TrRoad_act!P14=0,0,P34/TrRoad_act!P14*1000)</f>
        <v>27.360590752420798</v>
      </c>
      <c r="Q98" s="101">
        <f>IF(TrRoad_act!Q14=0,0,Q34/TrRoad_act!Q14*1000)</f>
        <v>27.432056787849181</v>
      </c>
      <c r="R98" s="101">
        <f>IF(TrRoad_act!R14=0,0,R34/TrRoad_act!R14*1000)</f>
        <v>27.363604992994912</v>
      </c>
      <c r="S98" s="101">
        <f>IF(TrRoad_act!S14=0,0,S34/TrRoad_act!S14*1000)</f>
        <v>27.036288382066836</v>
      </c>
      <c r="T98" s="101">
        <f>IF(TrRoad_act!T14=0,0,T34/TrRoad_act!T14*1000)</f>
        <v>27.042770417048498</v>
      </c>
      <c r="U98" s="101">
        <f>IF(TrRoad_act!U14=0,0,U34/TrRoad_act!U14*1000)</f>
        <v>27.024313490146159</v>
      </c>
      <c r="V98" s="101">
        <f>IF(TrRoad_act!V14=0,0,V34/TrRoad_act!V14*1000)</f>
        <v>27.005050462146961</v>
      </c>
      <c r="W98" s="101">
        <f>IF(TrRoad_act!W14=0,0,W34/TrRoad_act!W14*1000)</f>
        <v>27.002929823686213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28.351084215683329</v>
      </c>
      <c r="C99" s="101">
        <f>IF(TrRoad_act!C15=0,0,C36/TrRoad_act!C15*1000)</f>
        <v>27.763027392956765</v>
      </c>
      <c r="D99" s="101">
        <f>IF(TrRoad_act!D15=0,0,D36/TrRoad_act!D15*1000)</f>
        <v>28.082714202709965</v>
      </c>
      <c r="E99" s="101">
        <f>IF(TrRoad_act!E15=0,0,E36/TrRoad_act!E15*1000)</f>
        <v>28.975088690355616</v>
      </c>
      <c r="F99" s="101">
        <f>IF(TrRoad_act!F15=0,0,F36/TrRoad_act!F15*1000)</f>
        <v>30.316480662386176</v>
      </c>
      <c r="G99" s="101">
        <f>IF(TrRoad_act!G15=0,0,G36/TrRoad_act!G15*1000)</f>
        <v>30.16468057269261</v>
      </c>
      <c r="H99" s="101">
        <f>IF(TrRoad_act!H15=0,0,H36/TrRoad_act!H15*1000)</f>
        <v>31.302895785849334</v>
      </c>
      <c r="I99" s="101">
        <f>IF(TrRoad_act!I15=0,0,I36/TrRoad_act!I15*1000)</f>
        <v>32.520052173928988</v>
      </c>
      <c r="J99" s="101">
        <f>IF(TrRoad_act!J15=0,0,J36/TrRoad_act!J15*1000)</f>
        <v>32.508183005773844</v>
      </c>
      <c r="K99" s="101">
        <f>IF(TrRoad_act!K15=0,0,K36/TrRoad_act!K15*1000)</f>
        <v>33.66065448604197</v>
      </c>
      <c r="L99" s="101">
        <f>IF(TrRoad_act!L15=0,0,L36/TrRoad_act!L15*1000)</f>
        <v>35.201673450488769</v>
      </c>
      <c r="M99" s="101">
        <f>IF(TrRoad_act!M15=0,0,M36/TrRoad_act!M15*1000)</f>
        <v>36.226877117993588</v>
      </c>
      <c r="N99" s="101">
        <f>IF(TrRoad_act!N15=0,0,N36/TrRoad_act!N15*1000)</f>
        <v>37.551491986482326</v>
      </c>
      <c r="O99" s="101">
        <f>IF(TrRoad_act!O15=0,0,O36/TrRoad_act!O15*1000)</f>
        <v>38.94245372856777</v>
      </c>
      <c r="P99" s="101">
        <f>IF(TrRoad_act!P15=0,0,P36/TrRoad_act!P15*1000)</f>
        <v>40.132189640515996</v>
      </c>
      <c r="Q99" s="101">
        <f>IF(TrRoad_act!Q15=0,0,Q36/TrRoad_act!Q15*1000)</f>
        <v>41.719619305930109</v>
      </c>
      <c r="R99" s="101">
        <f>IF(TrRoad_act!R15=0,0,R36/TrRoad_act!R15*1000)</f>
        <v>40.899283330683978</v>
      </c>
      <c r="S99" s="101">
        <f>IF(TrRoad_act!S15=0,0,S36/TrRoad_act!S15*1000)</f>
        <v>41.012556993487699</v>
      </c>
      <c r="T99" s="101">
        <f>IF(TrRoad_act!T15=0,0,T36/TrRoad_act!T15*1000)</f>
        <v>41.917472344533827</v>
      </c>
      <c r="U99" s="101">
        <f>IF(TrRoad_act!U15=0,0,U36/TrRoad_act!U15*1000)</f>
        <v>41.238685500793544</v>
      </c>
      <c r="V99" s="101">
        <f>IF(TrRoad_act!V15=0,0,V36/TrRoad_act!V15*1000)</f>
        <v>41.652284511375399</v>
      </c>
      <c r="W99" s="101">
        <f>IF(TrRoad_act!W15=0,0,W36/TrRoad_act!W15*1000)</f>
        <v>43.489341510028453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19.749083560613503</v>
      </c>
      <c r="C101" s="101">
        <f>IF(TrRoad_act!C17=0,0,C39/TrRoad_act!C17*1000)</f>
        <v>19.808209416989953</v>
      </c>
      <c r="D101" s="101">
        <f>IF(TrRoad_act!D17=0,0,D39/TrRoad_act!D17*1000)</f>
        <v>20.037509084681989</v>
      </c>
      <c r="E101" s="101">
        <f>IF(TrRoad_act!E17=0,0,E39/TrRoad_act!E17*1000)</f>
        <v>20.499612333161977</v>
      </c>
      <c r="F101" s="101">
        <f>IF(TrRoad_act!F17=0,0,F39/TrRoad_act!F17*1000)</f>
        <v>21.737711549674724</v>
      </c>
      <c r="G101" s="101">
        <f>IF(TrRoad_act!G17=0,0,G39/TrRoad_act!G17*1000)</f>
        <v>22.387775646982227</v>
      </c>
      <c r="H101" s="101">
        <f>IF(TrRoad_act!H17=0,0,H39/TrRoad_act!H17*1000)</f>
        <v>23.1118287782853</v>
      </c>
      <c r="I101" s="101">
        <f>IF(TrRoad_act!I17=0,0,I39/TrRoad_act!I17*1000)</f>
        <v>22.451374745051933</v>
      </c>
      <c r="J101" s="101">
        <f>IF(TrRoad_act!J17=0,0,J39/TrRoad_act!J17*1000)</f>
        <v>29.783223471412246</v>
      </c>
      <c r="K101" s="101">
        <f>IF(TrRoad_act!K17=0,0,K39/TrRoad_act!K17*1000)</f>
        <v>36.187082677233839</v>
      </c>
      <c r="L101" s="101">
        <f>IF(TrRoad_act!L17=0,0,L39/TrRoad_act!L17*1000)</f>
        <v>38.529016658440355</v>
      </c>
      <c r="M101" s="101">
        <f>IF(TrRoad_act!M17=0,0,M39/TrRoad_act!M17*1000)</f>
        <v>26.596746553568828</v>
      </c>
      <c r="N101" s="101">
        <f>IF(TrRoad_act!N17=0,0,N39/TrRoad_act!N17*1000)</f>
        <v>44.195220893438957</v>
      </c>
      <c r="O101" s="101">
        <f>IF(TrRoad_act!O17=0,0,O39/TrRoad_act!O17*1000)</f>
        <v>28.784612878602317</v>
      </c>
      <c r="P101" s="101">
        <f>IF(TrRoad_act!P17=0,0,P39/TrRoad_act!P17*1000)</f>
        <v>33.731377159121436</v>
      </c>
      <c r="Q101" s="101">
        <f>IF(TrRoad_act!Q17=0,0,Q39/TrRoad_act!Q17*1000)</f>
        <v>33.322530398044357</v>
      </c>
      <c r="R101" s="101">
        <f>IF(TrRoad_act!R17=0,0,R39/TrRoad_act!R17*1000)</f>
        <v>37.719051590219117</v>
      </c>
      <c r="S101" s="101">
        <f>IF(TrRoad_act!S17=0,0,S39/TrRoad_act!S17*1000)</f>
        <v>40.009355208212654</v>
      </c>
      <c r="T101" s="101">
        <f>IF(TrRoad_act!T17=0,0,T39/TrRoad_act!T17*1000)</f>
        <v>45.843749218351952</v>
      </c>
      <c r="U101" s="101">
        <f>IF(TrRoad_act!U17=0,0,U39/TrRoad_act!U17*1000)</f>
        <v>54.929028314981501</v>
      </c>
      <c r="V101" s="101">
        <f>IF(TrRoad_act!V17=0,0,V39/TrRoad_act!V17*1000)</f>
        <v>71.931827493024372</v>
      </c>
      <c r="W101" s="101">
        <f>IF(TrRoad_act!W17=0,0,W39/TrRoad_act!W17*1000)</f>
        <v>85.069990707930359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25.365901591666503</v>
      </c>
      <c r="O102" s="101">
        <f>IF(TrRoad_act!O18=0,0,O41/TrRoad_act!O18*1000)</f>
        <v>26.317423789704293</v>
      </c>
      <c r="P102" s="101">
        <f>IF(TrRoad_act!P18=0,0,P41/TrRoad_act!P18*1000)</f>
        <v>27.454441897932895</v>
      </c>
      <c r="Q102" s="101">
        <f>IF(TrRoad_act!Q18=0,0,Q41/TrRoad_act!Q18*1000)</f>
        <v>28.387552302868439</v>
      </c>
      <c r="R102" s="101">
        <f>IF(TrRoad_act!R18=0,0,R41/TrRoad_act!R18*1000)</f>
        <v>28.138112454845</v>
      </c>
      <c r="S102" s="101">
        <f>IF(TrRoad_act!S18=0,0,S41/TrRoad_act!S18*1000)</f>
        <v>28.956057621892207</v>
      </c>
      <c r="T102" s="101">
        <f>IF(TrRoad_act!T18=0,0,T41/TrRoad_act!T18*1000)</f>
        <v>29.051298143511389</v>
      </c>
      <c r="U102" s="101">
        <f>IF(TrRoad_act!U18=0,0,U41/TrRoad_act!U18*1000)</f>
        <v>28.798072221011914</v>
      </c>
      <c r="V102" s="101">
        <f>IF(TrRoad_act!V18=0,0,V41/TrRoad_act!V18*1000)</f>
        <v>29.09889027434641</v>
      </c>
      <c r="W102" s="101">
        <f>IF(TrRoad_act!W18=0,0,W41/TrRoad_act!W18*1000)</f>
        <v>28.999739806706213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40.573764845384666</v>
      </c>
      <c r="C103" s="29">
        <f>IF(TrRoad_act!C19=0,0,C42/TrRoad_act!C19*1000)</f>
        <v>43.103852116648824</v>
      </c>
      <c r="D103" s="29">
        <f>IF(TrRoad_act!D19=0,0,D42/TrRoad_act!D19*1000)</f>
        <v>41.544296941465909</v>
      </c>
      <c r="E103" s="29">
        <f>IF(TrRoad_act!E19=0,0,E42/TrRoad_act!E19*1000)</f>
        <v>43.52407431202586</v>
      </c>
      <c r="F103" s="29">
        <f>IF(TrRoad_act!F19=0,0,F42/TrRoad_act!F19*1000)</f>
        <v>44.175498791791128</v>
      </c>
      <c r="G103" s="29">
        <f>IF(TrRoad_act!G19=0,0,G42/TrRoad_act!G19*1000)</f>
        <v>43.049602460276979</v>
      </c>
      <c r="H103" s="29">
        <f>IF(TrRoad_act!H19=0,0,H42/TrRoad_act!H19*1000)</f>
        <v>46.302721676490989</v>
      </c>
      <c r="I103" s="29">
        <f>IF(TrRoad_act!I19=0,0,I42/TrRoad_act!I19*1000)</f>
        <v>46.655124754291087</v>
      </c>
      <c r="J103" s="29">
        <f>IF(TrRoad_act!J19=0,0,J42/TrRoad_act!J19*1000)</f>
        <v>42.704909875307862</v>
      </c>
      <c r="K103" s="29">
        <f>IF(TrRoad_act!K19=0,0,K42/TrRoad_act!K19*1000)</f>
        <v>43.021793407092453</v>
      </c>
      <c r="L103" s="29">
        <f>IF(TrRoad_act!L19=0,0,L42/TrRoad_act!L19*1000)</f>
        <v>44.56136008732738</v>
      </c>
      <c r="M103" s="29">
        <f>IF(TrRoad_act!M19=0,0,M42/TrRoad_act!M19*1000)</f>
        <v>46.064204477576979</v>
      </c>
      <c r="N103" s="29">
        <f>IF(TrRoad_act!N19=0,0,N42/TrRoad_act!N19*1000)</f>
        <v>46.130342758120918</v>
      </c>
      <c r="O103" s="29">
        <f>IF(TrRoad_act!O19=0,0,O42/TrRoad_act!O19*1000)</f>
        <v>48.830346208702551</v>
      </c>
      <c r="P103" s="29">
        <f>IF(TrRoad_act!P19=0,0,P42/TrRoad_act!P19*1000)</f>
        <v>47.299734794708975</v>
      </c>
      <c r="Q103" s="29">
        <f>IF(TrRoad_act!Q19=0,0,Q42/TrRoad_act!Q19*1000)</f>
        <v>43.340472555724787</v>
      </c>
      <c r="R103" s="29">
        <f>IF(TrRoad_act!R19=0,0,R42/TrRoad_act!R19*1000)</f>
        <v>42.189999346080647</v>
      </c>
      <c r="S103" s="29">
        <f>IF(TrRoad_act!S19=0,0,S42/TrRoad_act!S19*1000)</f>
        <v>39.172873385776796</v>
      </c>
      <c r="T103" s="29">
        <f>IF(TrRoad_act!T19=0,0,T42/TrRoad_act!T19*1000)</f>
        <v>40.001879638228765</v>
      </c>
      <c r="U103" s="29">
        <f>IF(TrRoad_act!U19=0,0,U42/TrRoad_act!U19*1000)</f>
        <v>38.736488236520636</v>
      </c>
      <c r="V103" s="29">
        <f>IF(TrRoad_act!V19=0,0,V42/TrRoad_act!V19*1000)</f>
        <v>36.242999050999963</v>
      </c>
      <c r="W103" s="29">
        <f>IF(TrRoad_act!W19=0,0,W42/TrRoad_act!W19*1000)</f>
        <v>39.299088346303677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328.03792342650615</v>
      </c>
      <c r="C104" s="152">
        <f>IF(TrRoad_act!C20=0,0,C43/TrRoad_act!C20*1000)</f>
        <v>318.66027938853284</v>
      </c>
      <c r="D104" s="152">
        <f>IF(TrRoad_act!D20=0,0,D43/TrRoad_act!D20*1000)</f>
        <v>313.04955194089814</v>
      </c>
      <c r="E104" s="152">
        <f>IF(TrRoad_act!E20=0,0,E43/TrRoad_act!E20*1000)</f>
        <v>308.89654270205079</v>
      </c>
      <c r="F104" s="152">
        <f>IF(TrRoad_act!F20=0,0,F43/TrRoad_act!F20*1000)</f>
        <v>304.80366039488263</v>
      </c>
      <c r="G104" s="152">
        <f>IF(TrRoad_act!G20=0,0,G43/TrRoad_act!G20*1000)</f>
        <v>296.0322019830046</v>
      </c>
      <c r="H104" s="152">
        <f>IF(TrRoad_act!H20=0,0,H43/TrRoad_act!H20*1000)</f>
        <v>298.06693765594781</v>
      </c>
      <c r="I104" s="152">
        <f>IF(TrRoad_act!I20=0,0,I43/TrRoad_act!I20*1000)</f>
        <v>300.76853424222332</v>
      </c>
      <c r="J104" s="152">
        <f>IF(TrRoad_act!J20=0,0,J43/TrRoad_act!J20*1000)</f>
        <v>285.47321903549971</v>
      </c>
      <c r="K104" s="152">
        <f>IF(TrRoad_act!K20=0,0,K43/TrRoad_act!K20*1000)</f>
        <v>279.08910538165452</v>
      </c>
      <c r="L104" s="152">
        <f>IF(TrRoad_act!L20=0,0,L43/TrRoad_act!L20*1000)</f>
        <v>281.28561023433645</v>
      </c>
      <c r="M104" s="152">
        <f>IF(TrRoad_act!M20=0,0,M43/TrRoad_act!M20*1000)</f>
        <v>281.24465095880902</v>
      </c>
      <c r="N104" s="152">
        <f>IF(TrRoad_act!N20=0,0,N43/TrRoad_act!N20*1000)</f>
        <v>278.33937549658418</v>
      </c>
      <c r="O104" s="152">
        <f>IF(TrRoad_act!O20=0,0,O43/TrRoad_act!O20*1000)</f>
        <v>277.21650071362558</v>
      </c>
      <c r="P104" s="152">
        <f>IF(TrRoad_act!P20=0,0,P43/TrRoad_act!P20*1000)</f>
        <v>272.62471931663288</v>
      </c>
      <c r="Q104" s="152">
        <f>IF(TrRoad_act!Q20=0,0,Q43/TrRoad_act!Q20*1000)</f>
        <v>271.5070078463736</v>
      </c>
      <c r="R104" s="152">
        <f>IF(TrRoad_act!R20=0,0,R43/TrRoad_act!R20*1000)</f>
        <v>272.2983705521504</v>
      </c>
      <c r="S104" s="152">
        <f>IF(TrRoad_act!S20=0,0,S43/TrRoad_act!S20*1000)</f>
        <v>262.67859954047651</v>
      </c>
      <c r="T104" s="152">
        <f>IF(TrRoad_act!T20=0,0,T43/TrRoad_act!T20*1000)</f>
        <v>263.78059462256891</v>
      </c>
      <c r="U104" s="152">
        <f>IF(TrRoad_act!U20=0,0,U43/TrRoad_act!U20*1000)</f>
        <v>258.91306569953622</v>
      </c>
      <c r="V104" s="152">
        <f>IF(TrRoad_act!V20=0,0,V43/TrRoad_act!V20*1000)</f>
        <v>255.26947869182521</v>
      </c>
      <c r="W104" s="152">
        <f>IF(TrRoad_act!W20=0,0,W43/TrRoad_act!W20*1000)</f>
        <v>264.24360994503991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341.90882267177665</v>
      </c>
      <c r="C105" s="87">
        <f>IF(TrRoad_act!C21=0,0,C44/TrRoad_act!C21*1000)</f>
        <v>340.67250074330946</v>
      </c>
      <c r="D105" s="87">
        <f>IF(TrRoad_act!D21=0,0,D44/TrRoad_act!D21*1000)</f>
        <v>339.40057780284724</v>
      </c>
      <c r="E105" s="87">
        <f>IF(TrRoad_act!E21=0,0,E44/TrRoad_act!E21*1000)</f>
        <v>338.33100880441287</v>
      </c>
      <c r="F105" s="87">
        <f>IF(TrRoad_act!F21=0,0,F44/TrRoad_act!F21*1000)</f>
        <v>335.03749525138113</v>
      </c>
      <c r="G105" s="87">
        <f>IF(TrRoad_act!G21=0,0,G44/TrRoad_act!G21*1000)</f>
        <v>332.91332829757761</v>
      </c>
      <c r="H105" s="87">
        <f>IF(TrRoad_act!H21=0,0,H44/TrRoad_act!H21*1000)</f>
        <v>327.83414409866248</v>
      </c>
      <c r="I105" s="87">
        <f>IF(TrRoad_act!I21=0,0,I44/TrRoad_act!I21*1000)</f>
        <v>323.5062069600051</v>
      </c>
      <c r="J105" s="87">
        <f>IF(TrRoad_act!J21=0,0,J44/TrRoad_act!J21*1000)</f>
        <v>318.36809763124626</v>
      </c>
      <c r="K105" s="87">
        <f>IF(TrRoad_act!K21=0,0,K44/TrRoad_act!K21*1000)</f>
        <v>312.02492356239446</v>
      </c>
      <c r="L105" s="87">
        <f>IF(TrRoad_act!L21=0,0,L44/TrRoad_act!L21*1000)</f>
        <v>308.686601458626</v>
      </c>
      <c r="M105" s="87">
        <f>IF(TrRoad_act!M21=0,0,M44/TrRoad_act!M21*1000)</f>
        <v>305.29290041928215</v>
      </c>
      <c r="N105" s="87">
        <f>IF(TrRoad_act!N21=0,0,N44/TrRoad_act!N21*1000)</f>
        <v>301.81831526561791</v>
      </c>
      <c r="O105" s="87">
        <f>IF(TrRoad_act!O21=0,0,O44/TrRoad_act!O21*1000)</f>
        <v>298.73229961746625</v>
      </c>
      <c r="P105" s="87">
        <f>IF(TrRoad_act!P21=0,0,P44/TrRoad_act!P21*1000)</f>
        <v>293.88734258509629</v>
      </c>
      <c r="Q105" s="87">
        <f>IF(TrRoad_act!Q21=0,0,Q44/TrRoad_act!Q21*1000)</f>
        <v>290.76947281592663</v>
      </c>
      <c r="R105" s="87">
        <f>IF(TrRoad_act!R21=0,0,R44/TrRoad_act!R21*1000)</f>
        <v>285.94289331069876</v>
      </c>
      <c r="S105" s="87">
        <f>IF(TrRoad_act!S21=0,0,S44/TrRoad_act!S21*1000)</f>
        <v>281.70859373339852</v>
      </c>
      <c r="T105" s="87">
        <f>IF(TrRoad_act!T21=0,0,T44/TrRoad_act!T21*1000)</f>
        <v>277.31069565743076</v>
      </c>
      <c r="U105" s="87">
        <f>IF(TrRoad_act!U21=0,0,U44/TrRoad_act!U21*1000)</f>
        <v>273.03186775458124</v>
      </c>
      <c r="V105" s="87">
        <f>IF(TrRoad_act!V21=0,0,V44/TrRoad_act!V21*1000)</f>
        <v>266.14713801630938</v>
      </c>
      <c r="W105" s="87">
        <f>IF(TrRoad_act!W21=0,0,W44/TrRoad_act!W21*1000)</f>
        <v>262.22831827048822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326.74759830898734</v>
      </c>
      <c r="C106" s="87">
        <f>IF(TrRoad_act!C22=0,0,C46/TrRoad_act!C22*1000)</f>
        <v>316.74269621231298</v>
      </c>
      <c r="D106" s="87">
        <f>IF(TrRoad_act!D22=0,0,D46/TrRoad_act!D22*1000)</f>
        <v>310.91593441624951</v>
      </c>
      <c r="E106" s="87">
        <f>IF(TrRoad_act!E22=0,0,E46/TrRoad_act!E22*1000)</f>
        <v>306.72900089464116</v>
      </c>
      <c r="F106" s="87">
        <f>IF(TrRoad_act!F22=0,0,F46/TrRoad_act!F22*1000)</f>
        <v>302.88205876012626</v>
      </c>
      <c r="G106" s="87">
        <f>IF(TrRoad_act!G22=0,0,G46/TrRoad_act!G22*1000)</f>
        <v>293.83637306321378</v>
      </c>
      <c r="H106" s="87">
        <f>IF(TrRoad_act!H22=0,0,H46/TrRoad_act!H22*1000)</f>
        <v>296.4667650438638</v>
      </c>
      <c r="I106" s="87">
        <f>IF(TrRoad_act!I22=0,0,I46/TrRoad_act!I22*1000)</f>
        <v>299.67380196891537</v>
      </c>
      <c r="J106" s="87">
        <f>IF(TrRoad_act!J22=0,0,J46/TrRoad_act!J22*1000)</f>
        <v>283.98271265613619</v>
      </c>
      <c r="K106" s="87">
        <f>IF(TrRoad_act!K22=0,0,K46/TrRoad_act!K22*1000)</f>
        <v>277.6700884513989</v>
      </c>
      <c r="L106" s="87">
        <f>IF(TrRoad_act!L22=0,0,L46/TrRoad_act!L22*1000)</f>
        <v>280.16768837904397</v>
      </c>
      <c r="M106" s="87">
        <f>IF(TrRoad_act!M22=0,0,M46/TrRoad_act!M22*1000)</f>
        <v>280.3303185753096</v>
      </c>
      <c r="N106" s="87">
        <f>IF(TrRoad_act!N22=0,0,N46/TrRoad_act!N22*1000)</f>
        <v>277.46150489823833</v>
      </c>
      <c r="O106" s="87">
        <f>IF(TrRoad_act!O22=0,0,O46/TrRoad_act!O22*1000)</f>
        <v>276.48918269594435</v>
      </c>
      <c r="P106" s="87">
        <f>IF(TrRoad_act!P22=0,0,P46/TrRoad_act!P22*1000)</f>
        <v>271.93374061067652</v>
      </c>
      <c r="Q106" s="87">
        <f>IF(TrRoad_act!Q22=0,0,Q46/TrRoad_act!Q22*1000)</f>
        <v>270.91324368339997</v>
      </c>
      <c r="R106" s="87">
        <f>IF(TrRoad_act!R22=0,0,R46/TrRoad_act!R22*1000)</f>
        <v>271.89214550702332</v>
      </c>
      <c r="S106" s="87">
        <f>IF(TrRoad_act!S22=0,0,S46/TrRoad_act!S22*1000)</f>
        <v>262.11305358118773</v>
      </c>
      <c r="T106" s="87">
        <f>IF(TrRoad_act!T22=0,0,T46/TrRoad_act!T22*1000)</f>
        <v>263.33384834177843</v>
      </c>
      <c r="U106" s="87">
        <f>IF(TrRoad_act!U22=0,0,U46/TrRoad_act!U22*1000)</f>
        <v>258.37230568046579</v>
      </c>
      <c r="V106" s="87">
        <f>IF(TrRoad_act!V22=0,0,V46/TrRoad_act!V22*1000)</f>
        <v>254.62803875574426</v>
      </c>
      <c r="W106" s="87">
        <f>IF(TrRoad_act!W22=0,0,W46/TrRoad_act!W22*1000)</f>
        <v>263.83130783383211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372.33580634048019</v>
      </c>
      <c r="D108" s="87">
        <f>IF(TrRoad_act!D24=0,0,D49/TrRoad_act!D24*1000)</f>
        <v>371.91713163798846</v>
      </c>
      <c r="E108" s="87">
        <f>IF(TrRoad_act!E24=0,0,E49/TrRoad_act!E24*1000)</f>
        <v>370.79819960852171</v>
      </c>
      <c r="F108" s="87">
        <f>IF(TrRoad_act!F24=0,0,F49/TrRoad_act!F24*1000)</f>
        <v>365.74287252835876</v>
      </c>
      <c r="G108" s="87">
        <f>IF(TrRoad_act!G24=0,0,G49/TrRoad_act!G24*1000)</f>
        <v>371.56705802205488</v>
      </c>
      <c r="H108" s="87">
        <f>IF(TrRoad_act!H24=0,0,H49/TrRoad_act!H24*1000)</f>
        <v>366.32498527449491</v>
      </c>
      <c r="I108" s="87">
        <f>IF(TrRoad_act!I24=0,0,I49/TrRoad_act!I24*1000)</f>
        <v>372.44971084280928</v>
      </c>
      <c r="J108" s="87">
        <f>IF(TrRoad_act!J24=0,0,J49/TrRoad_act!J24*1000)</f>
        <v>421.57461211810852</v>
      </c>
      <c r="K108" s="87">
        <f>IF(TrRoad_act!K24=0,0,K49/TrRoad_act!K24*1000)</f>
        <v>463.84690687626897</v>
      </c>
      <c r="L108" s="87">
        <f>IF(TrRoad_act!L24=0,0,L49/TrRoad_act!L24*1000)</f>
        <v>465.42993026276184</v>
      </c>
      <c r="M108" s="87">
        <f>IF(TrRoad_act!M24=0,0,M49/TrRoad_act!M24*1000)</f>
        <v>354.65966756323411</v>
      </c>
      <c r="N108" s="87">
        <f>IF(TrRoad_act!N24=0,0,N49/TrRoad_act!N24*1000)</f>
        <v>510.8587731599057</v>
      </c>
      <c r="O108" s="87">
        <f>IF(TrRoad_act!O24=0,0,O49/TrRoad_act!O24*1000)</f>
        <v>345.81311298950072</v>
      </c>
      <c r="P108" s="87">
        <f>IF(TrRoad_act!P24=0,0,P49/TrRoad_act!P24*1000)</f>
        <v>357.84471888401174</v>
      </c>
      <c r="Q108" s="87">
        <f>IF(TrRoad_act!Q24=0,0,Q49/TrRoad_act!Q24*1000)</f>
        <v>363.2608265478284</v>
      </c>
      <c r="R108" s="87">
        <f>IF(TrRoad_act!R24=0,0,R49/TrRoad_act!R24*1000)</f>
        <v>419.04731343953148</v>
      </c>
      <c r="S108" s="87">
        <f>IF(TrRoad_act!S24=0,0,S49/TrRoad_act!S24*1000)</f>
        <v>413.09935936106348</v>
      </c>
      <c r="T108" s="87">
        <f>IF(TrRoad_act!T24=0,0,T49/TrRoad_act!T24*1000)</f>
        <v>465.28460038854865</v>
      </c>
      <c r="U108" s="87">
        <f>IF(TrRoad_act!U24=0,0,U49/TrRoad_act!U24*1000)</f>
        <v>521.0344763950178</v>
      </c>
      <c r="V108" s="87">
        <f>IF(TrRoad_act!V24=0,0,V49/TrRoad_act!V24*1000)</f>
        <v>651.33872164374247</v>
      </c>
      <c r="W108" s="87">
        <f>IF(TrRoad_act!W24=0,0,W49/TrRoad_act!W24*1000)</f>
        <v>800.59702038942737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59.113370944305061</v>
      </c>
      <c r="C109" s="87">
        <f>IF(TrRoad_act!C25=0,0,C51/TrRoad_act!C25*1000)</f>
        <v>58.920423798654156</v>
      </c>
      <c r="D109" s="87">
        <f>IF(TrRoad_act!D25=0,0,D51/TrRoad_act!D25*1000)</f>
        <v>58.840960155525281</v>
      </c>
      <c r="E109" s="87">
        <f>IF(TrRoad_act!E25=0,0,E51/TrRoad_act!E25*1000)</f>
        <v>58.801787572399341</v>
      </c>
      <c r="F109" s="87">
        <f>IF(TrRoad_act!F25=0,0,F51/TrRoad_act!F25*1000)</f>
        <v>58.916051813973596</v>
      </c>
      <c r="G109" s="87">
        <f>IF(TrRoad_act!G25=0,0,G51/TrRoad_act!G25*1000)</f>
        <v>58.925935335608528</v>
      </c>
      <c r="H109" s="87">
        <f>IF(TrRoad_act!H25=0,0,H51/TrRoad_act!H25*1000)</f>
        <v>58.846015236586148</v>
      </c>
      <c r="I109" s="87">
        <f>IF(TrRoad_act!I25=0,0,I51/TrRoad_act!I25*1000)</f>
        <v>58.836145260470175</v>
      </c>
      <c r="J109" s="87">
        <f>IF(TrRoad_act!J25=0,0,J51/TrRoad_act!J25*1000)</f>
        <v>58.576823615834314</v>
      </c>
      <c r="K109" s="87">
        <f>IF(TrRoad_act!K25=0,0,K51/TrRoad_act!K25*1000)</f>
        <v>58.399243152243933</v>
      </c>
      <c r="L109" s="87">
        <f>IF(TrRoad_act!L25=0,0,L51/TrRoad_act!L25*1000)</f>
        <v>57.851265993483345</v>
      </c>
      <c r="M109" s="87">
        <f>IF(TrRoad_act!M25=0,0,M51/TrRoad_act!M25*1000)</f>
        <v>57.8135087898048</v>
      </c>
      <c r="N109" s="87">
        <f>IF(TrRoad_act!N25=0,0,N51/TrRoad_act!N25*1000)</f>
        <v>57.063455152277321</v>
      </c>
      <c r="O109" s="87">
        <f>IF(TrRoad_act!O25=0,0,O51/TrRoad_act!O25*1000)</f>
        <v>57.037098638112489</v>
      </c>
      <c r="P109" s="87">
        <f>IF(TrRoad_act!P25=0,0,P51/TrRoad_act!P25*1000)</f>
        <v>59.08330631834599</v>
      </c>
      <c r="Q109" s="87">
        <f>IF(TrRoad_act!Q25=0,0,Q51/TrRoad_act!Q25*1000)</f>
        <v>61.8805857098384</v>
      </c>
      <c r="R109" s="87">
        <f>IF(TrRoad_act!R25=0,0,R51/TrRoad_act!R25*1000)</f>
        <v>64.046944546715579</v>
      </c>
      <c r="S109" s="87">
        <f>IF(TrRoad_act!S25=0,0,S51/TrRoad_act!S25*1000)</f>
        <v>65.049527509867815</v>
      </c>
      <c r="T109" s="87">
        <f>IF(TrRoad_act!T25=0,0,T51/TrRoad_act!T25*1000)</f>
        <v>69.86026609350985</v>
      </c>
      <c r="U109" s="87">
        <f>IF(TrRoad_act!U25=0,0,U51/TrRoad_act!U25*1000)</f>
        <v>74.970027660150478</v>
      </c>
      <c r="V109" s="87">
        <f>IF(TrRoad_act!V25=0,0,V51/TrRoad_act!V25*1000)</f>
        <v>88.377042788027467</v>
      </c>
      <c r="W109" s="87">
        <f>IF(TrRoad_act!W25=0,0,W51/TrRoad_act!W25*1000)</f>
        <v>106.69229519067872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27.927271973946318</v>
      </c>
      <c r="C110" s="116">
        <f>IF(TrRoad_act!C26=0,0,C52/TrRoad_act!C26*1000)</f>
        <v>30.218372500300383</v>
      </c>
      <c r="D110" s="116">
        <f>IF(TrRoad_act!D26=0,0,D52/TrRoad_act!D26*1000)</f>
        <v>29.267783439522798</v>
      </c>
      <c r="E110" s="116">
        <f>IF(TrRoad_act!E26=0,0,E52/TrRoad_act!E26*1000)</f>
        <v>30.845768002822886</v>
      </c>
      <c r="F110" s="116">
        <f>IF(TrRoad_act!F26=0,0,F52/TrRoad_act!F26*1000)</f>
        <v>30.996623636676251</v>
      </c>
      <c r="G110" s="116">
        <f>IF(TrRoad_act!G26=0,0,G52/TrRoad_act!G26*1000)</f>
        <v>30.099159958938987</v>
      </c>
      <c r="H110" s="116">
        <f>IF(TrRoad_act!H26=0,0,H52/TrRoad_act!H26*1000)</f>
        <v>32.091596232213789</v>
      </c>
      <c r="I110" s="116">
        <f>IF(TrRoad_act!I26=0,0,I52/TrRoad_act!I26*1000)</f>
        <v>31.942707809554541</v>
      </c>
      <c r="J110" s="116">
        <f>IF(TrRoad_act!J26=0,0,J52/TrRoad_act!J26*1000)</f>
        <v>28.382965844949631</v>
      </c>
      <c r="K110" s="116">
        <f>IF(TrRoad_act!K26=0,0,K52/TrRoad_act!K26*1000)</f>
        <v>26.966668250535001</v>
      </c>
      <c r="L110" s="116">
        <f>IF(TrRoad_act!L26=0,0,L52/TrRoad_act!L26*1000)</f>
        <v>28.369352468872293</v>
      </c>
      <c r="M110" s="116">
        <f>IF(TrRoad_act!M26=0,0,M52/TrRoad_act!M26*1000)</f>
        <v>27.843345957767223</v>
      </c>
      <c r="N110" s="116">
        <f>IF(TrRoad_act!N26=0,0,N52/TrRoad_act!N26*1000)</f>
        <v>26.436391715010881</v>
      </c>
      <c r="O110" s="116">
        <f>IF(TrRoad_act!O26=0,0,O52/TrRoad_act!O26*1000)</f>
        <v>27.63469095849414</v>
      </c>
      <c r="P110" s="116">
        <f>IF(TrRoad_act!P26=0,0,P52/TrRoad_act!P26*1000)</f>
        <v>25.551386731478893</v>
      </c>
      <c r="Q110" s="116">
        <f>IF(TrRoad_act!Q26=0,0,Q52/TrRoad_act!Q26*1000)</f>
        <v>21.967112938335553</v>
      </c>
      <c r="R110" s="116">
        <f>IF(TrRoad_act!R26=0,0,R52/TrRoad_act!R26*1000)</f>
        <v>22.42456473283227</v>
      </c>
      <c r="S110" s="116">
        <f>IF(TrRoad_act!S26=0,0,S52/TrRoad_act!S26*1000)</f>
        <v>20.536318662687236</v>
      </c>
      <c r="T110" s="116">
        <f>IF(TrRoad_act!T26=0,0,T52/TrRoad_act!T26*1000)</f>
        <v>20.558042620285452</v>
      </c>
      <c r="U110" s="116">
        <f>IF(TrRoad_act!U26=0,0,U52/TrRoad_act!U26*1000)</f>
        <v>19.391464960563347</v>
      </c>
      <c r="V110" s="116">
        <f>IF(TrRoad_act!V26=0,0,V52/TrRoad_act!V26*1000)</f>
        <v>17.651393967972322</v>
      </c>
      <c r="W110" s="116">
        <f>IF(TrRoad_act!W26=0,0,W52/TrRoad_act!W26*1000)</f>
        <v>19.491080774618975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27.568466390245771</v>
      </c>
      <c r="C111" s="101">
        <f>IF(TrRoad_act!C27=0,0,C53/TrRoad_act!C27*1000)</f>
        <v>29.8430666739436</v>
      </c>
      <c r="D111" s="101">
        <f>IF(TrRoad_act!D27=0,0,D53/TrRoad_act!D27*1000)</f>
        <v>28.887178351304705</v>
      </c>
      <c r="E111" s="101">
        <f>IF(TrRoad_act!E27=0,0,E53/TrRoad_act!E27*1000)</f>
        <v>30.464009338980784</v>
      </c>
      <c r="F111" s="101">
        <f>IF(TrRoad_act!F27=0,0,F53/TrRoad_act!F27*1000)</f>
        <v>30.538508972181965</v>
      </c>
      <c r="G111" s="101">
        <f>IF(TrRoad_act!G27=0,0,G53/TrRoad_act!G27*1000)</f>
        <v>29.761729083547152</v>
      </c>
      <c r="H111" s="101">
        <f>IF(TrRoad_act!H27=0,0,H53/TrRoad_act!H27*1000)</f>
        <v>31.699679274879099</v>
      </c>
      <c r="I111" s="101">
        <f>IF(TrRoad_act!I27=0,0,I53/TrRoad_act!I27*1000)</f>
        <v>31.475445035863135</v>
      </c>
      <c r="J111" s="101">
        <f>IF(TrRoad_act!J27=0,0,J53/TrRoad_act!J27*1000)</f>
        <v>28.153765018671482</v>
      </c>
      <c r="K111" s="101">
        <f>IF(TrRoad_act!K27=0,0,K53/TrRoad_act!K27*1000)</f>
        <v>26.792152114734119</v>
      </c>
      <c r="L111" s="101">
        <f>IF(TrRoad_act!L27=0,0,L53/TrRoad_act!L27*1000)</f>
        <v>28.300110077287602</v>
      </c>
      <c r="M111" s="101">
        <f>IF(TrRoad_act!M27=0,0,M53/TrRoad_act!M27*1000)</f>
        <v>27.79522934428201</v>
      </c>
      <c r="N111" s="101">
        <f>IF(TrRoad_act!N27=0,0,N53/TrRoad_act!N27*1000)</f>
        <v>26.405922778302944</v>
      </c>
      <c r="O111" s="101">
        <f>IF(TrRoad_act!O27=0,0,O53/TrRoad_act!O27*1000)</f>
        <v>27.666463856144155</v>
      </c>
      <c r="P111" s="101">
        <f>IF(TrRoad_act!P27=0,0,P53/TrRoad_act!P27*1000)</f>
        <v>25.605787008967681</v>
      </c>
      <c r="Q111" s="101">
        <f>IF(TrRoad_act!Q27=0,0,Q53/TrRoad_act!Q27*1000)</f>
        <v>21.772393103600269</v>
      </c>
      <c r="R111" s="101">
        <f>IF(TrRoad_act!R27=0,0,R53/TrRoad_act!R27*1000)</f>
        <v>22.245911720429536</v>
      </c>
      <c r="S111" s="101">
        <f>IF(TrRoad_act!S27=0,0,S53/TrRoad_act!S27*1000)</f>
        <v>20.469830451309885</v>
      </c>
      <c r="T111" s="101">
        <f>IF(TrRoad_act!T27=0,0,T53/TrRoad_act!T27*1000)</f>
        <v>20.378693781838709</v>
      </c>
      <c r="U111" s="101">
        <f>IF(TrRoad_act!U27=0,0,U53/TrRoad_act!U27*1000)</f>
        <v>19.267536580923945</v>
      </c>
      <c r="V111" s="101">
        <f>IF(TrRoad_act!V27=0,0,V53/TrRoad_act!V27*1000)</f>
        <v>17.46501170624515</v>
      </c>
      <c r="W111" s="101">
        <f>IF(TrRoad_act!W27=0,0,W53/TrRoad_act!W27*1000)</f>
        <v>19.072353397239393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41.712057726283817</v>
      </c>
      <c r="C112" s="88">
        <f>IF(TrRoad_act!C28=0,0,C55/TrRoad_act!C28*1000)</f>
        <v>43.183927732851373</v>
      </c>
      <c r="D112" s="88">
        <f>IF(TrRoad_act!D28=0,0,D55/TrRoad_act!D28*1000)</f>
        <v>42.33526843574284</v>
      </c>
      <c r="E112" s="88">
        <f>IF(TrRoad_act!E28=0,0,E55/TrRoad_act!E28*1000)</f>
        <v>43.208777352279419</v>
      </c>
      <c r="F112" s="88">
        <f>IF(TrRoad_act!F28=0,0,F55/TrRoad_act!F28*1000)</f>
        <v>43.996966402102075</v>
      </c>
      <c r="G112" s="88">
        <f>IF(TrRoad_act!G28=0,0,G55/TrRoad_act!G28*1000)</f>
        <v>39.541797000021297</v>
      </c>
      <c r="H112" s="88">
        <f>IF(TrRoad_act!H28=0,0,H55/TrRoad_act!H28*1000)</f>
        <v>41.518788490132238</v>
      </c>
      <c r="I112" s="88">
        <f>IF(TrRoad_act!I28=0,0,I55/TrRoad_act!I28*1000)</f>
        <v>43.113780890426554</v>
      </c>
      <c r="J112" s="88">
        <f>IF(TrRoad_act!J28=0,0,J55/TrRoad_act!J28*1000)</f>
        <v>34.140502935714565</v>
      </c>
      <c r="K112" s="88">
        <f>IF(TrRoad_act!K28=0,0,K55/TrRoad_act!K28*1000)</f>
        <v>31.210784863888989</v>
      </c>
      <c r="L112" s="88">
        <f>IF(TrRoad_act!L28=0,0,L55/TrRoad_act!L28*1000)</f>
        <v>29.676306783546941</v>
      </c>
      <c r="M112" s="88">
        <f>IF(TrRoad_act!M28=0,0,M55/TrRoad_act!M28*1000)</f>
        <v>29.16616474039358</v>
      </c>
      <c r="N112" s="88">
        <f>IF(TrRoad_act!N28=0,0,N55/TrRoad_act!N28*1000)</f>
        <v>27.063108016359052</v>
      </c>
      <c r="O112" s="88">
        <f>IF(TrRoad_act!O28=0,0,O55/TrRoad_act!O28*1000)</f>
        <v>26.914724501603324</v>
      </c>
      <c r="P112" s="88">
        <f>IF(TrRoad_act!P28=0,0,P55/TrRoad_act!P28*1000)</f>
        <v>24.621646410271442</v>
      </c>
      <c r="Q112" s="88">
        <f>IF(TrRoad_act!Q28=0,0,Q55/TrRoad_act!Q28*1000)</f>
        <v>25.075715615892289</v>
      </c>
      <c r="R112" s="88">
        <f>IF(TrRoad_act!R28=0,0,R55/TrRoad_act!R28*1000)</f>
        <v>26.3209419888043</v>
      </c>
      <c r="S112" s="88">
        <f>IF(TrRoad_act!S28=0,0,S55/TrRoad_act!S28*1000)</f>
        <v>22.080282215410808</v>
      </c>
      <c r="T112" s="88">
        <f>IF(TrRoad_act!T28=0,0,T55/TrRoad_act!T28*1000)</f>
        <v>24.179885026554519</v>
      </c>
      <c r="U112" s="88">
        <f>IF(TrRoad_act!U28=0,0,U55/TrRoad_act!U28*1000)</f>
        <v>22.482268834090927</v>
      </c>
      <c r="V112" s="88">
        <f>IF(TrRoad_act!V28=0,0,V55/TrRoad_act!V28*1000)</f>
        <v>22.459711168196741</v>
      </c>
      <c r="W112" s="88">
        <f>IF(TrRoad_act!W28=0,0,W55/TrRoad_act!W28*1000)</f>
        <v>27.893583996172016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204.09277943565627</v>
      </c>
      <c r="C116" s="152">
        <f>IF(C19=0,0,1000000*C19/TrRoad_act!C59)</f>
        <v>188.92477007649612</v>
      </c>
      <c r="D116" s="152">
        <f>IF(D19=0,0,1000000*D19/TrRoad_act!D59)</f>
        <v>171.76040121007637</v>
      </c>
      <c r="E116" s="152">
        <f>IF(E19=0,0,1000000*E19/TrRoad_act!E59)</f>
        <v>154.10652334976436</v>
      </c>
      <c r="F116" s="152">
        <f>IF(F19=0,0,1000000*F19/TrRoad_act!F59)</f>
        <v>137.37729483216955</v>
      </c>
      <c r="G116" s="152">
        <f>IF(G19=0,0,1000000*G19/TrRoad_act!G59)</f>
        <v>122.14082163527438</v>
      </c>
      <c r="H116" s="152">
        <f>IF(H19=0,0,1000000*H19/TrRoad_act!H59)</f>
        <v>107.72815749038017</v>
      </c>
      <c r="I116" s="152">
        <f>IF(I19=0,0,1000000*I19/TrRoad_act!I59)</f>
        <v>96.230070871067454</v>
      </c>
      <c r="J116" s="152">
        <f>IF(J19=0,0,1000000*J19/TrRoad_act!J59)</f>
        <v>84.637077830747103</v>
      </c>
      <c r="K116" s="152">
        <f>IF(K19=0,0,1000000*K19/TrRoad_act!K59)</f>
        <v>77.118506280112939</v>
      </c>
      <c r="L116" s="152">
        <f>IF(L19=0,0,1000000*L19/TrRoad_act!L59)</f>
        <v>94.796068934568467</v>
      </c>
      <c r="M116" s="152">
        <f>IF(M19=0,0,1000000*M19/TrRoad_act!M59)</f>
        <v>88.102216296544185</v>
      </c>
      <c r="N116" s="152">
        <f>IF(N19=0,0,1000000*N19/TrRoad_act!N59)</f>
        <v>83.199309218432916</v>
      </c>
      <c r="O116" s="152">
        <f>IF(O19=0,0,1000000*O19/TrRoad_act!O59)</f>
        <v>80.038576889513166</v>
      </c>
      <c r="P116" s="152">
        <f>IF(P19=0,0,1000000*P19/TrRoad_act!P59)</f>
        <v>77.187042254875024</v>
      </c>
      <c r="Q116" s="152">
        <f>IF(Q19=0,0,1000000*Q19/TrRoad_act!Q59)</f>
        <v>74.861097225386501</v>
      </c>
      <c r="R116" s="152">
        <f>IF(R19=0,0,1000000*R19/TrRoad_act!R59)</f>
        <v>74.626996480086248</v>
      </c>
      <c r="S116" s="152">
        <f>IF(S19=0,0,1000000*S19/TrRoad_act!S59)</f>
        <v>68.58724077785925</v>
      </c>
      <c r="T116" s="152">
        <f>IF(T19=0,0,1000000*T19/TrRoad_act!T59)</f>
        <v>63.841219639745702</v>
      </c>
      <c r="U116" s="152">
        <f>IF(U19=0,0,1000000*U19/TrRoad_act!U59)</f>
        <v>66.125227790015558</v>
      </c>
      <c r="V116" s="152">
        <f>IF(V19=0,0,1000000*V19/TrRoad_act!V59)</f>
        <v>57.62805495996593</v>
      </c>
      <c r="W116" s="152">
        <f>IF(W19=0,0,1000000*W19/TrRoad_act!W59)</f>
        <v>56.689567863245173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973.54788725135916</v>
      </c>
      <c r="C117" s="116">
        <f>IF(C21=0,0,1000000*C21/TrRoad_act!C60)</f>
        <v>976.54051448488633</v>
      </c>
      <c r="D117" s="116">
        <f>IF(D21=0,0,1000000*D21/TrRoad_act!D60)</f>
        <v>986.87757817361319</v>
      </c>
      <c r="E117" s="116">
        <f>IF(E21=0,0,1000000*E21/TrRoad_act!E60)</f>
        <v>971.27724422302776</v>
      </c>
      <c r="F117" s="116">
        <f>IF(F21=0,0,1000000*F21/TrRoad_act!F60)</f>
        <v>963.97671054644525</v>
      </c>
      <c r="G117" s="116">
        <f>IF(G21=0,0,1000000*G21/TrRoad_act!G60)</f>
        <v>939.13251221680684</v>
      </c>
      <c r="H117" s="116">
        <f>IF(H21=0,0,1000000*H21/TrRoad_act!H60)</f>
        <v>930.50438458862197</v>
      </c>
      <c r="I117" s="116">
        <f>IF(I21=0,0,1000000*I21/TrRoad_act!I60)</f>
        <v>937.17485105437902</v>
      </c>
      <c r="J117" s="116">
        <f>IF(J21=0,0,1000000*J21/TrRoad_act!J60)</f>
        <v>866.1414769436783</v>
      </c>
      <c r="K117" s="116">
        <f>IF(K21=0,0,1000000*K21/TrRoad_act!K60)</f>
        <v>844.92649658584958</v>
      </c>
      <c r="L117" s="116">
        <f>IF(L21=0,0,1000000*L21/TrRoad_act!L60)</f>
        <v>826.83252249426516</v>
      </c>
      <c r="M117" s="116">
        <f>IF(M21=0,0,1000000*M21/TrRoad_act!M60)</f>
        <v>809.26958813270301</v>
      </c>
      <c r="N117" s="116">
        <f>IF(N21=0,0,1000000*N21/TrRoad_act!N60)</f>
        <v>782.33280900696252</v>
      </c>
      <c r="O117" s="116">
        <f>IF(O21=0,0,1000000*O21/TrRoad_act!O60)</f>
        <v>765.75566608099371</v>
      </c>
      <c r="P117" s="116">
        <f>IF(P21=0,0,1000000*P21/TrRoad_act!P60)</f>
        <v>740.09539851456054</v>
      </c>
      <c r="Q117" s="116">
        <f>IF(Q21=0,0,1000000*Q21/TrRoad_act!Q60)</f>
        <v>733.54346957501673</v>
      </c>
      <c r="R117" s="116">
        <f>IF(R21=0,0,1000000*R21/TrRoad_act!R60)</f>
        <v>702.09073755301677</v>
      </c>
      <c r="S117" s="116">
        <f>IF(S21=0,0,1000000*S21/TrRoad_act!S60)</f>
        <v>691.86591048948765</v>
      </c>
      <c r="T117" s="116">
        <f>IF(T21=0,0,1000000*T21/TrRoad_act!T60)</f>
        <v>682.48629999839909</v>
      </c>
      <c r="U117" s="116">
        <f>IF(U21=0,0,1000000*U21/TrRoad_act!U60)</f>
        <v>655.38968246732679</v>
      </c>
      <c r="V117" s="116">
        <f>IF(V21=0,0,1000000*V21/TrRoad_act!V60)</f>
        <v>604.48057459409665</v>
      </c>
      <c r="W117" s="116">
        <f>IF(W21=0,0,1000000*W21/TrRoad_act!W60)</f>
        <v>613.73400610309784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847.69021061671515</v>
      </c>
      <c r="C118" s="87">
        <f>IF(C22=0,0,1000000*C22/TrRoad_act!C61)</f>
        <v>855.35128224519144</v>
      </c>
      <c r="D118" s="87">
        <f>IF(D22=0,0,1000000*D22/TrRoad_act!D61)</f>
        <v>863.68870590670576</v>
      </c>
      <c r="E118" s="87">
        <f>IF(E22=0,0,1000000*E22/TrRoad_act!E61)</f>
        <v>844.24659108197</v>
      </c>
      <c r="F118" s="87">
        <f>IF(F22=0,0,1000000*F22/TrRoad_act!F61)</f>
        <v>836.0346210358216</v>
      </c>
      <c r="G118" s="87">
        <f>IF(G22=0,0,1000000*G22/TrRoad_act!G61)</f>
        <v>810.43379695111935</v>
      </c>
      <c r="H118" s="87">
        <f>IF(H22=0,0,1000000*H22/TrRoad_act!H61)</f>
        <v>788.24042583092421</v>
      </c>
      <c r="I118" s="87">
        <f>IF(I22=0,0,1000000*I22/TrRoad_act!I61)</f>
        <v>777.70594393053295</v>
      </c>
      <c r="J118" s="87">
        <f>IF(J22=0,0,1000000*J22/TrRoad_act!J61)</f>
        <v>704.74528276525484</v>
      </c>
      <c r="K118" s="87">
        <f>IF(K22=0,0,1000000*K22/TrRoad_act!K61)</f>
        <v>676.61610326596065</v>
      </c>
      <c r="L118" s="87">
        <f>IF(L22=0,0,1000000*L22/TrRoad_act!L61)</f>
        <v>646.72667147282004</v>
      </c>
      <c r="M118" s="87">
        <f>IF(M22=0,0,1000000*M22/TrRoad_act!M61)</f>
        <v>606.66025712490432</v>
      </c>
      <c r="N118" s="87">
        <f>IF(N22=0,0,1000000*N22/TrRoad_act!N61)</f>
        <v>577.54559107397154</v>
      </c>
      <c r="O118" s="87">
        <f>IF(O22=0,0,1000000*O22/TrRoad_act!O61)</f>
        <v>573.71696716202314</v>
      </c>
      <c r="P118" s="87">
        <f>IF(P22=0,0,1000000*P22/TrRoad_act!P61)</f>
        <v>548.14911953311071</v>
      </c>
      <c r="Q118" s="87">
        <f>IF(Q22=0,0,1000000*Q22/TrRoad_act!Q61)</f>
        <v>538.76290704109647</v>
      </c>
      <c r="R118" s="87">
        <f>IF(R22=0,0,1000000*R22/TrRoad_act!R61)</f>
        <v>528.32168960552212</v>
      </c>
      <c r="S118" s="87">
        <f>IF(S22=0,0,1000000*S22/TrRoad_act!S61)</f>
        <v>507.09666196798366</v>
      </c>
      <c r="T118" s="87">
        <f>IF(T22=0,0,1000000*T22/TrRoad_act!T61)</f>
        <v>496.42565563912603</v>
      </c>
      <c r="U118" s="87">
        <f>IF(U22=0,0,1000000*U22/TrRoad_act!U61)</f>
        <v>479.24724155358098</v>
      </c>
      <c r="V118" s="87">
        <f>IF(V22=0,0,1000000*V22/TrRoad_act!V61)</f>
        <v>442.80782274611926</v>
      </c>
      <c r="W118" s="87">
        <f>IF(W22=0,0,1000000*W22/TrRoad_act!W61)</f>
        <v>454.24411248884246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2072.2045071967432</v>
      </c>
      <c r="C119" s="87">
        <f>IF(C24=0,0,1000000*C24/TrRoad_act!C62)</f>
        <v>1986.0999650978745</v>
      </c>
      <c r="D119" s="87">
        <f>IF(D24=0,0,1000000*D24/TrRoad_act!D62)</f>
        <v>1968.8384737396709</v>
      </c>
      <c r="E119" s="87">
        <f>IF(E24=0,0,1000000*E24/TrRoad_act!E62)</f>
        <v>1931.2265095592377</v>
      </c>
      <c r="F119" s="87">
        <f>IF(F24=0,0,1000000*F24/TrRoad_act!F62)</f>
        <v>1924.4744121857177</v>
      </c>
      <c r="G119" s="87">
        <f>IF(G24=0,0,1000000*G24/TrRoad_act!G62)</f>
        <v>1842.5891014092651</v>
      </c>
      <c r="H119" s="87">
        <f>IF(H24=0,0,1000000*H24/TrRoad_act!H62)</f>
        <v>1854.7905331762686</v>
      </c>
      <c r="I119" s="87">
        <f>IF(I24=0,0,1000000*I24/TrRoad_act!I62)</f>
        <v>1878.4219557447677</v>
      </c>
      <c r="J119" s="87">
        <f>IF(J24=0,0,1000000*J24/TrRoad_act!J62)</f>
        <v>1673.322619041501</v>
      </c>
      <c r="K119" s="87">
        <f>IF(K24=0,0,1000000*K24/TrRoad_act!K62)</f>
        <v>1615.5904603077258</v>
      </c>
      <c r="L119" s="87">
        <f>IF(L24=0,0,1000000*L24/TrRoad_act!L62)</f>
        <v>1573.5602689530672</v>
      </c>
      <c r="M119" s="87">
        <f>IF(M24=0,0,1000000*M24/TrRoad_act!M62)</f>
        <v>1577.9247904255076</v>
      </c>
      <c r="N119" s="87">
        <f>IF(N24=0,0,1000000*N24/TrRoad_act!N62)</f>
        <v>1513.1102289693006</v>
      </c>
      <c r="O119" s="87">
        <f>IF(O24=0,0,1000000*O24/TrRoad_act!O62)</f>
        <v>1419.1832721038259</v>
      </c>
      <c r="P119" s="87">
        <f>IF(P24=0,0,1000000*P24/TrRoad_act!P62)</f>
        <v>1364.379546351314</v>
      </c>
      <c r="Q119" s="87">
        <f>IF(Q24=0,0,1000000*Q24/TrRoad_act!Q62)</f>
        <v>1342.5633207758756</v>
      </c>
      <c r="R119" s="87">
        <f>IF(R24=0,0,1000000*R24/TrRoad_act!R62)</f>
        <v>1225.7566997892193</v>
      </c>
      <c r="S119" s="87">
        <f>IF(S24=0,0,1000000*S24/TrRoad_act!S62)</f>
        <v>1231.9500321761882</v>
      </c>
      <c r="T119" s="87">
        <f>IF(T24=0,0,1000000*T24/TrRoad_act!T62)</f>
        <v>1213.8165850209468</v>
      </c>
      <c r="U119" s="87">
        <f>IF(U24=0,0,1000000*U24/TrRoad_act!U62)</f>
        <v>1155.3444900250829</v>
      </c>
      <c r="V119" s="87">
        <f>IF(V24=0,0,1000000*V24/TrRoad_act!V62)</f>
        <v>1064.6843497434597</v>
      </c>
      <c r="W119" s="87">
        <f>IF(W24=0,0,1000000*W24/TrRoad_act!W62)</f>
        <v>1079.5170666759063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0</v>
      </c>
      <c r="E120" s="87">
        <f>IF(E26=0,0,1000000*E26/TrRoad_act!E63)</f>
        <v>0</v>
      </c>
      <c r="F120" s="87">
        <f>IF(F26=0,0,1000000*F26/TrRoad_act!F63)</f>
        <v>0</v>
      </c>
      <c r="G120" s="87">
        <f>IF(G26=0,0,1000000*G26/TrRoad_act!G63)</f>
        <v>0</v>
      </c>
      <c r="H120" s="87">
        <f>IF(H26=0,0,1000000*H26/TrRoad_act!H63)</f>
        <v>0</v>
      </c>
      <c r="I120" s="87">
        <f>IF(I26=0,0,1000000*I26/TrRoad_act!I63)</f>
        <v>0</v>
      </c>
      <c r="J120" s="87">
        <f>IF(J26=0,0,1000000*J26/TrRoad_act!J63)</f>
        <v>0</v>
      </c>
      <c r="K120" s="87">
        <f>IF(K26=0,0,1000000*K26/TrRoad_act!K63)</f>
        <v>0</v>
      </c>
      <c r="L120" s="87">
        <f>IF(L26=0,0,1000000*L26/TrRoad_act!L63)</f>
        <v>0</v>
      </c>
      <c r="M120" s="87">
        <f>IF(M26=0,0,1000000*M26/TrRoad_act!M63)</f>
        <v>0</v>
      </c>
      <c r="N120" s="87">
        <f>IF(N26=0,0,1000000*N26/TrRoad_act!N63)</f>
        <v>0</v>
      </c>
      <c r="O120" s="87">
        <f>IF(O26=0,0,1000000*O26/TrRoad_act!O63)</f>
        <v>0</v>
      </c>
      <c r="P120" s="87">
        <f>IF(P26=0,0,1000000*P26/TrRoad_act!P63)</f>
        <v>0</v>
      </c>
      <c r="Q120" s="87">
        <f>IF(Q26=0,0,1000000*Q26/TrRoad_act!Q63)</f>
        <v>0</v>
      </c>
      <c r="R120" s="87">
        <f>IF(R26=0,0,1000000*R26/TrRoad_act!R63)</f>
        <v>0</v>
      </c>
      <c r="S120" s="87">
        <f>IF(S26=0,0,1000000*S26/TrRoad_act!S63)</f>
        <v>0</v>
      </c>
      <c r="T120" s="87">
        <f>IF(T26=0,0,1000000*T26/TrRoad_act!T63)</f>
        <v>0</v>
      </c>
      <c r="U120" s="87">
        <f>IF(U26=0,0,1000000*U26/TrRoad_act!U63)</f>
        <v>0</v>
      </c>
      <c r="V120" s="87">
        <f>IF(V26=0,0,1000000*V26/TrRoad_act!V63)</f>
        <v>0</v>
      </c>
      <c r="W120" s="87">
        <f>IF(W26=0,0,1000000*W26/TrRoad_act!W63)</f>
        <v>0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1128.5211526783617</v>
      </c>
      <c r="I121" s="87">
        <f>IF(I27=0,0,1000000*I27/TrRoad_act!I64)</f>
        <v>1132.1509706177419</v>
      </c>
      <c r="J121" s="87">
        <f>IF(J27=0,0,1000000*J27/TrRoad_act!J64)</f>
        <v>1233.1392173257818</v>
      </c>
      <c r="K121" s="87">
        <f>IF(K27=0,0,1000000*K27/TrRoad_act!K64)</f>
        <v>1364.7671487310633</v>
      </c>
      <c r="L121" s="87">
        <f>IF(L27=0,0,1000000*L27/TrRoad_act!L64)</f>
        <v>1342.8058430610638</v>
      </c>
      <c r="M121" s="87">
        <f>IF(M27=0,0,1000000*M27/TrRoad_act!M64)</f>
        <v>995.12694587037288</v>
      </c>
      <c r="N121" s="87">
        <f>IF(N27=0,0,1000000*N27/TrRoad_act!N64)</f>
        <v>1422.4535731586507</v>
      </c>
      <c r="O121" s="87">
        <f>IF(O27=0,0,1000000*O27/TrRoad_act!O64)</f>
        <v>934.21665093973979</v>
      </c>
      <c r="P121" s="87">
        <f>IF(P27=0,0,1000000*P27/TrRoad_act!P64)</f>
        <v>879.42307496125659</v>
      </c>
      <c r="Q121" s="87">
        <f>IF(Q27=0,0,1000000*Q27/TrRoad_act!Q64)</f>
        <v>819.19740511421355</v>
      </c>
      <c r="R121" s="87">
        <f>IF(R27=0,0,1000000*R27/TrRoad_act!R64)</f>
        <v>785.98610335679246</v>
      </c>
      <c r="S121" s="87">
        <f>IF(S27=0,0,1000000*S27/TrRoad_act!S64)</f>
        <v>789.30054915451967</v>
      </c>
      <c r="T121" s="87">
        <f>IF(T27=0,0,1000000*T27/TrRoad_act!T64)</f>
        <v>858.79811056168728</v>
      </c>
      <c r="U121" s="87">
        <f>IF(U27=0,0,1000000*U27/TrRoad_act!U64)</f>
        <v>944.10509811180157</v>
      </c>
      <c r="V121" s="87">
        <f>IF(V27=0,0,1000000*V27/TrRoad_act!V64)</f>
        <v>1094.9972868937759</v>
      </c>
      <c r="W121" s="87">
        <f>IF(W27=0,0,1000000*W27/TrRoad_act!W64)</f>
        <v>1240.486459500911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262.32631955595019</v>
      </c>
      <c r="O122" s="87">
        <f>IF(O29=0,0,1000000*O29/TrRoad_act!O65)</f>
        <v>273.37978691098778</v>
      </c>
      <c r="P122" s="87">
        <f>IF(P29=0,0,1000000*P29/TrRoad_act!P65)</f>
        <v>294.42586294279852</v>
      </c>
      <c r="Q122" s="87">
        <f>IF(Q29=0,0,1000000*Q29/TrRoad_act!Q65)</f>
        <v>323.18110786543258</v>
      </c>
      <c r="R122" s="87">
        <f>IF(R29=0,0,1000000*R29/TrRoad_act!R65)</f>
        <v>315.28986644559455</v>
      </c>
      <c r="S122" s="87">
        <f>IF(S29=0,0,1000000*S29/TrRoad_act!S65)</f>
        <v>320.7316600087496</v>
      </c>
      <c r="T122" s="87">
        <f>IF(T29=0,0,1000000*T29/TrRoad_act!T65)</f>
        <v>319.28274937005648</v>
      </c>
      <c r="U122" s="87">
        <f>IF(U29=0,0,1000000*U29/TrRoad_act!U65)</f>
        <v>295.59284266829087</v>
      </c>
      <c r="V122" s="87">
        <f>IF(V29=0,0,1000000*V29/TrRoad_act!V65)</f>
        <v>258.96616093962444</v>
      </c>
      <c r="W122" s="87">
        <f>IF(W29=0,0,1000000*W29/TrRoad_act!W65)</f>
        <v>248.97034549241593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204.773715065494</v>
      </c>
      <c r="J123" s="87">
        <f>IF(J32=0,0,1000000*J32/TrRoad_act!J66)</f>
        <v>209.54438792388092</v>
      </c>
      <c r="K123" s="87">
        <f>IF(K32=0,0,1000000*K32/TrRoad_act!K66)</f>
        <v>210.14233702166445</v>
      </c>
      <c r="L123" s="87">
        <f>IF(L32=0,0,1000000*L32/TrRoad_act!L66)</f>
        <v>211.63362837932144</v>
      </c>
      <c r="M123" s="87">
        <f>IF(M32=0,0,1000000*M32/TrRoad_act!M66)</f>
        <v>214.33524311397306</v>
      </c>
      <c r="N123" s="87">
        <f>IF(N32=0,0,1000000*N32/TrRoad_act!N66)</f>
        <v>209.69076468063696</v>
      </c>
      <c r="O123" s="87">
        <f>IF(O32=0,0,1000000*O32/TrRoad_act!O66)</f>
        <v>212.92751922765714</v>
      </c>
      <c r="P123" s="87">
        <f>IF(P32=0,0,1000000*P32/TrRoad_act!P66)</f>
        <v>212.71172374303055</v>
      </c>
      <c r="Q123" s="87">
        <f>IF(Q32=0,0,1000000*Q32/TrRoad_act!Q66)</f>
        <v>228.75334067309939</v>
      </c>
      <c r="R123" s="87">
        <f>IF(R32=0,0,1000000*R32/TrRoad_act!R66)</f>
        <v>225.33700289884044</v>
      </c>
      <c r="S123" s="87">
        <f>IF(S32=0,0,1000000*S32/TrRoad_act!S66)</f>
        <v>219.07160408707065</v>
      </c>
      <c r="T123" s="87">
        <f>IF(T32=0,0,1000000*T32/TrRoad_act!T66)</f>
        <v>220.35107143501966</v>
      </c>
      <c r="U123" s="87">
        <f>IF(U32=0,0,1000000*U32/TrRoad_act!U66)</f>
        <v>209.80757219893064</v>
      </c>
      <c r="V123" s="87">
        <f>IF(V32=0,0,1000000*V32/TrRoad_act!V66)</f>
        <v>209.1036957471778</v>
      </c>
      <c r="W123" s="87">
        <f>IF(W32=0,0,1000000*W32/TrRoad_act!W66)</f>
        <v>234.57980080836623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22080.033680408964</v>
      </c>
      <c r="C124" s="116">
        <f>IF(C33=0,0,1000000*C33/TrRoad_act!C67)</f>
        <v>21809.910584155976</v>
      </c>
      <c r="D124" s="116">
        <f>IF(D33=0,0,1000000*D33/TrRoad_act!D67)</f>
        <v>21507.178689613444</v>
      </c>
      <c r="E124" s="116">
        <f>IF(E33=0,0,1000000*E33/TrRoad_act!E67)</f>
        <v>21350.749253644277</v>
      </c>
      <c r="F124" s="116">
        <f>IF(F33=0,0,1000000*F33/TrRoad_act!F67)</f>
        <v>21418.006873651841</v>
      </c>
      <c r="G124" s="116">
        <f>IF(G33=0,0,1000000*G33/TrRoad_act!G67)</f>
        <v>20741.950100106165</v>
      </c>
      <c r="H124" s="116">
        <f>IF(H33=0,0,1000000*H33/TrRoad_act!H67)</f>
        <v>20983.331084378653</v>
      </c>
      <c r="I124" s="116">
        <f>IF(I33=0,0,1000000*I33/TrRoad_act!I67)</f>
        <v>21111.60148613718</v>
      </c>
      <c r="J124" s="116">
        <f>IF(J33=0,0,1000000*J33/TrRoad_act!J67)</f>
        <v>19935.247258804648</v>
      </c>
      <c r="K124" s="116">
        <f>IF(K33=0,0,1000000*K33/TrRoad_act!K67)</f>
        <v>19520.68806706537</v>
      </c>
      <c r="L124" s="116">
        <f>IF(L33=0,0,1000000*L33/TrRoad_act!L67)</f>
        <v>19470.842307696526</v>
      </c>
      <c r="M124" s="116">
        <f>IF(M33=0,0,1000000*M33/TrRoad_act!M67)</f>
        <v>19127.194364400759</v>
      </c>
      <c r="N124" s="116">
        <f>IF(N33=0,0,1000000*N33/TrRoad_act!N67)</f>
        <v>19001.576776618305</v>
      </c>
      <c r="O124" s="116">
        <f>IF(O33=0,0,1000000*O33/TrRoad_act!O67)</f>
        <v>18839.259064534432</v>
      </c>
      <c r="P124" s="116">
        <f>IF(P33=0,0,1000000*P33/TrRoad_act!P67)</f>
        <v>18585.269580700657</v>
      </c>
      <c r="Q124" s="116">
        <f>IF(Q33=0,0,1000000*Q33/TrRoad_act!Q67)</f>
        <v>18622.97426451687</v>
      </c>
      <c r="R124" s="116">
        <f>IF(R33=0,0,1000000*R33/TrRoad_act!R67)</f>
        <v>19232.465596808626</v>
      </c>
      <c r="S124" s="116">
        <f>IF(S33=0,0,1000000*S33/TrRoad_act!S67)</f>
        <v>18627.545369337669</v>
      </c>
      <c r="T124" s="116">
        <f>IF(T33=0,0,1000000*T33/TrRoad_act!T67)</f>
        <v>18107.358915192908</v>
      </c>
      <c r="U124" s="116">
        <f>IF(U33=0,0,1000000*U33/TrRoad_act!U67)</f>
        <v>17032.668562942959</v>
      </c>
      <c r="V124" s="116">
        <f>IF(V33=0,0,1000000*V33/TrRoad_act!V67)</f>
        <v>14720.089330889024</v>
      </c>
      <c r="W124" s="116">
        <f>IF(W33=0,0,1000000*W33/TrRoad_act!W67)</f>
        <v>13339.161215059055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3310.0028112188866</v>
      </c>
      <c r="C125" s="101">
        <f>IF(C34=0,0,1000000*C34/TrRoad_act!C68)</f>
        <v>3240.2573432904073</v>
      </c>
      <c r="D125" s="101">
        <f>IF(D34=0,0,1000000*D34/TrRoad_act!D68)</f>
        <v>3237.7740677261227</v>
      </c>
      <c r="E125" s="101">
        <f>IF(E34=0,0,1000000*E34/TrRoad_act!E68)</f>
        <v>3237.247352008756</v>
      </c>
      <c r="F125" s="101">
        <f>IF(F34=0,0,1000000*F34/TrRoad_act!F68)</f>
        <v>3224.3907084338093</v>
      </c>
      <c r="G125" s="101">
        <f>IF(G34=0,0,1000000*G34/TrRoad_act!G68)</f>
        <v>3194.2367130436173</v>
      </c>
      <c r="H125" s="101">
        <f>IF(H34=0,0,1000000*H34/TrRoad_act!H68)</f>
        <v>3188.4158526391552</v>
      </c>
      <c r="I125" s="101">
        <f>IF(I34=0,0,1000000*I34/TrRoad_act!I68)</f>
        <v>3180.9950711606198</v>
      </c>
      <c r="J125" s="101">
        <f>IF(J34=0,0,1000000*J34/TrRoad_act!J68)</f>
        <v>3177.8838597241015</v>
      </c>
      <c r="K125" s="101">
        <f>IF(K34=0,0,1000000*K34/TrRoad_act!K68)</f>
        <v>3131.6910862060108</v>
      </c>
      <c r="L125" s="101">
        <f>IF(L34=0,0,1000000*L34/TrRoad_act!L68)</f>
        <v>3109.1908602993099</v>
      </c>
      <c r="M125" s="101">
        <f>IF(M34=0,0,1000000*M34/TrRoad_act!M68)</f>
        <v>3104.7278459961567</v>
      </c>
      <c r="N125" s="101">
        <f>IF(N34=0,0,1000000*N34/TrRoad_act!N68)</f>
        <v>3104.3285299781401</v>
      </c>
      <c r="O125" s="101">
        <f>IF(O34=0,0,1000000*O34/TrRoad_act!O68)</f>
        <v>3103.8631986135774</v>
      </c>
      <c r="P125" s="101">
        <f>IF(P34=0,0,1000000*P34/TrRoad_act!P68)</f>
        <v>3103.4383375605926</v>
      </c>
      <c r="Q125" s="101">
        <f>IF(Q34=0,0,1000000*Q34/TrRoad_act!Q68)</f>
        <v>3102.9480439059239</v>
      </c>
      <c r="R125" s="101">
        <f>IF(R34=0,0,1000000*R34/TrRoad_act!R68)</f>
        <v>3102.3103579996468</v>
      </c>
      <c r="S125" s="101">
        <f>IF(S34=0,0,1000000*S34/TrRoad_act!S68)</f>
        <v>2971.357940463723</v>
      </c>
      <c r="T125" s="101">
        <f>IF(T34=0,0,1000000*T34/TrRoad_act!T68)</f>
        <v>2769.4409344089445</v>
      </c>
      <c r="U125" s="101">
        <f>IF(U34=0,0,1000000*U34/TrRoad_act!U68)</f>
        <v>2563.8372154921453</v>
      </c>
      <c r="V125" s="101">
        <f>IF(V34=0,0,1000000*V34/TrRoad_act!V68)</f>
        <v>2150.8313801304075</v>
      </c>
      <c r="W125" s="101">
        <f>IF(W34=0,0,1000000*W34/TrRoad_act!W68)</f>
        <v>1822.2337316375776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22193.768651004961</v>
      </c>
      <c r="C126" s="101">
        <f>IF(C36=0,0,1000000*C36/TrRoad_act!C69)</f>
        <v>21922.839154430883</v>
      </c>
      <c r="D126" s="101">
        <f>IF(D36=0,0,1000000*D36/TrRoad_act!D69)</f>
        <v>21640.55264488516</v>
      </c>
      <c r="E126" s="101">
        <f>IF(E36=0,0,1000000*E36/TrRoad_act!E69)</f>
        <v>21480.86868580486</v>
      </c>
      <c r="F126" s="101">
        <f>IF(F36=0,0,1000000*F36/TrRoad_act!F69)</f>
        <v>21540.507213261681</v>
      </c>
      <c r="G126" s="101">
        <f>IF(G36=0,0,1000000*G36/TrRoad_act!G69)</f>
        <v>20853.689438624628</v>
      </c>
      <c r="H126" s="101">
        <f>IF(H36=0,0,1000000*H36/TrRoad_act!H69)</f>
        <v>21109.345629277093</v>
      </c>
      <c r="I126" s="101">
        <f>IF(I36=0,0,1000000*I36/TrRoad_act!I69)</f>
        <v>21256.589137858518</v>
      </c>
      <c r="J126" s="101">
        <f>IF(J36=0,0,1000000*J36/TrRoad_act!J69)</f>
        <v>19978.135446335673</v>
      </c>
      <c r="K126" s="101">
        <f>IF(K36=0,0,1000000*K36/TrRoad_act!K69)</f>
        <v>19506.988737212763</v>
      </c>
      <c r="L126" s="101">
        <f>IF(L36=0,0,1000000*L36/TrRoad_act!L69)</f>
        <v>19454.917719392135</v>
      </c>
      <c r="M126" s="101">
        <f>IF(M36=0,0,1000000*M36/TrRoad_act!M69)</f>
        <v>19209.713323561729</v>
      </c>
      <c r="N126" s="101">
        <f>IF(N36=0,0,1000000*N36/TrRoad_act!N69)</f>
        <v>18968.509773008947</v>
      </c>
      <c r="O126" s="101">
        <f>IF(O36=0,0,1000000*O36/TrRoad_act!O69)</f>
        <v>18909.933165564202</v>
      </c>
      <c r="P126" s="101">
        <f>IF(P36=0,0,1000000*P36/TrRoad_act!P69)</f>
        <v>18630.079282369858</v>
      </c>
      <c r="Q126" s="101">
        <f>IF(Q36=0,0,1000000*Q36/TrRoad_act!Q69)</f>
        <v>18671.824400158788</v>
      </c>
      <c r="R126" s="101">
        <f>IF(R36=0,0,1000000*R36/TrRoad_act!R69)</f>
        <v>19267.935545959532</v>
      </c>
      <c r="S126" s="101">
        <f>IF(S36=0,0,1000000*S36/TrRoad_act!S69)</f>
        <v>18660.082043318653</v>
      </c>
      <c r="T126" s="101">
        <f>IF(T36=0,0,1000000*T36/TrRoad_act!T69)</f>
        <v>18129.151032090245</v>
      </c>
      <c r="U126" s="101">
        <f>IF(U36=0,0,1000000*U36/TrRoad_act!U69)</f>
        <v>17037.769822575287</v>
      </c>
      <c r="V126" s="101">
        <f>IF(V36=0,0,1000000*V36/TrRoad_act!V69)</f>
        <v>14696.242781299703</v>
      </c>
      <c r="W126" s="101">
        <f>IF(W36=0,0,1000000*W36/TrRoad_act!W69)</f>
        <v>13308.441613128336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16378.004340171154</v>
      </c>
      <c r="C128" s="101">
        <f>IF(C39=0,0,1000000*C39/TrRoad_act!C71)</f>
        <v>16653.695963349699</v>
      </c>
      <c r="D128" s="101">
        <f>IF(D39=0,0,1000000*D39/TrRoad_act!D71)</f>
        <v>16507.69467209094</v>
      </c>
      <c r="E128" s="101">
        <f>IF(E39=0,0,1000000*E39/TrRoad_act!E71)</f>
        <v>16299.146789353978</v>
      </c>
      <c r="F128" s="101">
        <f>IF(F39=0,0,1000000*F39/TrRoad_act!F71)</f>
        <v>16616.441767363645</v>
      </c>
      <c r="G128" s="101">
        <f>IF(G39=0,0,1000000*G39/TrRoad_act!G71)</f>
        <v>16713.797386572704</v>
      </c>
      <c r="H128" s="101">
        <f>IF(H39=0,0,1000000*H39/TrRoad_act!H71)</f>
        <v>16900.341098277673</v>
      </c>
      <c r="I128" s="101">
        <f>IF(I39=0,0,1000000*I39/TrRoad_act!I71)</f>
        <v>15965.896124887156</v>
      </c>
      <c r="J128" s="101">
        <f>IF(J39=0,0,1000000*J39/TrRoad_act!J71)</f>
        <v>19949.838973968279</v>
      </c>
      <c r="K128" s="101">
        <f>IF(K39=0,0,1000000*K39/TrRoad_act!K71)</f>
        <v>22902.822419750344</v>
      </c>
      <c r="L128" s="101">
        <f>IF(L39=0,0,1000000*L39/TrRoad_act!L71)</f>
        <v>23311.34422900654</v>
      </c>
      <c r="M128" s="101">
        <f>IF(M39=0,0,1000000*M39/TrRoad_act!M71)</f>
        <v>15482.309106879868</v>
      </c>
      <c r="N128" s="101">
        <f>IF(N39=0,0,1000000*N39/TrRoad_act!N71)</f>
        <v>24893.935015891584</v>
      </c>
      <c r="O128" s="101">
        <f>IF(O39=0,0,1000000*O39/TrRoad_act!O71)</f>
        <v>15221.25373471224</v>
      </c>
      <c r="P128" s="101">
        <f>IF(P39=0,0,1000000*P39/TrRoad_act!P71)</f>
        <v>17096.035405362385</v>
      </c>
      <c r="Q128" s="101">
        <f>IF(Q39=0,0,1000000*Q39/TrRoad_act!Q71)</f>
        <v>16331.097214293632</v>
      </c>
      <c r="R128" s="101">
        <f>IF(R39=0,0,1000000*R39/TrRoad_act!R71)</f>
        <v>18790.690168621957</v>
      </c>
      <c r="S128" s="101">
        <f>IF(S39=0,0,1000000*S39/TrRoad_act!S71)</f>
        <v>18563.764469717895</v>
      </c>
      <c r="T128" s="101">
        <f>IF(T39=0,0,1000000*T39/TrRoad_act!T71)</f>
        <v>19461.020106023519</v>
      </c>
      <c r="U128" s="101">
        <f>IF(U39=0,0,1000000*U39/TrRoad_act!U71)</f>
        <v>21444.189600314214</v>
      </c>
      <c r="V128" s="101">
        <f>IF(V39=0,0,1000000*V39/TrRoad_act!V71)</f>
        <v>22980.769874193131</v>
      </c>
      <c r="W128" s="101">
        <f>IF(W39=0,0,1000000*W39/TrRoad_act!W71)</f>
        <v>22696.345414265754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15328.124961620015</v>
      </c>
      <c r="O129" s="101">
        <f>IF(O41=0,0,1000000*O41/TrRoad_act!O72)</f>
        <v>15325.827312632253</v>
      </c>
      <c r="P129" s="101">
        <f>IF(P41=0,0,1000000*P41/TrRoad_act!P72)</f>
        <v>15323.729492363362</v>
      </c>
      <c r="Q129" s="101">
        <f>IF(Q41=0,0,1000000*Q41/TrRoad_act!Q72)</f>
        <v>15321.308588024767</v>
      </c>
      <c r="R129" s="101">
        <f>IF(R41=0,0,1000000*R41/TrRoad_act!R72)</f>
        <v>15531.733096939126</v>
      </c>
      <c r="S129" s="101">
        <f>IF(S41=0,0,1000000*S41/TrRoad_act!S72)</f>
        <v>15497.54510099974</v>
      </c>
      <c r="T129" s="101">
        <f>IF(T41=0,0,1000000*T41/TrRoad_act!T72)</f>
        <v>15134.076925091349</v>
      </c>
      <c r="U129" s="101">
        <f>IF(U41=0,0,1000000*U41/TrRoad_act!U72)</f>
        <v>14729.953266380688</v>
      </c>
      <c r="V129" s="101">
        <f>IF(V41=0,0,1000000*V41/TrRoad_act!V72)</f>
        <v>13189.190018258365</v>
      </c>
      <c r="W129" s="101">
        <f>IF(W41=0,0,1000000*W41/TrRoad_act!W72)</f>
        <v>12734.354068951252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1716.5081116361484</v>
      </c>
      <c r="C131" s="152">
        <f>IF(C43=0,0,1000000*C43/TrRoad_act!C74)</f>
        <v>1676.4689655770037</v>
      </c>
      <c r="D131" s="152">
        <f>IF(D43=0,0,1000000*D43/TrRoad_act!D74)</f>
        <v>1653.9988657295578</v>
      </c>
      <c r="E131" s="152">
        <f>IF(E43=0,0,1000000*E43/TrRoad_act!E74)</f>
        <v>1636.0177441650715</v>
      </c>
      <c r="F131" s="152">
        <f>IF(F43=0,0,1000000*F43/TrRoad_act!F74)</f>
        <v>1599.2043916886794</v>
      </c>
      <c r="G131" s="152">
        <f>IF(G43=0,0,1000000*G43/TrRoad_act!G74)</f>
        <v>1579.2076680263738</v>
      </c>
      <c r="H131" s="152">
        <f>IF(H43=0,0,1000000*H43/TrRoad_act!H74)</f>
        <v>1567.8538897803617</v>
      </c>
      <c r="I131" s="152">
        <f>IF(I43=0,0,1000000*I43/TrRoad_act!I74)</f>
        <v>1583.1578240140996</v>
      </c>
      <c r="J131" s="152">
        <f>IF(J43=0,0,1000000*J43/TrRoad_act!J74)</f>
        <v>1516.9095114132354</v>
      </c>
      <c r="K131" s="152">
        <f>IF(K43=0,0,1000000*K43/TrRoad_act!K74)</f>
        <v>1449.183372488186</v>
      </c>
      <c r="L131" s="152">
        <f>IF(L43=0,0,1000000*L43/TrRoad_act!L74)</f>
        <v>1467.6243174850488</v>
      </c>
      <c r="M131" s="152">
        <f>IF(M43=0,0,1000000*M43/TrRoad_act!M74)</f>
        <v>1466.0024645458086</v>
      </c>
      <c r="N131" s="152">
        <f>IF(N43=0,0,1000000*N43/TrRoad_act!N74)</f>
        <v>1431.3924306739352</v>
      </c>
      <c r="O131" s="152">
        <f>IF(O43=0,0,1000000*O43/TrRoad_act!O74)</f>
        <v>1437.0613157105956</v>
      </c>
      <c r="P131" s="152">
        <f>IF(P43=0,0,1000000*P43/TrRoad_act!P74)</f>
        <v>1396.6003439201454</v>
      </c>
      <c r="Q131" s="152">
        <f>IF(Q43=0,0,1000000*Q43/TrRoad_act!Q74)</f>
        <v>1382.9663686389877</v>
      </c>
      <c r="R131" s="152">
        <f>IF(R43=0,0,1000000*R43/TrRoad_act!R74)</f>
        <v>1381.1866667791182</v>
      </c>
      <c r="S131" s="152">
        <f>IF(S43=0,0,1000000*S43/TrRoad_act!S74)</f>
        <v>1328.2096656732163</v>
      </c>
      <c r="T131" s="152">
        <f>IF(T43=0,0,1000000*T43/TrRoad_act!T74)</f>
        <v>1329.1160724854826</v>
      </c>
      <c r="U131" s="152">
        <f>IF(U43=0,0,1000000*U43/TrRoad_act!U74)</f>
        <v>1297.8728147883392</v>
      </c>
      <c r="V131" s="152">
        <f>IF(V43=0,0,1000000*V43/TrRoad_act!V74)</f>
        <v>1249.1175699221074</v>
      </c>
      <c r="W131" s="152">
        <f>IF(W43=0,0,1000000*W43/TrRoad_act!W74)</f>
        <v>1313.1471929282648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925.44212529749848</v>
      </c>
      <c r="C132" s="87">
        <f>IF(C44=0,0,1000000*C44/TrRoad_act!C75)</f>
        <v>920.23466607136038</v>
      </c>
      <c r="D132" s="87">
        <f>IF(D44=0,0,1000000*D44/TrRoad_act!D75)</f>
        <v>914.90732981116003</v>
      </c>
      <c r="E132" s="87">
        <f>IF(E44=0,0,1000000*E44/TrRoad_act!E75)</f>
        <v>907.80624711577082</v>
      </c>
      <c r="F132" s="87">
        <f>IF(F44=0,0,1000000*F44/TrRoad_act!F75)</f>
        <v>881.98573167730297</v>
      </c>
      <c r="G132" s="87">
        <f>IF(G44=0,0,1000000*G44/TrRoad_act!G75)</f>
        <v>887.27792009569691</v>
      </c>
      <c r="H132" s="87">
        <f>IF(H44=0,0,1000000*H44/TrRoad_act!H75)</f>
        <v>856.97971352023717</v>
      </c>
      <c r="I132" s="87">
        <f>IF(I44=0,0,1000000*I44/TrRoad_act!I75)</f>
        <v>841.83289689156391</v>
      </c>
      <c r="J132" s="87">
        <f>IF(J44=0,0,1000000*J44/TrRoad_act!J75)</f>
        <v>833.44580476395652</v>
      </c>
      <c r="K132" s="87">
        <f>IF(K44=0,0,1000000*K44/TrRoad_act!K75)</f>
        <v>796.30112953086962</v>
      </c>
      <c r="L132" s="87">
        <f>IF(L44=0,0,1000000*L44/TrRoad_act!L75)</f>
        <v>789.79641998805278</v>
      </c>
      <c r="M132" s="87">
        <f>IF(M44=0,0,1000000*M44/TrRoad_act!M75)</f>
        <v>778.4512096194054</v>
      </c>
      <c r="N132" s="87">
        <f>IF(N44=0,0,1000000*N44/TrRoad_act!N75)</f>
        <v>758.0336954835293</v>
      </c>
      <c r="O132" s="87">
        <f>IF(O44=0,0,1000000*O44/TrRoad_act!O75)</f>
        <v>754.31001286398612</v>
      </c>
      <c r="P132" s="87">
        <f>IF(P44=0,0,1000000*P44/TrRoad_act!P75)</f>
        <v>732.30384587638207</v>
      </c>
      <c r="Q132" s="87">
        <f>IF(Q44=0,0,1000000*Q44/TrRoad_act!Q75)</f>
        <v>719.42844358686148</v>
      </c>
      <c r="R132" s="87">
        <f>IF(R44=0,0,1000000*R44/TrRoad_act!R75)</f>
        <v>703.62458719491315</v>
      </c>
      <c r="S132" s="87">
        <f>IF(S44=0,0,1000000*S44/TrRoad_act!S75)</f>
        <v>690.17949054288545</v>
      </c>
      <c r="T132" s="87">
        <f>IF(T44=0,0,1000000*T44/TrRoad_act!T75)</f>
        <v>676.34303289302966</v>
      </c>
      <c r="U132" s="87">
        <f>IF(U44=0,0,1000000*U44/TrRoad_act!U75)</f>
        <v>661.9727721970354</v>
      </c>
      <c r="V132" s="87">
        <f>IF(V44=0,0,1000000*V44/TrRoad_act!V75)</f>
        <v>629.64124600382354</v>
      </c>
      <c r="W132" s="87">
        <f>IF(W44=0,0,1000000*W44/TrRoad_act!W75)</f>
        <v>629.95942557185413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1885.2683385907792</v>
      </c>
      <c r="C133" s="87">
        <f>IF(C46=0,0,1000000*C46/TrRoad_act!C76)</f>
        <v>1823.8530708419994</v>
      </c>
      <c r="D133" s="87">
        <f>IF(D46=0,0,1000000*D46/TrRoad_act!D76)</f>
        <v>1786.5619173402661</v>
      </c>
      <c r="E133" s="87">
        <f>IF(E46=0,0,1000000*E46/TrRoad_act!E76)</f>
        <v>1754.3655495492328</v>
      </c>
      <c r="F133" s="87">
        <f>IF(F46=0,0,1000000*F46/TrRoad_act!F76)</f>
        <v>1699.6228595886032</v>
      </c>
      <c r="G133" s="87">
        <f>IF(G46=0,0,1000000*G46/TrRoad_act!G76)</f>
        <v>1669.3569391544527</v>
      </c>
      <c r="H133" s="87">
        <f>IF(H46=0,0,1000000*H46/TrRoad_act!H76)</f>
        <v>1651.9534413495446</v>
      </c>
      <c r="I133" s="87">
        <f>IF(I46=0,0,1000000*I46/TrRoad_act!I76)</f>
        <v>1662.3044973997457</v>
      </c>
      <c r="J133" s="87">
        <f>IF(J46=0,0,1000000*J46/TrRoad_act!J76)</f>
        <v>1584.6803409997306</v>
      </c>
      <c r="K133" s="87">
        <f>IF(K46=0,0,1000000*K46/TrRoad_act!K76)</f>
        <v>1510.4559632081741</v>
      </c>
      <c r="L133" s="87">
        <f>IF(L46=0,0,1000000*L46/TrRoad_act!L76)</f>
        <v>1527.9289023958931</v>
      </c>
      <c r="M133" s="87">
        <f>IF(M46=0,0,1000000*M46/TrRoad_act!M76)</f>
        <v>1523.7007336322688</v>
      </c>
      <c r="N133" s="87">
        <f>IF(N46=0,0,1000000*N46/TrRoad_act!N76)</f>
        <v>1485.3356872639754</v>
      </c>
      <c r="O133" s="87">
        <f>IF(O46=0,0,1000000*O46/TrRoad_act!O76)</f>
        <v>1488.1859702174079</v>
      </c>
      <c r="P133" s="87">
        <f>IF(P46=0,0,1000000*P46/TrRoad_act!P76)</f>
        <v>1444.3807644159378</v>
      </c>
      <c r="Q133" s="87">
        <f>IF(Q46=0,0,1000000*Q46/TrRoad_act!Q76)</f>
        <v>1428.8262711031587</v>
      </c>
      <c r="R133" s="87">
        <f>IF(R46=0,0,1000000*R46/TrRoad_act!R76)</f>
        <v>1426.1616592619839</v>
      </c>
      <c r="S133" s="87">
        <f>IF(S46=0,0,1000000*S46/TrRoad_act!S76)</f>
        <v>1368.8661975319437</v>
      </c>
      <c r="T133" s="87">
        <f>IF(T46=0,0,1000000*T46/TrRoad_act!T76)</f>
        <v>1369.0442378053808</v>
      </c>
      <c r="U133" s="87">
        <f>IF(U46=0,0,1000000*U46/TrRoad_act!U76)</f>
        <v>1335.3132022640445</v>
      </c>
      <c r="V133" s="87">
        <f>IF(V46=0,0,1000000*V46/TrRoad_act!V76)</f>
        <v>1284.0679008989614</v>
      </c>
      <c r="W133" s="87">
        <f>IF(W46=0,0,1000000*W46/TrRoad_act!W76)</f>
        <v>1351.0446880595191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0</v>
      </c>
      <c r="T134" s="87">
        <f>IF(T48=0,0,1000000*T48/TrRoad_act!T77)</f>
        <v>0</v>
      </c>
      <c r="U134" s="87">
        <f>IF(U48=0,0,1000000*U48/TrRoad_act!U77)</f>
        <v>0</v>
      </c>
      <c r="V134" s="87">
        <f>IF(V48=0,0,1000000*V48/TrRoad_act!V77)</f>
        <v>0</v>
      </c>
      <c r="W134" s="87">
        <f>IF(W48=0,0,1000000*W48/TrRoad_act!W77)</f>
        <v>0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1453.2571643173735</v>
      </c>
      <c r="D135" s="87">
        <f>IF(D49=0,0,1000000*D49/TrRoad_act!D78)</f>
        <v>1445.1049102562968</v>
      </c>
      <c r="E135" s="87">
        <f>IF(E49=0,0,1000000*E49/TrRoad_act!E78)</f>
        <v>1423.4969530090384</v>
      </c>
      <c r="F135" s="87">
        <f>IF(F49=0,0,1000000*F49/TrRoad_act!F78)</f>
        <v>1329.0698785303207</v>
      </c>
      <c r="G135" s="87">
        <f>IF(G49=0,0,1000000*G49/TrRoad_act!G78)</f>
        <v>1402.7215111899693</v>
      </c>
      <c r="H135" s="87">
        <f>IF(H49=0,0,1000000*H49/TrRoad_act!H78)</f>
        <v>1306.526256884533</v>
      </c>
      <c r="I135" s="87">
        <f>IF(I49=0,0,1000000*I49/TrRoad_act!I78)</f>
        <v>1312.0373362562298</v>
      </c>
      <c r="J135" s="87">
        <f>IF(J49=0,0,1000000*J49/TrRoad_act!J78)</f>
        <v>1513.1642683051573</v>
      </c>
      <c r="K135" s="87">
        <f>IF(K49=0,0,1000000*K49/TrRoad_act!K78)</f>
        <v>1543.2475476555139</v>
      </c>
      <c r="L135" s="87">
        <f>IF(L49=0,0,1000000*L49/TrRoad_act!L78)</f>
        <v>1561.204650231949</v>
      </c>
      <c r="M135" s="87">
        <f>IF(M49=0,0,1000000*M49/TrRoad_act!M78)</f>
        <v>1178.3667166991802</v>
      </c>
      <c r="N135" s="87">
        <f>IF(N49=0,0,1000000*N49/TrRoad_act!N78)</f>
        <v>1622.2898361793148</v>
      </c>
      <c r="O135" s="87">
        <f>IF(O49=0,0,1000000*O49/TrRoad_act!O78)</f>
        <v>1116.0647480916796</v>
      </c>
      <c r="P135" s="87">
        <f>IF(P49=0,0,1000000*P49/TrRoad_act!P78)</f>
        <v>1109.8499826663033</v>
      </c>
      <c r="Q135" s="87">
        <f>IF(Q49=0,0,1000000*Q49/TrRoad_act!Q78)</f>
        <v>1102.9819126735781</v>
      </c>
      <c r="R135" s="87">
        <f>IF(R49=0,0,1000000*R49/TrRoad_act!R78)</f>
        <v>1251.6462364562658</v>
      </c>
      <c r="S135" s="87">
        <f>IF(S49=0,0,1000000*S49/TrRoad_act!S78)</f>
        <v>1217.7939764522084</v>
      </c>
      <c r="T135" s="87">
        <f>IF(T49=0,0,1000000*T49/TrRoad_act!T78)</f>
        <v>1353.1729830210131</v>
      </c>
      <c r="U135" s="87">
        <f>IF(U49=0,0,1000000*U49/TrRoad_act!U78)</f>
        <v>1488.6076946336273</v>
      </c>
      <c r="V135" s="87">
        <f>IF(V49=0,0,1000000*V49/TrRoad_act!V78)</f>
        <v>1815.7885719240505</v>
      </c>
      <c r="W135" s="87">
        <f>IF(W49=0,0,1000000*W49/TrRoad_act!W78)</f>
        <v>2225.0838086657004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139.39203232866907</v>
      </c>
      <c r="C136" s="87">
        <f>IF(C51=0,0,1000000*C51/TrRoad_act!C79)</f>
        <v>139.00513886192408</v>
      </c>
      <c r="D136" s="87">
        <f>IF(D51=0,0,1000000*D51/TrRoad_act!D79)</f>
        <v>138.87863962079336</v>
      </c>
      <c r="E136" s="87">
        <f>IF(E51=0,0,1000000*E51/TrRoad_act!E79)</f>
        <v>138.94255724986661</v>
      </c>
      <c r="F136" s="87">
        <f>IF(F51=0,0,1000000*F51/TrRoad_act!F79)</f>
        <v>140.58508946884703</v>
      </c>
      <c r="G136" s="87">
        <f>IF(G51=0,0,1000000*G51/TrRoad_act!G79)</f>
        <v>141.88218352433293</v>
      </c>
      <c r="H136" s="87">
        <f>IF(H51=0,0,1000000*H51/TrRoad_act!H79)</f>
        <v>143.11838912632956</v>
      </c>
      <c r="I136" s="87">
        <f>IF(I51=0,0,1000000*I51/TrRoad_act!I79)</f>
        <v>143.26007842814622</v>
      </c>
      <c r="J136" s="87">
        <f>IF(J51=0,0,1000000*J51/TrRoad_act!J79)</f>
        <v>144.64524007523792</v>
      </c>
      <c r="K136" s="87">
        <f>IF(K51=0,0,1000000*K51/TrRoad_act!K79)</f>
        <v>145.61194629345286</v>
      </c>
      <c r="L136" s="87">
        <f>IF(L51=0,0,1000000*L51/TrRoad_act!L79)</f>
        <v>145.23954347172861</v>
      </c>
      <c r="M136" s="87">
        <f>IF(M51=0,0,1000000*M51/TrRoad_act!M79)</f>
        <v>145.58939171860123</v>
      </c>
      <c r="N136" s="87">
        <f>IF(N51=0,0,1000000*N51/TrRoad_act!N79)</f>
        <v>144.30257442711059</v>
      </c>
      <c r="O136" s="87">
        <f>IF(O51=0,0,1000000*O51/TrRoad_act!O79)</f>
        <v>145.38255714031436</v>
      </c>
      <c r="P136" s="87">
        <f>IF(P51=0,0,1000000*P51/TrRoad_act!P79)</f>
        <v>151.11485989556331</v>
      </c>
      <c r="Q136" s="87">
        <f>IF(Q51=0,0,1000000*Q51/TrRoad_act!Q79)</f>
        <v>158.28841389008227</v>
      </c>
      <c r="R136" s="87">
        <f>IF(R51=0,0,1000000*R51/TrRoad_act!R79)</f>
        <v>163.29273765142881</v>
      </c>
      <c r="S136" s="87">
        <f>IF(S51=0,0,1000000*S51/TrRoad_act!S79)</f>
        <v>165.41418642754809</v>
      </c>
      <c r="T136" s="87">
        <f>IF(T51=0,0,1000000*T51/TrRoad_act!T79)</f>
        <v>177.1666242686606</v>
      </c>
      <c r="U136" s="87">
        <f>IF(U51=0,0,1000000*U51/TrRoad_act!U79)</f>
        <v>189.45024776391966</v>
      </c>
      <c r="V136" s="87">
        <f>IF(V51=0,0,1000000*V51/TrRoad_act!V79)</f>
        <v>217.91722230027895</v>
      </c>
      <c r="W136" s="87">
        <f>IF(W51=0,0,1000000*W51/TrRoad_act!W79)</f>
        <v>268.12930687292874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11631.63867210034</v>
      </c>
      <c r="C137" s="116">
        <f>IF(C52=0,0,1000000*C52/TrRoad_act!C80)</f>
        <v>11540.406210337636</v>
      </c>
      <c r="D137" s="116">
        <f>IF(D52=0,0,1000000*D52/TrRoad_act!D80)</f>
        <v>11160.312375900437</v>
      </c>
      <c r="E137" s="116">
        <f>IF(E52=0,0,1000000*E52/TrRoad_act!E80)</f>
        <v>10628.13395573343</v>
      </c>
      <c r="F137" s="116">
        <f>IF(F52=0,0,1000000*F52/TrRoad_act!F80)</f>
        <v>10226.824766570937</v>
      </c>
      <c r="G137" s="116">
        <f>IF(G52=0,0,1000000*G52/TrRoad_act!G80)</f>
        <v>9515.7817388657986</v>
      </c>
      <c r="H137" s="116">
        <f>IF(H52=0,0,1000000*H52/TrRoad_act!H80)</f>
        <v>8908.2836073866474</v>
      </c>
      <c r="I137" s="116">
        <f>IF(I52=0,0,1000000*I52/TrRoad_act!I80)</f>
        <v>8451.2846413440784</v>
      </c>
      <c r="J137" s="116">
        <f>IF(J52=0,0,1000000*J52/TrRoad_act!J80)</f>
        <v>7265.6062936801118</v>
      </c>
      <c r="K137" s="116">
        <f>IF(K52=0,0,1000000*K52/TrRoad_act!K80)</f>
        <v>5782.8001048518181</v>
      </c>
      <c r="L137" s="116">
        <f>IF(L52=0,0,1000000*L52/TrRoad_act!L80)</f>
        <v>6023.1725842743099</v>
      </c>
      <c r="M137" s="116">
        <f>IF(M52=0,0,1000000*M52/TrRoad_act!M80)</f>
        <v>5167.5857939887064</v>
      </c>
      <c r="N137" s="116">
        <f>IF(N52=0,0,1000000*N52/TrRoad_act!N80)</f>
        <v>4396.1050369620034</v>
      </c>
      <c r="O137" s="116">
        <f>IF(O52=0,0,1000000*O52/TrRoad_act!O80)</f>
        <v>4210.4158018079852</v>
      </c>
      <c r="P137" s="116">
        <f>IF(P52=0,0,1000000*P52/TrRoad_act!P80)</f>
        <v>3695.7222124076438</v>
      </c>
      <c r="Q137" s="116">
        <f>IF(Q52=0,0,1000000*Q52/TrRoad_act!Q80)</f>
        <v>3263.2398527851301</v>
      </c>
      <c r="R137" s="116">
        <f>IF(R52=0,0,1000000*R52/TrRoad_act!R80)</f>
        <v>3629.4646991975465</v>
      </c>
      <c r="S137" s="116">
        <f>IF(S52=0,0,1000000*S52/TrRoad_act!S80)</f>
        <v>3414.1657708578955</v>
      </c>
      <c r="T137" s="116">
        <f>IF(T52=0,0,1000000*T52/TrRoad_act!T80)</f>
        <v>3281.4467908109204</v>
      </c>
      <c r="U137" s="116">
        <f>IF(U52=0,0,1000000*U52/TrRoad_act!U80)</f>
        <v>3043.4179934829108</v>
      </c>
      <c r="V137" s="116">
        <f>IF(V52=0,0,1000000*V52/TrRoad_act!V80)</f>
        <v>2803.6629689324359</v>
      </c>
      <c r="W137" s="116">
        <f>IF(W52=0,0,1000000*W52/TrRoad_act!W80)</f>
        <v>3031.8228940153394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11289.283932015098</v>
      </c>
      <c r="C138" s="101">
        <f>IF(C53=0,0,1000000*C53/TrRoad_act!C81)</f>
        <v>11175.650375175006</v>
      </c>
      <c r="D138" s="101">
        <f>IF(D53=0,0,1000000*D53/TrRoad_act!D81)</f>
        <v>10799.078207187129</v>
      </c>
      <c r="E138" s="101">
        <f>IF(E53=0,0,1000000*E53/TrRoad_act!E81)</f>
        <v>10269.59948839039</v>
      </c>
      <c r="F138" s="101">
        <f>IF(F53=0,0,1000000*F53/TrRoad_act!F81)</f>
        <v>9825.5145999117722</v>
      </c>
      <c r="G138" s="101">
        <f>IF(G53=0,0,1000000*G53/TrRoad_act!G81)</f>
        <v>9168.4848206763108</v>
      </c>
      <c r="H138" s="101">
        <f>IF(H53=0,0,1000000*H53/TrRoad_act!H81)</f>
        <v>8527.1621567912061</v>
      </c>
      <c r="I138" s="101">
        <f>IF(I53=0,0,1000000*I53/TrRoad_act!I81)</f>
        <v>8064.7014320085109</v>
      </c>
      <c r="J138" s="101">
        <f>IF(J53=0,0,1000000*J53/TrRoad_act!J81)</f>
        <v>6988.9001644203499</v>
      </c>
      <c r="K138" s="101">
        <f>IF(K53=0,0,1000000*K53/TrRoad_act!K81)</f>
        <v>5558.7779499449207</v>
      </c>
      <c r="L138" s="101">
        <f>IF(L53=0,0,1000000*L53/TrRoad_act!L81)</f>
        <v>5757.1958652097901</v>
      </c>
      <c r="M138" s="101">
        <f>IF(M53=0,0,1000000*M53/TrRoad_act!M81)</f>
        <v>5004.7524529104312</v>
      </c>
      <c r="N138" s="101">
        <f>IF(N53=0,0,1000000*N53/TrRoad_act!N81)</f>
        <v>4214.5841650420125</v>
      </c>
      <c r="O138" s="101">
        <f>IF(O53=0,0,1000000*O53/TrRoad_act!O81)</f>
        <v>4058.9017452448566</v>
      </c>
      <c r="P138" s="101">
        <f>IF(P53=0,0,1000000*P53/TrRoad_act!P81)</f>
        <v>3522.2945717172524</v>
      </c>
      <c r="Q138" s="101">
        <f>IF(Q53=0,0,1000000*Q53/TrRoad_act!Q81)</f>
        <v>3066.2199240626828</v>
      </c>
      <c r="R138" s="101">
        <f>IF(R53=0,0,1000000*R53/TrRoad_act!R81)</f>
        <v>3463.4522284395007</v>
      </c>
      <c r="S138" s="101">
        <f>IF(S53=0,0,1000000*S53/TrRoad_act!S81)</f>
        <v>3281.4641106564468</v>
      </c>
      <c r="T138" s="101">
        <f>IF(T53=0,0,1000000*T53/TrRoad_act!T81)</f>
        <v>3118.8692041532181</v>
      </c>
      <c r="U138" s="101">
        <f>IF(U53=0,0,1000000*U53/TrRoad_act!U81)</f>
        <v>2922.1349262337094</v>
      </c>
      <c r="V138" s="101">
        <f>IF(V53=0,0,1000000*V53/TrRoad_act!V81)</f>
        <v>2684.0200782100424</v>
      </c>
      <c r="W138" s="101">
        <f>IF(W53=0,0,1000000*W53/TrRoad_act!W81)</f>
        <v>2843.4644000801395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50576.648054738413</v>
      </c>
      <c r="C139" s="88">
        <f>IF(C55=0,0,1000000*C55/TrRoad_act!C82)</f>
        <v>52269.568744798191</v>
      </c>
      <c r="D139" s="88">
        <f>IF(D55=0,0,1000000*D55/TrRoad_act!D82)</f>
        <v>51584.623097977419</v>
      </c>
      <c r="E139" s="88">
        <f>IF(E55=0,0,1000000*E55/TrRoad_act!E82)</f>
        <v>52388.239761520919</v>
      </c>
      <c r="F139" s="88">
        <f>IF(F55=0,0,1000000*F55/TrRoad_act!F82)</f>
        <v>52313.361466812952</v>
      </c>
      <c r="G139" s="88">
        <f>IF(G55=0,0,1000000*G55/TrRoad_act!G82)</f>
        <v>47069.600593151954</v>
      </c>
      <c r="H139" s="88">
        <f>IF(H55=0,0,1000000*H55/TrRoad_act!H82)</f>
        <v>49721.907184386735</v>
      </c>
      <c r="I139" s="88">
        <f>IF(I55=0,0,1000000*I55/TrRoad_act!I82)</f>
        <v>51737.497828979875</v>
      </c>
      <c r="J139" s="88">
        <f>IF(J55=0,0,1000000*J55/TrRoad_act!J82)</f>
        <v>40399.750467246959</v>
      </c>
      <c r="K139" s="88">
        <f>IF(K55=0,0,1000000*K55/TrRoad_act!K82)</f>
        <v>36445.408767277411</v>
      </c>
      <c r="L139" s="88">
        <f>IF(L55=0,0,1000000*L55/TrRoad_act!L82)</f>
        <v>35760.860784420147</v>
      </c>
      <c r="M139" s="88">
        <f>IF(M55=0,0,1000000*M55/TrRoad_act!M82)</f>
        <v>35017.043402888252</v>
      </c>
      <c r="N139" s="88">
        <f>IF(N55=0,0,1000000*N55/TrRoad_act!N82)</f>
        <v>32417.012936368523</v>
      </c>
      <c r="O139" s="88">
        <f>IF(O55=0,0,1000000*O55/TrRoad_act!O82)</f>
        <v>32260.73122431057</v>
      </c>
      <c r="P139" s="88">
        <f>IF(P55=0,0,1000000*P55/TrRoad_act!P82)</f>
        <v>29597.35099037673</v>
      </c>
      <c r="Q139" s="88">
        <f>IF(Q55=0,0,1000000*Q55/TrRoad_act!Q82)</f>
        <v>29846.433196553062</v>
      </c>
      <c r="R139" s="88">
        <f>IF(R55=0,0,1000000*R55/TrRoad_act!R82)</f>
        <v>31167.480817578165</v>
      </c>
      <c r="S139" s="88">
        <f>IF(S55=0,0,1000000*S55/TrRoad_act!S82)</f>
        <v>26381.341306271403</v>
      </c>
      <c r="T139" s="88">
        <f>IF(T55=0,0,1000000*T55/TrRoad_act!T82)</f>
        <v>29088.243352805534</v>
      </c>
      <c r="U139" s="88">
        <f>IF(U55=0,0,1000000*U55/TrRoad_act!U82)</f>
        <v>26963.616933159443</v>
      </c>
      <c r="V139" s="88">
        <f>IF(V55=0,0,1000000*V55/TrRoad_act!V82)</f>
        <v>26509.823018199429</v>
      </c>
      <c r="W139" s="88">
        <f>IF(W55=0,0,1000000*W55/TrRoad_act!W82)</f>
        <v>33279.098482013018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0.65970173927736298</v>
      </c>
      <c r="C142" s="46">
        <f t="shared" si="41"/>
        <v>0.65600707161716809</v>
      </c>
      <c r="D142" s="46">
        <f t="shared" si="41"/>
        <v>0.6585569681532939</v>
      </c>
      <c r="E142" s="46">
        <f t="shared" si="41"/>
        <v>0.66125137434423753</v>
      </c>
      <c r="F142" s="46">
        <f t="shared" si="41"/>
        <v>0.65823517243352991</v>
      </c>
      <c r="G142" s="46">
        <f t="shared" si="41"/>
        <v>0.66133238066500233</v>
      </c>
      <c r="H142" s="46">
        <f t="shared" si="41"/>
        <v>0.66733169079341415</v>
      </c>
      <c r="I142" s="46">
        <f t="shared" si="41"/>
        <v>0.66820904554224725</v>
      </c>
      <c r="J142" s="46">
        <f t="shared" si="41"/>
        <v>0.66855912221696734</v>
      </c>
      <c r="K142" s="46">
        <f t="shared" si="41"/>
        <v>0.69309657464618524</v>
      </c>
      <c r="L142" s="46">
        <f t="shared" ref="L142" si="42">IF(L18=0,0,L18/L$17)</f>
        <v>0.68091103588025248</v>
      </c>
      <c r="M142" s="46">
        <f t="shared" ref="M142:V142" si="43">IF(M18=0,0,M18/M$17)</f>
        <v>0.69086288663114959</v>
      </c>
      <c r="N142" s="46">
        <f t="shared" si="43"/>
        <v>0.70275061299640751</v>
      </c>
      <c r="O142" s="46">
        <f t="shared" si="43"/>
        <v>0.70045362488673668</v>
      </c>
      <c r="P142" s="46">
        <f t="shared" si="43"/>
        <v>0.7086506235349167</v>
      </c>
      <c r="Q142" s="46">
        <f t="shared" si="43"/>
        <v>0.71786538269618383</v>
      </c>
      <c r="R142" s="46">
        <f t="shared" si="43"/>
        <v>0.69861015441958729</v>
      </c>
      <c r="S142" s="46">
        <f t="shared" si="43"/>
        <v>0.70209763573344286</v>
      </c>
      <c r="T142" s="46">
        <f t="shared" si="43"/>
        <v>0.69959168550845574</v>
      </c>
      <c r="U142" s="46">
        <f t="shared" si="43"/>
        <v>0.69831824533096754</v>
      </c>
      <c r="V142" s="46">
        <f t="shared" si="43"/>
        <v>0.68860627729037782</v>
      </c>
      <c r="W142" s="46">
        <f t="shared" ref="W142" si="44">IF(W18=0,0,W18/W$17)</f>
        <v>0.67239338493642919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1.11517833880793E-2</v>
      </c>
      <c r="C143" s="154">
        <f t="shared" si="45"/>
        <v>1.0821585160587744E-2</v>
      </c>
      <c r="D143" s="154">
        <f t="shared" si="45"/>
        <v>1.0452598669238958E-2</v>
      </c>
      <c r="E143" s="154">
        <f t="shared" si="45"/>
        <v>1.0130900386408593E-2</v>
      </c>
      <c r="F143" s="154">
        <f t="shared" si="45"/>
        <v>9.7154562640242997E-3</v>
      </c>
      <c r="G143" s="154">
        <f t="shared" si="45"/>
        <v>9.5759640721713932E-3</v>
      </c>
      <c r="H143" s="154">
        <f t="shared" si="45"/>
        <v>9.3484347238532977E-3</v>
      </c>
      <c r="I143" s="154">
        <f t="shared" si="45"/>
        <v>9.0046509727261421E-3</v>
      </c>
      <c r="J143" s="154">
        <f t="shared" si="45"/>
        <v>9.1062520240860565E-3</v>
      </c>
      <c r="K143" s="154">
        <f t="shared" si="45"/>
        <v>9.2526258161633994E-3</v>
      </c>
      <c r="L143" s="154">
        <f t="shared" ref="L143" si="46">IF(L19=0,0,L19/L$17)</f>
        <v>1.1675304582908793E-2</v>
      </c>
      <c r="M143" s="154">
        <f t="shared" ref="M143:V143" si="47">IF(M19=0,0,M19/M$17)</f>
        <v>1.1501613882292101E-2</v>
      </c>
      <c r="N143" s="154">
        <f t="shared" si="47"/>
        <v>1.1563294491619771E-2</v>
      </c>
      <c r="O143" s="154">
        <f t="shared" si="47"/>
        <v>1.1374326830425326E-2</v>
      </c>
      <c r="P143" s="154">
        <f t="shared" si="47"/>
        <v>1.1466447408757225E-2</v>
      </c>
      <c r="Q143" s="154">
        <f t="shared" si="47"/>
        <v>1.1369147362489384E-2</v>
      </c>
      <c r="R143" s="154">
        <f t="shared" si="47"/>
        <v>1.1299008150113187E-2</v>
      </c>
      <c r="S143" s="154">
        <f t="shared" si="47"/>
        <v>1.0583999270889152E-2</v>
      </c>
      <c r="T143" s="154">
        <f t="shared" si="47"/>
        <v>9.9327767847318948E-3</v>
      </c>
      <c r="U143" s="154">
        <f t="shared" si="47"/>
        <v>1.0632647261179505E-2</v>
      </c>
      <c r="V143" s="154">
        <f t="shared" si="47"/>
        <v>1.0036385807425932E-2</v>
      </c>
      <c r="W143" s="154">
        <f t="shared" ref="W143" si="48">IF(W19=0,0,W19/W$17)</f>
        <v>9.6660580576202679E-3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0.58709810755510927</v>
      </c>
      <c r="C144" s="156">
        <f t="shared" si="49"/>
        <v>0.58600975936798272</v>
      </c>
      <c r="D144" s="156">
        <f t="shared" si="49"/>
        <v>0.58953444798781929</v>
      </c>
      <c r="E144" s="156">
        <f t="shared" si="49"/>
        <v>0.59187252136330704</v>
      </c>
      <c r="F144" s="156">
        <f t="shared" si="49"/>
        <v>0.58878340597846401</v>
      </c>
      <c r="G144" s="156">
        <f t="shared" si="49"/>
        <v>0.59291173291621546</v>
      </c>
      <c r="H144" s="156">
        <f t="shared" si="49"/>
        <v>0.59778417819019747</v>
      </c>
      <c r="I144" s="156">
        <f t="shared" si="49"/>
        <v>0.59864325172489496</v>
      </c>
      <c r="J144" s="156">
        <f t="shared" si="49"/>
        <v>0.59699105525272222</v>
      </c>
      <c r="K144" s="156">
        <f t="shared" si="49"/>
        <v>0.61701571373377129</v>
      </c>
      <c r="L144" s="156">
        <f t="shared" ref="L144" si="50">IF(L21=0,0,L21/L$17)</f>
        <v>0.60198840121547048</v>
      </c>
      <c r="M144" s="156">
        <f t="shared" ref="M144:V144" si="51">IF(M21=0,0,M21/M$17)</f>
        <v>0.61045432164950264</v>
      </c>
      <c r="N144" s="156">
        <f t="shared" si="51"/>
        <v>0.61790255318981424</v>
      </c>
      <c r="O144" s="156">
        <f t="shared" si="51"/>
        <v>0.6140342384465679</v>
      </c>
      <c r="P144" s="156">
        <f t="shared" si="51"/>
        <v>0.61821836713933154</v>
      </c>
      <c r="Q144" s="156">
        <f t="shared" si="51"/>
        <v>0.62446310713841058</v>
      </c>
      <c r="R144" s="156">
        <f t="shared" si="51"/>
        <v>0.60102549756387769</v>
      </c>
      <c r="S144" s="156">
        <f t="shared" si="51"/>
        <v>0.60526763331144029</v>
      </c>
      <c r="T144" s="156">
        <f t="shared" si="51"/>
        <v>0.60465145539588783</v>
      </c>
      <c r="U144" s="156">
        <f t="shared" si="51"/>
        <v>0.60369159573268283</v>
      </c>
      <c r="V144" s="156">
        <f t="shared" si="51"/>
        <v>0.60090283560943436</v>
      </c>
      <c r="W144" s="156">
        <f t="shared" ref="W144" si="52">IF(W21=0,0,W21/W$17)</f>
        <v>0.5939937882249362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0.45865765529241059</v>
      </c>
      <c r="C145" s="103">
        <f t="shared" si="53"/>
        <v>0.45827366584367651</v>
      </c>
      <c r="D145" s="103">
        <f t="shared" si="53"/>
        <v>0.45843334807733338</v>
      </c>
      <c r="E145" s="103">
        <f t="shared" si="53"/>
        <v>0.45434006859498427</v>
      </c>
      <c r="F145" s="103">
        <f t="shared" si="53"/>
        <v>0.45061454102070481</v>
      </c>
      <c r="G145" s="103">
        <f t="shared" si="53"/>
        <v>0.44786069875726364</v>
      </c>
      <c r="H145" s="103">
        <f t="shared" si="53"/>
        <v>0.43884329685095824</v>
      </c>
      <c r="I145" s="103">
        <f t="shared" si="53"/>
        <v>0.4247918259215937</v>
      </c>
      <c r="J145" s="103">
        <f t="shared" si="53"/>
        <v>0.40478779623942523</v>
      </c>
      <c r="K145" s="103">
        <f t="shared" si="53"/>
        <v>0.40551656944202086</v>
      </c>
      <c r="L145" s="103">
        <f t="shared" ref="L145" si="54">IF(L22=0,0,L22/L$17)</f>
        <v>0.37933503814596259</v>
      </c>
      <c r="M145" s="103">
        <f t="shared" ref="M145:V145" si="55">IF(M22=0,0,M22/M$17)</f>
        <v>0.36208988851460833</v>
      </c>
      <c r="N145" s="103">
        <f t="shared" si="55"/>
        <v>0.35624818208077064</v>
      </c>
      <c r="O145" s="103">
        <f t="shared" si="55"/>
        <v>0.35537150437446818</v>
      </c>
      <c r="P145" s="103">
        <f t="shared" si="55"/>
        <v>0.34991952277403526</v>
      </c>
      <c r="Q145" s="103">
        <f t="shared" si="55"/>
        <v>0.34706646406610631</v>
      </c>
      <c r="R145" s="103">
        <f t="shared" si="55"/>
        <v>0.33883620427253835</v>
      </c>
      <c r="S145" s="103">
        <f t="shared" si="55"/>
        <v>0.32909870359000759</v>
      </c>
      <c r="T145" s="103">
        <f t="shared" si="55"/>
        <v>0.32291958657598574</v>
      </c>
      <c r="U145" s="103">
        <f t="shared" si="55"/>
        <v>0.32138867486371059</v>
      </c>
      <c r="V145" s="103">
        <f t="shared" si="55"/>
        <v>0.31704370842794311</v>
      </c>
      <c r="W145" s="103">
        <f t="shared" ref="W145" si="56">IF(W22=0,0,W22/W$17)</f>
        <v>0.31193790378297498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0.12844045226269879</v>
      </c>
      <c r="C146" s="103">
        <f t="shared" si="57"/>
        <v>0.12773609352430626</v>
      </c>
      <c r="D146" s="103">
        <f t="shared" si="57"/>
        <v>0.13110109991048594</v>
      </c>
      <c r="E146" s="103">
        <f t="shared" si="57"/>
        <v>0.13753245276832277</v>
      </c>
      <c r="F146" s="103">
        <f t="shared" si="57"/>
        <v>0.13816886495775912</v>
      </c>
      <c r="G146" s="103">
        <f t="shared" si="57"/>
        <v>0.14505103415895185</v>
      </c>
      <c r="H146" s="103">
        <f t="shared" si="57"/>
        <v>0.15894001326855409</v>
      </c>
      <c r="I146" s="103">
        <f t="shared" si="57"/>
        <v>0.17382144923739468</v>
      </c>
      <c r="J146" s="103">
        <f t="shared" si="57"/>
        <v>0.19213678980428614</v>
      </c>
      <c r="K146" s="103">
        <f t="shared" si="57"/>
        <v>0.21136705660125893</v>
      </c>
      <c r="L146" s="103">
        <f t="shared" ref="L146" si="58">IF(L24=0,0,L24/L$17)</f>
        <v>0.22248768814695732</v>
      </c>
      <c r="M146" s="103">
        <f t="shared" ref="M146:V146" si="59">IF(M24=0,0,M24/M$17)</f>
        <v>0.2482048990880614</v>
      </c>
      <c r="N146" s="103">
        <f t="shared" si="59"/>
        <v>0.26133443901933473</v>
      </c>
      <c r="O146" s="103">
        <f t="shared" si="59"/>
        <v>0.25838899586633213</v>
      </c>
      <c r="P146" s="103">
        <f t="shared" si="59"/>
        <v>0.26794784651120784</v>
      </c>
      <c r="Q146" s="103">
        <f t="shared" si="59"/>
        <v>0.27695228551225687</v>
      </c>
      <c r="R146" s="103">
        <f t="shared" si="59"/>
        <v>0.26157767247755292</v>
      </c>
      <c r="S146" s="103">
        <f t="shared" si="59"/>
        <v>0.27498249252960083</v>
      </c>
      <c r="T146" s="103">
        <f t="shared" si="59"/>
        <v>0.27931829529260882</v>
      </c>
      <c r="U146" s="103">
        <f t="shared" si="59"/>
        <v>0.27788729490008379</v>
      </c>
      <c r="V146" s="103">
        <f t="shared" si="59"/>
        <v>0.27636898071057653</v>
      </c>
      <c r="W146" s="103">
        <f t="shared" ref="W146" si="60">IF(W24=0,0,W24/W$17)</f>
        <v>0.2711673959198535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</v>
      </c>
      <c r="C147" s="103">
        <f t="shared" si="61"/>
        <v>0</v>
      </c>
      <c r="D147" s="103">
        <f t="shared" si="61"/>
        <v>0</v>
      </c>
      <c r="E147" s="103">
        <f t="shared" si="61"/>
        <v>0</v>
      </c>
      <c r="F147" s="103">
        <f t="shared" si="61"/>
        <v>0</v>
      </c>
      <c r="G147" s="103">
        <f t="shared" si="61"/>
        <v>0</v>
      </c>
      <c r="H147" s="103">
        <f t="shared" si="61"/>
        <v>0</v>
      </c>
      <c r="I147" s="103">
        <f t="shared" si="61"/>
        <v>0</v>
      </c>
      <c r="J147" s="103">
        <f t="shared" si="61"/>
        <v>0</v>
      </c>
      <c r="K147" s="103">
        <f t="shared" si="61"/>
        <v>0</v>
      </c>
      <c r="L147" s="103">
        <f t="shared" ref="L147" si="62">IF(L26=0,0,L26/L$17)</f>
        <v>0</v>
      </c>
      <c r="M147" s="103">
        <f t="shared" ref="M147:V147" si="63">IF(M26=0,0,M26/M$17)</f>
        <v>0</v>
      </c>
      <c r="N147" s="103">
        <f t="shared" si="63"/>
        <v>0</v>
      </c>
      <c r="O147" s="103">
        <f t="shared" si="63"/>
        <v>0</v>
      </c>
      <c r="P147" s="103">
        <f t="shared" si="63"/>
        <v>0</v>
      </c>
      <c r="Q147" s="103">
        <f t="shared" si="63"/>
        <v>0</v>
      </c>
      <c r="R147" s="103">
        <f t="shared" si="63"/>
        <v>0</v>
      </c>
      <c r="S147" s="103">
        <f t="shared" si="63"/>
        <v>0</v>
      </c>
      <c r="T147" s="103">
        <f t="shared" si="63"/>
        <v>0</v>
      </c>
      <c r="U147" s="103">
        <f t="shared" si="63"/>
        <v>0</v>
      </c>
      <c r="V147" s="103">
        <f t="shared" si="63"/>
        <v>0</v>
      </c>
      <c r="W147" s="103">
        <f t="shared" ref="W147" si="64">IF(W26=0,0,W26/W$17)</f>
        <v>0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8.6807068521580373E-7</v>
      </c>
      <c r="I148" s="103">
        <f t="shared" si="65"/>
        <v>2.9823897331627432E-5</v>
      </c>
      <c r="J148" s="103">
        <f t="shared" si="65"/>
        <v>6.6094831142751798E-5</v>
      </c>
      <c r="K148" s="103">
        <f t="shared" si="65"/>
        <v>1.3136921679138909E-4</v>
      </c>
      <c r="L148" s="103">
        <f t="shared" ref="L148" si="66">IF(L27=0,0,L27/L$17)</f>
        <v>1.6444332116386832E-4</v>
      </c>
      <c r="M148" s="103">
        <f t="shared" ref="M148:V148" si="67">IF(M27=0,0,M27/M$17)</f>
        <v>1.5649448786111652E-4</v>
      </c>
      <c r="N148" s="103">
        <f t="shared" si="67"/>
        <v>3.0535383392830978E-4</v>
      </c>
      <c r="O148" s="103">
        <f t="shared" si="67"/>
        <v>2.443244059272518E-4</v>
      </c>
      <c r="P148" s="103">
        <f t="shared" si="67"/>
        <v>2.8740743811901572E-4</v>
      </c>
      <c r="Q148" s="103">
        <f t="shared" si="67"/>
        <v>3.2176089094479758E-4</v>
      </c>
      <c r="R148" s="103">
        <f t="shared" si="67"/>
        <v>3.6638383795335511E-4</v>
      </c>
      <c r="S148" s="103">
        <f t="shared" si="67"/>
        <v>6.3648295578864718E-4</v>
      </c>
      <c r="T148" s="103">
        <f t="shared" si="67"/>
        <v>1.2193854732478479E-3</v>
      </c>
      <c r="U148" s="103">
        <f t="shared" si="67"/>
        <v>2.281996135992035E-3</v>
      </c>
      <c r="V148" s="103">
        <f t="shared" si="67"/>
        <v>3.7025455352469312E-3</v>
      </c>
      <c r="W148" s="103">
        <f t="shared" ref="W148" si="68">IF(W27=0,0,W27/W$17)</f>
        <v>4.4105777821857794E-3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8.6739335087084322E-6</v>
      </c>
      <c r="O149" s="103">
        <f t="shared" si="71"/>
        <v>2.0187287330313278E-5</v>
      </c>
      <c r="P149" s="103">
        <f t="shared" si="71"/>
        <v>4.3569494531412934E-5</v>
      </c>
      <c r="Q149" s="103">
        <f t="shared" si="71"/>
        <v>8.589198222389042E-5</v>
      </c>
      <c r="R149" s="103">
        <f t="shared" si="71"/>
        <v>1.9657967341578914E-4</v>
      </c>
      <c r="S149" s="103">
        <f t="shared" si="71"/>
        <v>4.6882087201772469E-4</v>
      </c>
      <c r="T149" s="103">
        <f t="shared" si="71"/>
        <v>1.0599010472004523E-3</v>
      </c>
      <c r="U149" s="103">
        <f t="shared" si="71"/>
        <v>1.8816347974724066E-3</v>
      </c>
      <c r="V149" s="103">
        <f t="shared" si="71"/>
        <v>3.2327537048443544E-3</v>
      </c>
      <c r="W149" s="103">
        <f t="shared" ref="W149" si="72">IF(W29=0,0,W29/W$17)</f>
        <v>5.0588677340416962E-3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1.5266857478222661E-7</v>
      </c>
      <c r="J150" s="103">
        <f t="shared" si="73"/>
        <v>3.7437786807708629E-7</v>
      </c>
      <c r="K150" s="103">
        <f t="shared" si="73"/>
        <v>7.184737001739527E-7</v>
      </c>
      <c r="L150" s="103">
        <f t="shared" ref="L150" si="74">IF(L32=0,0,L32/L$17)</f>
        <v>1.2316013866965662E-6</v>
      </c>
      <c r="M150" s="103">
        <f t="shared" ref="M150:V150" si="75">IF(M32=0,0,M32/M$17)</f>
        <v>3.0395589719475317E-6</v>
      </c>
      <c r="N150" s="103">
        <f t="shared" si="75"/>
        <v>5.904322271883006E-6</v>
      </c>
      <c r="O150" s="103">
        <f t="shared" si="75"/>
        <v>9.226512510021775E-6</v>
      </c>
      <c r="P150" s="103">
        <f t="shared" si="75"/>
        <v>2.0020921438169646E-5</v>
      </c>
      <c r="Q150" s="103">
        <f t="shared" si="75"/>
        <v>3.670468687885137E-5</v>
      </c>
      <c r="R150" s="103">
        <f t="shared" si="75"/>
        <v>4.8657302417389272E-5</v>
      </c>
      <c r="S150" s="103">
        <f t="shared" si="75"/>
        <v>8.1133364025443873E-5</v>
      </c>
      <c r="T150" s="103">
        <f t="shared" si="75"/>
        <v>1.3428700684500264E-4</v>
      </c>
      <c r="U150" s="103">
        <f t="shared" si="75"/>
        <v>2.5199503542396522E-4</v>
      </c>
      <c r="V150" s="103">
        <f t="shared" si="75"/>
        <v>5.5484723082345239E-4</v>
      </c>
      <c r="W150" s="103">
        <f t="shared" ref="W150" si="76">IF(W32=0,0,W32/W$17)</f>
        <v>1.4190430058802284E-3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6.1451848334174414E-2</v>
      </c>
      <c r="C151" s="156">
        <f t="shared" si="77"/>
        <v>5.9175727088597634E-2</v>
      </c>
      <c r="D151" s="156">
        <f t="shared" si="77"/>
        <v>5.8569921496235702E-2</v>
      </c>
      <c r="E151" s="156">
        <f t="shared" si="77"/>
        <v>5.9247952594521799E-2</v>
      </c>
      <c r="F151" s="156">
        <f t="shared" si="77"/>
        <v>5.9736310191041607E-2</v>
      </c>
      <c r="G151" s="156">
        <f t="shared" si="77"/>
        <v>5.8844683676615432E-2</v>
      </c>
      <c r="H151" s="156">
        <f t="shared" si="77"/>
        <v>6.0199077879363336E-2</v>
      </c>
      <c r="I151" s="156">
        <f t="shared" si="77"/>
        <v>6.056114284462618E-2</v>
      </c>
      <c r="J151" s="156">
        <f t="shared" si="77"/>
        <v>6.2461814940159045E-2</v>
      </c>
      <c r="K151" s="156">
        <f t="shared" si="77"/>
        <v>6.6828235096250549E-2</v>
      </c>
      <c r="L151" s="156">
        <f t="shared" ref="L151" si="78">IF(L33=0,0,L33/L$17)</f>
        <v>6.7247330081873252E-2</v>
      </c>
      <c r="M151" s="156">
        <f t="shared" ref="M151:V151" si="79">IF(M33=0,0,M33/M$17)</f>
        <v>6.8906951099354852E-2</v>
      </c>
      <c r="N151" s="156">
        <f t="shared" si="79"/>
        <v>7.328476531497341E-2</v>
      </c>
      <c r="O151" s="156">
        <f t="shared" si="79"/>
        <v>7.504505960974342E-2</v>
      </c>
      <c r="P151" s="156">
        <f t="shared" si="79"/>
        <v>7.8965808986827868E-2</v>
      </c>
      <c r="Q151" s="156">
        <f t="shared" si="79"/>
        <v>8.2033128195283828E-2</v>
      </c>
      <c r="R151" s="156">
        <f t="shared" si="79"/>
        <v>8.6285648705596407E-2</v>
      </c>
      <c r="S151" s="156">
        <f t="shared" si="79"/>
        <v>8.6246003151113318E-2</v>
      </c>
      <c r="T151" s="156">
        <f t="shared" si="79"/>
        <v>8.5007453327836061E-2</v>
      </c>
      <c r="U151" s="156">
        <f t="shared" si="79"/>
        <v>8.3994002337105383E-2</v>
      </c>
      <c r="V151" s="156">
        <f t="shared" si="79"/>
        <v>7.7667055873517465E-2</v>
      </c>
      <c r="W151" s="156">
        <f t="shared" ref="W151" si="80">IF(W33=0,0,W33/W$17)</f>
        <v>6.8733538653872758E-2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2.5246602491728405E-5</v>
      </c>
      <c r="C152" s="103">
        <f t="shared" si="81"/>
        <v>2.6998545402098882E-5</v>
      </c>
      <c r="D152" s="103">
        <f t="shared" si="81"/>
        <v>2.5557516144274157E-5</v>
      </c>
      <c r="E152" s="103">
        <f t="shared" si="81"/>
        <v>2.5151170573004042E-5</v>
      </c>
      <c r="F152" s="103">
        <f t="shared" si="81"/>
        <v>2.517651134259354E-5</v>
      </c>
      <c r="G152" s="103">
        <f t="shared" si="81"/>
        <v>2.7382700556305478E-5</v>
      </c>
      <c r="H152" s="103">
        <f t="shared" si="81"/>
        <v>2.5343161165365556E-5</v>
      </c>
      <c r="I152" s="103">
        <f t="shared" si="81"/>
        <v>2.5296891709527194E-5</v>
      </c>
      <c r="J152" s="103">
        <f t="shared" si="81"/>
        <v>2.5144083369104899E-5</v>
      </c>
      <c r="K152" s="103">
        <f t="shared" si="81"/>
        <v>2.553257258731396E-5</v>
      </c>
      <c r="L152" s="103">
        <f t="shared" ref="L152" si="82">IF(L34=0,0,L34/L$17)</f>
        <v>2.5174161621121739E-5</v>
      </c>
      <c r="M152" s="103">
        <f t="shared" ref="M152:V152" si="83">IF(M34=0,0,M34/M$17)</f>
        <v>2.4373291888284297E-5</v>
      </c>
      <c r="N152" s="103">
        <f t="shared" si="83"/>
        <v>2.4859570610902909E-5</v>
      </c>
      <c r="O152" s="103">
        <f t="shared" si="83"/>
        <v>2.4670806191050552E-5</v>
      </c>
      <c r="P152" s="103">
        <f t="shared" si="83"/>
        <v>2.5153298709552818E-5</v>
      </c>
      <c r="Q152" s="103">
        <f t="shared" si="83"/>
        <v>2.5137489653748209E-5</v>
      </c>
      <c r="R152" s="103">
        <f t="shared" si="83"/>
        <v>2.4604809346098394E-5</v>
      </c>
      <c r="S152" s="103">
        <f t="shared" si="83"/>
        <v>2.4302444482949587E-5</v>
      </c>
      <c r="T152" s="103">
        <f t="shared" si="83"/>
        <v>2.2466035943550251E-5</v>
      </c>
      <c r="U152" s="103">
        <f t="shared" si="83"/>
        <v>2.1141322398173048E-5</v>
      </c>
      <c r="V152" s="103">
        <f t="shared" si="83"/>
        <v>1.8244937353297595E-5</v>
      </c>
      <c r="W152" s="103">
        <f t="shared" ref="W152" si="84">IF(W34=0,0,W34/W$17)</f>
        <v>1.4908610159597498E-5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6.0940797720600751E-2</v>
      </c>
      <c r="C153" s="103">
        <f t="shared" si="85"/>
        <v>5.8672311307863295E-2</v>
      </c>
      <c r="D153" s="103">
        <f t="shared" si="85"/>
        <v>5.7843417060633506E-2</v>
      </c>
      <c r="E153" s="103">
        <f t="shared" si="85"/>
        <v>5.8532869440237098E-2</v>
      </c>
      <c r="F153" s="103">
        <f t="shared" si="85"/>
        <v>5.904079178432451E-2</v>
      </c>
      <c r="G153" s="103">
        <f t="shared" si="85"/>
        <v>5.8148662915123786E-2</v>
      </c>
      <c r="H153" s="103">
        <f t="shared" si="85"/>
        <v>5.9294073106634593E-2</v>
      </c>
      <c r="I153" s="103">
        <f t="shared" si="85"/>
        <v>5.9714515677225591E-2</v>
      </c>
      <c r="J153" s="103">
        <f t="shared" si="85"/>
        <v>6.1413209275098052E-2</v>
      </c>
      <c r="K153" s="103">
        <f t="shared" si="85"/>
        <v>6.5585972175771237E-2</v>
      </c>
      <c r="L153" s="103">
        <f t="shared" ref="L153" si="86">IF(L36=0,0,L36/L$17)</f>
        <v>6.6089687235772368E-2</v>
      </c>
      <c r="M153" s="103">
        <f t="shared" ref="M153:V153" si="87">IF(M36=0,0,M36/M$17)</f>
        <v>6.8172929342485408E-2</v>
      </c>
      <c r="N153" s="103">
        <f t="shared" si="87"/>
        <v>7.2142930157473487E-2</v>
      </c>
      <c r="O153" s="103">
        <f t="shared" si="87"/>
        <v>7.4376276002044578E-2</v>
      </c>
      <c r="P153" s="103">
        <f t="shared" si="87"/>
        <v>7.8255090753857684E-2</v>
      </c>
      <c r="Q153" s="103">
        <f t="shared" si="87"/>
        <v>8.1399282819612104E-2</v>
      </c>
      <c r="R153" s="103">
        <f t="shared" si="87"/>
        <v>8.5582109952499735E-2</v>
      </c>
      <c r="S153" s="103">
        <f t="shared" si="87"/>
        <v>8.5562013741125972E-2</v>
      </c>
      <c r="T153" s="103">
        <f t="shared" si="87"/>
        <v>8.4300897254769802E-2</v>
      </c>
      <c r="U153" s="103">
        <f t="shared" si="87"/>
        <v>8.3079611996231206E-2</v>
      </c>
      <c r="V153" s="103">
        <f t="shared" si="87"/>
        <v>7.6572070312852014E-2</v>
      </c>
      <c r="W153" s="103">
        <f t="shared" ref="W153" si="88">IF(W36=0,0,W36/W$17)</f>
        <v>6.7061422179606797E-2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4.8580401108193778E-4</v>
      </c>
      <c r="C155" s="103">
        <f t="shared" si="93"/>
        <v>4.7641723533224379E-4</v>
      </c>
      <c r="D155" s="103">
        <f t="shared" si="93"/>
        <v>7.0094691945791598E-4</v>
      </c>
      <c r="E155" s="103">
        <f t="shared" si="93"/>
        <v>6.8993198371170136E-4</v>
      </c>
      <c r="F155" s="103">
        <f t="shared" si="93"/>
        <v>6.7034189537450888E-4</v>
      </c>
      <c r="G155" s="103">
        <f t="shared" si="93"/>
        <v>6.6863806093534677E-4</v>
      </c>
      <c r="H155" s="103">
        <f t="shared" si="93"/>
        <v>8.7966161156337926E-4</v>
      </c>
      <c r="I155" s="103">
        <f t="shared" si="93"/>
        <v>8.2133027569105711E-4</v>
      </c>
      <c r="J155" s="103">
        <f t="shared" si="93"/>
        <v>1.0234615816918889E-3</v>
      </c>
      <c r="K155" s="103">
        <f t="shared" si="93"/>
        <v>1.2167303478919954E-3</v>
      </c>
      <c r="L155" s="103">
        <f t="shared" ref="L155" si="94">IF(L39=0,0,L39/L$17)</f>
        <v>1.1324686844797701E-3</v>
      </c>
      <c r="M155" s="103">
        <f t="shared" ref="M155:V155" si="95">IF(M39=0,0,M39/M$17)</f>
        <v>7.0964846498116664E-4</v>
      </c>
      <c r="N155" s="103">
        <f t="shared" si="95"/>
        <v>1.0932178791425158E-3</v>
      </c>
      <c r="O155" s="103">
        <f t="shared" si="95"/>
        <v>6.2053549148373443E-4</v>
      </c>
      <c r="P155" s="103">
        <f t="shared" si="95"/>
        <v>6.6152651746912295E-4</v>
      </c>
      <c r="Q155" s="103">
        <f t="shared" si="95"/>
        <v>5.8468457756979378E-4</v>
      </c>
      <c r="R155" s="103">
        <f t="shared" si="95"/>
        <v>6.1535504971900381E-4</v>
      </c>
      <c r="S155" s="103">
        <f t="shared" si="95"/>
        <v>5.6462229213314426E-4</v>
      </c>
      <c r="T155" s="103">
        <f t="shared" si="95"/>
        <v>5.920129561637345E-4</v>
      </c>
      <c r="U155" s="103">
        <f t="shared" si="95"/>
        <v>6.4652782958850232E-4</v>
      </c>
      <c r="V155" s="103">
        <f t="shared" si="95"/>
        <v>7.4831741743952075E-4</v>
      </c>
      <c r="W155" s="103">
        <f t="shared" ref="W155" si="96">IF(W39=0,0,W39/W$17)</f>
        <v>7.12810809356318E-4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0</v>
      </c>
      <c r="M156" s="103">
        <f t="shared" ref="M156:V156" si="99">IF(M41=0,0,M41/M$17)</f>
        <v>0</v>
      </c>
      <c r="N156" s="103">
        <f t="shared" si="99"/>
        <v>2.3757707746522819E-5</v>
      </c>
      <c r="O156" s="103">
        <f t="shared" si="99"/>
        <v>2.3577310024052608E-5</v>
      </c>
      <c r="P156" s="103">
        <f t="shared" si="99"/>
        <v>2.4038416791497463E-5</v>
      </c>
      <c r="Q156" s="103">
        <f t="shared" si="99"/>
        <v>2.4023308448178383E-5</v>
      </c>
      <c r="R156" s="103">
        <f t="shared" si="99"/>
        <v>6.3578894031584868E-5</v>
      </c>
      <c r="S156" s="103">
        <f t="shared" si="99"/>
        <v>9.5064673371262175E-5</v>
      </c>
      <c r="T156" s="103">
        <f t="shared" si="99"/>
        <v>9.2077080958973486E-5</v>
      </c>
      <c r="U156" s="103">
        <f t="shared" si="99"/>
        <v>2.4672118888749748E-4</v>
      </c>
      <c r="V156" s="103">
        <f t="shared" si="99"/>
        <v>3.2842320587264635E-4</v>
      </c>
      <c r="W156" s="103">
        <f t="shared" ref="W156" si="100">IF(W41=0,0,W41/W$17)</f>
        <v>9.4439705475004741E-4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0.34029826072263702</v>
      </c>
      <c r="C157" s="46">
        <f t="shared" si="101"/>
        <v>0.34399292838283185</v>
      </c>
      <c r="D157" s="46">
        <f t="shared" si="101"/>
        <v>0.34144303184670616</v>
      </c>
      <c r="E157" s="46">
        <f t="shared" si="101"/>
        <v>0.33874862565576258</v>
      </c>
      <c r="F157" s="46">
        <f t="shared" si="101"/>
        <v>0.34176482756647003</v>
      </c>
      <c r="G157" s="46">
        <f t="shared" si="101"/>
        <v>0.33866761933499773</v>
      </c>
      <c r="H157" s="46">
        <f t="shared" si="101"/>
        <v>0.33266830920658585</v>
      </c>
      <c r="I157" s="46">
        <f t="shared" si="101"/>
        <v>0.33179095445775275</v>
      </c>
      <c r="J157" s="46">
        <f t="shared" si="101"/>
        <v>0.33144087778303266</v>
      </c>
      <c r="K157" s="46">
        <f t="shared" si="101"/>
        <v>0.30690342535381471</v>
      </c>
      <c r="L157" s="46">
        <f t="shared" ref="L157" si="102">IF(L42=0,0,L42/L$17)</f>
        <v>0.31908896411974752</v>
      </c>
      <c r="M157" s="46">
        <f t="shared" ref="M157:V157" si="103">IF(M42=0,0,M42/M$17)</f>
        <v>0.30913711336885041</v>
      </c>
      <c r="N157" s="46">
        <f t="shared" si="103"/>
        <v>0.2972493870035926</v>
      </c>
      <c r="O157" s="46">
        <f t="shared" si="103"/>
        <v>0.29954637511326332</v>
      </c>
      <c r="P157" s="46">
        <f t="shared" si="103"/>
        <v>0.29134937646508335</v>
      </c>
      <c r="Q157" s="46">
        <f t="shared" si="103"/>
        <v>0.28213461730381617</v>
      </c>
      <c r="R157" s="46">
        <f t="shared" si="103"/>
        <v>0.30138984558041271</v>
      </c>
      <c r="S157" s="46">
        <f t="shared" si="103"/>
        <v>0.2979023642665572</v>
      </c>
      <c r="T157" s="46">
        <f t="shared" si="103"/>
        <v>0.30040831449154426</v>
      </c>
      <c r="U157" s="46">
        <f t="shared" si="103"/>
        <v>0.30168175466903241</v>
      </c>
      <c r="V157" s="46">
        <f t="shared" si="103"/>
        <v>0.31139372270962218</v>
      </c>
      <c r="W157" s="46">
        <f t="shared" ref="W157" si="104">IF(W42=0,0,W42/W$17)</f>
        <v>0.32760661506357086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0.11593836448665876</v>
      </c>
      <c r="C158" s="154">
        <f t="shared" si="105"/>
        <v>0.11360660808702856</v>
      </c>
      <c r="D158" s="154">
        <f t="shared" si="105"/>
        <v>0.11130392559453718</v>
      </c>
      <c r="E158" s="154">
        <f t="shared" si="105"/>
        <v>0.10962211502980312</v>
      </c>
      <c r="F158" s="154">
        <f t="shared" si="105"/>
        <v>0.11350103468564779</v>
      </c>
      <c r="G158" s="154">
        <f t="shared" si="105"/>
        <v>0.11341115976335567</v>
      </c>
      <c r="H158" s="154">
        <f t="shared" si="105"/>
        <v>0.11442101999775926</v>
      </c>
      <c r="I158" s="154">
        <f t="shared" si="105"/>
        <v>0.11706056626385207</v>
      </c>
      <c r="J158" s="154">
        <f t="shared" si="105"/>
        <v>0.1234269488515095</v>
      </c>
      <c r="K158" s="154">
        <f t="shared" si="105"/>
        <v>0.12678220699698697</v>
      </c>
      <c r="L158" s="154">
        <f t="shared" ref="L158" si="106">IF(L43=0,0,L43/L$17)</f>
        <v>0.12895102960875865</v>
      </c>
      <c r="M158" s="154">
        <f t="shared" ref="M158:V158" si="107">IF(M43=0,0,M43/M$17)</f>
        <v>0.13571624404770594</v>
      </c>
      <c r="N158" s="154">
        <f t="shared" si="107"/>
        <v>0.14021952025604648</v>
      </c>
      <c r="O158" s="154">
        <f t="shared" si="107"/>
        <v>0.14441997306779469</v>
      </c>
      <c r="P158" s="154">
        <f t="shared" si="107"/>
        <v>0.14781585523607785</v>
      </c>
      <c r="Q158" s="154">
        <f t="shared" si="107"/>
        <v>0.15138281714711269</v>
      </c>
      <c r="R158" s="154">
        <f t="shared" si="107"/>
        <v>0.15386852001862719</v>
      </c>
      <c r="S158" s="154">
        <f t="shared" si="107"/>
        <v>0.15374755329745338</v>
      </c>
      <c r="T158" s="154">
        <f t="shared" si="107"/>
        <v>0.15836256370443247</v>
      </c>
      <c r="U158" s="154">
        <f t="shared" si="107"/>
        <v>0.16285734022093293</v>
      </c>
      <c r="V158" s="154">
        <f t="shared" si="107"/>
        <v>0.17160186832959723</v>
      </c>
      <c r="W158" s="154">
        <f t="shared" ref="W158" si="108">IF(W43=0,0,W43/W$17)</f>
        <v>0.17827411350565495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1.0915603832472932E-2</v>
      </c>
      <c r="C159" s="103">
        <f t="shared" si="109"/>
        <v>1.0097973697506587E-2</v>
      </c>
      <c r="D159" s="103">
        <f t="shared" si="109"/>
        <v>9.2990194650635905E-3</v>
      </c>
      <c r="E159" s="103">
        <f t="shared" si="109"/>
        <v>8.444904209657933E-3</v>
      </c>
      <c r="F159" s="103">
        <f t="shared" si="109"/>
        <v>7.6368610199778475E-3</v>
      </c>
      <c r="G159" s="103">
        <f t="shared" si="109"/>
        <v>7.2968999135573842E-3</v>
      </c>
      <c r="H159" s="103">
        <f t="shared" si="109"/>
        <v>6.5737428984986718E-3</v>
      </c>
      <c r="I159" s="103">
        <f t="shared" si="109"/>
        <v>5.9660091586958711E-3</v>
      </c>
      <c r="J159" s="103">
        <f t="shared" si="109"/>
        <v>6.0762059013660568E-3</v>
      </c>
      <c r="K159" s="103">
        <f t="shared" si="109"/>
        <v>5.9357706737708368E-3</v>
      </c>
      <c r="L159" s="103">
        <f t="shared" ref="L159" si="110">IF(L44=0,0,L44/L$17)</f>
        <v>5.6283691219686524E-3</v>
      </c>
      <c r="M159" s="103">
        <f t="shared" ref="M159:V159" si="111">IF(M44=0,0,M44/M$17)</f>
        <v>5.5315650424136694E-3</v>
      </c>
      <c r="N159" s="103">
        <f t="shared" si="111"/>
        <v>5.4664572175622157E-3</v>
      </c>
      <c r="O159" s="103">
        <f t="shared" si="111"/>
        <v>5.221756639382338E-3</v>
      </c>
      <c r="P159" s="103">
        <f t="shared" si="111"/>
        <v>5.1340400233332115E-3</v>
      </c>
      <c r="Q159" s="103">
        <f t="shared" si="111"/>
        <v>5.010754395253017E-3</v>
      </c>
      <c r="R159" s="103">
        <f t="shared" si="111"/>
        <v>4.7904385032379107E-3</v>
      </c>
      <c r="S159" s="103">
        <f t="shared" si="111"/>
        <v>4.6808653816404625E-3</v>
      </c>
      <c r="T159" s="103">
        <f t="shared" si="111"/>
        <v>4.5440847346047818E-3</v>
      </c>
      <c r="U159" s="103">
        <f t="shared" si="111"/>
        <v>4.5326907955548579E-3</v>
      </c>
      <c r="V159" s="103">
        <f t="shared" si="111"/>
        <v>4.6248594563197479E-3</v>
      </c>
      <c r="W159" s="103">
        <f t="shared" ref="W159" si="112">IF(W44=0,0,W44/W$17)</f>
        <v>4.4949658776905739E-3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0.10501657837778468</v>
      </c>
      <c r="C160" s="103">
        <f t="shared" si="113"/>
        <v>0.10350151657234624</v>
      </c>
      <c r="D160" s="103">
        <f t="shared" si="113"/>
        <v>0.10199858508466063</v>
      </c>
      <c r="E160" s="103">
        <f t="shared" si="113"/>
        <v>0.10117137653812461</v>
      </c>
      <c r="F160" s="103">
        <f t="shared" si="113"/>
        <v>0.10585889143450987</v>
      </c>
      <c r="G160" s="103">
        <f t="shared" si="113"/>
        <v>0.10610889541888949</v>
      </c>
      <c r="H160" s="103">
        <f t="shared" si="113"/>
        <v>0.1078422308038732</v>
      </c>
      <c r="I160" s="103">
        <f t="shared" si="113"/>
        <v>0.1110875169879967</v>
      </c>
      <c r="J160" s="103">
        <f t="shared" si="113"/>
        <v>0.11733929003824654</v>
      </c>
      <c r="K160" s="103">
        <f t="shared" si="113"/>
        <v>0.12082743628139038</v>
      </c>
      <c r="L160" s="103">
        <f t="shared" ref="L160" si="114">IF(L46=0,0,L46/L$17)</f>
        <v>0.123298040411271</v>
      </c>
      <c r="M160" s="103">
        <f t="shared" ref="M160:V160" si="115">IF(M46=0,0,M46/M$17)</f>
        <v>0.13015757234146291</v>
      </c>
      <c r="N160" s="103">
        <f t="shared" si="115"/>
        <v>0.13470695220296655</v>
      </c>
      <c r="O160" s="103">
        <f t="shared" si="115"/>
        <v>0.13915198919775687</v>
      </c>
      <c r="P160" s="103">
        <f t="shared" si="115"/>
        <v>0.14262580774274072</v>
      </c>
      <c r="Q160" s="103">
        <f t="shared" si="115"/>
        <v>0.14630585613023442</v>
      </c>
      <c r="R160" s="103">
        <f t="shared" si="115"/>
        <v>0.14898862528390497</v>
      </c>
      <c r="S160" s="103">
        <f t="shared" si="115"/>
        <v>0.14893837069827925</v>
      </c>
      <c r="T160" s="103">
        <f t="shared" si="115"/>
        <v>0.15361716563270941</v>
      </c>
      <c r="U160" s="103">
        <f t="shared" si="115"/>
        <v>0.1580195395425999</v>
      </c>
      <c r="V160" s="103">
        <f t="shared" si="115"/>
        <v>0.16648944110331468</v>
      </c>
      <c r="W160" s="103">
        <f t="shared" ref="W160" si="116">IF(W46=0,0,W46/W$17)</f>
        <v>0.17314321033837038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0</v>
      </c>
      <c r="P161" s="103">
        <f t="shared" si="119"/>
        <v>0</v>
      </c>
      <c r="Q161" s="103">
        <f t="shared" si="119"/>
        <v>0</v>
      </c>
      <c r="R161" s="103">
        <f t="shared" si="119"/>
        <v>0</v>
      </c>
      <c r="S161" s="103">
        <f t="shared" si="119"/>
        <v>0</v>
      </c>
      <c r="T161" s="103">
        <f t="shared" si="119"/>
        <v>0</v>
      </c>
      <c r="U161" s="103">
        <f t="shared" si="119"/>
        <v>0</v>
      </c>
      <c r="V161" s="103">
        <f t="shared" si="119"/>
        <v>0</v>
      </c>
      <c r="W161" s="103">
        <f t="shared" ref="W161" si="120">IF(W48=0,0,W48/W$17)</f>
        <v>0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1.210886215966569E-6</v>
      </c>
      <c r="D162" s="103">
        <f t="shared" si="121"/>
        <v>1.1800345876676451E-6</v>
      </c>
      <c r="E162" s="103">
        <f t="shared" si="121"/>
        <v>1.1440950773235499E-6</v>
      </c>
      <c r="F162" s="103">
        <f t="shared" si="121"/>
        <v>1.0377570802569174E-6</v>
      </c>
      <c r="G162" s="103">
        <f t="shared" si="121"/>
        <v>1.4575608303297811E-6</v>
      </c>
      <c r="H162" s="103">
        <f t="shared" si="121"/>
        <v>1.3399921840182416E-6</v>
      </c>
      <c r="I162" s="103">
        <f t="shared" si="121"/>
        <v>3.5866835925949848E-6</v>
      </c>
      <c r="J162" s="103">
        <f t="shared" si="121"/>
        <v>7.7241760895929253E-6</v>
      </c>
      <c r="K162" s="103">
        <f t="shared" si="121"/>
        <v>1.5017280224235925E-5</v>
      </c>
      <c r="L162" s="103">
        <f t="shared" ref="L162" si="122">IF(L49=0,0,L49/L$17)</f>
        <v>2.0540964651589128E-5</v>
      </c>
      <c r="M162" s="103">
        <f t="shared" ref="M162:V162" si="123">IF(M49=0,0,M49/M$17)</f>
        <v>2.2977361196794893E-5</v>
      </c>
      <c r="N162" s="103">
        <f t="shared" si="123"/>
        <v>4.1488515420250066E-5</v>
      </c>
      <c r="O162" s="103">
        <f t="shared" si="123"/>
        <v>4.1493156021369399E-5</v>
      </c>
      <c r="P162" s="103">
        <f t="shared" si="123"/>
        <v>5.0199630033177699E-5</v>
      </c>
      <c r="Q162" s="103">
        <f t="shared" si="123"/>
        <v>5.8512699632053638E-5</v>
      </c>
      <c r="R162" s="103">
        <f t="shared" si="123"/>
        <v>7.9095471369783904E-5</v>
      </c>
      <c r="S162" s="103">
        <f t="shared" si="123"/>
        <v>1.160987818882828E-4</v>
      </c>
      <c r="T162" s="103">
        <f t="shared" si="123"/>
        <v>1.8626768273988126E-4</v>
      </c>
      <c r="U162" s="103">
        <f t="shared" si="123"/>
        <v>2.8577764682941417E-4</v>
      </c>
      <c r="V162" s="103">
        <f t="shared" si="123"/>
        <v>4.6109198511684114E-4</v>
      </c>
      <c r="W162" s="103">
        <f t="shared" ref="W162" si="124">IF(W49=0,0,W49/W$17)</f>
        <v>5.7960871824833723E-4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6.1822764011374391E-6</v>
      </c>
      <c r="C163" s="103">
        <f t="shared" si="125"/>
        <v>5.9069309597725494E-6</v>
      </c>
      <c r="D163" s="103">
        <f t="shared" si="125"/>
        <v>5.1410102252925369E-6</v>
      </c>
      <c r="E163" s="103">
        <f t="shared" si="125"/>
        <v>4.6901869432599766E-6</v>
      </c>
      <c r="F163" s="103">
        <f t="shared" si="125"/>
        <v>4.2444740798220076E-6</v>
      </c>
      <c r="G163" s="103">
        <f t="shared" si="125"/>
        <v>3.9068700784799864E-6</v>
      </c>
      <c r="H163" s="103">
        <f t="shared" si="125"/>
        <v>3.7063032033627692E-6</v>
      </c>
      <c r="I163" s="103">
        <f t="shared" si="125"/>
        <v>3.4534335669212981E-6</v>
      </c>
      <c r="J163" s="103">
        <f t="shared" si="125"/>
        <v>3.7287358072997963E-6</v>
      </c>
      <c r="K163" s="103">
        <f t="shared" si="125"/>
        <v>3.9827616015216361E-6</v>
      </c>
      <c r="L163" s="103">
        <f t="shared" ref="L163" si="126">IF(L51=0,0,L51/L$17)</f>
        <v>4.0791108673984453E-6</v>
      </c>
      <c r="M163" s="103">
        <f t="shared" ref="M163:V163" si="127">IF(M51=0,0,M51/M$17)</f>
        <v>4.129302632543202E-6</v>
      </c>
      <c r="N163" s="103">
        <f t="shared" si="127"/>
        <v>4.6223200974557784E-6</v>
      </c>
      <c r="O163" s="103">
        <f t="shared" si="127"/>
        <v>4.7340746341319663E-6</v>
      </c>
      <c r="P163" s="103">
        <f t="shared" si="127"/>
        <v>5.8078399707153943E-6</v>
      </c>
      <c r="Q163" s="103">
        <f t="shared" si="127"/>
        <v>7.6939219932181235E-6</v>
      </c>
      <c r="R163" s="103">
        <f t="shared" si="127"/>
        <v>1.0360760114552861E-5</v>
      </c>
      <c r="S163" s="103">
        <f t="shared" si="127"/>
        <v>1.2218435645382813E-5</v>
      </c>
      <c r="T163" s="103">
        <f t="shared" si="127"/>
        <v>1.5045654378371059E-5</v>
      </c>
      <c r="U163" s="103">
        <f t="shared" si="127"/>
        <v>1.9332235948752209E-5</v>
      </c>
      <c r="V163" s="103">
        <f t="shared" si="127"/>
        <v>2.6475784845961187E-5</v>
      </c>
      <c r="W163" s="103">
        <f t="shared" ref="W163" si="128">IF(W51=0,0,W51/W$17)</f>
        <v>5.63285713456539E-5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0.2243598962359783</v>
      </c>
      <c r="C164" s="156">
        <f t="shared" si="129"/>
        <v>0.23038632029580333</v>
      </c>
      <c r="D164" s="156">
        <f t="shared" si="129"/>
        <v>0.23013910625216893</v>
      </c>
      <c r="E164" s="156">
        <f t="shared" si="129"/>
        <v>0.22912651062595943</v>
      </c>
      <c r="F164" s="156">
        <f t="shared" si="129"/>
        <v>0.22826379288082221</v>
      </c>
      <c r="G164" s="156">
        <f t="shared" si="129"/>
        <v>0.22525645957164203</v>
      </c>
      <c r="H164" s="156">
        <f t="shared" si="129"/>
        <v>0.21824728920882658</v>
      </c>
      <c r="I164" s="156">
        <f t="shared" si="129"/>
        <v>0.2147303881939007</v>
      </c>
      <c r="J164" s="156">
        <f t="shared" si="129"/>
        <v>0.20801392893152315</v>
      </c>
      <c r="K164" s="156">
        <f t="shared" si="129"/>
        <v>0.18012121835682779</v>
      </c>
      <c r="L164" s="156">
        <f t="shared" ref="L164" si="130">IF(L52=0,0,L52/L$17)</f>
        <v>0.19013793451098887</v>
      </c>
      <c r="M164" s="156">
        <f t="shared" ref="M164:V164" si="131">IF(M52=0,0,M52/M$17)</f>
        <v>0.17342086932114451</v>
      </c>
      <c r="N164" s="156">
        <f t="shared" si="131"/>
        <v>0.1570298667475461</v>
      </c>
      <c r="O164" s="156">
        <f t="shared" si="131"/>
        <v>0.15512640204546863</v>
      </c>
      <c r="P164" s="156">
        <f t="shared" si="131"/>
        <v>0.14353352122900548</v>
      </c>
      <c r="Q164" s="156">
        <f t="shared" si="131"/>
        <v>0.13075180015670348</v>
      </c>
      <c r="R164" s="156">
        <f t="shared" si="131"/>
        <v>0.14752132556178546</v>
      </c>
      <c r="S164" s="156">
        <f t="shared" si="131"/>
        <v>0.14415481096910379</v>
      </c>
      <c r="T164" s="156">
        <f t="shared" si="131"/>
        <v>0.14204575078711182</v>
      </c>
      <c r="U164" s="156">
        <f t="shared" si="131"/>
        <v>0.13882441444809954</v>
      </c>
      <c r="V164" s="156">
        <f t="shared" si="131"/>
        <v>0.13979185438002492</v>
      </c>
      <c r="W164" s="156">
        <f t="shared" ref="W164" si="132">IF(W52=0,0,W52/W$17)</f>
        <v>0.14933250155791586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0.21585874339526029</v>
      </c>
      <c r="C165" s="104">
        <f t="shared" si="133"/>
        <v>0.22112422588064362</v>
      </c>
      <c r="D165" s="104">
        <f t="shared" si="133"/>
        <v>0.22071767491309524</v>
      </c>
      <c r="E165" s="104">
        <f t="shared" si="133"/>
        <v>0.2195124092260087</v>
      </c>
      <c r="F165" s="104">
        <f t="shared" si="133"/>
        <v>0.2172350939572944</v>
      </c>
      <c r="G165" s="104">
        <f t="shared" si="133"/>
        <v>0.21504654216173269</v>
      </c>
      <c r="H165" s="104">
        <f t="shared" si="133"/>
        <v>0.20697728247933628</v>
      </c>
      <c r="I165" s="104">
        <f t="shared" si="133"/>
        <v>0.20309426829653096</v>
      </c>
      <c r="J165" s="104">
        <f t="shared" si="133"/>
        <v>0.1984347013879787</v>
      </c>
      <c r="K165" s="104">
        <f t="shared" si="133"/>
        <v>0.1718876147521014</v>
      </c>
      <c r="L165" s="104">
        <f t="shared" ref="L165" si="134">IF(L53=0,0,L53/L$17)</f>
        <v>0.18013054632625886</v>
      </c>
      <c r="M165" s="104">
        <f t="shared" ref="M165:V165" si="135">IF(M53=0,0,M53/M$17)</f>
        <v>0.16704503058823636</v>
      </c>
      <c r="N165" s="104">
        <f t="shared" si="135"/>
        <v>0.14957693311580239</v>
      </c>
      <c r="O165" s="104">
        <f t="shared" si="135"/>
        <v>0.14874067158279644</v>
      </c>
      <c r="P165" s="104">
        <f t="shared" si="135"/>
        <v>0.13588812635442163</v>
      </c>
      <c r="Q165" s="104">
        <f t="shared" si="135"/>
        <v>0.12195373356022471</v>
      </c>
      <c r="R165" s="104">
        <f t="shared" si="135"/>
        <v>0.13993010313399951</v>
      </c>
      <c r="S165" s="104">
        <f t="shared" si="135"/>
        <v>0.13775587013268883</v>
      </c>
      <c r="T165" s="104">
        <f t="shared" si="135"/>
        <v>0.13416296791941884</v>
      </c>
      <c r="U165" s="104">
        <f t="shared" si="135"/>
        <v>0.13261970669064524</v>
      </c>
      <c r="V165" s="104">
        <f t="shared" si="135"/>
        <v>0.1331543894266112</v>
      </c>
      <c r="W165" s="104">
        <f t="shared" ref="W165" si="136">IF(W53=0,0,W53/W$17)</f>
        <v>0.1391881353123838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8.501152840718014E-3</v>
      </c>
      <c r="C166" s="105">
        <f t="shared" si="137"/>
        <v>9.2620944151597228E-3</v>
      </c>
      <c r="D166" s="105">
        <f t="shared" si="137"/>
        <v>9.4214313390737041E-3</v>
      </c>
      <c r="E166" s="105">
        <f t="shared" si="137"/>
        <v>9.6141013999507183E-3</v>
      </c>
      <c r="F166" s="105">
        <f t="shared" si="137"/>
        <v>1.1028698923527841E-2</v>
      </c>
      <c r="G166" s="105">
        <f t="shared" si="137"/>
        <v>1.0209917409909331E-2</v>
      </c>
      <c r="H166" s="105">
        <f t="shared" si="137"/>
        <v>1.1270006729490306E-2</v>
      </c>
      <c r="I166" s="105">
        <f t="shared" si="137"/>
        <v>1.1636119897369748E-2</v>
      </c>
      <c r="J166" s="105">
        <f t="shared" si="137"/>
        <v>9.57922754354445E-3</v>
      </c>
      <c r="K166" s="105">
        <f t="shared" si="137"/>
        <v>8.2336036047264121E-3</v>
      </c>
      <c r="L166" s="105">
        <f t="shared" ref="L166" si="138">IF(L55=0,0,L55/L$17)</f>
        <v>1.0007388184730001E-2</v>
      </c>
      <c r="M166" s="105">
        <f t="shared" ref="M166:V166" si="139">IF(M55=0,0,M55/M$17)</f>
        <v>6.3758387329081439E-3</v>
      </c>
      <c r="N166" s="105">
        <f t="shared" si="139"/>
        <v>7.452933631743713E-3</v>
      </c>
      <c r="O166" s="105">
        <f t="shared" si="139"/>
        <v>6.3857304626721732E-3</v>
      </c>
      <c r="P166" s="105">
        <f t="shared" si="139"/>
        <v>7.6453948745838461E-3</v>
      </c>
      <c r="Q166" s="105">
        <f t="shared" si="139"/>
        <v>8.7980665964787728E-3</v>
      </c>
      <c r="R166" s="105">
        <f t="shared" si="139"/>
        <v>7.5912224277859246E-3</v>
      </c>
      <c r="S166" s="105">
        <f t="shared" si="139"/>
        <v>6.3989408364149647E-3</v>
      </c>
      <c r="T166" s="105">
        <f t="shared" si="139"/>
        <v>7.8827828676929883E-3</v>
      </c>
      <c r="U166" s="105">
        <f t="shared" si="139"/>
        <v>6.2047077574542966E-3</v>
      </c>
      <c r="V166" s="105">
        <f t="shared" si="139"/>
        <v>6.6374649534137378E-3</v>
      </c>
      <c r="W166" s="105">
        <f t="shared" ref="W166" si="140">IF(W55=0,0,W55/W$17)</f>
        <v>1.014436624553205E-2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10638.837878039998</v>
      </c>
      <c r="C4" s="146">
        <f t="shared" si="0"/>
        <v>10822.082572079998</v>
      </c>
      <c r="D4" s="146">
        <f t="shared" si="0"/>
        <v>11040.950881440001</v>
      </c>
      <c r="E4" s="146">
        <f t="shared" si="0"/>
        <v>11211.979085280002</v>
      </c>
      <c r="F4" s="146">
        <f t="shared" si="0"/>
        <v>11543.218045560001</v>
      </c>
      <c r="G4" s="146">
        <f t="shared" si="0"/>
        <v>11581.233695639998</v>
      </c>
      <c r="H4" s="146">
        <f t="shared" si="0"/>
        <v>11738.640234239998</v>
      </c>
      <c r="I4" s="146">
        <f t="shared" si="0"/>
        <v>12121.485846479998</v>
      </c>
      <c r="J4" s="146">
        <f t="shared" si="0"/>
        <v>11613.09799728</v>
      </c>
      <c r="K4" s="146">
        <f t="shared" si="0"/>
        <v>11081.169607319998</v>
      </c>
      <c r="L4" s="146">
        <f t="shared" ref="L4" si="1">L5+L9+L10+L15</f>
        <v>11529.305729639998</v>
      </c>
      <c r="M4" s="146">
        <f t="shared" ref="M4:V4" si="2">M5+M9+M10+M15</f>
        <v>11358.586505160001</v>
      </c>
      <c r="N4" s="146">
        <f t="shared" si="2"/>
        <v>11135.94898716</v>
      </c>
      <c r="O4" s="146">
        <f t="shared" si="2"/>
        <v>11132.55167544</v>
      </c>
      <c r="P4" s="146">
        <f t="shared" si="2"/>
        <v>10060.752960000002</v>
      </c>
      <c r="Q4" s="146">
        <f t="shared" si="2"/>
        <v>10066.550419440002</v>
      </c>
      <c r="R4" s="146">
        <f t="shared" si="2"/>
        <v>11311.592653079999</v>
      </c>
      <c r="S4" s="146">
        <f t="shared" si="2"/>
        <v>10667.544904440001</v>
      </c>
      <c r="T4" s="146">
        <f t="shared" si="2"/>
        <v>10841.58298728</v>
      </c>
      <c r="U4" s="146">
        <f t="shared" si="2"/>
        <v>10444.135804200001</v>
      </c>
      <c r="V4" s="146">
        <f t="shared" si="2"/>
        <v>9843.595220520001</v>
      </c>
      <c r="W4" s="146">
        <f t="shared" ref="W4" si="3">W5+W9+W10+W15</f>
        <v>9379.9991811599994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10634.798678039999</v>
      </c>
      <c r="C5" s="101">
        <f t="shared" si="4"/>
        <v>10818.043372079999</v>
      </c>
      <c r="D5" s="101">
        <f t="shared" si="4"/>
        <v>11034.892081440001</v>
      </c>
      <c r="E5" s="101">
        <f t="shared" si="4"/>
        <v>11205.920285280001</v>
      </c>
      <c r="F5" s="101">
        <f t="shared" si="4"/>
        <v>11537.15924556</v>
      </c>
      <c r="G5" s="101">
        <f t="shared" si="4"/>
        <v>11575.174895639997</v>
      </c>
      <c r="H5" s="101">
        <f t="shared" si="4"/>
        <v>11730.561834239998</v>
      </c>
      <c r="I5" s="101">
        <f t="shared" si="4"/>
        <v>12113.407446479998</v>
      </c>
      <c r="J5" s="101">
        <f t="shared" si="4"/>
        <v>11603.000199239999</v>
      </c>
      <c r="K5" s="101">
        <f t="shared" si="4"/>
        <v>11069.052007319999</v>
      </c>
      <c r="L5" s="101">
        <f t="shared" ref="L5" si="5">SUM(L6:L8)</f>
        <v>11517.188129639999</v>
      </c>
      <c r="M5" s="101">
        <f t="shared" ref="M5:V5" si="6">SUM(M6:M8)</f>
        <v>11350.508105160001</v>
      </c>
      <c r="N5" s="101">
        <f t="shared" si="6"/>
        <v>11123.023547159999</v>
      </c>
      <c r="O5" s="101">
        <f t="shared" si="6"/>
        <v>11124.473275439999</v>
      </c>
      <c r="P5" s="101">
        <f t="shared" si="6"/>
        <v>10052.169660000001</v>
      </c>
      <c r="Q5" s="101">
        <f t="shared" si="6"/>
        <v>10058.270059440001</v>
      </c>
      <c r="R5" s="101">
        <f t="shared" si="6"/>
        <v>11302.302291119999</v>
      </c>
      <c r="S5" s="101">
        <f t="shared" si="6"/>
        <v>10656.225652320001</v>
      </c>
      <c r="T5" s="101">
        <f t="shared" si="6"/>
        <v>10825.374081600001</v>
      </c>
      <c r="U5" s="101">
        <f t="shared" si="6"/>
        <v>10418.484258720002</v>
      </c>
      <c r="V5" s="101">
        <f t="shared" si="6"/>
        <v>9811.0259391600011</v>
      </c>
      <c r="W5" s="101">
        <f t="shared" ref="W5" si="7">SUM(W6:W8)</f>
        <v>9341.69867892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0</v>
      </c>
      <c r="E6" s="101">
        <v>0</v>
      </c>
      <c r="F6" s="101">
        <v>0</v>
      </c>
      <c r="G6" s="101">
        <v>0</v>
      </c>
      <c r="H6" s="101">
        <v>0</v>
      </c>
      <c r="I6" s="101">
        <v>0</v>
      </c>
      <c r="J6" s="101">
        <v>0</v>
      </c>
      <c r="K6" s="101">
        <v>0</v>
      </c>
      <c r="L6" s="101">
        <v>0</v>
      </c>
      <c r="M6" s="101">
        <v>0</v>
      </c>
      <c r="N6" s="101">
        <v>0</v>
      </c>
      <c r="O6" s="101">
        <v>0</v>
      </c>
      <c r="P6" s="101">
        <v>0</v>
      </c>
      <c r="Q6" s="101">
        <v>0</v>
      </c>
      <c r="R6" s="101">
        <v>0</v>
      </c>
      <c r="S6" s="101">
        <v>0</v>
      </c>
      <c r="T6" s="101">
        <v>0</v>
      </c>
      <c r="U6" s="101">
        <v>0</v>
      </c>
      <c r="V6" s="101">
        <v>0</v>
      </c>
      <c r="W6" s="101">
        <v>0</v>
      </c>
      <c r="DA6" s="175" t="s">
        <v>740</v>
      </c>
    </row>
    <row r="7" spans="1:105" ht="11.45" customHeight="1" x14ac:dyDescent="0.25">
      <c r="A7" s="128" t="s">
        <v>53</v>
      </c>
      <c r="B7" s="101">
        <v>4937.6941891200004</v>
      </c>
      <c r="C7" s="101">
        <v>5006.2320831599991</v>
      </c>
      <c r="D7" s="101">
        <v>5095.6290000000017</v>
      </c>
      <c r="E7" s="101">
        <v>5110.52844456</v>
      </c>
      <c r="F7" s="101">
        <v>5203.7137151999996</v>
      </c>
      <c r="G7" s="101">
        <v>5190.9857445599991</v>
      </c>
      <c r="H7" s="101">
        <v>5144.3838784799982</v>
      </c>
      <c r="I7" s="101">
        <v>5130.5547031199985</v>
      </c>
      <c r="J7" s="101">
        <v>4600.9655445599992</v>
      </c>
      <c r="K7" s="101">
        <v>4434.0911168399989</v>
      </c>
      <c r="L7" s="101">
        <v>4329.7947554399989</v>
      </c>
      <c r="M7" s="101">
        <v>4094.3826831599999</v>
      </c>
      <c r="N7" s="101">
        <v>3933.4680831599985</v>
      </c>
      <c r="O7" s="101">
        <v>4021.1879954400001</v>
      </c>
      <c r="P7" s="101">
        <v>3870.8069400000008</v>
      </c>
      <c r="Q7" s="101">
        <v>3849.7535722800012</v>
      </c>
      <c r="R7" s="101">
        <v>3834.7154168399993</v>
      </c>
      <c r="S7" s="101">
        <v>3684.334610880001</v>
      </c>
      <c r="T7" s="101">
        <v>3630.1974508800008</v>
      </c>
      <c r="U7" s="101">
        <v>3548.9917108800014</v>
      </c>
      <c r="V7" s="101">
        <v>3272.2904491199997</v>
      </c>
      <c r="W7" s="101">
        <v>3296.3515477199994</v>
      </c>
      <c r="DA7" s="175" t="s">
        <v>741</v>
      </c>
    </row>
    <row r="8" spans="1:105" ht="11.45" customHeight="1" x14ac:dyDescent="0.25">
      <c r="A8" s="128" t="s">
        <v>54</v>
      </c>
      <c r="B8" s="101">
        <v>5697.1044889199984</v>
      </c>
      <c r="C8" s="101">
        <v>5811.8112889200011</v>
      </c>
      <c r="D8" s="101">
        <v>5939.26308144</v>
      </c>
      <c r="E8" s="101">
        <v>6095.3918407199999</v>
      </c>
      <c r="F8" s="101">
        <v>6333.4455303599998</v>
      </c>
      <c r="G8" s="101">
        <v>6384.1891510799987</v>
      </c>
      <c r="H8" s="101">
        <v>6586.1779557599984</v>
      </c>
      <c r="I8" s="101">
        <v>6982.8527433599993</v>
      </c>
      <c r="J8" s="101">
        <v>7002.034654680001</v>
      </c>
      <c r="K8" s="101">
        <v>6634.9608904799998</v>
      </c>
      <c r="L8" s="101">
        <v>7187.3933742000008</v>
      </c>
      <c r="M8" s="101">
        <v>7256.125422000001</v>
      </c>
      <c r="N8" s="101">
        <v>7189.5554640000009</v>
      </c>
      <c r="O8" s="101">
        <v>7103.2852800000001</v>
      </c>
      <c r="P8" s="101">
        <v>6181.362720000001</v>
      </c>
      <c r="Q8" s="101">
        <v>6208.51648716</v>
      </c>
      <c r="R8" s="101">
        <v>7467.5868742799994</v>
      </c>
      <c r="S8" s="101">
        <v>6971.8910414400007</v>
      </c>
      <c r="T8" s="101">
        <v>7195.1766307199996</v>
      </c>
      <c r="U8" s="101">
        <v>6869.49254784</v>
      </c>
      <c r="V8" s="101">
        <v>6538.7354900400014</v>
      </c>
      <c r="W8" s="101">
        <v>6045.3471312000001</v>
      </c>
      <c r="DA8" s="175" t="s">
        <v>742</v>
      </c>
    </row>
    <row r="9" spans="1:105" ht="11.45" customHeight="1" x14ac:dyDescent="0.25">
      <c r="A9" s="92" t="s">
        <v>55</v>
      </c>
      <c r="B9" s="101">
        <v>4.039200000000001</v>
      </c>
      <c r="C9" s="101">
        <v>4.039200000000001</v>
      </c>
      <c r="D9" s="101">
        <v>6.0587999999999997</v>
      </c>
      <c r="E9" s="101">
        <v>6.0587999999999997</v>
      </c>
      <c r="F9" s="101">
        <v>6.0587999999999997</v>
      </c>
      <c r="G9" s="101">
        <v>6.0587999999999997</v>
      </c>
      <c r="H9" s="101">
        <v>8.0783999999999985</v>
      </c>
      <c r="I9" s="101">
        <v>8.0783999999999985</v>
      </c>
      <c r="J9" s="101">
        <v>10.097798040000002</v>
      </c>
      <c r="K9" s="101">
        <v>12.117599999999999</v>
      </c>
      <c r="L9" s="101">
        <v>12.117599999999999</v>
      </c>
      <c r="M9" s="101">
        <v>8.0783999999999985</v>
      </c>
      <c r="N9" s="101">
        <v>12.925440000000002</v>
      </c>
      <c r="O9" s="101">
        <v>8.0783999999999985</v>
      </c>
      <c r="P9" s="101">
        <v>8.5833000000000013</v>
      </c>
      <c r="Q9" s="101">
        <v>8.2803600000000017</v>
      </c>
      <c r="R9" s="101">
        <v>9.2903619600000003</v>
      </c>
      <c r="S9" s="101">
        <v>11.319252119999998</v>
      </c>
      <c r="T9" s="101">
        <v>16.208905680000001</v>
      </c>
      <c r="U9" s="101">
        <v>25.651545479999999</v>
      </c>
      <c r="V9" s="101">
        <v>32.569281359999998</v>
      </c>
      <c r="W9" s="101">
        <v>38.30050224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10638.837878039998</v>
      </c>
      <c r="C17" s="79">
        <f t="shared" si="12"/>
        <v>10822.082572079998</v>
      </c>
      <c r="D17" s="79">
        <f t="shared" si="12"/>
        <v>11040.950881440003</v>
      </c>
      <c r="E17" s="79">
        <f t="shared" si="12"/>
        <v>11211.97908528</v>
      </c>
      <c r="F17" s="79">
        <f t="shared" si="12"/>
        <v>11543.218045559999</v>
      </c>
      <c r="G17" s="79">
        <f t="shared" si="12"/>
        <v>11581.233695639998</v>
      </c>
      <c r="H17" s="79">
        <f t="shared" si="12"/>
        <v>11738.640234239996</v>
      </c>
      <c r="I17" s="79">
        <f t="shared" si="12"/>
        <v>12121.48584648</v>
      </c>
      <c r="J17" s="79">
        <f t="shared" si="12"/>
        <v>11613.09799728</v>
      </c>
      <c r="K17" s="79">
        <f t="shared" si="12"/>
        <v>11081.16960732</v>
      </c>
      <c r="L17" s="79">
        <f t="shared" ref="L17" si="13">SUM(L18,L33)</f>
        <v>11529.30572964</v>
      </c>
      <c r="M17" s="79">
        <f t="shared" ref="M17:V17" si="14">SUM(M18,M33)</f>
        <v>11358.586505160001</v>
      </c>
      <c r="N17" s="79">
        <f t="shared" si="14"/>
        <v>11135.94898716</v>
      </c>
      <c r="O17" s="79">
        <f t="shared" si="14"/>
        <v>11132.55167544</v>
      </c>
      <c r="P17" s="79">
        <f t="shared" si="14"/>
        <v>10060.752960000002</v>
      </c>
      <c r="Q17" s="79">
        <f t="shared" si="14"/>
        <v>10066.55041944</v>
      </c>
      <c r="R17" s="79">
        <f t="shared" si="14"/>
        <v>11311.592653079999</v>
      </c>
      <c r="S17" s="79">
        <f t="shared" si="14"/>
        <v>10667.544904440001</v>
      </c>
      <c r="T17" s="79">
        <f t="shared" si="14"/>
        <v>10841.582987279999</v>
      </c>
      <c r="U17" s="79">
        <f t="shared" si="14"/>
        <v>10444.135804200001</v>
      </c>
      <c r="V17" s="79">
        <f t="shared" si="14"/>
        <v>9843.595220520001</v>
      </c>
      <c r="W17" s="79">
        <f t="shared" ref="W17" si="15">SUM(W18,W33)</f>
        <v>9379.9991811599994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6909.4453186684023</v>
      </c>
      <c r="C18" s="32">
        <f t="shared" si="16"/>
        <v>6986.9898604236914</v>
      </c>
      <c r="D18" s="32">
        <f t="shared" si="16"/>
        <v>7156.1688385433072</v>
      </c>
      <c r="E18" s="32">
        <f t="shared" si="16"/>
        <v>7295.7987385862298</v>
      </c>
      <c r="F18" s="32">
        <f t="shared" si="16"/>
        <v>7475.5728486367016</v>
      </c>
      <c r="G18" s="32">
        <f t="shared" si="16"/>
        <v>7542.2990663264054</v>
      </c>
      <c r="H18" s="32">
        <f t="shared" si="16"/>
        <v>7718.6681019165871</v>
      </c>
      <c r="I18" s="32">
        <f t="shared" si="16"/>
        <v>7984.41235075858</v>
      </c>
      <c r="J18" s="32">
        <f t="shared" si="16"/>
        <v>7611.203577904972</v>
      </c>
      <c r="K18" s="32">
        <f t="shared" si="16"/>
        <v>7563.2500240326899</v>
      </c>
      <c r="L18" s="32">
        <f t="shared" ref="L18" si="17">SUM(L19,L20,L27)</f>
        <v>7725.5910041527823</v>
      </c>
      <c r="M18" s="32">
        <f t="shared" ref="M18:V18" si="18">SUM(M19,M20,M27)</f>
        <v>7745.4837346657123</v>
      </c>
      <c r="N18" s="32">
        <f t="shared" si="18"/>
        <v>7723.1945625712906</v>
      </c>
      <c r="O18" s="32">
        <f t="shared" si="18"/>
        <v>7742.0884881104994</v>
      </c>
      <c r="P18" s="32">
        <f t="shared" si="18"/>
        <v>7208.8917538574033</v>
      </c>
      <c r="Q18" s="32">
        <f t="shared" si="18"/>
        <v>7305.8827993492614</v>
      </c>
      <c r="R18" s="32">
        <f t="shared" si="18"/>
        <v>7819.1798473669105</v>
      </c>
      <c r="S18" s="32">
        <f t="shared" si="18"/>
        <v>7490.2944801016856</v>
      </c>
      <c r="T18" s="32">
        <f t="shared" si="18"/>
        <v>7564.5140476568049</v>
      </c>
      <c r="U18" s="32">
        <f t="shared" si="18"/>
        <v>7294.2840830399218</v>
      </c>
      <c r="V18" s="32">
        <f t="shared" si="18"/>
        <v>6757.1883090379697</v>
      </c>
      <c r="W18" s="32">
        <f t="shared" ref="W18" si="19">SUM(W19,W20,W27)</f>
        <v>6380.4195171078854</v>
      </c>
      <c r="DA18" s="173" t="s">
        <v>402</v>
      </c>
    </row>
    <row r="19" spans="1:105" ht="11.45" customHeight="1" x14ac:dyDescent="0.25">
      <c r="A19" s="136" t="s">
        <v>180</v>
      </c>
      <c r="B19" s="141">
        <v>114.53783238478759</v>
      </c>
      <c r="C19" s="141">
        <v>113.04899959040304</v>
      </c>
      <c r="D19" s="141">
        <v>111.37890586166816</v>
      </c>
      <c r="E19" s="141">
        <v>109.47296158887876</v>
      </c>
      <c r="F19" s="141">
        <v>108.02844760039748</v>
      </c>
      <c r="G19" s="141">
        <v>106.95540035452095</v>
      </c>
      <c r="H19" s="141">
        <v>105.74518002046815</v>
      </c>
      <c r="I19" s="141">
        <v>105.04806224660564</v>
      </c>
      <c r="J19" s="141">
        <v>99.757168715775606</v>
      </c>
      <c r="K19" s="141">
        <v>97.513696023278982</v>
      </c>
      <c r="L19" s="141">
        <v>127.44208468137427</v>
      </c>
      <c r="M19" s="141">
        <v>124.2050021944773</v>
      </c>
      <c r="N19" s="141">
        <v>121.83989976607104</v>
      </c>
      <c r="O19" s="141">
        <v>122.95070219749522</v>
      </c>
      <c r="P19" s="141">
        <v>121.07963394354687</v>
      </c>
      <c r="Q19" s="141">
        <v>120.40041652607965</v>
      </c>
      <c r="R19" s="141">
        <v>122.0269789862522</v>
      </c>
      <c r="S19" s="141">
        <v>113.13518108314851</v>
      </c>
      <c r="T19" s="141">
        <v>106.65927934926133</v>
      </c>
      <c r="U19" s="141">
        <v>111.75605052157057</v>
      </c>
      <c r="V19" s="141">
        <v>98.495594564154302</v>
      </c>
      <c r="W19" s="141">
        <v>96.946905595020766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6121.3445544347178</v>
      </c>
      <c r="C20" s="130">
        <f t="shared" si="20"/>
        <v>6214.2486075642346</v>
      </c>
      <c r="D20" s="130">
        <f t="shared" si="20"/>
        <v>6379.1732609467417</v>
      </c>
      <c r="E20" s="130">
        <f t="shared" si="20"/>
        <v>6502.1828259906506</v>
      </c>
      <c r="F20" s="130">
        <f t="shared" si="20"/>
        <v>6657.4527820309158</v>
      </c>
      <c r="G20" s="130">
        <f t="shared" si="20"/>
        <v>6734.5359130315037</v>
      </c>
      <c r="H20" s="130">
        <f t="shared" si="20"/>
        <v>6887.1347920805538</v>
      </c>
      <c r="I20" s="130">
        <f t="shared" si="20"/>
        <v>7125.8434491547969</v>
      </c>
      <c r="J20" s="130">
        <f t="shared" si="20"/>
        <v>6758.9384791764542</v>
      </c>
      <c r="K20" s="130">
        <f t="shared" si="20"/>
        <v>6701.6502812037161</v>
      </c>
      <c r="L20" s="130">
        <f t="shared" ref="L20" si="21">SUM(L21:L26)</f>
        <v>6798.4180251715088</v>
      </c>
      <c r="M20" s="130">
        <f t="shared" ref="M20:V20" si="22">SUM(M21:M26)</f>
        <v>6816.6545233378911</v>
      </c>
      <c r="N20" s="130">
        <f t="shared" si="22"/>
        <v>6761.6837569596046</v>
      </c>
      <c r="O20" s="130">
        <f t="shared" si="22"/>
        <v>6770.7897950251936</v>
      </c>
      <c r="P20" s="130">
        <f t="shared" si="22"/>
        <v>6316.9173288481197</v>
      </c>
      <c r="Q20" s="130">
        <f t="shared" si="22"/>
        <v>6384.8551598115764</v>
      </c>
      <c r="R20" s="130">
        <f t="shared" si="22"/>
        <v>6698.6102845104733</v>
      </c>
      <c r="S20" s="130">
        <f t="shared" si="22"/>
        <v>6459.4180012082479</v>
      </c>
      <c r="T20" s="130">
        <f t="shared" si="22"/>
        <v>6532.7791793201486</v>
      </c>
      <c r="U20" s="130">
        <f t="shared" si="22"/>
        <v>6309.5491760757604</v>
      </c>
      <c r="V20" s="130">
        <f t="shared" si="22"/>
        <v>5894.0440574115246</v>
      </c>
      <c r="W20" s="130">
        <f t="shared" ref="W20" si="23">SUM(W21:W26)</f>
        <v>5664.9340176965652</v>
      </c>
      <c r="DA20" s="176" t="s">
        <v>404</v>
      </c>
    </row>
    <row r="21" spans="1:105" ht="11.45" customHeight="1" x14ac:dyDescent="0.25">
      <c r="A21" s="111" t="s">
        <v>110</v>
      </c>
      <c r="B21" s="96">
        <v>4710.784976332814</v>
      </c>
      <c r="C21" s="96">
        <v>4787.4113351652923</v>
      </c>
      <c r="D21" s="96">
        <v>4884.890957271612</v>
      </c>
      <c r="E21" s="96">
        <v>4909.5293587443284</v>
      </c>
      <c r="F21" s="96">
        <v>5010.4892667664235</v>
      </c>
      <c r="G21" s="96">
        <v>5002.2243168020614</v>
      </c>
      <c r="H21" s="96">
        <v>4963.9928819177312</v>
      </c>
      <c r="I21" s="96">
        <v>4955.6121949001135</v>
      </c>
      <c r="J21" s="96">
        <v>4434.3693076731106</v>
      </c>
      <c r="K21" s="96">
        <v>4273.7510703063099</v>
      </c>
      <c r="L21" s="96">
        <v>4140.6412749846941</v>
      </c>
      <c r="M21" s="96">
        <v>3910.179550262596</v>
      </c>
      <c r="N21" s="96">
        <v>3753.7090167532328</v>
      </c>
      <c r="O21" s="96">
        <v>3841.3856622218464</v>
      </c>
      <c r="P21" s="96">
        <v>3694.9655125809204</v>
      </c>
      <c r="Q21" s="96">
        <v>3675.4688371497368</v>
      </c>
      <c r="R21" s="96">
        <v>3659.3617624864091</v>
      </c>
      <c r="S21" s="96">
        <v>3517.8235062139265</v>
      </c>
      <c r="T21" s="96">
        <v>3467.5470050730341</v>
      </c>
      <c r="U21" s="96">
        <v>3378.0043767900825</v>
      </c>
      <c r="V21" s="96">
        <v>3111.4197046240929</v>
      </c>
      <c r="W21" s="96">
        <v>3128.6191671190959</v>
      </c>
      <c r="DA21" s="171" t="s">
        <v>750</v>
      </c>
    </row>
    <row r="22" spans="1:105" ht="11.45" customHeight="1" x14ac:dyDescent="0.25">
      <c r="A22" s="111" t="s">
        <v>111</v>
      </c>
      <c r="B22" s="96">
        <v>1410.5595781019033</v>
      </c>
      <c r="C22" s="96">
        <v>1426.8372723989421</v>
      </c>
      <c r="D22" s="96">
        <v>1494.2823036751302</v>
      </c>
      <c r="E22" s="96">
        <v>1592.6534672463224</v>
      </c>
      <c r="F22" s="96">
        <v>1646.9635152644928</v>
      </c>
      <c r="G22" s="96">
        <v>1732.3115962294426</v>
      </c>
      <c r="H22" s="96">
        <v>1923.1339581689774</v>
      </c>
      <c r="I22" s="96">
        <v>2169.9493800815467</v>
      </c>
      <c r="J22" s="96">
        <v>2323.9609293972644</v>
      </c>
      <c r="K22" s="96">
        <v>2426.7313875905934</v>
      </c>
      <c r="L22" s="96">
        <v>2656.2642420112184</v>
      </c>
      <c r="M22" s="96">
        <v>2905.0530900626418</v>
      </c>
      <c r="N22" s="96">
        <v>3005.1756336665408</v>
      </c>
      <c r="O22" s="96">
        <v>2927.0860369489592</v>
      </c>
      <c r="P22" s="96">
        <v>2619.1993383558488</v>
      </c>
      <c r="Q22" s="96">
        <v>2706.0715585157363</v>
      </c>
      <c r="R22" s="96">
        <v>3034.7146876972779</v>
      </c>
      <c r="S22" s="96">
        <v>2933.0438124943194</v>
      </c>
      <c r="T22" s="96">
        <v>3048.3831481037723</v>
      </c>
      <c r="U22" s="96">
        <v>2901.9659220607218</v>
      </c>
      <c r="V22" s="96">
        <v>2741.2657839866993</v>
      </c>
      <c r="W22" s="96">
        <v>2481.1409103092033</v>
      </c>
      <c r="DA22" s="171" t="s">
        <v>751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6">
        <v>0</v>
      </c>
      <c r="V23" s="96">
        <v>0</v>
      </c>
      <c r="W23" s="96">
        <v>0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7.9519938453028235E-3</v>
      </c>
      <c r="I24" s="96">
        <v>0.28187417313580193</v>
      </c>
      <c r="J24" s="96">
        <v>0.60824210607948193</v>
      </c>
      <c r="K24" s="96">
        <v>1.1678233068121315</v>
      </c>
      <c r="L24" s="96">
        <v>1.5125081755963985</v>
      </c>
      <c r="M24" s="96">
        <v>1.4218830126534248</v>
      </c>
      <c r="N24" s="96">
        <v>2.740741380897592</v>
      </c>
      <c r="O24" s="96">
        <v>2.1776837109646459</v>
      </c>
      <c r="P24" s="96">
        <v>2.4690434783782096</v>
      </c>
      <c r="Q24" s="96">
        <v>2.7610481976238068</v>
      </c>
      <c r="R24" s="96">
        <v>3.2086427460306584</v>
      </c>
      <c r="S24" s="96">
        <v>5.4695482883493121</v>
      </c>
      <c r="T24" s="96">
        <v>9.8939978023404294</v>
      </c>
      <c r="U24" s="96">
        <v>18.21133631068788</v>
      </c>
      <c r="V24" s="96">
        <v>24.550153413988479</v>
      </c>
      <c r="W24" s="96">
        <v>29.62080026520443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5.8365158933447667E-2</v>
      </c>
      <c r="O25" s="96">
        <v>0.14041214342328495</v>
      </c>
      <c r="P25" s="96">
        <v>0.2834344329717941</v>
      </c>
      <c r="Q25" s="96">
        <v>0.55371594847929861</v>
      </c>
      <c r="R25" s="96">
        <v>1.3251915807547201</v>
      </c>
      <c r="S25" s="96">
        <v>3.0811342116531493</v>
      </c>
      <c r="T25" s="96">
        <v>6.955028341002067</v>
      </c>
      <c r="U25" s="96">
        <v>11.367540914267661</v>
      </c>
      <c r="V25" s="96">
        <v>16.808415386744063</v>
      </c>
      <c r="W25" s="96">
        <v>25.553140003061269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673.56293184889694</v>
      </c>
      <c r="C27" s="130">
        <f t="shared" si="24"/>
        <v>659.69225326905428</v>
      </c>
      <c r="D27" s="130">
        <f t="shared" si="24"/>
        <v>665.61667173489673</v>
      </c>
      <c r="E27" s="130">
        <f t="shared" si="24"/>
        <v>684.14295100670029</v>
      </c>
      <c r="F27" s="130">
        <f t="shared" si="24"/>
        <v>710.09161900538857</v>
      </c>
      <c r="G27" s="130">
        <f t="shared" si="24"/>
        <v>700.80775294038108</v>
      </c>
      <c r="H27" s="130">
        <f t="shared" si="24"/>
        <v>725.78812981556553</v>
      </c>
      <c r="I27" s="130">
        <f t="shared" si="24"/>
        <v>753.52083935717746</v>
      </c>
      <c r="J27" s="130">
        <f t="shared" si="24"/>
        <v>752.50793001274303</v>
      </c>
      <c r="K27" s="130">
        <f t="shared" si="24"/>
        <v>764.08604680569397</v>
      </c>
      <c r="L27" s="130">
        <f t="shared" ref="L27" si="25">SUM(L28:L32)</f>
        <v>799.73089429989875</v>
      </c>
      <c r="M27" s="130">
        <f t="shared" ref="M27:V27" si="26">SUM(M28:M32)</f>
        <v>804.62420913334461</v>
      </c>
      <c r="N27" s="130">
        <f t="shared" si="26"/>
        <v>839.67090584561504</v>
      </c>
      <c r="O27" s="130">
        <f t="shared" si="26"/>
        <v>848.34799088781119</v>
      </c>
      <c r="P27" s="130">
        <f t="shared" si="26"/>
        <v>770.89479106573685</v>
      </c>
      <c r="Q27" s="130">
        <f t="shared" si="26"/>
        <v>800.62722301160511</v>
      </c>
      <c r="R27" s="130">
        <f t="shared" si="26"/>
        <v>998.54258387018479</v>
      </c>
      <c r="S27" s="130">
        <f t="shared" si="26"/>
        <v>917.74129781028967</v>
      </c>
      <c r="T27" s="130">
        <f t="shared" si="26"/>
        <v>925.07558898739524</v>
      </c>
      <c r="U27" s="130">
        <f t="shared" si="26"/>
        <v>872.97885644259088</v>
      </c>
      <c r="V27" s="130">
        <f t="shared" si="26"/>
        <v>764.64865706229114</v>
      </c>
      <c r="W27" s="130">
        <f t="shared" ref="W27" si="27">SUM(W28:W32)</f>
        <v>618.53859381629991</v>
      </c>
      <c r="DA27" s="176" t="s">
        <v>405</v>
      </c>
    </row>
    <row r="28" spans="1:105" ht="11.45" customHeight="1" x14ac:dyDescent="0.25">
      <c r="A28" s="111" t="s">
        <v>110</v>
      </c>
      <c r="B28" s="97">
        <v>0.25930302121668025</v>
      </c>
      <c r="C28" s="97">
        <v>0.28204357335922725</v>
      </c>
      <c r="D28" s="97">
        <v>0.27233114699681005</v>
      </c>
      <c r="E28" s="97">
        <v>0.27177970615007502</v>
      </c>
      <c r="F28" s="97">
        <v>0.27994356234254741</v>
      </c>
      <c r="G28" s="97">
        <v>0.30584155064854096</v>
      </c>
      <c r="H28" s="97">
        <v>0.28667014520423295</v>
      </c>
      <c r="I28" s="97">
        <v>0.29511298805438702</v>
      </c>
      <c r="J28" s="97">
        <v>0.27544840184752845</v>
      </c>
      <c r="K28" s="97">
        <v>0.26908853458898702</v>
      </c>
      <c r="L28" s="97">
        <v>0.27478920265584145</v>
      </c>
      <c r="M28" s="97">
        <v>0.26320521654198442</v>
      </c>
      <c r="N28" s="97">
        <v>0.26193984713051216</v>
      </c>
      <c r="O28" s="97">
        <v>0.26667889802974409</v>
      </c>
      <c r="P28" s="97">
        <v>0.2656055613091966</v>
      </c>
      <c r="Q28" s="97">
        <v>0.26620854917554759</v>
      </c>
      <c r="R28" s="97">
        <v>0.26572691276508309</v>
      </c>
      <c r="S28" s="97">
        <v>0.25977528786343962</v>
      </c>
      <c r="T28" s="97">
        <v>0.24124283224173459</v>
      </c>
      <c r="U28" s="97">
        <v>0.22220907324268199</v>
      </c>
      <c r="V28" s="97">
        <v>0.17905309609253545</v>
      </c>
      <c r="W28" s="97">
        <v>0.14952771989156682</v>
      </c>
      <c r="DA28" s="175" t="s">
        <v>756</v>
      </c>
    </row>
    <row r="29" spans="1:105" ht="11.45" customHeight="1" x14ac:dyDescent="0.25">
      <c r="A29" s="111" t="s">
        <v>111</v>
      </c>
      <c r="B29" s="97">
        <v>669.26442882768026</v>
      </c>
      <c r="C29" s="97">
        <v>655.38124990430686</v>
      </c>
      <c r="D29" s="97">
        <v>659.29572335259581</v>
      </c>
      <c r="E29" s="97">
        <v>677.82240180727342</v>
      </c>
      <c r="F29" s="97">
        <v>703.76224058030459</v>
      </c>
      <c r="G29" s="97">
        <v>694.45629020969784</v>
      </c>
      <c r="H29" s="97">
        <v>717.44328671251958</v>
      </c>
      <c r="I29" s="97">
        <v>745.46309931345979</v>
      </c>
      <c r="J29" s="97">
        <v>742.81400792427382</v>
      </c>
      <c r="K29" s="97">
        <v>753.00067959426474</v>
      </c>
      <c r="L29" s="97">
        <v>789.03994388279216</v>
      </c>
      <c r="M29" s="97">
        <v>797.91325542991797</v>
      </c>
      <c r="N29" s="97">
        <v>829.59665271865049</v>
      </c>
      <c r="O29" s="97">
        <v>842.55042764463769</v>
      </c>
      <c r="P29" s="97">
        <v>764.94618111031377</v>
      </c>
      <c r="Q29" s="97">
        <v>795.34380340754569</v>
      </c>
      <c r="R29" s="97">
        <v>992.88782416726258</v>
      </c>
      <c r="S29" s="97">
        <v>912.62950117069306</v>
      </c>
      <c r="T29" s="97">
        <v>920.03079960179014</v>
      </c>
      <c r="U29" s="97">
        <v>867.5970699480057</v>
      </c>
      <c r="V29" s="97">
        <v>759.50779938456378</v>
      </c>
      <c r="W29" s="97">
        <v>613.60193215307299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4.039200000000001</v>
      </c>
      <c r="C31" s="97">
        <v>4.028959791388167</v>
      </c>
      <c r="D31" s="97">
        <v>6.0486172353040066</v>
      </c>
      <c r="E31" s="97">
        <v>6.0487694932768692</v>
      </c>
      <c r="F31" s="97">
        <v>6.0494348627414141</v>
      </c>
      <c r="G31" s="97">
        <v>6.0456211800346757</v>
      </c>
      <c r="H31" s="97">
        <v>8.0581729578417587</v>
      </c>
      <c r="I31" s="97">
        <v>7.7626270556633461</v>
      </c>
      <c r="J31" s="97">
        <v>9.4184736866217005</v>
      </c>
      <c r="K31" s="97">
        <v>10.816278676840243</v>
      </c>
      <c r="L31" s="97">
        <v>10.416161214450733</v>
      </c>
      <c r="M31" s="97">
        <v>6.447748486884632</v>
      </c>
      <c r="N31" s="97">
        <v>9.8123132798340524</v>
      </c>
      <c r="O31" s="97">
        <v>5.5308843451436909</v>
      </c>
      <c r="P31" s="97">
        <v>5.6830043941139063</v>
      </c>
      <c r="Q31" s="97">
        <v>5.0172110548838518</v>
      </c>
      <c r="R31" s="97">
        <v>5.3890327901570467</v>
      </c>
      <c r="S31" s="97">
        <v>4.8520213517330903</v>
      </c>
      <c r="T31" s="97">
        <v>4.8035465533633603</v>
      </c>
      <c r="U31" s="97">
        <v>5.1595774213424948</v>
      </c>
      <c r="V31" s="97">
        <v>4.9618045816348522</v>
      </c>
      <c r="W31" s="97">
        <v>4.7871339433353324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3729.3925593715962</v>
      </c>
      <c r="C33" s="32">
        <f t="shared" si="28"/>
        <v>3835.0927116563071</v>
      </c>
      <c r="D33" s="32">
        <f t="shared" si="28"/>
        <v>3884.7820428966952</v>
      </c>
      <c r="E33" s="32">
        <f t="shared" si="28"/>
        <v>3916.1803466937699</v>
      </c>
      <c r="F33" s="32">
        <f t="shared" si="28"/>
        <v>4067.6451969232976</v>
      </c>
      <c r="G33" s="32">
        <f t="shared" si="28"/>
        <v>4038.9346293135918</v>
      </c>
      <c r="H33" s="32">
        <f t="shared" si="28"/>
        <v>4019.9721323234085</v>
      </c>
      <c r="I33" s="32">
        <f t="shared" si="28"/>
        <v>4137.0734957214199</v>
      </c>
      <c r="J33" s="32">
        <f t="shared" si="28"/>
        <v>4001.8944193750272</v>
      </c>
      <c r="K33" s="32">
        <f t="shared" si="28"/>
        <v>3517.9195832873106</v>
      </c>
      <c r="L33" s="32">
        <f t="shared" ref="L33" si="29">L34+L40</f>
        <v>3803.714725487217</v>
      </c>
      <c r="M33" s="32">
        <f t="shared" ref="M33:V33" si="30">M34+M40</f>
        <v>3613.1027704942881</v>
      </c>
      <c r="N33" s="32">
        <f t="shared" si="30"/>
        <v>3412.7544245887093</v>
      </c>
      <c r="O33" s="32">
        <f t="shared" si="30"/>
        <v>3390.4631873295002</v>
      </c>
      <c r="P33" s="32">
        <f t="shared" si="30"/>
        <v>2851.8612061425988</v>
      </c>
      <c r="Q33" s="32">
        <f t="shared" si="30"/>
        <v>2760.6676200907391</v>
      </c>
      <c r="R33" s="32">
        <f t="shared" si="30"/>
        <v>3492.4128057130893</v>
      </c>
      <c r="S33" s="32">
        <f t="shared" si="30"/>
        <v>3177.250424338315</v>
      </c>
      <c r="T33" s="32">
        <f t="shared" si="30"/>
        <v>3277.0689396231946</v>
      </c>
      <c r="U33" s="32">
        <f t="shared" si="30"/>
        <v>3149.8517211600797</v>
      </c>
      <c r="V33" s="32">
        <f t="shared" si="30"/>
        <v>3086.4069114820304</v>
      </c>
      <c r="W33" s="32">
        <f t="shared" ref="W33" si="31">W34+W40</f>
        <v>2999.5796640521139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1265.4258339171629</v>
      </c>
      <c r="C34" s="141">
        <f t="shared" si="32"/>
        <v>1261.6322293507176</v>
      </c>
      <c r="D34" s="141">
        <f t="shared" si="32"/>
        <v>1261.6706114057936</v>
      </c>
      <c r="E34" s="141">
        <f t="shared" si="32"/>
        <v>1262.8492656201117</v>
      </c>
      <c r="F34" s="141">
        <f t="shared" si="32"/>
        <v>1346.7562408944707</v>
      </c>
      <c r="G34" s="141">
        <f t="shared" si="32"/>
        <v>1348.747831927963</v>
      </c>
      <c r="H34" s="141">
        <f t="shared" si="32"/>
        <v>1379.2351364944252</v>
      </c>
      <c r="I34" s="141">
        <f t="shared" si="32"/>
        <v>1456.4257690438387</v>
      </c>
      <c r="J34" s="141">
        <f t="shared" si="32"/>
        <v>1485.8940006124617</v>
      </c>
      <c r="K34" s="141">
        <f t="shared" si="32"/>
        <v>1449.9255392477653</v>
      </c>
      <c r="L34" s="141">
        <f t="shared" ref="L34" si="33">SUM(L35:L39)</f>
        <v>1533.6718269434962</v>
      </c>
      <c r="M34" s="141">
        <f t="shared" ref="M34:V34" si="34">SUM(M35:M39)</f>
        <v>1583.3409319739426</v>
      </c>
      <c r="N34" s="141">
        <f t="shared" si="34"/>
        <v>1607.0133554879174</v>
      </c>
      <c r="O34" s="141">
        <f t="shared" si="34"/>
        <v>1633.1579899196352</v>
      </c>
      <c r="P34" s="141">
        <f t="shared" si="34"/>
        <v>1448.8161407321879</v>
      </c>
      <c r="Q34" s="141">
        <f t="shared" si="34"/>
        <v>1483.1055773209937</v>
      </c>
      <c r="R34" s="141">
        <f t="shared" si="34"/>
        <v>1780.9321231661495</v>
      </c>
      <c r="S34" s="141">
        <f t="shared" si="34"/>
        <v>1639.6529850805996</v>
      </c>
      <c r="T34" s="141">
        <f t="shared" si="34"/>
        <v>1726.8308053629005</v>
      </c>
      <c r="U34" s="141">
        <f t="shared" si="34"/>
        <v>1700.1139056069387</v>
      </c>
      <c r="V34" s="141">
        <f t="shared" si="34"/>
        <v>1699.8307975247224</v>
      </c>
      <c r="W34" s="141">
        <f t="shared" ref="W34" si="35">SUM(W35:W39)</f>
        <v>1633.209722720127</v>
      </c>
      <c r="DA34" s="174" t="s">
        <v>411</v>
      </c>
    </row>
    <row r="35" spans="1:105" ht="11.45" customHeight="1" x14ac:dyDescent="0.25">
      <c r="A35" s="111" t="s">
        <v>110</v>
      </c>
      <c r="B35" s="96">
        <v>112.1120773811823</v>
      </c>
      <c r="C35" s="96">
        <v>105.48970483094382</v>
      </c>
      <c r="D35" s="96">
        <v>99.086805719725064</v>
      </c>
      <c r="E35" s="96">
        <v>91.254344520642832</v>
      </c>
      <c r="F35" s="96">
        <v>84.916057270836518</v>
      </c>
      <c r="G35" s="96">
        <v>81.500185852768183</v>
      </c>
      <c r="H35" s="96">
        <v>74.359146396594639</v>
      </c>
      <c r="I35" s="96">
        <v>69.599332985225686</v>
      </c>
      <c r="J35" s="96">
        <v>66.563619769265117</v>
      </c>
      <c r="K35" s="96">
        <v>62.557261975821525</v>
      </c>
      <c r="L35" s="96">
        <v>61.436606571274119</v>
      </c>
      <c r="M35" s="96">
        <v>59.734925486384455</v>
      </c>
      <c r="N35" s="96">
        <v>57.598861634630829</v>
      </c>
      <c r="O35" s="96">
        <v>56.44453997920543</v>
      </c>
      <c r="P35" s="96">
        <v>54.21275348125269</v>
      </c>
      <c r="Q35" s="96">
        <v>53.064394106529548</v>
      </c>
      <c r="R35" s="96">
        <v>51.735756873818183</v>
      </c>
      <c r="S35" s="96">
        <v>50.035014083409514</v>
      </c>
      <c r="T35" s="96">
        <v>48.794895284461752</v>
      </c>
      <c r="U35" s="96">
        <v>47.641533580837816</v>
      </c>
      <c r="V35" s="96">
        <v>45.387681448915522</v>
      </c>
      <c r="W35" s="96">
        <v>45.082807282930055</v>
      </c>
      <c r="DA35" s="171" t="s">
        <v>761</v>
      </c>
    </row>
    <row r="36" spans="1:105" ht="11.45" customHeight="1" x14ac:dyDescent="0.25">
      <c r="A36" s="111" t="s">
        <v>111</v>
      </c>
      <c r="B36" s="96">
        <v>1153.3137565359807</v>
      </c>
      <c r="C36" s="96">
        <v>1156.132284311162</v>
      </c>
      <c r="D36" s="96">
        <v>1162.5736229213724</v>
      </c>
      <c r="E36" s="96">
        <v>1171.5848905927458</v>
      </c>
      <c r="F36" s="96">
        <v>1261.8308184863756</v>
      </c>
      <c r="G36" s="96">
        <v>1267.2344672552294</v>
      </c>
      <c r="H36" s="96">
        <v>1304.8637150495176</v>
      </c>
      <c r="I36" s="96">
        <v>1386.7925372874122</v>
      </c>
      <c r="J36" s="96">
        <v>1419.2592985958977</v>
      </c>
      <c r="K36" s="96">
        <v>1387.2347792555961</v>
      </c>
      <c r="L36" s="96">
        <v>1472.0462897622692</v>
      </c>
      <c r="M36" s="96">
        <v>1523.3972379870961</v>
      </c>
      <c r="N36" s="96">
        <v>1549.0421085140183</v>
      </c>
      <c r="O36" s="96">
        <v>1576.3436179965379</v>
      </c>
      <c r="P36" s="96">
        <v>1394.1721351234273</v>
      </c>
      <c r="Q36" s="96">
        <v>1429.5390824669719</v>
      </c>
      <c r="R36" s="96">
        <v>1728.5036798685189</v>
      </c>
      <c r="S36" s="96">
        <v>1588.6202885172725</v>
      </c>
      <c r="T36" s="96">
        <v>1676.5245487541426</v>
      </c>
      <c r="U36" s="96">
        <v>1650.1917402781312</v>
      </c>
      <c r="V36" s="96">
        <v>1651.38579271143</v>
      </c>
      <c r="W36" s="96">
        <v>1584.2343474057366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1.0240208611834179E-2</v>
      </c>
      <c r="D38" s="96">
        <v>1.0182764695993371E-2</v>
      </c>
      <c r="E38" s="96">
        <v>1.0030506723130422E-2</v>
      </c>
      <c r="F38" s="96">
        <v>9.3651372585859486E-3</v>
      </c>
      <c r="G38" s="96">
        <v>1.3178819965324568E-2</v>
      </c>
      <c r="H38" s="96">
        <v>1.2275048312935421E-2</v>
      </c>
      <c r="I38" s="96">
        <v>3.3898771200849317E-2</v>
      </c>
      <c r="J38" s="96">
        <v>7.1082247298819179E-2</v>
      </c>
      <c r="K38" s="96">
        <v>0.13349801634762554</v>
      </c>
      <c r="L38" s="96">
        <v>0.18893060995286906</v>
      </c>
      <c r="M38" s="96">
        <v>0.20876850046194034</v>
      </c>
      <c r="N38" s="96">
        <v>0.37238533926835715</v>
      </c>
      <c r="O38" s="96">
        <v>0.36983194389166085</v>
      </c>
      <c r="P38" s="96">
        <v>0.43125212750788494</v>
      </c>
      <c r="Q38" s="96">
        <v>0.50210074749234235</v>
      </c>
      <c r="R38" s="96">
        <v>0.69268642381229439</v>
      </c>
      <c r="S38" s="96">
        <v>0.9976824799175934</v>
      </c>
      <c r="T38" s="96">
        <v>1.511361324296211</v>
      </c>
      <c r="U38" s="96">
        <v>2.2806317479696263</v>
      </c>
      <c r="V38" s="96">
        <v>3.0573233643766637</v>
      </c>
      <c r="W38" s="96">
        <v>3.8925680314602347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2463.9667254544333</v>
      </c>
      <c r="C40" s="130">
        <f t="shared" si="36"/>
        <v>2573.4604823055893</v>
      </c>
      <c r="D40" s="130">
        <f t="shared" si="36"/>
        <v>2623.1114314909019</v>
      </c>
      <c r="E40" s="130">
        <f t="shared" si="36"/>
        <v>2653.331081073658</v>
      </c>
      <c r="F40" s="130">
        <f t="shared" si="36"/>
        <v>2720.8889560288267</v>
      </c>
      <c r="G40" s="130">
        <f t="shared" si="36"/>
        <v>2690.1867973856288</v>
      </c>
      <c r="H40" s="130">
        <f t="shared" si="36"/>
        <v>2640.7369958289833</v>
      </c>
      <c r="I40" s="130">
        <f t="shared" si="36"/>
        <v>2680.647726677581</v>
      </c>
      <c r="J40" s="130">
        <f t="shared" si="36"/>
        <v>2516.0004187625655</v>
      </c>
      <c r="K40" s="130">
        <f t="shared" si="36"/>
        <v>2067.9940440395453</v>
      </c>
      <c r="L40" s="130">
        <f t="shared" ref="L40" si="37">SUM(L41:L42)</f>
        <v>2270.0428985437206</v>
      </c>
      <c r="M40" s="130">
        <f t="shared" ref="M40:V40" si="38">SUM(M41:M42)</f>
        <v>2029.7618385203455</v>
      </c>
      <c r="N40" s="130">
        <f t="shared" si="38"/>
        <v>1805.7410691007922</v>
      </c>
      <c r="O40" s="130">
        <f t="shared" si="38"/>
        <v>1757.3051974098653</v>
      </c>
      <c r="P40" s="130">
        <f t="shared" si="38"/>
        <v>1403.0450654104109</v>
      </c>
      <c r="Q40" s="130">
        <f t="shared" si="38"/>
        <v>1277.5620427697454</v>
      </c>
      <c r="R40" s="130">
        <f t="shared" si="38"/>
        <v>1711.48068254694</v>
      </c>
      <c r="S40" s="130">
        <f t="shared" si="38"/>
        <v>1537.5974392577155</v>
      </c>
      <c r="T40" s="130">
        <f t="shared" si="38"/>
        <v>1550.2381342602941</v>
      </c>
      <c r="U40" s="130">
        <f t="shared" si="38"/>
        <v>1449.737815553141</v>
      </c>
      <c r="V40" s="130">
        <f t="shared" si="38"/>
        <v>1386.5761139573083</v>
      </c>
      <c r="W40" s="130">
        <f t="shared" ref="W40" si="39">SUM(W41:W42)</f>
        <v>1366.3699413319866</v>
      </c>
      <c r="DA40" s="176" t="s">
        <v>412</v>
      </c>
    </row>
    <row r="41" spans="1:105" ht="11.45" customHeight="1" x14ac:dyDescent="0.25">
      <c r="A41" s="128" t="s">
        <v>27</v>
      </c>
      <c r="B41" s="97">
        <v>2370.6053089136612</v>
      </c>
      <c r="C41" s="97">
        <v>2470.0010671363502</v>
      </c>
      <c r="D41" s="97">
        <v>2515.7265343780587</v>
      </c>
      <c r="E41" s="97">
        <v>2541.9978530181488</v>
      </c>
      <c r="F41" s="97">
        <v>2589.4276115830994</v>
      </c>
      <c r="G41" s="97">
        <v>2568.2520698720759</v>
      </c>
      <c r="H41" s="97">
        <v>2504.3727650442875</v>
      </c>
      <c r="I41" s="97">
        <v>2535.3849224113055</v>
      </c>
      <c r="J41" s="97">
        <v>2400.1363483381579</v>
      </c>
      <c r="K41" s="97">
        <v>1973.4630200386671</v>
      </c>
      <c r="L41" s="97">
        <v>2150.5654226778843</v>
      </c>
      <c r="M41" s="97">
        <v>1955.1374049139631</v>
      </c>
      <c r="N41" s="97">
        <v>1720.0371923614809</v>
      </c>
      <c r="O41" s="97">
        <v>1684.9662713254252</v>
      </c>
      <c r="P41" s="97">
        <v>1328.3110697552468</v>
      </c>
      <c r="Q41" s="97">
        <v>1191.5970624027395</v>
      </c>
      <c r="R41" s="97">
        <v>1623.4104968121242</v>
      </c>
      <c r="S41" s="97">
        <v>1469.3444619350091</v>
      </c>
      <c r="T41" s="97">
        <v>1464.2081718159677</v>
      </c>
      <c r="U41" s="97">
        <v>1384.942300252766</v>
      </c>
      <c r="V41" s="97">
        <v>1320.7400149767991</v>
      </c>
      <c r="W41" s="97">
        <v>1273.5505151042535</v>
      </c>
      <c r="DA41" s="175" t="s">
        <v>766</v>
      </c>
    </row>
    <row r="42" spans="1:105" ht="11.45" customHeight="1" x14ac:dyDescent="0.25">
      <c r="A42" s="138" t="s">
        <v>116</v>
      </c>
      <c r="B42" s="98">
        <v>93.361416540772296</v>
      </c>
      <c r="C42" s="98">
        <v>103.45941516923925</v>
      </c>
      <c r="D42" s="98">
        <v>107.38489711284328</v>
      </c>
      <c r="E42" s="98">
        <v>111.33322805550928</v>
      </c>
      <c r="F42" s="98">
        <v>131.46134444572724</v>
      </c>
      <c r="G42" s="98">
        <v>121.93472751355263</v>
      </c>
      <c r="H42" s="98">
        <v>136.36423078469571</v>
      </c>
      <c r="I42" s="98">
        <v>145.26280426627565</v>
      </c>
      <c r="J42" s="98">
        <v>115.8640704244077</v>
      </c>
      <c r="K42" s="98">
        <v>94.531024000878432</v>
      </c>
      <c r="L42" s="98">
        <v>119.47747586583652</v>
      </c>
      <c r="M42" s="98">
        <v>74.624433606382397</v>
      </c>
      <c r="N42" s="98">
        <v>85.703876739311127</v>
      </c>
      <c r="O42" s="98">
        <v>72.338926084440232</v>
      </c>
      <c r="P42" s="98">
        <v>74.733995655164193</v>
      </c>
      <c r="Q42" s="98">
        <v>85.964980367005808</v>
      </c>
      <c r="R42" s="98">
        <v>88.070185734815936</v>
      </c>
      <c r="S42" s="98">
        <v>68.252977322706428</v>
      </c>
      <c r="T42" s="98">
        <v>86.029962444326472</v>
      </c>
      <c r="U42" s="98">
        <v>64.795515300374888</v>
      </c>
      <c r="V42" s="98">
        <v>65.836098980509178</v>
      </c>
      <c r="W42" s="98">
        <v>92.819426227733132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3.0054188515249263</v>
      </c>
      <c r="C47" s="145">
        <f>IF(C4=0,0,C4/TrRoad_ene!C4)</f>
        <v>3.0057333591376856</v>
      </c>
      <c r="D47" s="145">
        <f>IF(D4=0,0,D4/TrRoad_ene!D4)</f>
        <v>3.0052498445777349</v>
      </c>
      <c r="E47" s="145">
        <f>IF(E4=0,0,E4/TrRoad_ene!E4)</f>
        <v>3.0037694733400668</v>
      </c>
      <c r="F47" s="145">
        <f>IF(F4=0,0,F4/TrRoad_ene!F4)</f>
        <v>3.0043708133128648</v>
      </c>
      <c r="G47" s="145">
        <f>IF(G4=0,0,G4/TrRoad_ene!G4)</f>
        <v>3.0085003450435752</v>
      </c>
      <c r="H47" s="145">
        <f>IF(H4=0,0,H4/TrRoad_ene!H4)</f>
        <v>3.0098297072099718</v>
      </c>
      <c r="I47" s="145">
        <f>IF(I4=0,0,I4/TrRoad_ene!I4)</f>
        <v>3.0123820136992912</v>
      </c>
      <c r="J47" s="145">
        <f>IF(J4=0,0,J4/TrRoad_ene!J4)</f>
        <v>2.9640408432708147</v>
      </c>
      <c r="K47" s="145">
        <f>IF(K4=0,0,K4/TrRoad_ene!K4)</f>
        <v>2.9143356402597798</v>
      </c>
      <c r="L47" s="145">
        <f>IF(L4=0,0,L4/TrRoad_ene!L4)</f>
        <v>2.917163770035311</v>
      </c>
      <c r="M47" s="145">
        <f>IF(M4=0,0,M4/TrRoad_ene!M4)</f>
        <v>2.8764262852571894</v>
      </c>
      <c r="N47" s="145">
        <f>IF(N4=0,0,N4/TrRoad_ene!N4)</f>
        <v>2.8766795479940259</v>
      </c>
      <c r="O47" s="145">
        <f>IF(O4=0,0,O4/TrRoad_ene!O4)</f>
        <v>2.8543931849635582</v>
      </c>
      <c r="P47" s="145">
        <f>IF(P4=0,0,P4/TrRoad_ene!P4)</f>
        <v>2.6303928710620128</v>
      </c>
      <c r="Q47" s="145">
        <f>IF(Q4=0,0,Q4/TrRoad_ene!Q4)</f>
        <v>2.6306700495583422</v>
      </c>
      <c r="R47" s="145">
        <f>IF(R4=0,0,R4/TrRoad_ene!R4)</f>
        <v>2.893988657487446</v>
      </c>
      <c r="S47" s="145">
        <f>IF(S4=0,0,S4/TrRoad_ene!S4)</f>
        <v>2.7265250329562458</v>
      </c>
      <c r="T47" s="145">
        <f>IF(T4=0,0,T4/TrRoad_ene!T4)</f>
        <v>2.7483817903801686</v>
      </c>
      <c r="U47" s="145">
        <f>IF(U4=0,0,U4/TrRoad_ene!U4)</f>
        <v>2.6913131525165639</v>
      </c>
      <c r="V47" s="145">
        <f>IF(V4=0,0,V4/TrRoad_ene!V4)</f>
        <v>2.6935687526457786</v>
      </c>
      <c r="W47" s="145">
        <f>IF(W4=0,0,W4/TrRoad_ene!W4)</f>
        <v>2.475564143298091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2.9014523999999997</v>
      </c>
      <c r="D48" s="97">
        <f>IF(D7=0,0,(D7+D12)/(TrRoad_ene!D7+TrRoad_ene!D12))</f>
        <v>2.9003658100769303</v>
      </c>
      <c r="E48" s="97">
        <f>IF(E7=0,0,(E7+E12)/(TrRoad_ene!E7+TrRoad_ene!E12))</f>
        <v>2.8949638338138497</v>
      </c>
      <c r="F48" s="97">
        <f>IF(F7=0,0,(F7+F12)/(TrRoad_ene!F7+TrRoad_ene!F12))</f>
        <v>2.8940202729394104</v>
      </c>
      <c r="G48" s="97">
        <f>IF(G7=0,0,(G7+G12)/(TrRoad_ene!G7+TrRoad_ene!G12))</f>
        <v>2.9014524000000002</v>
      </c>
      <c r="H48" s="97">
        <f>IF(H7=0,0,(H7+H12)/(TrRoad_ene!H7+TrRoad_ene!H12))</f>
        <v>2.9003193015716038</v>
      </c>
      <c r="I48" s="97">
        <f>IF(I7=0,0,(I7+I12)/(TrRoad_ene!I7+TrRoad_ene!I12))</f>
        <v>2.8991811274120418</v>
      </c>
      <c r="J48" s="97">
        <f>IF(J7=0,0,(J7+J12)/(TrRoad_ene!J7+TrRoad_ene!J12))</f>
        <v>2.7960217269971674</v>
      </c>
      <c r="K48" s="97">
        <f>IF(K7=0,0,(K7+K12)/(TrRoad_ene!K7+TrRoad_ene!K12))</f>
        <v>2.7717533659548028</v>
      </c>
      <c r="L48" s="97">
        <f>IF(L7=0,0,(L7+L12)/(TrRoad_ene!L7+TrRoad_ene!L12))</f>
        <v>2.7618640890280988</v>
      </c>
      <c r="M48" s="97">
        <f>IF(M7=0,0,(M7+M12)/(TrRoad_ene!M7+TrRoad_ene!M12))</f>
        <v>2.7346972995209051</v>
      </c>
      <c r="N48" s="97">
        <f>IF(N7=0,0,(N7+N12)/(TrRoad_ene!N7+TrRoad_ene!N12))</f>
        <v>2.7219002133580679</v>
      </c>
      <c r="O48" s="97">
        <f>IF(O7=0,0,(O7+O12)/(TrRoad_ene!O7+TrRoad_ene!O12))</f>
        <v>2.7715606478971866</v>
      </c>
      <c r="P48" s="97">
        <f>IF(P7=0,0,(P7+P12)/(TrRoad_ene!P7+TrRoad_ene!P12))</f>
        <v>2.760783492572759</v>
      </c>
      <c r="Q48" s="97">
        <f>IF(Q7=0,0,(Q7+Q12)/(TrRoad_ene!Q7+TrRoad_ene!Q12))</f>
        <v>2.7674883473847416</v>
      </c>
      <c r="R48" s="97">
        <f>IF(R7=0,0,(R7+R12)/(TrRoad_ene!R7+TrRoad_ene!R12))</f>
        <v>2.7630491171021703</v>
      </c>
      <c r="S48" s="97">
        <f>IF(S7=0,0,(S7+S12)/(TrRoad_ene!S7+TrRoad_ene!S12))</f>
        <v>2.7320766829140619</v>
      </c>
      <c r="T48" s="97">
        <f>IF(T7=0,0,(T7+T12)/(TrRoad_ene!T7+TrRoad_ene!T12))</f>
        <v>2.7221517577384793</v>
      </c>
      <c r="U48" s="97">
        <f>IF(U7=0,0,(U7+U12)/(TrRoad_ene!U7+TrRoad_ene!U12))</f>
        <v>2.7084533670367446</v>
      </c>
      <c r="V48" s="97">
        <f>IF(V7=0,0,(V7+V12)/(TrRoad_ene!V7+TrRoad_ene!V12))</f>
        <v>2.6854296338262733</v>
      </c>
      <c r="W48" s="97">
        <f>IF(W7=0,0,(W7+W12)/(TrRoad_ene!W7+TrRoad_ene!W12))</f>
        <v>2.6470121540759455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3.1024187999999997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3.1024188000000001</v>
      </c>
      <c r="J49" s="97">
        <f>IF(J8=0,0,(J8+J13+J14)/(TrRoad_ene!J8+TrRoad_ene!J13+TrRoad_ene!J14))</f>
        <v>3.0871262101651316</v>
      </c>
      <c r="K49" s="97">
        <f>IF(K8=0,0,(K8+K13+K14)/(TrRoad_ene!K8+TrRoad_ene!K13+TrRoad_ene!K14))</f>
        <v>3.0195232151656817</v>
      </c>
      <c r="L49" s="97">
        <f>IF(L8=0,0,(L8+L13+L14)/(TrRoad_ene!L8+TrRoad_ene!L13+TrRoad_ene!L14))</f>
        <v>3.0208067843918802</v>
      </c>
      <c r="M49" s="97">
        <f>IF(M8=0,0,(M8+M13+M14)/(TrRoad_ene!M8+TrRoad_ene!M13+TrRoad_ene!M14))</f>
        <v>2.963962352439252</v>
      </c>
      <c r="N49" s="97">
        <f>IF(N8=0,0,(N8+N13+N14)/(TrRoad_ene!N8+TrRoad_ene!N13+TrRoad_ene!N14))</f>
        <v>2.9705541009391538</v>
      </c>
      <c r="O49" s="97">
        <f>IF(O8=0,0,(O8+O13+O14)/(TrRoad_ene!O8+TrRoad_ene!O13+TrRoad_ene!O14))</f>
        <v>2.9045613218925554</v>
      </c>
      <c r="P49" s="97">
        <f>IF(P8=0,0,(P8+P13+P14)/(TrRoad_ene!P8+TrRoad_ene!P13+TrRoad_ene!P14))</f>
        <v>2.555691420892543</v>
      </c>
      <c r="Q49" s="97">
        <f>IF(Q8=0,0,(Q8+Q13+Q14)/(TrRoad_ene!Q8+TrRoad_ene!Q13+TrRoad_ene!Q14))</f>
        <v>2.5534069172005274</v>
      </c>
      <c r="R49" s="97">
        <f>IF(R8=0,0,(R8+R13+R14)/(TrRoad_ene!R8+TrRoad_ene!R13+TrRoad_ene!R14))</f>
        <v>2.9681801953368678</v>
      </c>
      <c r="S49" s="97">
        <f>IF(S8=0,0,(S8+S13+S14)/(TrRoad_ene!S8+TrRoad_ene!S13+TrRoad_ene!S14))</f>
        <v>2.7262050367557031</v>
      </c>
      <c r="T49" s="97">
        <f>IF(T8=0,0,(T8+T13+T14)/(TrRoad_ene!T8+TrRoad_ene!T13+TrRoad_ene!T14))</f>
        <v>2.7666519863983456</v>
      </c>
      <c r="U49" s="97">
        <f>IF(U8=0,0,(U8+U13+U14)/(TrRoad_ene!U8+TrRoad_ene!U13+TrRoad_ene!U14))</f>
        <v>2.6910101792896137</v>
      </c>
      <c r="V49" s="97">
        <f>IF(V8=0,0,(V8+V13+V14)/(TrRoad_ene!V8+TrRoad_ene!V13+TrRoad_ene!V14))</f>
        <v>2.7141645077875336</v>
      </c>
      <c r="W49" s="97">
        <f>IF(W8=0,0,(W8+W13+W14)/(TrRoad_ene!W8+TrRoad_ene!W13+TrRoad_ene!W14))</f>
        <v>2.4148232150743598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0</v>
      </c>
      <c r="E50" s="97">
        <f>IF(E6=0,0,E6/TrRoad_ene!E6)</f>
        <v>0</v>
      </c>
      <c r="F50" s="97">
        <f>IF(F6=0,0,F6/TrRoad_ene!F6)</f>
        <v>0</v>
      </c>
      <c r="G50" s="97">
        <f>IF(G6=0,0,G6/TrRoad_ene!G6)</f>
        <v>0</v>
      </c>
      <c r="H50" s="97">
        <f>IF(H6=0,0,H6/TrRoad_ene!H6)</f>
        <v>0</v>
      </c>
      <c r="I50" s="97">
        <f>IF(I6=0,0,I6/TrRoad_ene!I6)</f>
        <v>0</v>
      </c>
      <c r="J50" s="97">
        <f>IF(J6=0,0,J6/TrRoad_ene!J6)</f>
        <v>0</v>
      </c>
      <c r="K50" s="97">
        <f>IF(K6=0,0,K6/TrRoad_ene!K6)</f>
        <v>0</v>
      </c>
      <c r="L50" s="97">
        <f>IF(L6=0,0,L6/TrRoad_ene!L6)</f>
        <v>0</v>
      </c>
      <c r="M50" s="97">
        <f>IF(M6=0,0,M6/TrRoad_ene!M6)</f>
        <v>0</v>
      </c>
      <c r="N50" s="97">
        <f>IF(N6=0,0,N6/TrRoad_ene!N6)</f>
        <v>0</v>
      </c>
      <c r="O50" s="97">
        <f>IF(O6=0,0,O6/TrRoad_ene!O6)</f>
        <v>0</v>
      </c>
      <c r="P50" s="97">
        <f>IF(P6=0,0,P6/TrRoad_ene!P6)</f>
        <v>0</v>
      </c>
      <c r="Q50" s="97">
        <f>IF(Q6=0,0,Q6/TrRoad_ene!Q6)</f>
        <v>0</v>
      </c>
      <c r="R50" s="97">
        <f>IF(R6=0,0,R6/TrRoad_ene!R6)</f>
        <v>0</v>
      </c>
      <c r="S50" s="97">
        <f>IF(S6=0,0,S6/TrRoad_ene!S6)</f>
        <v>0</v>
      </c>
      <c r="T50" s="97">
        <f>IF(T6=0,0,T6/TrRoad_ene!T6)</f>
        <v>0</v>
      </c>
      <c r="U50" s="97">
        <f>IF(U6=0,0,U6/TrRoad_ene!U6)</f>
        <v>0</v>
      </c>
      <c r="V50" s="97">
        <f>IF(V6=0,0,V6/TrRoad_ene!V6)</f>
        <v>0</v>
      </c>
      <c r="W50" s="97">
        <f>IF(W6=0,0,W6/TrRoad_ene!W6)</f>
        <v>0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2.3487947999999998</v>
      </c>
      <c r="I51" s="97">
        <f>IF(I9=0,0,(I9+I11)/(TrRoad_ene!I9+TrRoad_ene!I11))</f>
        <v>2.3487947999999998</v>
      </c>
      <c r="J51" s="97">
        <f>IF(J9=0,0,(J9+J11)/(TrRoad_ene!J9+TrRoad_ene!J11))</f>
        <v>2.3487948000000003</v>
      </c>
      <c r="K51" s="97">
        <f>IF(K9=0,0,(K9+K11)/(TrRoad_ene!K9+TrRoad_ene!K11))</f>
        <v>2.3379622416138561</v>
      </c>
      <c r="L51" s="97">
        <f>IF(L9=0,0,(L9+L11)/(TrRoad_ene!L9+TrRoad_ene!L11))</f>
        <v>2.3272291432723433</v>
      </c>
      <c r="M51" s="97">
        <f>IF(M9=0,0,(M9+M11)/(TrRoad_ene!M9+TrRoad_ene!M11))</f>
        <v>2.3008789949305708</v>
      </c>
      <c r="N51" s="97">
        <f>IF(N9=0,0,(N9+N11)/(TrRoad_ene!N9+TrRoad_ene!N11))</f>
        <v>2.3186165563833234</v>
      </c>
      <c r="O51" s="97">
        <f>IF(O9=0,0,(O9+O11)/(TrRoad_ene!O9+TrRoad_ene!O11))</f>
        <v>2.2853200360000971</v>
      </c>
      <c r="P51" s="97">
        <f>IF(P9=0,0,(P9+P11)/(TrRoad_ene!P9+TrRoad_ene!P11))</f>
        <v>2.2460574880748809</v>
      </c>
      <c r="Q51" s="97">
        <f>IF(Q9=0,0,(Q9+Q11)/(TrRoad_ene!Q9+TrRoad_ene!Q11))</f>
        <v>2.2424689549180332</v>
      </c>
      <c r="R51" s="97">
        <f>IF(R9=0,0,(R9+R11)/(TrRoad_ene!R9+TrRoad_ene!R11))</f>
        <v>2.2405679778280079</v>
      </c>
      <c r="S51" s="97">
        <f>IF(S9=0,0,(S9+S11)/(TrRoad_ene!S9+TrRoad_ene!S11))</f>
        <v>2.196391186525628</v>
      </c>
      <c r="T51" s="97">
        <f>IF(T9=0,0,(T9+T11)/(TrRoad_ene!T9+TrRoad_ene!T11))</f>
        <v>2.0569093702838068</v>
      </c>
      <c r="U51" s="97">
        <f>IF(U9=0,0,(U9+U11)/(TrRoad_ene!U9+TrRoad_ene!U11))</f>
        <v>2.0564522670756675</v>
      </c>
      <c r="V51" s="97">
        <f>IF(V9=0,0,(V9+V11)/(TrRoad_ene!V9+TrRoad_ene!V11))</f>
        <v>1.8143794593794011</v>
      </c>
      <c r="W51" s="97">
        <f>IF(W9=0,0,(W9+W11)/(TrRoad_ene!W9+TrRoad_ene!W11))</f>
        <v>1.7724446643847667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265.6011618092046</v>
      </c>
      <c r="C54" s="62">
        <f>IF(TrRoad_act!C30=0,0,C17/TrRoad_act!C30*1000
)</f>
        <v>263.44824194745695</v>
      </c>
      <c r="D54" s="62">
        <f>IF(TrRoad_act!D30=0,0,D17/TrRoad_act!D30*1000
)</f>
        <v>261.652164800344</v>
      </c>
      <c r="E54" s="62">
        <f>IF(TrRoad_act!E30=0,0,E17/TrRoad_act!E30*1000
)</f>
        <v>259.74399021967952</v>
      </c>
      <c r="F54" s="62">
        <f>IF(TrRoad_act!F30=0,0,F17/TrRoad_act!F30*1000
)</f>
        <v>259.62790739647443</v>
      </c>
      <c r="G54" s="62">
        <f>IF(TrRoad_act!G30=0,0,G17/TrRoad_act!G30*1000
)</f>
        <v>255.26452208571283</v>
      </c>
      <c r="H54" s="62">
        <f>IF(TrRoad_act!H30=0,0,H17/TrRoad_act!H30*1000
)</f>
        <v>256.87472743236174</v>
      </c>
      <c r="I54" s="62">
        <f>IF(TrRoad_act!I30=0,0,I17/TrRoad_act!I30*1000
)</f>
        <v>258.68643951891045</v>
      </c>
      <c r="J54" s="62">
        <f>IF(TrRoad_act!J30=0,0,J17/TrRoad_act!J30*1000
)</f>
        <v>246.62974149120473</v>
      </c>
      <c r="K54" s="62">
        <f>IF(TrRoad_act!K30=0,0,K17/TrRoad_act!K30*1000
)</f>
        <v>233.16719388588444</v>
      </c>
      <c r="L54" s="62">
        <f>IF(TrRoad_act!L30=0,0,L17/TrRoad_act!L30*1000
)</f>
        <v>237.28857160461604</v>
      </c>
      <c r="M54" s="62">
        <f>IF(TrRoad_act!M30=0,0,M17/TrRoad_act!M30*1000
)</f>
        <v>230.62123501840196</v>
      </c>
      <c r="N54" s="62">
        <f>IF(TrRoad_act!N30=0,0,N17/TrRoad_act!N30*1000
)</f>
        <v>227.17151302191124</v>
      </c>
      <c r="O54" s="62">
        <f>IF(TrRoad_act!O30=0,0,O17/TrRoad_act!O30*1000
)</f>
        <v>226.34104764504531</v>
      </c>
      <c r="P54" s="62">
        <f>IF(TrRoad_act!P30=0,0,P17/TrRoad_act!P30*1000
)</f>
        <v>203.35564940326341</v>
      </c>
      <c r="Q54" s="62">
        <f>IF(TrRoad_act!Q30=0,0,Q17/TrRoad_act!Q30*1000
)</f>
        <v>201.15893153025246</v>
      </c>
      <c r="R54" s="62">
        <f>IF(TrRoad_act!R30=0,0,R17/TrRoad_act!R30*1000
)</f>
        <v>233.28887567063992</v>
      </c>
      <c r="S54" s="62">
        <f>IF(TrRoad_act!S30=0,0,S17/TrRoad_act!S30*1000
)</f>
        <v>208.79953726192863</v>
      </c>
      <c r="T54" s="62">
        <f>IF(TrRoad_act!T30=0,0,T17/TrRoad_act!T30*1000
)</f>
        <v>211.38509989188714</v>
      </c>
      <c r="U54" s="62">
        <f>IF(TrRoad_act!U30=0,0,U17/TrRoad_act!U30*1000
)</f>
        <v>202.67718869896763</v>
      </c>
      <c r="V54" s="62">
        <f>IF(TrRoad_act!V30=0,0,V17/TrRoad_act!V30*1000
)</f>
        <v>197.97516866256328</v>
      </c>
      <c r="W54" s="62">
        <f>IF(TrRoad_act!W30=0,0,W17/TrRoad_act!W30*1000
)</f>
        <v>188.86619026790385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203.12701332745908</v>
      </c>
      <c r="C55" s="29">
        <f>IF(TrRoad_act!C31=0,0,C18/TrRoad_act!C31*1000
)</f>
        <v>200.3410479350857</v>
      </c>
      <c r="D55" s="29">
        <f>IF(TrRoad_act!D31=0,0,D18/TrRoad_act!D31*1000
)</f>
        <v>199.46149735384853</v>
      </c>
      <c r="E55" s="29">
        <f>IF(TrRoad_act!E31=0,0,E18/TrRoad_act!E31*1000
)</f>
        <v>198.36740135971468</v>
      </c>
      <c r="F55" s="29">
        <f>IF(TrRoad_act!F31=0,0,F18/TrRoad_act!F31*1000
)</f>
        <v>197.99776459849249</v>
      </c>
      <c r="G55" s="29">
        <f>IF(TrRoad_act!G31=0,0,G18/TrRoad_act!G31*1000
)</f>
        <v>196.15454432486914</v>
      </c>
      <c r="H55" s="29">
        <f>IF(TrRoad_act!H31=0,0,H18/TrRoad_act!H31*1000
)</f>
        <v>198.68368668210999</v>
      </c>
      <c r="I55" s="29">
        <f>IF(TrRoad_act!I31=0,0,I18/TrRoad_act!I31*1000
)</f>
        <v>200.55556976547854</v>
      </c>
      <c r="J55" s="29">
        <f>IF(TrRoad_act!J31=0,0,J18/TrRoad_act!J31*1000
)</f>
        <v>192.3874523175667</v>
      </c>
      <c r="K55" s="29">
        <f>IF(TrRoad_act!K31=0,0,K18/TrRoad_act!K31*1000
)</f>
        <v>187.89606773465351</v>
      </c>
      <c r="L55" s="29">
        <f>IF(TrRoad_act!L31=0,0,L18/TrRoad_act!L31*1000
)</f>
        <v>189.12783129090914</v>
      </c>
      <c r="M55" s="29">
        <f>IF(TrRoad_act!M31=0,0,M18/TrRoad_act!M31*1000
)</f>
        <v>187.08361991089637</v>
      </c>
      <c r="N55" s="29">
        <f>IF(TrRoad_act!N31=0,0,N18/TrRoad_act!N31*1000
)</f>
        <v>187.17323859129581</v>
      </c>
      <c r="O55" s="29">
        <f>IF(TrRoad_act!O31=0,0,O18/TrRoad_act!O31*1000
)</f>
        <v>188.04646914211128</v>
      </c>
      <c r="P55" s="29">
        <f>IF(TrRoad_act!P31=0,0,P18/TrRoad_act!P31*1000
)</f>
        <v>173.77203108719459</v>
      </c>
      <c r="Q55" s="29">
        <f>IF(TrRoad_act!Q31=0,0,Q18/TrRoad_act!Q31*1000
)</f>
        <v>173.70625191812809</v>
      </c>
      <c r="R55" s="29">
        <f>IF(TrRoad_act!R31=0,0,R18/TrRoad_act!R31*1000
)</f>
        <v>195.2676388483149</v>
      </c>
      <c r="S55" s="29">
        <f>IF(TrRoad_act!S31=0,0,S18/TrRoad_act!S31*1000
)</f>
        <v>176.9361202859719</v>
      </c>
      <c r="T55" s="29">
        <f>IF(TrRoad_act!T31=0,0,T18/TrRoad_act!T31*1000
)</f>
        <v>178.53222923760015</v>
      </c>
      <c r="U55" s="29">
        <f>IF(TrRoad_act!U31=0,0,U18/TrRoad_act!U31*1000
)</f>
        <v>171.95048647457142</v>
      </c>
      <c r="V55" s="29">
        <f>IF(TrRoad_act!V31=0,0,V18/TrRoad_act!V31*1000
)</f>
        <v>166.10558769696689</v>
      </c>
      <c r="W55" s="29">
        <f>IF(TrRoad_act!W31=0,0,W18/TrRoad_act!W31*1000
)</f>
        <v>158.49899493465728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135.58945415283736</v>
      </c>
      <c r="C56" s="152">
        <f>IF(TrRoad_act!C32=0,0,C19/TrRoad_act!C32*1000
)</f>
        <v>133.82954638516196</v>
      </c>
      <c r="D56" s="152">
        <f>IF(TrRoad_act!D32=0,0,D19/TrRoad_act!D32*1000
)</f>
        <v>131.87537288397615</v>
      </c>
      <c r="E56" s="152">
        <f>IF(TrRoad_act!E32=0,0,E19/TrRoad_act!E32*1000
)</f>
        <v>129.56427478664978</v>
      </c>
      <c r="F56" s="152">
        <f>IF(TrRoad_act!F32=0,0,F19/TrRoad_act!F32*1000
)</f>
        <v>127.83753279659577</v>
      </c>
      <c r="G56" s="152">
        <f>IF(TrRoad_act!G32=0,0,G19/TrRoad_act!G32*1000
)</f>
        <v>126.6824360994147</v>
      </c>
      <c r="H56" s="152">
        <f>IF(TrRoad_act!H32=0,0,H19/TrRoad_act!H32*1000
)</f>
        <v>125.21407284803485</v>
      </c>
      <c r="I56" s="152">
        <f>IF(TrRoad_act!I32=0,0,I19/TrRoad_act!I32*1000
)</f>
        <v>124.18927550915249</v>
      </c>
      <c r="J56" s="152">
        <f>IF(TrRoad_act!J32=0,0,J19/TrRoad_act!J32*1000
)</f>
        <v>117.87227449061834</v>
      </c>
      <c r="K56" s="152">
        <f>IF(TrRoad_act!K32=0,0,K19/TrRoad_act!K32*1000
)</f>
        <v>115.1661378931679</v>
      </c>
      <c r="L56" s="152">
        <f>IF(TrRoad_act!L32=0,0,L19/TrRoad_act!L32*1000
)</f>
        <v>113.07850850722851</v>
      </c>
      <c r="M56" s="152">
        <f>IF(TrRoad_act!M32=0,0,M19/TrRoad_act!M32*1000
)</f>
        <v>110.30289246598542</v>
      </c>
      <c r="N56" s="152">
        <f>IF(TrRoad_act!N32=0,0,N19/TrRoad_act!N32*1000
)</f>
        <v>108.40221108557365</v>
      </c>
      <c r="O56" s="152">
        <f>IF(TrRoad_act!O32=0,0,O19/TrRoad_act!O32*1000
)</f>
        <v>109.44486532132706</v>
      </c>
      <c r="P56" s="152">
        <f>IF(TrRoad_act!P32=0,0,P19/TrRoad_act!P32*1000
)</f>
        <v>107.74010967356583</v>
      </c>
      <c r="Q56" s="152">
        <f>IF(TrRoad_act!Q32=0,0,Q19/TrRoad_act!Q32*1000
)</f>
        <v>107.13341914988622</v>
      </c>
      <c r="R56" s="152">
        <f>IF(TrRoad_act!R32=0,0,R19/TrRoad_act!R32*1000
)</f>
        <v>105.87671892400292</v>
      </c>
      <c r="S56" s="152">
        <f>IF(TrRoad_act!S32=0,0,S19/TrRoad_act!S32*1000
)</f>
        <v>103.85795437954908</v>
      </c>
      <c r="T56" s="152">
        <f>IF(TrRoad_act!T32=0,0,T19/TrRoad_act!T32*1000
)</f>
        <v>102.69725039556018</v>
      </c>
      <c r="U56" s="152">
        <f>IF(TrRoad_act!U32=0,0,U19/TrRoad_act!U32*1000
)</f>
        <v>101.42674578755867</v>
      </c>
      <c r="V56" s="152">
        <f>IF(TrRoad_act!V32=0,0,V19/TrRoad_act!V32*1000
)</f>
        <v>99.803593245279799</v>
      </c>
      <c r="W56" s="152">
        <f>IF(TrRoad_act!W32=0,0,W19/TrRoad_act!W32*1000
)</f>
        <v>94.742439538405392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186.54104995991827</v>
      </c>
      <c r="C57" s="116">
        <f>IF(TrRoad_act!C33=0,0,C20/TrRoad_act!C33*1000
)</f>
        <v>184.50856910820173</v>
      </c>
      <c r="D57" s="116">
        <f>IF(TrRoad_act!D33=0,0,D20/TrRoad_act!D33*1000
)</f>
        <v>183.97038964518362</v>
      </c>
      <c r="E57" s="116">
        <f>IF(TrRoad_act!E33=0,0,E20/TrRoad_act!E33*1000
)</f>
        <v>182.82532900297062</v>
      </c>
      <c r="F57" s="116">
        <f>IF(TrRoad_act!F33=0,0,F20/TrRoad_act!F33*1000
)</f>
        <v>182.24617525406285</v>
      </c>
      <c r="G57" s="116">
        <f>IF(TrRoad_act!G33=0,0,G20/TrRoad_act!G33*1000
)</f>
        <v>180.93863280579001</v>
      </c>
      <c r="H57" s="116">
        <f>IF(TrRoad_act!H33=0,0,H20/TrRoad_act!H33*1000
)</f>
        <v>183.11977644457733</v>
      </c>
      <c r="I57" s="116">
        <f>IF(TrRoad_act!I33=0,0,I20/TrRoad_act!I33*1000
)</f>
        <v>184.79884463575718</v>
      </c>
      <c r="J57" s="116">
        <f>IF(TrRoad_act!J33=0,0,J20/TrRoad_act!J33*1000
)</f>
        <v>176.54273159661628</v>
      </c>
      <c r="K57" s="116">
        <f>IF(TrRoad_act!K33=0,0,K20/TrRoad_act!K33*1000
)</f>
        <v>172.05777358674493</v>
      </c>
      <c r="L57" s="116">
        <f>IF(TrRoad_act!L33=0,0,L20/TrRoad_act!L33*1000
)</f>
        <v>173.23017008973139</v>
      </c>
      <c r="M57" s="116">
        <f>IF(TrRoad_act!M33=0,0,M20/TrRoad_act!M33*1000
)</f>
        <v>171.35883668521595</v>
      </c>
      <c r="N57" s="116">
        <f>IF(TrRoad_act!N33=0,0,N20/TrRoad_act!N33*1000
)</f>
        <v>170.663396187774</v>
      </c>
      <c r="O57" s="116">
        <f>IF(TrRoad_act!O33=0,0,O20/TrRoad_act!O33*1000
)</f>
        <v>171.36901531321675</v>
      </c>
      <c r="P57" s="116">
        <f>IF(TrRoad_act!P33=0,0,P20/TrRoad_act!P33*1000
)</f>
        <v>158.71651580020404</v>
      </c>
      <c r="Q57" s="116">
        <f>IF(TrRoad_act!Q33=0,0,Q20/TrRoad_act!Q33*1000
)</f>
        <v>158.21720133345499</v>
      </c>
      <c r="R57" s="116">
        <f>IF(TrRoad_act!R33=0,0,R20/TrRoad_act!R33*1000
)</f>
        <v>175.00874662281848</v>
      </c>
      <c r="S57" s="116">
        <f>IF(TrRoad_act!S33=0,0,S20/TrRoad_act!S33*1000
)</f>
        <v>159.04412274605428</v>
      </c>
      <c r="T57" s="116">
        <f>IF(TrRoad_act!T33=0,0,T20/TrRoad_act!T33*1000
)</f>
        <v>160.43958886291441</v>
      </c>
      <c r="U57" s="116">
        <f>IF(TrRoad_act!U33=0,0,U20/TrRoad_act!U33*1000
)</f>
        <v>154.95724682144902</v>
      </c>
      <c r="V57" s="116">
        <f>IF(TrRoad_act!V33=0,0,V20/TrRoad_act!V33*1000
)</f>
        <v>150.47271816265979</v>
      </c>
      <c r="W57" s="116">
        <f>IF(TrRoad_act!W33=0,0,W20/TrRoad_act!W33*1000
)</f>
        <v>146.11266198180505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172.36423134893451</v>
      </c>
      <c r="C58" s="87">
        <f>IF(TrRoad_act!C34=0,0,C21/TrRoad_act!C34*1000
)</f>
        <v>171.91409360155058</v>
      </c>
      <c r="D58" s="87">
        <f>IF(TrRoad_act!D34=0,0,D21/TrRoad_act!D34*1000
)</f>
        <v>171.57219196892538</v>
      </c>
      <c r="E58" s="87">
        <f>IF(TrRoad_act!E34=0,0,E21/TrRoad_act!E34*1000
)</f>
        <v>169.86472042513802</v>
      </c>
      <c r="F58" s="87">
        <f>IF(TrRoad_act!F34=0,0,F21/TrRoad_act!F34*1000
)</f>
        <v>168.90368088024928</v>
      </c>
      <c r="G58" s="87">
        <f>IF(TrRoad_act!G34=0,0,G21/TrRoad_act!G34*1000
)</f>
        <v>167.8961172735896</v>
      </c>
      <c r="H58" s="87">
        <f>IF(TrRoad_act!H34=0,0,H21/TrRoad_act!H34*1000
)</f>
        <v>167.92594698790219</v>
      </c>
      <c r="I58" s="87">
        <f>IF(TrRoad_act!I34=0,0,I21/TrRoad_act!I34*1000
)</f>
        <v>167.29262122898047</v>
      </c>
      <c r="J58" s="87">
        <f>IF(TrRoad_act!J34=0,0,J21/TrRoad_act!J34*1000
)</f>
        <v>158.63094366005606</v>
      </c>
      <c r="K58" s="87">
        <f>IF(TrRoad_act!K34=0,0,K21/TrRoad_act!K34*1000
)</f>
        <v>154.59366150727624</v>
      </c>
      <c r="L58" s="87">
        <f>IF(TrRoad_act!L34=0,0,L21/TrRoad_act!L34*1000
)</f>
        <v>154.28007660009519</v>
      </c>
      <c r="M58" s="87">
        <f>IF(TrRoad_act!M34=0,0,M21/TrRoad_act!M34*1000
)</f>
        <v>151.90903635809124</v>
      </c>
      <c r="N58" s="87">
        <f>IF(TrRoad_act!N34=0,0,N21/TrRoad_act!N34*1000
)</f>
        <v>150.85913902078889</v>
      </c>
      <c r="O58" s="87">
        <f>IF(TrRoad_act!O34=0,0,O21/TrRoad_act!O34*1000
)</f>
        <v>155.62574180854443</v>
      </c>
      <c r="P58" s="87">
        <f>IF(TrRoad_act!P34=0,0,P21/TrRoad_act!P34*1000
)</f>
        <v>152.06814536548856</v>
      </c>
      <c r="Q58" s="87">
        <f>IF(TrRoad_act!Q34=0,0,Q21/TrRoad_act!Q34*1000
)</f>
        <v>152.17203906537216</v>
      </c>
      <c r="R58" s="87">
        <f>IF(TrRoad_act!R34=0,0,R21/TrRoad_act!R34*1000
)</f>
        <v>161.86699280720151</v>
      </c>
      <c r="S58" s="87">
        <f>IF(TrRoad_act!S34=0,0,S21/TrRoad_act!S34*1000
)</f>
        <v>150.39573925687949</v>
      </c>
      <c r="T58" s="87">
        <f>IF(TrRoad_act!T34=0,0,T21/TrRoad_act!T34*1000
)</f>
        <v>149.99252712343522</v>
      </c>
      <c r="U58" s="87">
        <f>IF(TrRoad_act!U34=0,0,U21/TrRoad_act!U34*1000
)</f>
        <v>147.13190116325799</v>
      </c>
      <c r="V58" s="87">
        <f>IF(TrRoad_act!V34=0,0,V21/TrRoad_act!V34*1000
)</f>
        <v>141.00189797068873</v>
      </c>
      <c r="W58" s="87">
        <f>IF(TrRoad_act!W34=0,0,W21/TrRoad_act!W34*1000
)</f>
        <v>144.92163081117596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257.18592921637787</v>
      </c>
      <c r="C59" s="87">
        <f>IF(TrRoad_act!C35=0,0,C22/TrRoad_act!C35*1000
)</f>
        <v>244.64382452036355</v>
      </c>
      <c r="D59" s="87">
        <f>IF(TrRoad_act!D35=0,0,D22/TrRoad_act!D35*1000
)</f>
        <v>240.87125178307491</v>
      </c>
      <c r="E59" s="87">
        <f>IF(TrRoad_act!E35=0,0,E22/TrRoad_act!E35*1000
)</f>
        <v>239.05044034074558</v>
      </c>
      <c r="F59" s="87">
        <f>IF(TrRoad_act!F35=0,0,F22/TrRoad_act!F35*1000
)</f>
        <v>239.89933529554833</v>
      </c>
      <c r="G59" s="87">
        <f>IF(TrRoad_act!G35=0,0,G22/TrRoad_act!G35*1000
)</f>
        <v>233.26295841708239</v>
      </c>
      <c r="H59" s="87">
        <f>IF(TrRoad_act!H35=0,0,H22/TrRoad_act!H35*1000
)</f>
        <v>238.91780144125434</v>
      </c>
      <c r="I59" s="87">
        <f>IF(TrRoad_act!I35=0,0,I22/TrRoad_act!I35*1000
)</f>
        <v>242.8279845873152</v>
      </c>
      <c r="J59" s="87">
        <f>IF(TrRoad_act!J35=0,0,J22/TrRoad_act!J35*1000
)</f>
        <v>225.01029591156347</v>
      </c>
      <c r="K59" s="87">
        <f>IF(TrRoad_act!K35=0,0,K22/TrRoad_act!K35*1000
)</f>
        <v>214.75209534217572</v>
      </c>
      <c r="L59" s="87">
        <f>IF(TrRoad_act!L35=0,0,L22/TrRoad_act!L35*1000
)</f>
        <v>214.21128290935599</v>
      </c>
      <c r="M59" s="87">
        <f>IF(TrRoad_act!M35=0,0,M22/TrRoad_act!M35*1000
)</f>
        <v>207.04020938893277</v>
      </c>
      <c r="N59" s="87">
        <f>IF(TrRoad_act!N35=0,0,N22/TrRoad_act!N35*1000
)</f>
        <v>204.08727787769314</v>
      </c>
      <c r="O59" s="87">
        <f>IF(TrRoad_act!O35=0,0,O22/TrRoad_act!O35*1000
)</f>
        <v>197.65422489001415</v>
      </c>
      <c r="P59" s="87">
        <f>IF(TrRoad_act!P35=0,0,P22/TrRoad_act!P35*1000
)</f>
        <v>169.23714544782604</v>
      </c>
      <c r="Q59" s="87">
        <f>IF(TrRoad_act!Q35=0,0,Q22/TrRoad_act!Q35*1000
)</f>
        <v>167.4001412721303</v>
      </c>
      <c r="R59" s="87">
        <f>IF(TrRoad_act!R35=0,0,R22/TrRoad_act!R35*1000
)</f>
        <v>194.32508765203062</v>
      </c>
      <c r="S59" s="87">
        <f>IF(TrRoad_act!S35=0,0,S22/TrRoad_act!S35*1000
)</f>
        <v>171.3621242298741</v>
      </c>
      <c r="T59" s="87">
        <f>IF(TrRoad_act!T35=0,0,T22/TrRoad_act!T35*1000
)</f>
        <v>175.30340515552052</v>
      </c>
      <c r="U59" s="87">
        <f>IF(TrRoad_act!U35=0,0,U22/TrRoad_act!U35*1000
)</f>
        <v>166.93824617155374</v>
      </c>
      <c r="V59" s="87">
        <f>IF(TrRoad_act!V35=0,0,V22/TrRoad_act!V35*1000
)</f>
        <v>166.18977633919138</v>
      </c>
      <c r="W59" s="87">
        <f>IF(TrRoad_act!W35=0,0,W22/TrRoad_act!W35*1000
)</f>
        <v>153.64778921597065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0</v>
      </c>
      <c r="E60" s="87">
        <f>IF(TrRoad_act!E36=0,0,E23/TrRoad_act!E36*1000
)</f>
        <v>0</v>
      </c>
      <c r="F60" s="87">
        <f>IF(TrRoad_act!F36=0,0,F23/TrRoad_act!F36*1000
)</f>
        <v>0</v>
      </c>
      <c r="G60" s="87">
        <f>IF(TrRoad_act!G36=0,0,G23/TrRoad_act!G36*1000
)</f>
        <v>0</v>
      </c>
      <c r="H60" s="87">
        <f>IF(TrRoad_act!H36=0,0,H23/TrRoad_act!H36*1000
)</f>
        <v>0</v>
      </c>
      <c r="I60" s="87">
        <f>IF(TrRoad_act!I36=0,0,I23/TrRoad_act!I36*1000
)</f>
        <v>0</v>
      </c>
      <c r="J60" s="87">
        <f>IF(TrRoad_act!J36=0,0,J23/TrRoad_act!J36*1000
)</f>
        <v>0</v>
      </c>
      <c r="K60" s="87">
        <f>IF(TrRoad_act!K36=0,0,K23/TrRoad_act!K36*1000
)</f>
        <v>0</v>
      </c>
      <c r="L60" s="87">
        <f>IF(TrRoad_act!L36=0,0,L23/TrRoad_act!L36*1000
)</f>
        <v>0</v>
      </c>
      <c r="M60" s="87">
        <f>IF(TrRoad_act!M36=0,0,M23/TrRoad_act!M36*1000
)</f>
        <v>0</v>
      </c>
      <c r="N60" s="87">
        <f>IF(TrRoad_act!N36=0,0,N23/TrRoad_act!N36*1000
)</f>
        <v>0</v>
      </c>
      <c r="O60" s="87">
        <f>IF(TrRoad_act!O36=0,0,O23/TrRoad_act!O36*1000
)</f>
        <v>0</v>
      </c>
      <c r="P60" s="87">
        <f>IF(TrRoad_act!P36=0,0,P23/TrRoad_act!P36*1000
)</f>
        <v>0</v>
      </c>
      <c r="Q60" s="87">
        <f>IF(TrRoad_act!Q36=0,0,Q23/TrRoad_act!Q36*1000
)</f>
        <v>0</v>
      </c>
      <c r="R60" s="87">
        <f>IF(TrRoad_act!R36=0,0,R23/TrRoad_act!R36*1000
)</f>
        <v>0</v>
      </c>
      <c r="S60" s="87">
        <f>IF(TrRoad_act!S36=0,0,S23/TrRoad_act!S36*1000
)</f>
        <v>0</v>
      </c>
      <c r="T60" s="87">
        <f>IF(TrRoad_act!T36=0,0,T23/TrRoad_act!T36*1000
)</f>
        <v>0</v>
      </c>
      <c r="U60" s="87">
        <f>IF(TrRoad_act!U36=0,0,U23/TrRoad_act!U36*1000
)</f>
        <v>0</v>
      </c>
      <c r="V60" s="87">
        <f>IF(TrRoad_act!V36=0,0,V23/TrRoad_act!V36*1000
)</f>
        <v>0</v>
      </c>
      <c r="W60" s="87">
        <f>IF(TrRoad_act!W36=0,0,W23/TrRoad_act!W36*1000
)</f>
        <v>0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202.54037971999861</v>
      </c>
      <c r="I61" s="87">
        <f>IF(TrRoad_act!I37=0,0,I24/TrRoad_act!I37*1000
)</f>
        <v>203.64615847880779</v>
      </c>
      <c r="J61" s="87">
        <f>IF(TrRoad_act!J37=0,0,J24/TrRoad_act!J37*1000
)</f>
        <v>228.04653020513703</v>
      </c>
      <c r="K61" s="87">
        <f>IF(TrRoad_act!K37=0,0,K24/TrRoad_act!K37*1000
)</f>
        <v>252.89310032865876</v>
      </c>
      <c r="L61" s="87">
        <f>IF(TrRoad_act!L37=0,0,L24/TrRoad_act!L37*1000
)</f>
        <v>251.3323874654742</v>
      </c>
      <c r="M61" s="87">
        <f>IF(TrRoad_act!M37=0,0,M24/TrRoad_act!M37*1000
)</f>
        <v>186.28576700251617</v>
      </c>
      <c r="N61" s="87">
        <f>IF(TrRoad_act!N37=0,0,N24/TrRoad_act!N37*1000
)</f>
        <v>272.32343459652168</v>
      </c>
      <c r="O61" s="87">
        <f>IF(TrRoad_act!O37=0,0,O24/TrRoad_act!O37*1000
)</f>
        <v>178.49872908919377</v>
      </c>
      <c r="P61" s="87">
        <f>IF(TrRoad_act!P37=0,0,P24/TrRoad_act!P37*1000
)</f>
        <v>166.39867041690397</v>
      </c>
      <c r="Q61" s="87">
        <f>IF(TrRoad_act!Q37=0,0,Q24/TrRoad_act!Q37*1000
)</f>
        <v>155.34658807474045</v>
      </c>
      <c r="R61" s="87">
        <f>IF(TrRoad_act!R37=0,0,R24/TrRoad_act!R37*1000
)</f>
        <v>167.82835547078844</v>
      </c>
      <c r="S61" s="87">
        <f>IF(TrRoad_act!S37=0,0,S24/TrRoad_act!S37*1000
)</f>
        <v>156.38644862449036</v>
      </c>
      <c r="T61" s="87">
        <f>IF(TrRoad_act!T37=0,0,T24/TrRoad_act!T37*1000
)</f>
        <v>163.77842309558727</v>
      </c>
      <c r="U61" s="87">
        <f>IF(TrRoad_act!U37=0,0,U24/TrRoad_act!U37*1000
)</f>
        <v>186.20225356569486</v>
      </c>
      <c r="V61" s="87">
        <f>IF(TrRoad_act!V37=0,0,V24/TrRoad_act!V37*1000
)</f>
        <v>206.90406792089865</v>
      </c>
      <c r="W61" s="87">
        <f>IF(TrRoad_act!W37=0,0,W24/TrRoad_act!W37*1000
)</f>
        <v>235.82487491959057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45.291669597776064</v>
      </c>
      <c r="O62" s="87">
        <f>IF(TrRoad_act!O38=0,0,O25/TrRoad_act!O38*1000
)</f>
        <v>49.035354988180451</v>
      </c>
      <c r="P62" s="87">
        <f>IF(TrRoad_act!P38=0,0,P25/TrRoad_act!P38*1000
)</f>
        <v>50.74858649085548</v>
      </c>
      <c r="Q62" s="87">
        <f>IF(TrRoad_act!Q38=0,0,Q25/TrRoad_act!Q38*1000
)</f>
        <v>55.387203285487864</v>
      </c>
      <c r="R62" s="87">
        <f>IF(TrRoad_act!R38=0,0,R25/TrRoad_act!R38*1000
)</f>
        <v>62.340765468568222</v>
      </c>
      <c r="S62" s="87">
        <f>IF(TrRoad_act!S38=0,0,S25/TrRoad_act!S38*1000
)</f>
        <v>58.464761825094669</v>
      </c>
      <c r="T62" s="87">
        <f>IF(TrRoad_act!T38=0,0,T25/TrRoad_act!T38*1000
)</f>
        <v>59.23801463546198</v>
      </c>
      <c r="U62" s="87">
        <f>IF(TrRoad_act!U38=0,0,U25/TrRoad_act!U38*1000
)</f>
        <v>53.090819523528239</v>
      </c>
      <c r="V62" s="87">
        <f>IF(TrRoad_act!V38=0,0,V25/TrRoad_act!V38*1000
)</f>
        <v>46.158958594653477</v>
      </c>
      <c r="W62" s="87">
        <f>IF(TrRoad_act!W38=0,0,W25/TrRoad_act!W38*1000
)</f>
        <v>42.824420919320303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1893.8731376594037</v>
      </c>
      <c r="C64" s="116">
        <f>IF(TrRoad_act!C40=0,0,C27/TrRoad_act!C40*1000
)</f>
        <v>1880.7807007118279</v>
      </c>
      <c r="D64" s="116">
        <f>IF(TrRoad_act!D40=0,0,D27/TrRoad_act!D40*1000
)</f>
        <v>1859.9518263492484</v>
      </c>
      <c r="E64" s="116">
        <f>IF(TrRoad_act!E40=0,0,E27/TrRoad_act!E40*1000
)</f>
        <v>1852.5872410042332</v>
      </c>
      <c r="F64" s="116">
        <f>IF(TrRoad_act!F40=0,0,F27/TrRoad_act!F40*1000
)</f>
        <v>1864.73714745713</v>
      </c>
      <c r="G64" s="116">
        <f>IF(TrRoad_act!G40=0,0,G27/TrRoad_act!G40*1000
)</f>
        <v>1813.1219177860637</v>
      </c>
      <c r="H64" s="116">
        <f>IF(TrRoad_act!H40=0,0,H27/TrRoad_act!H40*1000
)</f>
        <v>1839.7072629553486</v>
      </c>
      <c r="I64" s="116">
        <f>IF(TrRoad_act!I40=0,0,I27/TrRoad_act!I40*1000
)</f>
        <v>1857.7890480994856</v>
      </c>
      <c r="J64" s="116">
        <f>IF(TrRoad_act!J40=0,0,J27/TrRoad_act!J40*1000
)</f>
        <v>1747.8460607176328</v>
      </c>
      <c r="K64" s="116">
        <f>IF(TrRoad_act!K40=0,0,K27/TrRoad_act!K40*1000
)</f>
        <v>1677.1569395847919</v>
      </c>
      <c r="L64" s="116">
        <f>IF(TrRoad_act!L40=0,0,L27/TrRoad_act!L40*1000
)</f>
        <v>1678.3731992081698</v>
      </c>
      <c r="M64" s="116">
        <f>IF(TrRoad_act!M40=0,0,M27/TrRoad_act!M40*1000
)</f>
        <v>1625.0104525294778</v>
      </c>
      <c r="N64" s="116">
        <f>IF(TrRoad_act!N40=0,0,N27/TrRoad_act!N40*1000
)</f>
        <v>1619.9901620894107</v>
      </c>
      <c r="O64" s="116">
        <f>IF(TrRoad_act!O40=0,0,O27/TrRoad_act!O40*1000
)</f>
        <v>1577.6112483270369</v>
      </c>
      <c r="P64" s="116">
        <f>IF(TrRoad_act!P40=0,0,P27/TrRoad_act!P40*1000
)</f>
        <v>1374.2609616062125</v>
      </c>
      <c r="Q64" s="116">
        <f>IF(TrRoad_act!Q40=0,0,Q27/TrRoad_act!Q40*1000
)</f>
        <v>1380.3917638131122</v>
      </c>
      <c r="R64" s="116">
        <f>IF(TrRoad_act!R40=0,0,R27/TrRoad_act!R40*1000
)</f>
        <v>1623.6464778376992</v>
      </c>
      <c r="S64" s="116">
        <f>IF(TrRoad_act!S40=0,0,S27/TrRoad_act!S40*1000
)</f>
        <v>1456.7322187464915</v>
      </c>
      <c r="T64" s="116">
        <f>IF(TrRoad_act!T40=0,0,T27/TrRoad_act!T40*1000
)</f>
        <v>1506.6377670804482</v>
      </c>
      <c r="U64" s="116">
        <f>IF(TrRoad_act!U40=0,0,U27/TrRoad_act!U40*1000
)</f>
        <v>1452.5438543137952</v>
      </c>
      <c r="V64" s="116">
        <f>IF(TrRoad_act!V40=0,0,V27/TrRoad_act!V40*1000
)</f>
        <v>1462.0433213428128</v>
      </c>
      <c r="W64" s="116">
        <f>IF(TrRoad_act!W40=0,0,W27/TrRoad_act!W40*1000
)</f>
        <v>1341.7323076275486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550.55354797351629</v>
      </c>
      <c r="C65" s="101">
        <f>IF(TrRoad_act!C41=0,0,C28/TrRoad_act!C41*1000
)</f>
        <v>539.09858939244646</v>
      </c>
      <c r="D65" s="101">
        <f>IF(TrRoad_act!D41=0,0,D28/TrRoad_act!D41*1000
)</f>
        <v>538.58585688008009</v>
      </c>
      <c r="E65" s="101">
        <f>IF(TrRoad_act!E41=0,0,E28/TrRoad_act!E41*1000
)</f>
        <v>537.58273237613355</v>
      </c>
      <c r="F65" s="101">
        <f>IF(TrRoad_act!F41=0,0,F28/TrRoad_act!F41*1000
)</f>
        <v>535.36123936140541</v>
      </c>
      <c r="G65" s="101">
        <f>IF(TrRoad_act!G41=0,0,G28/TrRoad_act!G41*1000
)</f>
        <v>531.82404694679155</v>
      </c>
      <c r="H65" s="101">
        <f>IF(TrRoad_act!H41=0,0,H28/TrRoad_act!H41*1000
)</f>
        <v>530.74776856828396</v>
      </c>
      <c r="I65" s="101">
        <f>IF(TrRoad_act!I41=0,0,I28/TrRoad_act!I41*1000
)</f>
        <v>529.39548612650196</v>
      </c>
      <c r="J65" s="101">
        <f>IF(TrRoad_act!J41=0,0,J28/TrRoad_act!J41*1000
)</f>
        <v>510.10773574106094</v>
      </c>
      <c r="K65" s="101">
        <f>IF(TrRoad_act!K41=0,0,K28/TrRoad_act!K41*1000
)</f>
        <v>498.3810426207196</v>
      </c>
      <c r="L65" s="101">
        <f>IF(TrRoad_act!L41=0,0,L28/TrRoad_act!L41*1000
)</f>
        <v>493.0993713485297</v>
      </c>
      <c r="M65" s="101">
        <f>IF(TrRoad_act!M41=0,0,M28/TrRoad_act!M41*1000
)</f>
        <v>487.61941551722941</v>
      </c>
      <c r="N65" s="101">
        <f>IF(TrRoad_act!N41=0,0,N28/TrRoad_act!N41*1000
)</f>
        <v>485.33758795403264</v>
      </c>
      <c r="O65" s="101">
        <f>IF(TrRoad_act!O41=0,0,O28/TrRoad_act!O41*1000
)</f>
        <v>494.192459046544</v>
      </c>
      <c r="P65" s="101">
        <f>IF(TrRoad_act!P41=0,0,P28/TrRoad_act!P41*1000
)</f>
        <v>492.27080205688145</v>
      </c>
      <c r="Q65" s="101">
        <f>IF(TrRoad_act!Q41=0,0,Q28/TrRoad_act!Q41*1000
)</f>
        <v>493.46633378359928</v>
      </c>
      <c r="R65" s="101">
        <f>IF(TrRoad_act!R41=0,0,R28/TrRoad_act!R41*1000
)</f>
        <v>492.67478187176141</v>
      </c>
      <c r="S65" s="101">
        <f>IF(TrRoad_act!S41=0,0,S28/TrRoad_act!S41*1000
)</f>
        <v>480.32230196149914</v>
      </c>
      <c r="T65" s="101">
        <f>IF(TrRoad_act!T41=0,0,T28/TrRoad_act!T41*1000
)</f>
        <v>478.57741575938633</v>
      </c>
      <c r="U65" s="101">
        <f>IF(TrRoad_act!U41=0,0,U28/TrRoad_act!U41*1000
)</f>
        <v>476.16912224545467</v>
      </c>
      <c r="V65" s="101">
        <f>IF(TrRoad_act!V41=0,0,V28/TrRoad_act!V41*1000
)</f>
        <v>471.38639118034837</v>
      </c>
      <c r="W65" s="101">
        <f>IF(TrRoad_act!W41=0,0,W28/TrRoad_act!W41*1000
)</f>
        <v>464.64278601950537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1905.8458742491109</v>
      </c>
      <c r="C66" s="101">
        <f>IF(TrRoad_act!C42=0,0,C29/TrRoad_act!C42*1000
)</f>
        <v>1892.578024933199</v>
      </c>
      <c r="D66" s="101">
        <f>IF(TrRoad_act!D42=0,0,D29/TrRoad_act!D42*1000
)</f>
        <v>1876.2284613167701</v>
      </c>
      <c r="E66" s="101">
        <f>IF(TrRoad_act!E42=0,0,E29/TrRoad_act!E42*1000
)</f>
        <v>1868.6096918413684</v>
      </c>
      <c r="F66" s="101">
        <f>IF(TrRoad_act!F42=0,0,F29/TrRoad_act!F42*1000
)</f>
        <v>1879.9617098051679</v>
      </c>
      <c r="G66" s="101">
        <f>IF(TrRoad_act!G42=0,0,G29/TrRoad_act!G42*1000
)</f>
        <v>1827.244477466427</v>
      </c>
      <c r="H66" s="101">
        <f>IF(TrRoad_act!H42=0,0,H29/TrRoad_act!H42*1000
)</f>
        <v>1857.6393202602853</v>
      </c>
      <c r="I66" s="101">
        <f>IF(TrRoad_act!I42=0,0,I29/TrRoad_act!I42*1000
)</f>
        <v>1877.1189750624326</v>
      </c>
      <c r="J66" s="101">
        <f>IF(TrRoad_act!J42=0,0,J29/TrRoad_act!J42*1000
)</f>
        <v>1758.9197088842045</v>
      </c>
      <c r="K66" s="101">
        <f>IF(TrRoad_act!K42=0,0,K29/TrRoad_act!K42*1000
)</f>
        <v>1683.3416531773805</v>
      </c>
      <c r="L66" s="101">
        <f>IF(TrRoad_act!L42=0,0,L29/TrRoad_act!L42*1000
)</f>
        <v>1683.8302480816037</v>
      </c>
      <c r="M66" s="101">
        <f>IF(TrRoad_act!M42=0,0,M29/TrRoad_act!M42*1000
)</f>
        <v>1636.088848123462</v>
      </c>
      <c r="N66" s="101">
        <f>IF(TrRoad_act!N42=0,0,N29/TrRoad_act!N42*1000
)</f>
        <v>1623.6326369458525</v>
      </c>
      <c r="O66" s="101">
        <f>IF(TrRoad_act!O42=0,0,O29/TrRoad_act!O42*1000
)</f>
        <v>1586.8427827838793</v>
      </c>
      <c r="P66" s="101">
        <f>IF(TrRoad_act!P42=0,0,P29/TrRoad_act!P42*1000
)</f>
        <v>1379.3105681648144</v>
      </c>
      <c r="Q66" s="101">
        <f>IF(TrRoad_act!Q42=0,0,Q29/TrRoad_act!Q42*1000
)</f>
        <v>1385.497774412021</v>
      </c>
      <c r="R66" s="101">
        <f>IF(TrRoad_act!R42=0,0,R29/TrRoad_act!R42*1000
)</f>
        <v>1630.2117746037879</v>
      </c>
      <c r="S66" s="101">
        <f>IF(TrRoad_act!S42=0,0,S29/TrRoad_act!S42*1000
)</f>
        <v>1461.9520550877212</v>
      </c>
      <c r="T66" s="101">
        <f>IF(TrRoad_act!T42=0,0,T29/TrRoad_act!T42*1000
)</f>
        <v>1511.6456194667137</v>
      </c>
      <c r="U66" s="101">
        <f>IF(TrRoad_act!U42=0,0,U29/TrRoad_act!U42*1000
)</f>
        <v>1459.2953384242139</v>
      </c>
      <c r="V66" s="101">
        <f>IF(TrRoad_act!V42=0,0,V29/TrRoad_act!V42*1000
)</f>
        <v>1470.4153706405787</v>
      </c>
      <c r="W66" s="101">
        <f>IF(TrRoad_act!W42=0,0,W29/TrRoad_act!W42*1000
)</f>
        <v>1367.3205051772316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1005.1009996496516</v>
      </c>
      <c r="C68" s="101">
        <f>IF(TrRoad_act!C44=0,0,C31/TrRoad_act!C44*1000
)</f>
        <v>1022.2964286823351</v>
      </c>
      <c r="D68" s="101">
        <f>IF(TrRoad_act!D44=0,0,D31/TrRoad_act!D44*1000
)</f>
        <v>1013.5263054949371</v>
      </c>
      <c r="E68" s="101">
        <f>IF(TrRoad_act!E44=0,0,E31/TrRoad_act!E44*1000
)</f>
        <v>1000.8848707832881</v>
      </c>
      <c r="F68" s="101">
        <f>IF(TrRoad_act!F44=0,0,F31/TrRoad_act!F44*1000
)</f>
        <v>1020.536858288106</v>
      </c>
      <c r="G68" s="101">
        <f>IF(TrRoad_act!G44=0,0,G31/TrRoad_act!G44*1000
)</f>
        <v>1026.7235571908698</v>
      </c>
      <c r="H68" s="101">
        <f>IF(TrRoad_act!H44=0,0,H31/TrRoad_act!H44*1000
)</f>
        <v>1038.3788756666584</v>
      </c>
      <c r="I68" s="101">
        <f>IF(TrRoad_act!I44=0,0,I31/TrRoad_act!I44*1000
)</f>
        <v>981.13362142168978</v>
      </c>
      <c r="J68" s="101">
        <f>IF(TrRoad_act!J44=0,0,J31/TrRoad_act!J44*1000
)</f>
        <v>1226.0712566383652</v>
      </c>
      <c r="K68" s="101">
        <f>IF(TrRoad_act!K44=0,0,K31/TrRoad_act!K44*1000
)</f>
        <v>1401.2073494238625</v>
      </c>
      <c r="L68" s="101">
        <f>IF(TrRoad_act!L44=0,0,L31/TrRoad_act!L44*1000
)</f>
        <v>1419.8390644116412</v>
      </c>
      <c r="M68" s="101">
        <f>IF(TrRoad_act!M44=0,0,M31/TrRoad_act!M44*1000
)</f>
        <v>932.45009517258825</v>
      </c>
      <c r="N68" s="101">
        <f>IF(TrRoad_act!N44=0,0,N31/TrRoad_act!N44*1000
)</f>
        <v>1491.5140572001783</v>
      </c>
      <c r="O68" s="101">
        <f>IF(TrRoad_act!O44=0,0,O31/TrRoad_act!O44*1000
)</f>
        <v>922.86347703655144</v>
      </c>
      <c r="P68" s="101">
        <f>IF(TrRoad_act!P44=0,0,P31/TrRoad_act!P44*1000
)</f>
        <v>1018.8628644191177</v>
      </c>
      <c r="Q68" s="101">
        <f>IF(TrRoad_act!Q44=0,0,Q31/TrRoad_act!Q44*1000
)</f>
        <v>971.87380623664012</v>
      </c>
      <c r="R68" s="101">
        <f>IF(TrRoad_act!R44=0,0,R31/TrRoad_act!R44*1000
)</f>
        <v>1134.8983212743599</v>
      </c>
      <c r="S68" s="101">
        <f>IF(TrRoad_act!S44=0,0,S31/TrRoad_act!S44*1000
)</f>
        <v>1149.023767224699</v>
      </c>
      <c r="T68" s="101">
        <f>IF(TrRoad_act!T44=0,0,T31/TrRoad_act!T44*1000
)</f>
        <v>1229.1238756714781</v>
      </c>
      <c r="U68" s="101">
        <f>IF(TrRoad_act!U44=0,0,U31/TrRoad_act!U44*1000
)</f>
        <v>1485.4005862371409</v>
      </c>
      <c r="V68" s="101">
        <f>IF(TrRoad_act!V44=0,0,V31/TrRoad_act!V44*1000
)</f>
        <v>1697.5174805728241</v>
      </c>
      <c r="W68" s="101">
        <f>IF(TrRoad_act!W44=0,0,W31/TrRoad_act!W44*1000
)</f>
        <v>1963.1397796549154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617.41877591467846</v>
      </c>
      <c r="C70" s="29">
        <f>IF(TrRoad_act!C46=0,0,C33/TrRoad_act!C46*1000
)</f>
        <v>618.25294623448588</v>
      </c>
      <c r="D70" s="29">
        <f>IF(TrRoad_act!D46=0,0,D33/TrRoad_act!D46*1000
)</f>
        <v>614.71857176806611</v>
      </c>
      <c r="E70" s="29">
        <f>IF(TrRoad_act!E46=0,0,E33/TrRoad_act!E46*1000
)</f>
        <v>613.21802530580453</v>
      </c>
      <c r="F70" s="29">
        <f>IF(TrRoad_act!F46=0,0,F33/TrRoad_act!F46*1000
)</f>
        <v>606.67871404091511</v>
      </c>
      <c r="G70" s="29">
        <f>IF(TrRoad_act!G46=0,0,G33/TrRoad_act!G46*1000
)</f>
        <v>583.76741178996429</v>
      </c>
      <c r="H70" s="29">
        <f>IF(TrRoad_act!H46=0,0,H33/TrRoad_act!H46*1000
)</f>
        <v>586.95235410983571</v>
      </c>
      <c r="I70" s="29">
        <f>IF(TrRoad_act!I46=0,0,I33/TrRoad_act!I46*1000
)</f>
        <v>587.12199290874935</v>
      </c>
      <c r="J70" s="29">
        <f>IF(TrRoad_act!J46=0,0,J33/TrRoad_act!J46*1000
)</f>
        <v>531.79020445915751</v>
      </c>
      <c r="K70" s="29">
        <f>IF(TrRoad_act!K46=0,0,K33/TrRoad_act!K46*1000
)</f>
        <v>483.74505161589758</v>
      </c>
      <c r="L70" s="29">
        <f>IF(TrRoad_act!L46=0,0,L33/TrRoad_act!L46*1000
)</f>
        <v>491.48780054267286</v>
      </c>
      <c r="M70" s="29">
        <f>IF(TrRoad_act!M46=0,0,M33/TrRoad_act!M46*1000
)</f>
        <v>460.21266065731083</v>
      </c>
      <c r="N70" s="29">
        <f>IF(TrRoad_act!N46=0,0,N33/TrRoad_act!N46*1000
)</f>
        <v>439.91683610797031</v>
      </c>
      <c r="O70" s="29">
        <f>IF(TrRoad_act!O46=0,0,O33/TrRoad_act!O46*1000
)</f>
        <v>423.08283601509453</v>
      </c>
      <c r="P70" s="29">
        <f>IF(TrRoad_act!P46=0,0,P33/TrRoad_act!P46*1000
)</f>
        <v>356.97711714582101</v>
      </c>
      <c r="Q70" s="29">
        <f>IF(TrRoad_act!Q46=0,0,Q33/TrRoad_act!Q46*1000
)</f>
        <v>345.77781101374933</v>
      </c>
      <c r="R70" s="29">
        <f>IF(TrRoad_act!R46=0,0,R33/TrRoad_act!R46*1000
)</f>
        <v>413.59234826977104</v>
      </c>
      <c r="S70" s="29">
        <f>IF(TrRoad_act!S46=0,0,S33/TrRoad_act!S46*1000
)</f>
        <v>362.84224133173575</v>
      </c>
      <c r="T70" s="29">
        <f>IF(TrRoad_act!T46=0,0,T33/TrRoad_act!T46*1000
)</f>
        <v>367.47821646428542</v>
      </c>
      <c r="U70" s="29">
        <f>IF(TrRoad_act!U46=0,0,U33/TrRoad_act!U46*1000
)</f>
        <v>345.7557235516486</v>
      </c>
      <c r="V70" s="29">
        <f>IF(TrRoad_act!V46=0,0,V33/TrRoad_act!V46*1000
)</f>
        <v>341.36818097274005</v>
      </c>
      <c r="W70" s="29">
        <f>IF(TrRoad_act!W46=0,0,W33/TrRoad_act!W46*1000
)</f>
        <v>318.78138961640741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331.11638296505026</v>
      </c>
      <c r="C71" s="152">
        <f>IF(TrRoad_act!C47=0,0,C34/TrRoad_act!C47*1000
)</f>
        <v>322.51118571458937</v>
      </c>
      <c r="D71" s="152">
        <f>IF(TrRoad_act!D47=0,0,D34/TrRoad_act!D47*1000
)</f>
        <v>317.59397930506771</v>
      </c>
      <c r="E71" s="152">
        <f>IF(TrRoad_act!E47=0,0,E34/TrRoad_act!E47*1000
)</f>
        <v>314.37529003522116</v>
      </c>
      <c r="F71" s="152">
        <f>IF(TrRoad_act!F47=0,0,F34/TrRoad_act!F47*1000
)</f>
        <v>312.62118607213046</v>
      </c>
      <c r="G71" s="152">
        <f>IF(TrRoad_act!G47=0,0,G34/TrRoad_act!G47*1000
)</f>
        <v>303.10717668987661</v>
      </c>
      <c r="H71" s="152">
        <f>IF(TrRoad_act!H47=0,0,H34/TrRoad_act!H47*1000
)</f>
        <v>307.1965219771929</v>
      </c>
      <c r="I71" s="152">
        <f>IF(TrRoad_act!I47=0,0,I34/TrRoad_act!I47*1000
)</f>
        <v>310.84199262247245</v>
      </c>
      <c r="J71" s="152">
        <f>IF(TrRoad_act!J47=0,0,J34/TrRoad_act!J47*1000
)</f>
        <v>292.99913659728634</v>
      </c>
      <c r="K71" s="152">
        <f>IF(TrRoad_act!K47=0,0,K34/TrRoad_act!K47*1000
)</f>
        <v>282.3496757905441</v>
      </c>
      <c r="L71" s="152">
        <f>IF(TrRoad_act!L47=0,0,L34/TrRoad_act!L47*1000
)</f>
        <v>284.68881502455133</v>
      </c>
      <c r="M71" s="152">
        <f>IF(TrRoad_act!M47=0,0,M34/TrRoad_act!M47*1000
)</f>
        <v>279.84786430921514</v>
      </c>
      <c r="N71" s="152">
        <f>IF(TrRoad_act!N47=0,0,N34/TrRoad_act!N47*1000
)</f>
        <v>278.70284532613988</v>
      </c>
      <c r="O71" s="152">
        <f>IF(TrRoad_act!O47=0,0,O34/TrRoad_act!O47*1000
)</f>
        <v>271.6448583476847</v>
      </c>
      <c r="P71" s="152">
        <f>IF(TrRoad_act!P47=0,0,P34/TrRoad_act!P47*1000
)</f>
        <v>236.97027282759677</v>
      </c>
      <c r="Q71" s="152">
        <f>IF(TrRoad_act!Q47=0,0,Q34/TrRoad_act!Q47*1000
)</f>
        <v>236.27343699121877</v>
      </c>
      <c r="R71" s="152">
        <f>IF(TrRoad_act!R47=0,0,R34/TrRoad_act!R47*1000
)</f>
        <v>274.53123822823051</v>
      </c>
      <c r="S71" s="152">
        <f>IF(TrRoad_act!S47=0,0,S34/TrRoad_act!S47*1000
)</f>
        <v>244.11011527635708</v>
      </c>
      <c r="T71" s="152">
        <f>IF(TrRoad_act!T47=0,0,T34/TrRoad_act!T47*1000
)</f>
        <v>248.93486969685091</v>
      </c>
      <c r="U71" s="152">
        <f>IF(TrRoad_act!U47=0,0,U34/TrRoad_act!U47*1000
)</f>
        <v>238.1744743817251</v>
      </c>
      <c r="V71" s="152">
        <f>IF(TrRoad_act!V47=0,0,V34/TrRoad_act!V47*1000
)</f>
        <v>238.08778133804546</v>
      </c>
      <c r="W71" s="152">
        <f>IF(TrRoad_act!W47=0,0,W34/TrRoad_act!W47*1000
)</f>
        <v>219.0059319374709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263.896870293201</v>
      </c>
      <c r="C72" s="87">
        <f>IF(TrRoad_act!C48=0,0,C35/TrRoad_act!C48*1000
)</f>
        <v>263.07548038421555</v>
      </c>
      <c r="D72" s="87">
        <f>IF(TrRoad_act!D48=0,0,D35/TrRoad_act!D48*1000
)</f>
        <v>262.13043192890024</v>
      </c>
      <c r="E72" s="87">
        <f>IF(TrRoad_act!E48=0,0,E35/TrRoad_act!E48*1000
)</f>
        <v>261.12011397048622</v>
      </c>
      <c r="F72" s="87">
        <f>IF(TrRoad_act!F48=0,0,F35/TrRoad_act!F48*1000
)</f>
        <v>259.72943272590175</v>
      </c>
      <c r="G72" s="87">
        <f>IF(TrRoad_act!G48=0,0,G35/TrRoad_act!G48*1000
)</f>
        <v>257.94833626423406</v>
      </c>
      <c r="H72" s="87">
        <f>IF(TrRoad_act!H48=0,0,H35/TrRoad_act!H48*1000
)</f>
        <v>255.14621386954468</v>
      </c>
      <c r="I72" s="87">
        <f>IF(TrRoad_act!I48=0,0,I35/TrRoad_act!I48*1000
)</f>
        <v>251.96508766166036</v>
      </c>
      <c r="J72" s="87">
        <f>IF(TrRoad_act!J48=0,0,J35/TrRoad_act!J48*1000
)</f>
        <v>238.78187044694812</v>
      </c>
      <c r="K72" s="87">
        <f>IF(TrRoad_act!K48=0,0,K35/TrRoad_act!K48*1000
)</f>
        <v>233.47483584914181</v>
      </c>
      <c r="L72" s="87">
        <f>IF(TrRoad_act!L48=0,0,L35/TrRoad_act!L48*1000
)</f>
        <v>230.00589042739205</v>
      </c>
      <c r="M72" s="87">
        <f>IF(TrRoad_act!M48=0,0,M35/TrRoad_act!M48*1000
)</f>
        <v>225.43197437836594</v>
      </c>
      <c r="N72" s="87">
        <f>IF(TrRoad_act!N48=0,0,N35/TrRoad_act!N48*1000
)</f>
        <v>222.66414086501436</v>
      </c>
      <c r="O72" s="87">
        <f>IF(TrRoad_act!O48=0,0,O35/TrRoad_act!O48*1000
)</f>
        <v>224.10826169770698</v>
      </c>
      <c r="P72" s="87">
        <f>IF(TrRoad_act!P48=0,0,P35/TrRoad_act!P48*1000
)</f>
        <v>220.3453268899809</v>
      </c>
      <c r="Q72" s="87">
        <f>IF(TrRoad_act!Q48=0,0,Q35/TrRoad_act!Q48*1000
)</f>
        <v>218.92387791581757</v>
      </c>
      <c r="R72" s="87">
        <f>IF(TrRoad_act!R48=0,0,R35/TrRoad_act!R48*1000
)</f>
        <v>215.23887269635034</v>
      </c>
      <c r="S72" s="87">
        <f>IF(TrRoad_act!S48=0,0,S35/TrRoad_act!S48*1000
)</f>
        <v>209.90399927362554</v>
      </c>
      <c r="T72" s="87">
        <f>IF(TrRoad_act!T48=0,0,T35/TrRoad_act!T48*1000
)</f>
        <v>206.10905617256952</v>
      </c>
      <c r="U72" s="87">
        <f>IF(TrRoad_act!U48=0,0,U35/TrRoad_act!U48*1000
)</f>
        <v>202.20701916184677</v>
      </c>
      <c r="V72" s="87">
        <f>IF(TrRoad_act!V48=0,0,V35/TrRoad_act!V48*1000
)</f>
        <v>196.63506060583285</v>
      </c>
      <c r="W72" s="87">
        <f>IF(TrRoad_act!W48=0,0,W35/TrRoad_act!W48*1000
)</f>
        <v>190.2372236867397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339.65660510250916</v>
      </c>
      <c r="C73" s="87">
        <f>IF(TrRoad_act!C49=0,0,C36/TrRoad_act!C49*1000
)</f>
        <v>329.42279849442093</v>
      </c>
      <c r="D73" s="87">
        <f>IF(TrRoad_act!D49=0,0,D36/TrRoad_act!D49*1000
)</f>
        <v>323.53186410369312</v>
      </c>
      <c r="E73" s="87">
        <f>IF(TrRoad_act!E49=0,0,E36/TrRoad_act!E49*1000
)</f>
        <v>319.5445245615299</v>
      </c>
      <c r="F73" s="87">
        <f>IF(TrRoad_act!F49=0,0,F36/TrRoad_act!F49*1000
)</f>
        <v>317.04553969943316</v>
      </c>
      <c r="G73" s="87">
        <f>IF(TrRoad_act!G49=0,0,G36/TrRoad_act!G49*1000
)</f>
        <v>306.62848312714402</v>
      </c>
      <c r="H73" s="87">
        <f>IF(TrRoad_act!H49=0,0,H36/TrRoad_act!H49*1000
)</f>
        <v>310.87687686992092</v>
      </c>
      <c r="I73" s="87">
        <f>IF(TrRoad_act!I49=0,0,I36/TrRoad_act!I49*1000
)</f>
        <v>314.59453947506574</v>
      </c>
      <c r="J73" s="87">
        <f>IF(TrRoad_act!J49=0,0,J36/TrRoad_act!J49*1000
)</f>
        <v>296.2110639075982</v>
      </c>
      <c r="K73" s="87">
        <f>IF(TrRoad_act!K49=0,0,K36/TrRoad_act!K49*1000
)</f>
        <v>285.09536624723899</v>
      </c>
      <c r="L73" s="87">
        <f>IF(TrRoad_act!L49=0,0,L36/TrRoad_act!L49*1000
)</f>
        <v>287.59885284436496</v>
      </c>
      <c r="M73" s="87">
        <f>IF(TrRoad_act!M49=0,0,M36/TrRoad_act!M49*1000
)</f>
        <v>282.58739210170046</v>
      </c>
      <c r="N73" s="87">
        <f>IF(TrRoad_act!N49=0,0,N36/TrRoad_act!N49*1000
)</f>
        <v>281.3857912378428</v>
      </c>
      <c r="O73" s="87">
        <f>IF(TrRoad_act!O49=0,0,O36/TrRoad_act!O49*1000
)</f>
        <v>273.79868545259217</v>
      </c>
      <c r="P73" s="87">
        <f>IF(TrRoad_act!P49=0,0,P36/TrRoad_act!P49*1000
)</f>
        <v>237.73016477598412</v>
      </c>
      <c r="Q73" s="87">
        <f>IF(TrRoad_act!Q49=0,0,Q36/TrRoad_act!Q49*1000
)</f>
        <v>237.04478131465766</v>
      </c>
      <c r="R73" s="87">
        <f>IF(TrRoad_act!R49=0,0,R36/TrRoad_act!R49*1000
)</f>
        <v>276.92446822893891</v>
      </c>
      <c r="S73" s="87">
        <f>IF(TrRoad_act!S49=0,0,S36/TrRoad_act!S49*1000
)</f>
        <v>245.46891775164804</v>
      </c>
      <c r="T73" s="87">
        <f>IF(TrRoad_act!T49=0,0,T36/TrRoad_act!T49*1000
)</f>
        <v>250.55377451471915</v>
      </c>
      <c r="U73" s="87">
        <f>IF(TrRoad_act!U49=0,0,U36/TrRoad_act!U49*1000
)</f>
        <v>239.46631727126672</v>
      </c>
      <c r="V73" s="87">
        <f>IF(TrRoad_act!V49=0,0,V36/TrRoad_act!V49*1000
)</f>
        <v>239.49110084326975</v>
      </c>
      <c r="W73" s="87">
        <f>IF(TrRoad_act!W49=0,0,W36/TrRoad_act!W49*1000
)</f>
        <v>219.93444722474936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0</v>
      </c>
      <c r="T74" s="87">
        <f>IF(TrRoad_act!T50=0,0,T37/TrRoad_act!T50*1000
)</f>
        <v>0</v>
      </c>
      <c r="U74" s="87">
        <f>IF(TrRoad_act!U50=0,0,U37/TrRoad_act!U50*1000
)</f>
        <v>0</v>
      </c>
      <c r="V74" s="87">
        <f>IF(TrRoad_act!V50=0,0,V37/TrRoad_act!V50*1000
)</f>
        <v>0</v>
      </c>
      <c r="W74" s="87">
        <f>IF(TrRoad_act!W50=0,0,W37/TrRoad_act!W50*1000
)</f>
        <v>0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223.44669771632883</v>
      </c>
      <c r="D75" s="87">
        <f>IF(TrRoad_act!D51=0,0,D38/TrRoad_act!D51*1000
)</f>
        <v>223.44669771632886</v>
      </c>
      <c r="E75" s="87">
        <f>IF(TrRoad_act!E51=0,0,E38/TrRoad_act!E51*1000
)</f>
        <v>223.44669771632891</v>
      </c>
      <c r="F75" s="87">
        <f>IF(TrRoad_act!F51=0,0,F38/TrRoad_act!F51*1000
)</f>
        <v>223.44669771632891</v>
      </c>
      <c r="G75" s="87">
        <f>IF(TrRoad_act!G51=0,0,G38/TrRoad_act!G51*1000
)</f>
        <v>224.8509338836528</v>
      </c>
      <c r="H75" s="87">
        <f>IF(TrRoad_act!H51=0,0,H38/TrRoad_act!H51*1000
)</f>
        <v>224.85093388365277</v>
      </c>
      <c r="I75" s="87">
        <f>IF(TrRoad_act!I51=0,0,I38/TrRoad_act!I51*1000
)</f>
        <v>229.31848213834706</v>
      </c>
      <c r="J75" s="87">
        <f>IF(TrRoad_act!J51=0,0,J38/TrRoad_act!J51*1000
)</f>
        <v>258.35245762022743</v>
      </c>
      <c r="K75" s="87">
        <f>IF(TrRoad_act!K51=0,0,K38/TrRoad_act!K51*1000
)</f>
        <v>288.36523664926489</v>
      </c>
      <c r="L75" s="87">
        <f>IF(TrRoad_act!L51=0,0,L38/TrRoad_act!L51*1000
)</f>
        <v>287.43394201061557</v>
      </c>
      <c r="M75" s="87">
        <f>IF(TrRoad_act!M51=0,0,M38/TrRoad_act!M51*1000
)</f>
        <v>217.06229689765945</v>
      </c>
      <c r="N75" s="87">
        <f>IF(TrRoad_act!N51=0,0,N38/TrRoad_act!N51*1000
)</f>
        <v>318.65362939245546</v>
      </c>
      <c r="O75" s="87">
        <f>IF(TrRoad_act!O51=0,0,O38/TrRoad_act!O51*1000
)</f>
        <v>211.74954201325463</v>
      </c>
      <c r="P75" s="87">
        <f>IF(TrRoad_act!P51=0,0,P38/TrRoad_act!P51*1000
)</f>
        <v>217.50489819243751</v>
      </c>
      <c r="Q75" s="87">
        <f>IF(TrRoad_act!Q51=0,0,Q38/TrRoad_act!Q51*1000
)</f>
        <v>221.6172331747353</v>
      </c>
      <c r="R75" s="87">
        <f>IF(TrRoad_act!R51=0,0,R38/TrRoad_act!R51*1000
)</f>
        <v>256.48532965934169</v>
      </c>
      <c r="S75" s="87">
        <f>IF(TrRoad_act!S51=0,0,S38/TrRoad_act!S51*1000
)</f>
        <v>248.67399256807479</v>
      </c>
      <c r="T75" s="87">
        <f>IF(TrRoad_act!T51=0,0,T38/TrRoad_act!T51*1000
)</f>
        <v>263.19107262346211</v>
      </c>
      <c r="U75" s="87">
        <f>IF(TrRoad_act!U51=0,0,U38/TrRoad_act!U51*1000
)</f>
        <v>295.97336039235103</v>
      </c>
      <c r="V75" s="87">
        <f>IF(TrRoad_act!V51=0,0,V38/TrRoad_act!V51*1000
)</f>
        <v>328.44783325343099</v>
      </c>
      <c r="W75" s="87">
        <f>IF(TrRoad_act!W51=0,0,W38/TrRoad_act!W51*1000
)</f>
        <v>394.68401024015174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1110.5944876048945</v>
      </c>
      <c r="C77" s="116">
        <f>IF(TrRoad_act!C53=0,0,C40/TrRoad_act!C53*1000
)</f>
        <v>1123.1881615148161</v>
      </c>
      <c r="D77" s="116">
        <f>IF(TrRoad_act!D53=0,0,D40/TrRoad_act!D53*1000
)</f>
        <v>1117.6344870765427</v>
      </c>
      <c r="E77" s="116">
        <f>IF(TrRoad_act!E53=0,0,E40/TrRoad_act!E53*1000
)</f>
        <v>1119.8960829357011</v>
      </c>
      <c r="F77" s="116">
        <f>IF(TrRoad_act!F53=0,0,F40/TrRoad_act!F53*1000
)</f>
        <v>1135.204494747697</v>
      </c>
      <c r="G77" s="116">
        <f>IF(TrRoad_act!G53=0,0,G40/TrRoad_act!G53*1000
)</f>
        <v>1089.5853853651477</v>
      </c>
      <c r="H77" s="116">
        <f>IF(TrRoad_act!H53=0,0,H40/TrRoad_act!H53*1000
)</f>
        <v>1119.3635468243833</v>
      </c>
      <c r="I77" s="116">
        <f>IF(TrRoad_act!I53=0,0,I40/TrRoad_act!I53*1000
)</f>
        <v>1135.4157149330722</v>
      </c>
      <c r="J77" s="116">
        <f>IF(TrRoad_act!J53=0,0,J40/TrRoad_act!J53*1000
)</f>
        <v>1025.2650293013821</v>
      </c>
      <c r="K77" s="116">
        <f>IF(TrRoad_act!K53=0,0,K40/TrRoad_act!K53*1000
)</f>
        <v>967.6875692366699</v>
      </c>
      <c r="L77" s="116">
        <f>IF(TrRoad_act!L53=0,0,L40/TrRoad_act!L53*1000
)</f>
        <v>965.1552735979227</v>
      </c>
      <c r="M77" s="116">
        <f>IF(TrRoad_act!M53=0,0,M40/TrRoad_act!M53*1000
)</f>
        <v>925.53086025714629</v>
      </c>
      <c r="N77" s="116">
        <f>IF(TrRoad_act!N53=0,0,N40/TrRoad_act!N53*1000
)</f>
        <v>906.64189760716442</v>
      </c>
      <c r="O77" s="116">
        <f>IF(TrRoad_act!O53=0,0,O40/TrRoad_act!O53*1000
)</f>
        <v>877.94894526068595</v>
      </c>
      <c r="P77" s="116">
        <f>IF(TrRoad_act!P53=0,0,P40/TrRoad_act!P53*1000
)</f>
        <v>748.28923993964281</v>
      </c>
      <c r="Q77" s="116">
        <f>IF(TrRoad_act!Q53=0,0,Q40/TrRoad_act!Q53*1000
)</f>
        <v>748.48571201334801</v>
      </c>
      <c r="R77" s="116">
        <f>IF(TrRoad_act!R53=0,0,R40/TrRoad_act!R53*1000
)</f>
        <v>874.57896315364053</v>
      </c>
      <c r="S77" s="116">
        <f>IF(TrRoad_act!S53=0,0,S40/TrRoad_act!S53*1000
)</f>
        <v>753.83378241763421</v>
      </c>
      <c r="T77" s="116">
        <f>IF(TrRoad_act!T53=0,0,T40/TrRoad_act!T53*1000
)</f>
        <v>782.61453677987197</v>
      </c>
      <c r="U77" s="116">
        <f>IF(TrRoad_act!U53=0,0,U40/TrRoad_act!U53*1000
)</f>
        <v>735.18110911859515</v>
      </c>
      <c r="V77" s="116">
        <f>IF(TrRoad_act!V53=0,0,V40/TrRoad_act!V53*1000
)</f>
        <v>729.09701842647644</v>
      </c>
      <c r="W77" s="116">
        <f>IF(TrRoad_act!W53=0,0,W40/TrRoad_act!W53*1000
)</f>
        <v>699.93342098728886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1093.452633262759</v>
      </c>
      <c r="C78" s="101">
        <f>IF(TrRoad_act!C54=0,0,C41/TrRoad_act!C54*1000
)</f>
        <v>1104.1578306376175</v>
      </c>
      <c r="D78" s="101">
        <f>IF(TrRoad_act!D54=0,0,D41/TrRoad_act!D54*1000
)</f>
        <v>1098.5705390297201</v>
      </c>
      <c r="E78" s="101">
        <f>IF(TrRoad_act!E54=0,0,E41/TrRoad_act!E54*1000
)</f>
        <v>1099.9557996616827</v>
      </c>
      <c r="F78" s="101">
        <f>IF(TrRoad_act!F54=0,0,F41/TrRoad_act!F54*1000
)</f>
        <v>1112.2970840133587</v>
      </c>
      <c r="G78" s="101">
        <f>IF(TrRoad_act!G54=0,0,G41/TrRoad_act!G54*1000
)</f>
        <v>1070.9975270525756</v>
      </c>
      <c r="H78" s="101">
        <f>IF(TrRoad_act!H54=0,0,H41/TrRoad_act!H54*1000
)</f>
        <v>1096.4854487934708</v>
      </c>
      <c r="I78" s="101">
        <f>IF(TrRoad_act!I54=0,0,I41/TrRoad_act!I54*1000
)</f>
        <v>1110.0634511433036</v>
      </c>
      <c r="J78" s="101">
        <f>IF(TrRoad_act!J54=0,0,J41/TrRoad_act!J54*1000
)</f>
        <v>1010.5837256160665</v>
      </c>
      <c r="K78" s="101">
        <f>IF(TrRoad_act!K54=0,0,K41/TrRoad_act!K54*1000
)</f>
        <v>956.13518412726114</v>
      </c>
      <c r="L78" s="101">
        <f>IF(TrRoad_act!L54=0,0,L41/TrRoad_act!L54*1000
)</f>
        <v>952.42047062793813</v>
      </c>
      <c r="M78" s="101">
        <f>IF(TrRoad_act!M54=0,0,M41/TrRoad_act!M54*1000
)</f>
        <v>917.04381093525478</v>
      </c>
      <c r="N78" s="101">
        <f>IF(TrRoad_act!N54=0,0,N41/TrRoad_act!N54*1000
)</f>
        <v>897.7229605226936</v>
      </c>
      <c r="O78" s="101">
        <f>IF(TrRoad_act!O54=0,0,O41/TrRoad_act!O54*1000
)</f>
        <v>870.33381783338086</v>
      </c>
      <c r="P78" s="101">
        <f>IF(TrRoad_act!P54=0,0,P41/TrRoad_act!P54*1000
)</f>
        <v>741.65888875223163</v>
      </c>
      <c r="Q78" s="101">
        <f>IF(TrRoad_act!Q54=0,0,Q41/TrRoad_act!Q54*1000
)</f>
        <v>739.66298100728716</v>
      </c>
      <c r="R78" s="101">
        <f>IF(TrRoad_act!R54=0,0,R41/TrRoad_act!R54*1000
)</f>
        <v>865.35740768236894</v>
      </c>
      <c r="S78" s="101">
        <f>IF(TrRoad_act!S54=0,0,S41/TrRoad_act!S54*1000
)</f>
        <v>750.04821946656921</v>
      </c>
      <c r="T78" s="101">
        <f>IF(TrRoad_act!T54=0,0,T41/TrRoad_act!T54*1000
)</f>
        <v>774.71331842114694</v>
      </c>
      <c r="U78" s="101">
        <f>IF(TrRoad_act!U54=0,0,U41/TrRoad_act!U54*1000
)</f>
        <v>730.45479971137445</v>
      </c>
      <c r="V78" s="101">
        <f>IF(TrRoad_act!V54=0,0,V41/TrRoad_act!V54*1000
)</f>
        <v>724.08992049166625</v>
      </c>
      <c r="W78" s="101">
        <f>IF(TrRoad_act!W54=0,0,W41/TrRoad_act!W54*1000
)</f>
        <v>686.92045043379369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1845.0283416725699</v>
      </c>
      <c r="C79" s="88">
        <f>IF(TrRoad_act!C55=0,0,C42/TrRoad_act!C55*1000
)</f>
        <v>1908.4764162394918</v>
      </c>
      <c r="D79" s="88">
        <f>IF(TrRoad_act!D55=0,0,D42/TrRoad_act!D55*1000
)</f>
        <v>1883.2570530696173</v>
      </c>
      <c r="E79" s="88">
        <f>IF(TrRoad_act!E55=0,0,E42/TrRoad_act!E55*1000
)</f>
        <v>1910.7937043573354</v>
      </c>
      <c r="F79" s="88">
        <f>IF(TrRoad_act!F55=0,0,F42/TrRoad_act!F55*1000
)</f>
        <v>1910.0215644269188</v>
      </c>
      <c r="G79" s="88">
        <f>IF(TrRoad_act!G55=0,0,G42/TrRoad_act!G55*1000
)</f>
        <v>1717.379852109467</v>
      </c>
      <c r="H79" s="88">
        <f>IF(TrRoad_act!H55=0,0,H42/TrRoad_act!H55*1000
)</f>
        <v>1814.7659086130202</v>
      </c>
      <c r="I79" s="88">
        <f>IF(TrRoad_act!I55=0,0,I42/TrRoad_act!I55*1000
)</f>
        <v>1888.015172016655</v>
      </c>
      <c r="J79" s="88">
        <f>IF(TrRoad_act!J55=0,0,J42/TrRoad_act!J55*1000
)</f>
        <v>1466.6331354533136</v>
      </c>
      <c r="K79" s="88">
        <f>IF(TrRoad_act!K55=0,0,K42/TrRoad_act!K55*1000
)</f>
        <v>1294.1081779505744</v>
      </c>
      <c r="L79" s="88">
        <f>IF(TrRoad_act!L55=0,0,L42/TrRoad_act!L55*1000
)</f>
        <v>1271.0692702153206</v>
      </c>
      <c r="M79" s="88">
        <f>IF(TrRoad_act!M55=0,0,M42/TrRoad_act!M55*1000
)</f>
        <v>1221.7789124582905</v>
      </c>
      <c r="N79" s="88">
        <f>IF(TrRoad_act!N55=0,0,N42/TrRoad_act!N55*1000
)</f>
        <v>1132.441981412873</v>
      </c>
      <c r="O79" s="88">
        <f>IF(TrRoad_act!O55=0,0,O42/TrRoad_act!O55*1000
)</f>
        <v>1102.6779711778142</v>
      </c>
      <c r="P79" s="88">
        <f>IF(TrRoad_act!P55=0,0,P42/TrRoad_act!P55*1000
)</f>
        <v>889.65163580964395</v>
      </c>
      <c r="Q79" s="88">
        <f>IF(TrRoad_act!Q55=0,0,Q42/TrRoad_act!Q55*1000
)</f>
        <v>896.75484262528425</v>
      </c>
      <c r="R79" s="88">
        <f>IF(TrRoad_act!R55=0,0,R42/TrRoad_act!R55*1000
)</f>
        <v>1088.3670433510244</v>
      </c>
      <c r="S79" s="88">
        <f>IF(TrRoad_act!S55=0,0,S42/TrRoad_act!S55*1000
)</f>
        <v>845.72463689033236</v>
      </c>
      <c r="T79" s="88">
        <f>IF(TrRoad_act!T55=0,0,T42/TrRoad_act!T55*1000
)</f>
        <v>946.996658461523</v>
      </c>
      <c r="U79" s="88">
        <f>IF(TrRoad_act!U55=0,0,U42/TrRoad_act!U55*1000
)</f>
        <v>853.17315017533906</v>
      </c>
      <c r="V79" s="88">
        <f>IF(TrRoad_act!V55=0,0,V42/TrRoad_act!V55*1000
)</f>
        <v>846.52971632727429</v>
      </c>
      <c r="W79" s="88">
        <f>IF(TrRoad_act!W55=0,0,W42/TrRoad_act!W55*1000
)</f>
        <v>945.7595425961282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107.44991130239865</v>
      </c>
      <c r="C82" s="29">
        <f>IF(TrRoad_act!C4=0,0,C18/TrRoad_act!C4*1000)</f>
        <v>106.50273402649853</v>
      </c>
      <c r="D82" s="29">
        <f>IF(TrRoad_act!D4=0,0,D18/TrRoad_act!D4*1000)</f>
        <v>106.96223256012368</v>
      </c>
      <c r="E82" s="29">
        <f>IF(TrRoad_act!E4=0,0,E18/TrRoad_act!E4*1000)</f>
        <v>107.03289869916709</v>
      </c>
      <c r="F82" s="29">
        <f>IF(TrRoad_act!F4=0,0,F18/TrRoad_act!F4*1000)</f>
        <v>107.64088090378625</v>
      </c>
      <c r="G82" s="29">
        <f>IF(TrRoad_act!G4=0,0,G18/TrRoad_act!G4*1000)</f>
        <v>107.20592459924271</v>
      </c>
      <c r="H82" s="29">
        <f>IF(TrRoad_act!H4=0,0,H18/TrRoad_act!H4*1000)</f>
        <v>108.86907083422432</v>
      </c>
      <c r="I82" s="29">
        <f>IF(TrRoad_act!I4=0,0,I18/TrRoad_act!I4*1000)</f>
        <v>110.54137244892844</v>
      </c>
      <c r="J82" s="29">
        <f>IF(TrRoad_act!J4=0,0,J18/TrRoad_act!J4*1000)</f>
        <v>105.93840175125828</v>
      </c>
      <c r="K82" s="29">
        <f>IF(TrRoad_act!K4=0,0,K18/TrRoad_act!K4*1000)</f>
        <v>103.92506878191689</v>
      </c>
      <c r="L82" s="29">
        <f>IF(TrRoad_act!L4=0,0,L18/TrRoad_act!L4*1000)</f>
        <v>105.12307596643774</v>
      </c>
      <c r="M82" s="29">
        <f>IF(TrRoad_act!M4=0,0,M18/TrRoad_act!M4*1000)</f>
        <v>104.33755670883693</v>
      </c>
      <c r="N82" s="29">
        <f>IF(TrRoad_act!N4=0,0,N18/TrRoad_act!N4*1000)</f>
        <v>104.35702717748551</v>
      </c>
      <c r="O82" s="29">
        <f>IF(TrRoad_act!O4=0,0,O18/TrRoad_act!O4*1000)</f>
        <v>104.83275756836889</v>
      </c>
      <c r="P82" s="29">
        <f>IF(TrRoad_act!P4=0,0,P18/TrRoad_act!P4*1000)</f>
        <v>97.077155144694046</v>
      </c>
      <c r="Q82" s="29">
        <f>IF(TrRoad_act!Q4=0,0,Q18/TrRoad_act!Q4*1000)</f>
        <v>97.364415604625265</v>
      </c>
      <c r="R82" s="29">
        <f>IF(TrRoad_act!R4=0,0,R18/TrRoad_act!R4*1000)</f>
        <v>117.59148075892867</v>
      </c>
      <c r="S82" s="29">
        <f>IF(TrRoad_act!S4=0,0,S18/TrRoad_act!S4*1000)</f>
        <v>98.549670809055385</v>
      </c>
      <c r="T82" s="29">
        <f>IF(TrRoad_act!T4=0,0,T18/TrRoad_act!T4*1000)</f>
        <v>99.652684787395231</v>
      </c>
      <c r="U82" s="29">
        <f>IF(TrRoad_act!U4=0,0,U18/TrRoad_act!U4*1000)</f>
        <v>96.132573545415283</v>
      </c>
      <c r="V82" s="29">
        <f>IF(TrRoad_act!V4=0,0,V18/TrRoad_act!V4*1000)</f>
        <v>93.910805832352665</v>
      </c>
      <c r="W82" s="29">
        <f>IF(TrRoad_act!W4=0,0,W18/TrRoad_act!W4*1000)</f>
        <v>90.256491650256351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126.71911603068911</v>
      </c>
      <c r="C83" s="152">
        <f>IF(TrRoad_act!C5=0,0,C19/TrRoad_act!C5*1000)</f>
        <v>125.0743424160392</v>
      </c>
      <c r="D83" s="152">
        <f>IF(TrRoad_act!D5=0,0,D19/TrRoad_act!D5*1000)</f>
        <v>123.24801204109922</v>
      </c>
      <c r="E83" s="152">
        <f>IF(TrRoad_act!E5=0,0,E19/TrRoad_act!E5*1000)</f>
        <v>121.08810727724274</v>
      </c>
      <c r="F83" s="152">
        <f>IF(TrRoad_act!F5=0,0,F19/TrRoad_act!F5*1000)</f>
        <v>119.47432971644463</v>
      </c>
      <c r="G83" s="152">
        <f>IF(TrRoad_act!G5=0,0,G19/TrRoad_act!G5*1000)</f>
        <v>118.39480009291097</v>
      </c>
      <c r="H83" s="152">
        <f>IF(TrRoad_act!H5=0,0,H19/TrRoad_act!H5*1000)</f>
        <v>117.02249798881763</v>
      </c>
      <c r="I83" s="152">
        <f>IF(TrRoad_act!I5=0,0,I19/TrRoad_act!I5*1000)</f>
        <v>116.06474346649769</v>
      </c>
      <c r="J83" s="152">
        <f>IF(TrRoad_act!J5=0,0,J19/TrRoad_act!J5*1000)</f>
        <v>110.16100419683954</v>
      </c>
      <c r="K83" s="152">
        <f>IF(TrRoad_act!K5=0,0,K19/TrRoad_act!K5*1000)</f>
        <v>107.63190457305411</v>
      </c>
      <c r="L83" s="152">
        <f>IF(TrRoad_act!L5=0,0,L19/TrRoad_act!L5*1000)</f>
        <v>105.68084907217614</v>
      </c>
      <c r="M83" s="152">
        <f>IF(TrRoad_act!M5=0,0,M19/TrRoad_act!M5*1000)</f>
        <v>103.08681538877141</v>
      </c>
      <c r="N83" s="152">
        <f>IF(TrRoad_act!N5=0,0,N19/TrRoad_act!N5*1000)</f>
        <v>101.75183562977224</v>
      </c>
      <c r="O83" s="152">
        <f>IF(TrRoad_act!O5=0,0,O19/TrRoad_act!O5*1000)</f>
        <v>102.73234655092277</v>
      </c>
      <c r="P83" s="152">
        <f>IF(TrRoad_act!P5=0,0,P19/TrRoad_act!P5*1000)</f>
        <v>100.94977198876772</v>
      </c>
      <c r="Q83" s="152">
        <f>IF(TrRoad_act!Q5=0,0,Q19/TrRoad_act!Q5*1000)</f>
        <v>100.21028063551393</v>
      </c>
      <c r="R83" s="152">
        <f>IF(TrRoad_act!R5=0,0,R19/TrRoad_act!R5*1000)</f>
        <v>98.932110921562114</v>
      </c>
      <c r="S83" s="152">
        <f>IF(TrRoad_act!S5=0,0,S19/TrRoad_act!S5*1000)</f>
        <v>97.172512576171087</v>
      </c>
      <c r="T83" s="152">
        <f>IF(TrRoad_act!T5=0,0,T19/TrRoad_act!T5*1000)</f>
        <v>96.19488878895622</v>
      </c>
      <c r="U83" s="152">
        <f>IF(TrRoad_act!U5=0,0,U19/TrRoad_act!U5*1000)</f>
        <v>94.922398721325891</v>
      </c>
      <c r="V83" s="152">
        <f>IF(TrRoad_act!V5=0,0,V19/TrRoad_act!V5*1000)</f>
        <v>93.515288764388117</v>
      </c>
      <c r="W83" s="152">
        <f>IF(TrRoad_act!W5=0,0,W19/TrRoad_act!W5*1000)</f>
        <v>88.77236387480869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109.89846596830732</v>
      </c>
      <c r="C84" s="116">
        <f>IF(TrRoad_act!C6=0,0,C20/TrRoad_act!C6*1000)</f>
        <v>109.02190539586375</v>
      </c>
      <c r="D84" s="116">
        <f>IF(TrRoad_act!D6=0,0,D20/TrRoad_act!D6*1000)</f>
        <v>109.41978149136779</v>
      </c>
      <c r="E84" s="116">
        <f>IF(TrRoad_act!E6=0,0,E20/TrRoad_act!E6*1000)</f>
        <v>109.11533522387398</v>
      </c>
      <c r="F84" s="116">
        <f>IF(TrRoad_act!F6=0,0,F20/TrRoad_act!F6*1000)</f>
        <v>109.2460253040846</v>
      </c>
      <c r="G84" s="116">
        <f>IF(TrRoad_act!G6=0,0,G20/TrRoad_act!G6*1000)</f>
        <v>108.77945264143925</v>
      </c>
      <c r="H84" s="116">
        <f>IF(TrRoad_act!H6=0,0,H20/TrRoad_act!H6*1000)</f>
        <v>110.27355363190384</v>
      </c>
      <c r="I84" s="116">
        <f>IF(TrRoad_act!I6=0,0,I20/TrRoad_act!I6*1000)</f>
        <v>111.71660185239158</v>
      </c>
      <c r="J84" s="116">
        <f>IF(TrRoad_act!J6=0,0,J20/TrRoad_act!J6*1000)</f>
        <v>106.60786244757814</v>
      </c>
      <c r="K84" s="116">
        <f>IF(TrRoad_act!K6=0,0,K20/TrRoad_act!K6*1000)</f>
        <v>104.17612748645602</v>
      </c>
      <c r="L84" s="116">
        <f>IF(TrRoad_act!L6=0,0,L20/TrRoad_act!L6*1000)</f>
        <v>105.00298131394715</v>
      </c>
      <c r="M84" s="116">
        <f>IF(TrRoad_act!M6=0,0,M20/TrRoad_act!M6*1000)</f>
        <v>104.08695256280183</v>
      </c>
      <c r="N84" s="116">
        <f>IF(TrRoad_act!N6=0,0,N20/TrRoad_act!N6*1000)</f>
        <v>103.5955838357531</v>
      </c>
      <c r="O84" s="116">
        <f>IF(TrRoad_act!O6=0,0,O20/TrRoad_act!O6*1000)</f>
        <v>103.98202864202095</v>
      </c>
      <c r="P84" s="116">
        <f>IF(TrRoad_act!P6=0,0,P20/TrRoad_act!P6*1000)</f>
        <v>96.412047143591579</v>
      </c>
      <c r="Q84" s="116">
        <f>IF(TrRoad_act!Q6=0,0,Q20/TrRoad_act!Q6*1000)</f>
        <v>96.309754277269406</v>
      </c>
      <c r="R84" s="116">
        <f>IF(TrRoad_act!R6=0,0,R20/TrRoad_act!R6*1000)</f>
        <v>117.50710950620065</v>
      </c>
      <c r="S84" s="116">
        <f>IF(TrRoad_act!S6=0,0,S20/TrRoad_act!S6*1000)</f>
        <v>96.978065386644786</v>
      </c>
      <c r="T84" s="116">
        <f>IF(TrRoad_act!T6=0,0,T20/TrRoad_act!T6*1000)</f>
        <v>97.796095498804618</v>
      </c>
      <c r="U84" s="116">
        <f>IF(TrRoad_act!U6=0,0,U20/TrRoad_act!U6*1000)</f>
        <v>94.454328983170086</v>
      </c>
      <c r="V84" s="116">
        <f>IF(TrRoad_act!V6=0,0,V20/TrRoad_act!V6*1000)</f>
        <v>91.950765326232855</v>
      </c>
      <c r="W84" s="116">
        <f>IF(TrRoad_act!W6=0,0,W20/TrRoad_act!W6*1000)</f>
        <v>89.071289586423973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103.00877283944882</v>
      </c>
      <c r="C85" s="87">
        <f>IF(TrRoad_act!C7=0,0,C21/TrRoad_act!C7*1000)</f>
        <v>103.09580789978878</v>
      </c>
      <c r="D85" s="87">
        <f>IF(TrRoad_act!D7=0,0,D21/TrRoad_act!D7*1000)</f>
        <v>103.61883752124322</v>
      </c>
      <c r="E85" s="87">
        <f>IF(TrRoad_act!E7=0,0,E21/TrRoad_act!E7*1000)</f>
        <v>103.01649907284046</v>
      </c>
      <c r="F85" s="87">
        <f>IF(TrRoad_act!F7=0,0,F21/TrRoad_act!F7*1000)</f>
        <v>102.88752560991219</v>
      </c>
      <c r="G85" s="87">
        <f>IF(TrRoad_act!G7=0,0,G21/TrRoad_act!G7*1000)</f>
        <v>102.67373104291286</v>
      </c>
      <c r="H85" s="87">
        <f>IF(TrRoad_act!H7=0,0,H21/TrRoad_act!H7*1000)</f>
        <v>102.9887823638084</v>
      </c>
      <c r="I85" s="87">
        <f>IF(TrRoad_act!I7=0,0,I21/TrRoad_act!I7*1000)</f>
        <v>103.15299864636576</v>
      </c>
      <c r="J85" s="87">
        <f>IF(TrRoad_act!J7=0,0,J21/TrRoad_act!J7*1000)</f>
        <v>98.018190071942769</v>
      </c>
      <c r="K85" s="87">
        <f>IF(TrRoad_act!K7=0,0,K21/TrRoad_act!K7*1000)</f>
        <v>95.941899216897156</v>
      </c>
      <c r="L85" s="87">
        <f>IF(TrRoad_act!L7=0,0,L21/TrRoad_act!L7*1000)</f>
        <v>96.062375665971643</v>
      </c>
      <c r="M85" s="87">
        <f>IF(TrRoad_act!M7=0,0,M21/TrRoad_act!M7*1000)</f>
        <v>95.077012059649277</v>
      </c>
      <c r="N85" s="87">
        <f>IF(TrRoad_act!N7=0,0,N21/TrRoad_act!N7*1000)</f>
        <v>94.506399109220027</v>
      </c>
      <c r="O85" s="87">
        <f>IF(TrRoad_act!O7=0,0,O21/TrRoad_act!O7*1000)</f>
        <v>97.478839698707759</v>
      </c>
      <c r="P85" s="87">
        <f>IF(TrRoad_act!P7=0,0,P21/TrRoad_act!P7*1000)</f>
        <v>95.467891472945738</v>
      </c>
      <c r="Q85" s="87">
        <f>IF(TrRoad_act!Q7=0,0,Q21/TrRoad_act!Q7*1000)</f>
        <v>95.826028926759193</v>
      </c>
      <c r="R85" s="87">
        <f>IF(TrRoad_act!R7=0,0,R21/TrRoad_act!R7*1000)</f>
        <v>112.5023426142838</v>
      </c>
      <c r="S85" s="87">
        <f>IF(TrRoad_act!S7=0,0,S21/TrRoad_act!S7*1000)</f>
        <v>95.032748770687036</v>
      </c>
      <c r="T85" s="87">
        <f>IF(TrRoad_act!T7=0,0,T21/TrRoad_act!T7*1000)</f>
        <v>94.789793097779665</v>
      </c>
      <c r="U85" s="87">
        <f>IF(TrRoad_act!U7=0,0,U21/TrRoad_act!U7*1000)</f>
        <v>92.978007990293889</v>
      </c>
      <c r="V85" s="87">
        <f>IF(TrRoad_act!V7=0,0,V21/TrRoad_act!V7*1000)</f>
        <v>89.276407051721748</v>
      </c>
      <c r="W85" s="87">
        <f>IF(TrRoad_act!W7=0,0,W21/TrRoad_act!W7*1000)</f>
        <v>91.474508226443831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141.50710139216503</v>
      </c>
      <c r="C86" s="87">
        <f>IF(TrRoad_act!C8=0,0,C22/TrRoad_act!C8*1000)</f>
        <v>135.07275131414067</v>
      </c>
      <c r="D86" s="87">
        <f>IF(TrRoad_act!D8=0,0,D22/TrRoad_act!D8*1000)</f>
        <v>133.93088845821913</v>
      </c>
      <c r="E86" s="87">
        <f>IF(TrRoad_act!E8=0,0,E22/TrRoad_act!E8*1000)</f>
        <v>133.47413353707265</v>
      </c>
      <c r="F86" s="87">
        <f>IF(TrRoad_act!F8=0,0,F22/TrRoad_act!F8*1000)</f>
        <v>134.54160911201697</v>
      </c>
      <c r="G86" s="87">
        <f>IF(TrRoad_act!G8=0,0,G22/TrRoad_act!G8*1000)</f>
        <v>131.33135794275591</v>
      </c>
      <c r="H86" s="87">
        <f>IF(TrRoad_act!H8=0,0,H22/TrRoad_act!H8*1000)</f>
        <v>134.90392678283442</v>
      </c>
      <c r="I86" s="87">
        <f>IF(TrRoad_act!I8=0,0,I22/TrRoad_act!I8*1000)</f>
        <v>137.85031758518909</v>
      </c>
      <c r="J86" s="87">
        <f>IF(TrRoad_act!J8=0,0,J22/TrRoad_act!J8*1000)</f>
        <v>128.00446717748224</v>
      </c>
      <c r="K86" s="87">
        <f>IF(TrRoad_act!K8=0,0,K22/TrRoad_act!K8*1000)</f>
        <v>122.70379702685892</v>
      </c>
      <c r="L86" s="87">
        <f>IF(TrRoad_act!L8=0,0,L22/TrRoad_act!L8*1000)</f>
        <v>122.79757298927251</v>
      </c>
      <c r="M86" s="87">
        <f>IF(TrRoad_act!M8=0,0,M22/TrRoad_act!M8*1000)</f>
        <v>119.30278407418396</v>
      </c>
      <c r="N86" s="87">
        <f>IF(TrRoad_act!N8=0,0,N22/TrRoad_act!N8*1000)</f>
        <v>117.7089507611057</v>
      </c>
      <c r="O86" s="87">
        <f>IF(TrRoad_act!O8=0,0,O22/TrRoad_act!O8*1000)</f>
        <v>113.98271113201584</v>
      </c>
      <c r="P86" s="87">
        <f>IF(TrRoad_act!P8=0,0,P22/TrRoad_act!P8*1000)</f>
        <v>97.817990575649915</v>
      </c>
      <c r="Q86" s="87">
        <f>IF(TrRoad_act!Q8=0,0,Q22/TrRoad_act!Q8*1000)</f>
        <v>97.052877335379421</v>
      </c>
      <c r="R86" s="87">
        <f>IF(TrRoad_act!R8=0,0,R22/TrRoad_act!R8*1000)</f>
        <v>124.34722675287674</v>
      </c>
      <c r="S86" s="87">
        <f>IF(TrRoad_act!S8=0,0,S22/TrRoad_act!S8*1000)</f>
        <v>99.691139407414525</v>
      </c>
      <c r="T86" s="87">
        <f>IF(TrRoad_act!T8=0,0,T22/TrRoad_act!T8*1000)</f>
        <v>101.99673486773082</v>
      </c>
      <c r="U86" s="87">
        <f>IF(TrRoad_act!U8=0,0,U22/TrRoad_act!U8*1000)</f>
        <v>97.125485216507556</v>
      </c>
      <c r="V86" s="87">
        <f>IF(TrRoad_act!V8=0,0,V22/TrRoad_act!V8*1000)</f>
        <v>96.87685081114661</v>
      </c>
      <c r="W86" s="87">
        <f>IF(TrRoad_act!W8=0,0,W22/TrRoad_act!W8*1000)</f>
        <v>89.28883382338374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0</v>
      </c>
      <c r="E87" s="87">
        <f>IF(TrRoad_act!E9=0,0,E23/TrRoad_act!E9*1000)</f>
        <v>0</v>
      </c>
      <c r="F87" s="87">
        <f>IF(TrRoad_act!F9=0,0,F23/TrRoad_act!F9*1000)</f>
        <v>0</v>
      </c>
      <c r="G87" s="87">
        <f>IF(TrRoad_act!G9=0,0,G23/TrRoad_act!G9*1000)</f>
        <v>0</v>
      </c>
      <c r="H87" s="87">
        <f>IF(TrRoad_act!H9=0,0,H23/TrRoad_act!H9*1000)</f>
        <v>0</v>
      </c>
      <c r="I87" s="87">
        <f>IF(TrRoad_act!I9=0,0,I23/TrRoad_act!I9*1000)</f>
        <v>0</v>
      </c>
      <c r="J87" s="87">
        <f>IF(TrRoad_act!J9=0,0,J23/TrRoad_act!J9*1000)</f>
        <v>0</v>
      </c>
      <c r="K87" s="87">
        <f>IF(TrRoad_act!K9=0,0,K23/TrRoad_act!K9*1000)</f>
        <v>0</v>
      </c>
      <c r="L87" s="87">
        <f>IF(TrRoad_act!L9=0,0,L23/TrRoad_act!L9*1000)</f>
        <v>0</v>
      </c>
      <c r="M87" s="87">
        <f>IF(TrRoad_act!M9=0,0,M23/TrRoad_act!M9*1000)</f>
        <v>0</v>
      </c>
      <c r="N87" s="87">
        <f>IF(TrRoad_act!N9=0,0,N23/TrRoad_act!N9*1000)</f>
        <v>0</v>
      </c>
      <c r="O87" s="87">
        <f>IF(TrRoad_act!O9=0,0,O23/TrRoad_act!O9*1000)</f>
        <v>0</v>
      </c>
      <c r="P87" s="87">
        <f>IF(TrRoad_act!P9=0,0,P23/TrRoad_act!P9*1000)</f>
        <v>0</v>
      </c>
      <c r="Q87" s="87">
        <f>IF(TrRoad_act!Q9=0,0,Q23/TrRoad_act!Q9*1000)</f>
        <v>0</v>
      </c>
      <c r="R87" s="87">
        <f>IF(TrRoad_act!R9=0,0,R23/TrRoad_act!R9*1000)</f>
        <v>0</v>
      </c>
      <c r="S87" s="87">
        <f>IF(TrRoad_act!S9=0,0,S23/TrRoad_act!S9*1000)</f>
        <v>0</v>
      </c>
      <c r="T87" s="87">
        <f>IF(TrRoad_act!T9=0,0,T23/TrRoad_act!T9*1000)</f>
        <v>0</v>
      </c>
      <c r="U87" s="87">
        <f>IF(TrRoad_act!U9=0,0,U23/TrRoad_act!U9*1000)</f>
        <v>0</v>
      </c>
      <c r="V87" s="87">
        <f>IF(TrRoad_act!V9=0,0,V23/TrRoad_act!V9*1000)</f>
        <v>0</v>
      </c>
      <c r="W87" s="87">
        <f>IF(TrRoad_act!W9=0,0,W23/TrRoad_act!W9*1000)</f>
        <v>0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125.74073838349834</v>
      </c>
      <c r="I88" s="87">
        <f>IF(TrRoad_act!I10=0,0,I24/TrRoad_act!I10*1000)</f>
        <v>126.91792209400022</v>
      </c>
      <c r="J88" s="87">
        <f>IF(TrRoad_act!J10=0,0,J24/TrRoad_act!J10*1000)</f>
        <v>141.96821699736043</v>
      </c>
      <c r="K88" s="87">
        <f>IF(TrRoad_act!K10=0,0,K24/TrRoad_act!K10*1000)</f>
        <v>157.85529602999452</v>
      </c>
      <c r="L88" s="87">
        <f>IF(TrRoad_act!L10=0,0,L24/TrRoad_act!L10*1000)</f>
        <v>157.05610425806131</v>
      </c>
      <c r="M88" s="87">
        <f>IF(TrRoad_act!M10=0,0,M24/TrRoad_act!M10*1000)</f>
        <v>116.65348784437214</v>
      </c>
      <c r="N88" s="87">
        <f>IF(TrRoad_act!N10=0,0,N24/TrRoad_act!N10*1000)</f>
        <v>170.41748042175627</v>
      </c>
      <c r="O88" s="87">
        <f>IF(TrRoad_act!O10=0,0,O24/TrRoad_act!O10*1000)</f>
        <v>111.65788025015294</v>
      </c>
      <c r="P88" s="87">
        <f>IF(TrRoad_act!P10=0,0,P24/TrRoad_act!P10*1000)</f>
        <v>104.20469837796875</v>
      </c>
      <c r="Q88" s="87">
        <f>IF(TrRoad_act!Q10=0,0,Q24/TrRoad_act!Q10*1000)</f>
        <v>97.486967603505278</v>
      </c>
      <c r="R88" s="87">
        <f>IF(TrRoad_act!R10=0,0,R24/TrRoad_act!R10*1000)</f>
        <v>116.17107112309996</v>
      </c>
      <c r="S88" s="87">
        <f>IF(TrRoad_act!S10=0,0,S24/TrRoad_act!S10*1000)</f>
        <v>98.306735421527804</v>
      </c>
      <c r="T88" s="87">
        <f>IF(TrRoad_act!T10=0,0,T24/TrRoad_act!T10*1000)</f>
        <v>102.91885041678685</v>
      </c>
      <c r="U88" s="87">
        <f>IF(TrRoad_act!U10=0,0,U24/TrRoad_act!U10*1000)</f>
        <v>117.01005248299224</v>
      </c>
      <c r="V88" s="87">
        <f>IF(TrRoad_act!V10=0,0,V24/TrRoad_act!V10*1000)</f>
        <v>130.34515030976243</v>
      </c>
      <c r="W88" s="87">
        <f>IF(TrRoad_act!W10=0,0,W24/TrRoad_act!W10*1000)</f>
        <v>148.20667550910082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28.343106895605526</v>
      </c>
      <c r="O89" s="87">
        <f>IF(TrRoad_act!O11=0,0,O25/TrRoad_act!O11*1000)</f>
        <v>30.673516966936528</v>
      </c>
      <c r="P89" s="87">
        <f>IF(TrRoad_act!P11=0,0,P25/TrRoad_act!P11*1000)</f>
        <v>31.780549298491493</v>
      </c>
      <c r="Q89" s="87">
        <f>IF(TrRoad_act!Q11=0,0,Q25/TrRoad_act!Q11*1000)</f>
        <v>34.757959986499934</v>
      </c>
      <c r="R89" s="87">
        <f>IF(TrRoad_act!R11=0,0,R25/TrRoad_act!R11*1000)</f>
        <v>43.152383152429096</v>
      </c>
      <c r="S89" s="87">
        <f>IF(TrRoad_act!S11=0,0,S25/TrRoad_act!S11*1000)</f>
        <v>36.751776914014251</v>
      </c>
      <c r="T89" s="87">
        <f>IF(TrRoad_act!T11=0,0,T25/TrRoad_act!T11*1000)</f>
        <v>37.225345390560229</v>
      </c>
      <c r="U89" s="87">
        <f>IF(TrRoad_act!U11=0,0,U25/TrRoad_act!U11*1000)</f>
        <v>33.362429615393275</v>
      </c>
      <c r="V89" s="87">
        <f>IF(TrRoad_act!V11=0,0,V25/TrRoad_act!V11*1000)</f>
        <v>29.079159518808535</v>
      </c>
      <c r="W89" s="87">
        <f>IF(TrRoad_act!W11=0,0,W25/TrRoad_act!W11*1000)</f>
        <v>26.913467280408611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87.475705434921665</v>
      </c>
      <c r="C91" s="116">
        <f>IF(TrRoad_act!C13=0,0,C27/TrRoad_act!C13*1000)</f>
        <v>85.674318606370676</v>
      </c>
      <c r="D91" s="116">
        <f>IF(TrRoad_act!D13=0,0,D27/TrRoad_act!D13*1000)</f>
        <v>86.443723601934622</v>
      </c>
      <c r="E91" s="116">
        <f>IF(TrRoad_act!E13=0,0,E27/TrRoad_act!E13*1000)</f>
        <v>89.197255672320765</v>
      </c>
      <c r="F91" s="116">
        <f>IF(TrRoad_act!F13=0,0,F27/TrRoad_act!F13*1000)</f>
        <v>93.371679027664513</v>
      </c>
      <c r="G91" s="116">
        <f>IF(TrRoad_act!G13=0,0,G27/TrRoad_act!G13*1000)</f>
        <v>92.945325323657968</v>
      </c>
      <c r="H91" s="116">
        <f>IF(TrRoad_act!H13=0,0,H27/TrRoad_act!H13*1000)</f>
        <v>96.258372654584278</v>
      </c>
      <c r="I91" s="116">
        <f>IF(TrRoad_act!I13=0,0,I27/TrRoad_act!I13*1000)</f>
        <v>99.936450843126977</v>
      </c>
      <c r="J91" s="116">
        <f>IF(TrRoad_act!J13=0,0,J27/TrRoad_act!J13*1000)</f>
        <v>99.802112733785535</v>
      </c>
      <c r="K91" s="116">
        <f>IF(TrRoad_act!K13=0,0,K27/TrRoad_act!K13*1000)</f>
        <v>101.33767199014508</v>
      </c>
      <c r="L91" s="116">
        <f>IF(TrRoad_act!L13=0,0,L27/TrRoad_act!L13*1000)</f>
        <v>106.06510534481417</v>
      </c>
      <c r="M91" s="116">
        <f>IF(TrRoad_act!M13=0,0,M27/TrRoad_act!M13*1000)</f>
        <v>106.71408609195551</v>
      </c>
      <c r="N91" s="116">
        <f>IF(TrRoad_act!N13=0,0,N27/TrRoad_act!N13*1000)</f>
        <v>111.36218910419299</v>
      </c>
      <c r="O91" s="116">
        <f>IF(TrRoad_act!O13=0,0,O27/TrRoad_act!O13*1000)</f>
        <v>112.51299613896701</v>
      </c>
      <c r="P91" s="116">
        <f>IF(TrRoad_act!P13=0,0,P27/TrRoad_act!P13*1000)</f>
        <v>102.24068847025688</v>
      </c>
      <c r="Q91" s="116">
        <f>IF(TrRoad_act!Q13=0,0,Q27/TrRoad_act!Q13*1000)</f>
        <v>106.18398183177787</v>
      </c>
      <c r="R91" s="116">
        <f>IF(TrRoad_act!R13=0,0,R27/TrRoad_act!R13*1000)</f>
        <v>120.96215431498301</v>
      </c>
      <c r="S91" s="116">
        <f>IF(TrRoad_act!S13=0,0,S27/TrRoad_act!S13*1000)</f>
        <v>111.45752948874055</v>
      </c>
      <c r="T91" s="116">
        <f>IF(TrRoad_act!T13=0,0,T27/TrRoad_act!T13*1000)</f>
        <v>115.63444862342442</v>
      </c>
      <c r="U91" s="116">
        <f>IF(TrRoad_act!U13=0,0,U27/TrRoad_act!U13*1000)</f>
        <v>110.503652714252</v>
      </c>
      <c r="V91" s="116">
        <f>IF(TrRoad_act!V13=0,0,V27/TrRoad_act!V13*1000)</f>
        <v>112.44833192092518</v>
      </c>
      <c r="W91" s="116">
        <f>IF(TrRoad_act!W13=0,0,W27/TrRoad_act!W13*1000)</f>
        <v>103.08976563604999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66.116443324881828</v>
      </c>
      <c r="C92" s="101">
        <f>IF(TrRoad_act!C14=0,0,C28/TrRoad_act!C14*1000)</f>
        <v>63.848991620856985</v>
      </c>
      <c r="D92" s="101">
        <f>IF(TrRoad_act!D14=0,0,D28/TrRoad_act!D14*1000)</f>
        <v>65.081875965860348</v>
      </c>
      <c r="E92" s="101">
        <f>IF(TrRoad_act!E14=0,0,E28/TrRoad_act!E14*1000)</f>
        <v>67.296345750952923</v>
      </c>
      <c r="F92" s="101">
        <f>IF(TrRoad_act!F14=0,0,F28/TrRoad_act!F14*1000)</f>
        <v>69.697599187932212</v>
      </c>
      <c r="G92" s="101">
        <f>IF(TrRoad_act!G14=0,0,G28/TrRoad_act!G14*1000)</f>
        <v>70.882962856025955</v>
      </c>
      <c r="H92" s="101">
        <f>IF(TrRoad_act!H14=0,0,H28/TrRoad_act!H14*1000)</f>
        <v>72.202347381587074</v>
      </c>
      <c r="I92" s="101">
        <f>IF(TrRoad_act!I14=0,0,I28/TrRoad_act!I14*1000)</f>
        <v>74.042505352230648</v>
      </c>
      <c r="J92" s="101">
        <f>IF(TrRoad_act!J14=0,0,J28/TrRoad_act!J14*1000)</f>
        <v>75.730672352545383</v>
      </c>
      <c r="K92" s="101">
        <f>IF(TrRoad_act!K14=0,0,K28/TrRoad_act!K14*1000)</f>
        <v>75.096455649296075</v>
      </c>
      <c r="L92" s="101">
        <f>IF(TrRoad_act!L14=0,0,L28/TrRoad_act!L14*1000)</f>
        <v>74.614631122984264</v>
      </c>
      <c r="M92" s="101">
        <f>IF(TrRoad_act!M14=0,0,M28/TrRoad_act!M14*1000)</f>
        <v>74.042369027127009</v>
      </c>
      <c r="N92" s="101">
        <f>IF(TrRoad_act!N14=0,0,N28/TrRoad_act!N14*1000)</f>
        <v>73.990010761097793</v>
      </c>
      <c r="O92" s="101">
        <f>IF(TrRoad_act!O14=0,0,O28/TrRoad_act!O14*1000)</f>
        <v>75.572777766699588</v>
      </c>
      <c r="P92" s="101">
        <f>IF(TrRoad_act!P14=0,0,P28/TrRoad_act!P14*1000)</f>
        <v>75.536667296322221</v>
      </c>
      <c r="Q92" s="101">
        <f>IF(TrRoad_act!Q14=0,0,Q28/TrRoad_act!Q14*1000)</f>
        <v>75.917897505169108</v>
      </c>
      <c r="R92" s="101">
        <f>IF(TrRoad_act!R14=0,0,R28/TrRoad_act!R14*1000)</f>
        <v>75.60698461662713</v>
      </c>
      <c r="S92" s="101">
        <f>IF(TrRoad_act!S14=0,0,S28/TrRoad_act!S14*1000)</f>
        <v>73.865213081185161</v>
      </c>
      <c r="T92" s="101">
        <f>IF(TrRoad_act!T14=0,0,T28/TrRoad_act!T14*1000)</f>
        <v>73.614525024886717</v>
      </c>
      <c r="U92" s="101">
        <f>IF(TrRoad_act!U14=0,0,U28/TrRoad_act!U14*1000)</f>
        <v>73.19409286424289</v>
      </c>
      <c r="V92" s="101">
        <f>IF(TrRoad_act!V14=0,0,V28/TrRoad_act!V14*1000)</f>
        <v>72.520162774023376</v>
      </c>
      <c r="W92" s="101">
        <f>IF(TrRoad_act!W14=0,0,W28/TrRoad_act!W14*1000)</f>
        <v>71.477083438957223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87.956936671119195</v>
      </c>
      <c r="C93" s="101">
        <f>IF(TrRoad_act!C15=0,0,C29/TrRoad_act!C15*1000)</f>
        <v>86.132538128824052</v>
      </c>
      <c r="D93" s="101">
        <f>IF(TrRoad_act!D15=0,0,D29/TrRoad_act!D15*1000)</f>
        <v>87.12434049751441</v>
      </c>
      <c r="E93" s="101">
        <f>IF(TrRoad_act!E15=0,0,E29/TrRoad_act!E15*1000)</f>
        <v>89.892859884626645</v>
      </c>
      <c r="F93" s="101">
        <f>IF(TrRoad_act!F15=0,0,F29/TrRoad_act!F15*1000)</f>
        <v>94.054419556823333</v>
      </c>
      <c r="G93" s="101">
        <f>IF(TrRoad_act!G15=0,0,G29/TrRoad_act!G15*1000)</f>
        <v>93.583472104716321</v>
      </c>
      <c r="H93" s="101">
        <f>IF(TrRoad_act!H15=0,0,H29/TrRoad_act!H15*1000)</f>
        <v>97.114692380459744</v>
      </c>
      <c r="I93" s="101">
        <f>IF(TrRoad_act!I15=0,0,I29/TrRoad_act!I15*1000)</f>
        <v>100.89082124137819</v>
      </c>
      <c r="J93" s="101">
        <f>IF(TrRoad_act!J15=0,0,J29/TrRoad_act!J15*1000)</f>
        <v>100.35686380196913</v>
      </c>
      <c r="K93" s="101">
        <f>IF(TrRoad_act!K15=0,0,K29/TrRoad_act!K15*1000)</f>
        <v>101.63912765827457</v>
      </c>
      <c r="L93" s="101">
        <f>IF(TrRoad_act!L15=0,0,L29/TrRoad_act!L15*1000)</f>
        <v>106.33745398118398</v>
      </c>
      <c r="M93" s="101">
        <f>IF(TrRoad_act!M15=0,0,M29/TrRoad_act!M15*1000)</f>
        <v>107.375099924176</v>
      </c>
      <c r="N93" s="101">
        <f>IF(TrRoad_act!N15=0,0,N29/TrRoad_act!N15*1000)</f>
        <v>111.54873851682886</v>
      </c>
      <c r="O93" s="101">
        <f>IF(TrRoad_act!O15=0,0,O29/TrRoad_act!O15*1000)</f>
        <v>113.11074487958848</v>
      </c>
      <c r="P93" s="101">
        <f>IF(TrRoad_act!P15=0,0,P29/TrRoad_act!P15*1000)</f>
        <v>102.56549276589929</v>
      </c>
      <c r="Q93" s="101">
        <f>IF(TrRoad_act!Q15=0,0,Q29/TrRoad_act!Q15*1000)</f>
        <v>106.52716451873459</v>
      </c>
      <c r="R93" s="101">
        <f>IF(TrRoad_act!R15=0,0,R29/TrRoad_act!R15*1000)</f>
        <v>121.39644278560752</v>
      </c>
      <c r="S93" s="101">
        <f>IF(TrRoad_act!S15=0,0,S29/TrRoad_act!S15*1000)</f>
        <v>111.80863944587651</v>
      </c>
      <c r="T93" s="101">
        <f>IF(TrRoad_act!T15=0,0,T29/TrRoad_act!T15*1000)</f>
        <v>115.97105812680225</v>
      </c>
      <c r="U93" s="101">
        <f>IF(TrRoad_act!U15=0,0,U29/TrRoad_act!U15*1000)</f>
        <v>110.97372246315842</v>
      </c>
      <c r="V93" s="101">
        <f>IF(TrRoad_act!V15=0,0,V29/TrRoad_act!V15*1000)</f>
        <v>113.05115228904351</v>
      </c>
      <c r="W93" s="101">
        <f>IF(TrRoad_act!W15=0,0,W29/TrRoad_act!W15*1000)</f>
        <v>105.01907148671374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46.386544771934489</v>
      </c>
      <c r="C95" s="101">
        <f>IF(TrRoad_act!C17=0,0,C31/TrRoad_act!C17*1000)</f>
        <v>46.52541927593704</v>
      </c>
      <c r="D95" s="101">
        <f>IF(TrRoad_act!D17=0,0,D31/TrRoad_act!D17*1000)</f>
        <v>47.063997143053818</v>
      </c>
      <c r="E95" s="101">
        <f>IF(TrRoad_act!E17=0,0,E31/TrRoad_act!E17*1000)</f>
        <v>48.149382850146729</v>
      </c>
      <c r="F95" s="101">
        <f>IF(TrRoad_act!F17=0,0,F31/TrRoad_act!F17*1000)</f>
        <v>51.057423851775944</v>
      </c>
      <c r="G95" s="101">
        <f>IF(TrRoad_act!G17=0,0,G31/TrRoad_act!G17*1000)</f>
        <v>52.584291023198489</v>
      </c>
      <c r="H95" s="101">
        <f>IF(TrRoad_act!H17=0,0,H31/TrRoad_act!H17*1000)</f>
        <v>54.284943252926865</v>
      </c>
      <c r="I95" s="101">
        <f>IF(TrRoad_act!I17=0,0,I31/TrRoad_act!I17*1000)</f>
        <v>52.733672254029301</v>
      </c>
      <c r="J95" s="101">
        <f>IF(TrRoad_act!J17=0,0,J31/TrRoad_act!J17*1000)</f>
        <v>69.954680416891037</v>
      </c>
      <c r="K95" s="101">
        <f>IF(TrRoad_act!K17=0,0,K31/TrRoad_act!K17*1000)</f>
        <v>84.60403293353157</v>
      </c>
      <c r="L95" s="101">
        <f>IF(TrRoad_act!L17=0,0,L31/TrRoad_act!L17*1000)</f>
        <v>89.66585042914798</v>
      </c>
      <c r="M95" s="101">
        <f>IF(TrRoad_act!M17=0,0,M31/TrRoad_act!M17*1000)</f>
        <v>61.195895478598558</v>
      </c>
      <c r="N95" s="101">
        <f>IF(TrRoad_act!N17=0,0,N31/TrRoad_act!N17*1000)</f>
        <v>102.47177087654575</v>
      </c>
      <c r="O95" s="101">
        <f>IF(TrRoad_act!O17=0,0,O31/TrRoad_act!O17*1000)</f>
        <v>65.782052539976306</v>
      </c>
      <c r="P95" s="101">
        <f>IF(TrRoad_act!P17=0,0,P31/TrRoad_act!P17*1000)</f>
        <v>75.762612251322722</v>
      </c>
      <c r="Q95" s="101">
        <f>IF(TrRoad_act!Q17=0,0,Q31/TrRoad_act!Q17*1000)</f>
        <v>74.724739916926907</v>
      </c>
      <c r="R95" s="101">
        <f>IF(TrRoad_act!R17=0,0,R31/TrRoad_act!R17*1000)</f>
        <v>84.512099147087554</v>
      </c>
      <c r="S95" s="101">
        <f>IF(TrRoad_act!S17=0,0,S31/TrRoad_act!S17*1000)</f>
        <v>87.876195157891487</v>
      </c>
      <c r="T95" s="101">
        <f>IF(TrRoad_act!T17=0,0,T31/TrRoad_act!T17*1000)</f>
        <v>94.296437336169063</v>
      </c>
      <c r="U95" s="101">
        <f>IF(TrRoad_act!U17=0,0,U31/TrRoad_act!U17*1000)</f>
        <v>112.95892480660727</v>
      </c>
      <c r="V95" s="101">
        <f>IF(TrRoad_act!V17=0,0,V31/TrRoad_act!V17*1000)</f>
        <v>130.51163027896587</v>
      </c>
      <c r="W95" s="101">
        <f>IF(TrRoad_act!W17=0,0,W31/TrRoad_act!W17*1000)</f>
        <v>150.78185112953287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125.6129727623817</v>
      </c>
      <c r="C97" s="29">
        <f>IF(TrRoad_act!C19=0,0,C33/TrRoad_act!C19*1000)</f>
        <v>133.46950345267251</v>
      </c>
      <c r="D97" s="29">
        <f>IF(TrRoad_act!D19=0,0,D33/TrRoad_act!D19*1000)</f>
        <v>128.65714883626305</v>
      </c>
      <c r="E97" s="29">
        <f>IF(TrRoad_act!E19=0,0,E33/TrRoad_act!E19*1000)</f>
        <v>134.80282859810109</v>
      </c>
      <c r="F97" s="29">
        <f>IF(TrRoad_act!F19=0,0,F33/TrRoad_act!F19*1000)</f>
        <v>136.84338089242203</v>
      </c>
      <c r="G97" s="29">
        <f>IF(TrRoad_act!G19=0,0,G33/TrRoad_act!G19*1000)</f>
        <v>133.36981075686091</v>
      </c>
      <c r="H97" s="29">
        <f>IF(TrRoad_act!H19=0,0,H33/TrRoad_act!H19*1000)</f>
        <v>143.46377785225124</v>
      </c>
      <c r="I97" s="29">
        <f>IF(TrRoad_act!I19=0,0,I33/TrRoad_act!I19*1000)</f>
        <v>144.57135007363291</v>
      </c>
      <c r="J97" s="29">
        <f>IF(TrRoad_act!J19=0,0,J33/TrRoad_act!J19*1000)</f>
        <v>131.60532399668955</v>
      </c>
      <c r="K97" s="29">
        <f>IF(TrRoad_act!K19=0,0,K33/TrRoad_act!K19*1000)</f>
        <v>129.69601959696971</v>
      </c>
      <c r="L97" s="29">
        <f>IF(TrRoad_act!L19=0,0,L33/TrRoad_act!L19*1000)</f>
        <v>134.40401638068721</v>
      </c>
      <c r="M97" s="29">
        <f>IF(TrRoad_act!M19=0,0,M33/TrRoad_act!M19*1000)</f>
        <v>136.33950147385906</v>
      </c>
      <c r="N97" s="29">
        <f>IF(TrRoad_act!N19=0,0,N33/TrRoad_act!N19*1000)</f>
        <v>136.81540649562214</v>
      </c>
      <c r="O97" s="29">
        <f>IF(TrRoad_act!O19=0,0,O33/TrRoad_act!O19*1000)</f>
        <v>141.71109190877991</v>
      </c>
      <c r="P97" s="29">
        <f>IF(TrRoad_act!P19=0,0,P33/TrRoad_act!P19*1000)</f>
        <v>121.04953681154169</v>
      </c>
      <c r="Q97" s="29">
        <f>IF(TrRoad_act!Q19=0,0,Q33/TrRoad_act!Q19*1000)</f>
        <v>110.82483529609284</v>
      </c>
      <c r="R97" s="29">
        <f>IF(TrRoad_act!R19=0,0,R33/TrRoad_act!R19*1000)</f>
        <v>125.07760079669067</v>
      </c>
      <c r="S97" s="29">
        <f>IF(TrRoad_act!S19=0,0,S33/TrRoad_act!S19*1000)</f>
        <v>106.78443029367801</v>
      </c>
      <c r="T97" s="29">
        <f>IF(TrRoad_act!T19=0,0,T33/TrRoad_act!T19*1000)</f>
        <v>110.62120675491502</v>
      </c>
      <c r="U97" s="29">
        <f>IF(TrRoad_act!U19=0,0,U33/TrRoad_act!U19*1000)</f>
        <v>104.22047160700207</v>
      </c>
      <c r="V97" s="29">
        <f>IF(TrRoad_act!V19=0,0,V33/TrRoad_act!V19*1000)</f>
        <v>98.297342237312321</v>
      </c>
      <c r="W97" s="29">
        <f>IF(TrRoad_act!W19=0,0,W33/TrRoad_act!W19*1000)</f>
        <v>94.964568027275533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1011.4499474967018</v>
      </c>
      <c r="C98" s="152">
        <f>IF(TrRoad_act!C20=0,0,C34/TrRoad_act!C20*1000)</f>
        <v>982.87145455108157</v>
      </c>
      <c r="D98" s="152">
        <f>IF(TrRoad_act!D20=0,0,D34/TrRoad_act!D20*1000)</f>
        <v>965.87894097517756</v>
      </c>
      <c r="E98" s="152">
        <f>IF(TrRoad_act!E20=0,0,E34/TrRoad_act!E20*1000)</f>
        <v>953.34634725014848</v>
      </c>
      <c r="F98" s="152">
        <f>IF(TrRoad_act!F20=0,0,F34/TrRoad_act!F20*1000)</f>
        <v>941.31718897571443</v>
      </c>
      <c r="G98" s="152">
        <f>IF(TrRoad_act!G20=0,0,G34/TrRoad_act!G20*1000)</f>
        <v>914.55360063549074</v>
      </c>
      <c r="H98" s="152">
        <f>IF(TrRoad_act!H20=0,0,H34/TrRoad_act!H20*1000)</f>
        <v>921.23501153976463</v>
      </c>
      <c r="I98" s="152">
        <f>IF(TrRoad_act!I20=0,0,I34/TrRoad_act!I20*1000)</f>
        <v>929.96011024569964</v>
      </c>
      <c r="J98" s="152">
        <f>IF(TrRoad_act!J20=0,0,J34/TrRoad_act!J20*1000)</f>
        <v>877.1609739398242</v>
      </c>
      <c r="K98" s="152">
        <f>IF(TrRoad_act!K20=0,0,K34/TrRoad_act!K20*1000)</f>
        <v>839.42952579209555</v>
      </c>
      <c r="L98" s="152">
        <f>IF(TrRoad_act!L20=0,0,L34/TrRoad_act!L20*1000)</f>
        <v>846.47238914260038</v>
      </c>
      <c r="M98" s="152">
        <f>IF(TrRoad_act!M20=0,0,M34/TrRoad_act!M20*1000)</f>
        <v>830.91354240763985</v>
      </c>
      <c r="N98" s="152">
        <f>IF(TrRoad_act!N20=0,0,N34/TrRoad_act!N20*1000)</f>
        <v>824.04306840893707</v>
      </c>
      <c r="O98" s="152">
        <f>IF(TrRoad_act!O20=0,0,O34/TrRoad_act!O20*1000)</f>
        <v>803.78351239969288</v>
      </c>
      <c r="P98" s="152">
        <f>IF(TrRoad_act!P20=0,0,P34/TrRoad_act!P20*1000)</f>
        <v>698.63062661954996</v>
      </c>
      <c r="Q98" s="152">
        <f>IF(TrRoad_act!Q20=0,0,Q34/TrRoad_act!Q20*1000)</f>
        <v>695.12392429151157</v>
      </c>
      <c r="R98" s="152">
        <f>IF(TrRoad_act!R20=0,0,R34/TrRoad_act!R20*1000)</f>
        <v>806.3353520109539</v>
      </c>
      <c r="S98" s="152">
        <f>IF(TrRoad_act!S20=0,0,S34/TrRoad_act!S20*1000)</f>
        <v>716.00067661929245</v>
      </c>
      <c r="T98" s="152">
        <f>IF(TrRoad_act!T20=0,0,T34/TrRoad_act!T20*1000)</f>
        <v>729.16274389922648</v>
      </c>
      <c r="U98" s="152">
        <f>IF(TrRoad_act!U20=0,0,U34/TrRoad_act!U20*1000)</f>
        <v>696.49238506887923</v>
      </c>
      <c r="V98" s="152">
        <f>IF(TrRoad_act!V20=0,0,V34/TrRoad_act!V20*1000)</f>
        <v>691.92160512170892</v>
      </c>
      <c r="W98" s="152">
        <f>IF(TrRoad_act!W20=0,0,W34/TrRoad_act!W20*1000)</f>
        <v>638.89508644806529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992.03217412220067</v>
      </c>
      <c r="C99" s="87">
        <f>IF(TrRoad_act!C21=0,0,C35/TrRoad_act!C21*1000)</f>
        <v>988.44504489567692</v>
      </c>
      <c r="D99" s="87">
        <f>IF(TrRoad_act!D21=0,0,D35/TrRoad_act!D21*1000)</f>
        <v>984.38583177973305</v>
      </c>
      <c r="E99" s="87">
        <f>IF(TrRoad_act!E21=0,0,E35/TrRoad_act!E21*1000)</f>
        <v>979.45603434653026</v>
      </c>
      <c r="F99" s="87">
        <f>IF(TrRoad_act!F21=0,0,F35/TrRoad_act!F21*1000)</f>
        <v>969.60530345233838</v>
      </c>
      <c r="G99" s="87">
        <f>IF(TrRoad_act!G21=0,0,G35/TrRoad_act!G21*1000)</f>
        <v>965.93217538099441</v>
      </c>
      <c r="H99" s="87">
        <f>IF(TrRoad_act!H21=0,0,H35/TrRoad_act!H21*1000)</f>
        <v>950.82369584355718</v>
      </c>
      <c r="I99" s="87">
        <f>IF(TrRoad_act!I21=0,0,I35/TrRoad_act!I21*1000)</f>
        <v>937.90308981910096</v>
      </c>
      <c r="J99" s="87">
        <f>IF(TrRoad_act!J21=0,0,J35/TrRoad_act!J21*1000)</f>
        <v>890.16411815971992</v>
      </c>
      <c r="K99" s="87">
        <f>IF(TrRoad_act!K21=0,0,K35/TrRoad_act!K21*1000)</f>
        <v>864.85613214585703</v>
      </c>
      <c r="L99" s="87">
        <f>IF(TrRoad_act!L21=0,0,L35/TrRoad_act!L21*1000)</f>
        <v>852.55043933270804</v>
      </c>
      <c r="M99" s="87">
        <f>IF(TrRoad_act!M21=0,0,M35/TrRoad_act!M21*1000)</f>
        <v>834.88367033951533</v>
      </c>
      <c r="N99" s="87">
        <f>IF(TrRoad_act!N21=0,0,N35/TrRoad_act!N21*1000)</f>
        <v>821.51933671685811</v>
      </c>
      <c r="O99" s="87">
        <f>IF(TrRoad_act!O21=0,0,O35/TrRoad_act!O21*1000)</f>
        <v>827.95468587560117</v>
      </c>
      <c r="P99" s="87">
        <f>IF(TrRoad_act!P21=0,0,P35/TrRoad_act!P21*1000)</f>
        <v>811.35932408500889</v>
      </c>
      <c r="Q99" s="87">
        <f>IF(TrRoad_act!Q21=0,0,Q35/TrRoad_act!Q21*1000)</f>
        <v>804.70112779328133</v>
      </c>
      <c r="R99" s="87">
        <f>IF(TrRoad_act!R21=0,0,R35/TrRoad_act!R21*1000)</f>
        <v>790.07425890376646</v>
      </c>
      <c r="S99" s="87">
        <f>IF(TrRoad_act!S21=0,0,S35/TrRoad_act!S21*1000)</f>
        <v>769.64948031552876</v>
      </c>
      <c r="T99" s="87">
        <f>IF(TrRoad_act!T21=0,0,T35/TrRoad_act!T21*1000)</f>
        <v>754.88179762355583</v>
      </c>
      <c r="U99" s="87">
        <f>IF(TrRoad_act!U21=0,0,U35/TrRoad_act!U21*1000)</f>
        <v>739.49408152822684</v>
      </c>
      <c r="V99" s="87">
        <f>IF(TrRoad_act!V21=0,0,V35/TrRoad_act!V21*1000)</f>
        <v>714.71941138704847</v>
      </c>
      <c r="W99" s="87">
        <f>IF(TrRoad_act!W21=0,0,W35/TrRoad_act!W21*1000)</f>
        <v>694.12154560487784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1013.7078918486504</v>
      </c>
      <c r="C100" s="87">
        <f>IF(TrRoad_act!C22=0,0,C36/TrRoad_act!C22*1000)</f>
        <v>982.66849549176879</v>
      </c>
      <c r="D100" s="87">
        <f>IF(TrRoad_act!D22=0,0,D36/TrRoad_act!D22*1000)</f>
        <v>964.59144015253958</v>
      </c>
      <c r="E100" s="87">
        <f>IF(TrRoad_act!E22=0,0,E36/TrRoad_act!E22*1000)</f>
        <v>951.60181888075158</v>
      </c>
      <c r="F100" s="87">
        <f>IF(TrRoad_act!F22=0,0,F36/TrRoad_act!F22*1000)</f>
        <v>939.66699328012032</v>
      </c>
      <c r="G100" s="87">
        <f>IF(TrRoad_act!G22=0,0,G36/TrRoad_act!G22*1000)</f>
        <v>911.60348791512808</v>
      </c>
      <c r="H100" s="87">
        <f>IF(TrRoad_act!H22=0,0,H36/TrRoad_act!H22*1000)</f>
        <v>919.76406544726603</v>
      </c>
      <c r="I100" s="87">
        <f>IF(TrRoad_act!I22=0,0,I36/TrRoad_act!I22*1000)</f>
        <v>929.71363709584011</v>
      </c>
      <c r="J100" s="87">
        <f>IF(TrRoad_act!J22=0,0,J36/TrRoad_act!J22*1000)</f>
        <v>876.69047547455125</v>
      </c>
      <c r="K100" s="87">
        <f>IF(TrRoad_act!K22=0,0,K36/TrRoad_act!K22*1000)</f>
        <v>838.43127823610735</v>
      </c>
      <c r="L100" s="87">
        <f>IF(TrRoad_act!L22=0,0,L36/TrRoad_act!L22*1000)</f>
        <v>846.3324538228062</v>
      </c>
      <c r="M100" s="87">
        <f>IF(TrRoad_act!M22=0,0,M36/TrRoad_act!M22*1000)</f>
        <v>830.88851050451967</v>
      </c>
      <c r="N100" s="87">
        <f>IF(TrRoad_act!N22=0,0,N36/TrRoad_act!N22*1000)</f>
        <v>824.21441122821102</v>
      </c>
      <c r="O100" s="87">
        <f>IF(TrRoad_act!O22=0,0,O36/TrRoad_act!O22*1000)</f>
        <v>803.07978598032423</v>
      </c>
      <c r="P100" s="87">
        <f>IF(TrRoad_act!P22=0,0,P36/TrRoad_act!P22*1000)</f>
        <v>694.97872792992405</v>
      </c>
      <c r="Q100" s="87">
        <f>IF(TrRoad_act!Q22=0,0,Q36/TrRoad_act!Q22*1000)</f>
        <v>691.75175038242537</v>
      </c>
      <c r="R100" s="87">
        <f>IF(TrRoad_act!R22=0,0,R36/TrRoad_act!R22*1000)</f>
        <v>807.02488156159666</v>
      </c>
      <c r="S100" s="87">
        <f>IF(TrRoad_act!S22=0,0,S36/TrRoad_act!S22*1000)</f>
        <v>714.57392687245147</v>
      </c>
      <c r="T100" s="87">
        <f>IF(TrRoad_act!T22=0,0,T36/TrRoad_act!T22*1000)</f>
        <v>728.55311460070209</v>
      </c>
      <c r="U100" s="87">
        <f>IF(TrRoad_act!U22=0,0,U36/TrRoad_act!U22*1000)</f>
        <v>695.28250463266102</v>
      </c>
      <c r="V100" s="87">
        <f>IF(TrRoad_act!V22=0,0,V36/TrRoad_act!V22*1000)</f>
        <v>691.10238547838958</v>
      </c>
      <c r="W100" s="87">
        <f>IF(TrRoad_act!W22=0,0,W36/TrRoad_act!W22*1000)</f>
        <v>637.10596702056762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874.54040578632691</v>
      </c>
      <c r="D102" s="87">
        <f>IF(TrRoad_act!D24=0,0,D38/TrRoad_act!D24*1000)</f>
        <v>873.55702482222284</v>
      </c>
      <c r="E102" s="87">
        <f>IF(TrRoad_act!E24=0,0,E38/TrRoad_act!E24*1000)</f>
        <v>870.92888308985778</v>
      </c>
      <c r="F102" s="87">
        <f>IF(TrRoad_act!F24=0,0,F38/TrRoad_act!F24*1000)</f>
        <v>859.05495713167204</v>
      </c>
      <c r="G102" s="87">
        <f>IF(TrRoad_act!G24=0,0,G38/TrRoad_act!G24*1000)</f>
        <v>872.73477373350079</v>
      </c>
      <c r="H102" s="87">
        <f>IF(TrRoad_act!H24=0,0,H38/TrRoad_act!H24*1000)</f>
        <v>860.42222052281011</v>
      </c>
      <c r="I102" s="87">
        <f>IF(TrRoad_act!I24=0,0,I38/TrRoad_act!I24*1000)</f>
        <v>874.80794408909378</v>
      </c>
      <c r="J102" s="87">
        <f>IF(TrRoad_act!J24=0,0,J38/TrRoad_act!J24*1000)</f>
        <v>990.19225675503048</v>
      </c>
      <c r="K102" s="87">
        <f>IF(TrRoad_act!K24=0,0,K38/TrRoad_act!K24*1000)</f>
        <v>1084.4565541660954</v>
      </c>
      <c r="L102" s="87">
        <f>IF(TrRoad_act!L24=0,0,L38/TrRoad_act!L24*1000)</f>
        <v>1083.1620978587137</v>
      </c>
      <c r="M102" s="87">
        <f>IF(TrRoad_act!M24=0,0,M38/TrRoad_act!M24*1000)</f>
        <v>816.02897944530434</v>
      </c>
      <c r="N102" s="87">
        <f>IF(TrRoad_act!N24=0,0,N38/TrRoad_act!N24*1000)</f>
        <v>1184.48560942223</v>
      </c>
      <c r="O102" s="87">
        <f>IF(TrRoad_act!O24=0,0,O38/TrRoad_act!O24*1000)</f>
        <v>790.29363582647136</v>
      </c>
      <c r="P102" s="87">
        <f>IF(TrRoad_act!P24=0,0,P38/TrRoad_act!P24*1000)</f>
        <v>803.73981041748527</v>
      </c>
      <c r="Q102" s="87">
        <f>IF(TrRoad_act!Q24=0,0,Q38/TrRoad_act!Q24*1000)</f>
        <v>814.60112607136966</v>
      </c>
      <c r="R102" s="87">
        <f>IF(TrRoad_act!R24=0,0,R38/TrRoad_act!R24*1000)</f>
        <v>938.90399168747035</v>
      </c>
      <c r="S102" s="87">
        <f>IF(TrRoad_act!S24=0,0,S38/TrRoad_act!S24*1000)</f>
        <v>907.32779206002294</v>
      </c>
      <c r="T102" s="87">
        <f>IF(TrRoad_act!T24=0,0,T38/TrRoad_act!T24*1000)</f>
        <v>957.04825438796217</v>
      </c>
      <c r="U102" s="87">
        <f>IF(TrRoad_act!U24=0,0,U38/TrRoad_act!U24*1000)</f>
        <v>1071.4825302071179</v>
      </c>
      <c r="V102" s="87">
        <f>IF(TrRoad_act!V24=0,0,V38/TrRoad_act!V24*1000)</f>
        <v>1181.7755976488436</v>
      </c>
      <c r="W102" s="87">
        <f>IF(TrRoad_act!W24=0,0,W38/TrRoad_act!W24*1000)</f>
        <v>1419.0139171115827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86.642093604684163</v>
      </c>
      <c r="C104" s="116">
        <f>IF(TrRoad_act!C26=0,0,C40/TrRoad_act!C26*1000)</f>
        <v>93.750046950334905</v>
      </c>
      <c r="D104" s="116">
        <f>IF(TrRoad_act!D26=0,0,D40/TrRoad_act!D26*1000)</f>
        <v>90.800921577104191</v>
      </c>
      <c r="E104" s="116">
        <f>IF(TrRoad_act!E26=0,0,E40/TrRoad_act!E26*1000)</f>
        <v>95.69649055239617</v>
      </c>
      <c r="F104" s="116">
        <f>IF(TrRoad_act!F26=0,0,F40/TrRoad_act!F26*1000)</f>
        <v>96.164507906948785</v>
      </c>
      <c r="G104" s="116">
        <f>IF(TrRoad_act!G26=0,0,G40/TrRoad_act!G26*1000)</f>
        <v>93.380199720819547</v>
      </c>
      <c r="H104" s="116">
        <f>IF(TrRoad_act!H26=0,0,H40/TrRoad_act!H26*1000)</f>
        <v>99.561571472829215</v>
      </c>
      <c r="I104" s="116">
        <f>IF(TrRoad_act!I26=0,0,I40/TrRoad_act!I26*1000)</f>
        <v>99.099657231268836</v>
      </c>
      <c r="J104" s="116">
        <f>IF(TrRoad_act!J26=0,0,J40/TrRoad_act!J26*1000)</f>
        <v>87.621797782165729</v>
      </c>
      <c r="K104" s="116">
        <f>IF(TrRoad_act!K26=0,0,K40/TrRoad_act!K26*1000)</f>
        <v>81.426480818161735</v>
      </c>
      <c r="L104" s="116">
        <f>IF(TrRoad_act!L26=0,0,L40/TrRoad_act!L26*1000)</f>
        <v>85.698332406773943</v>
      </c>
      <c r="M104" s="116">
        <f>IF(TrRoad_act!M26=0,0,M40/TrRoad_act!M26*1000)</f>
        <v>82.526629184763664</v>
      </c>
      <c r="N104" s="116">
        <f>IF(TrRoad_act!N26=0,0,N40/TrRoad_act!N26*1000)</f>
        <v>78.530731823059426</v>
      </c>
      <c r="O104" s="116">
        <f>IF(TrRoad_act!O26=0,0,O40/TrRoad_act!O26*1000)</f>
        <v>80.266654500495989</v>
      </c>
      <c r="P104" s="116">
        <f>IF(TrRoad_act!P26=0,0,P40/TrRoad_act!P26*1000)</f>
        <v>65.301459861548153</v>
      </c>
      <c r="Q104" s="116">
        <f>IF(TrRoad_act!Q26=0,0,Q40/TrRoad_act!Q26*1000)</f>
        <v>56.0909781276712</v>
      </c>
      <c r="R104" s="116">
        <f>IF(TrRoad_act!R26=0,0,R40/TrRoad_act!R26*1000)</f>
        <v>66.560148929042313</v>
      </c>
      <c r="S104" s="116">
        <f>IF(TrRoad_act!S26=0,0,S40/TrRoad_act!S26*1000)</f>
        <v>55.986215374638086</v>
      </c>
      <c r="T104" s="116">
        <f>IF(TrRoad_act!T26=0,0,T40/TrRoad_act!T26*1000)</f>
        <v>56.876949451874601</v>
      </c>
      <c r="U104" s="116">
        <f>IF(TrRoad_act!U26=0,0,U40/TrRoad_act!U26*1000)</f>
        <v>52.182629600213843</v>
      </c>
      <c r="V104" s="116">
        <f>IF(TrRoad_act!V26=0,0,V40/TrRoad_act!V26*1000)</f>
        <v>47.908787020845423</v>
      </c>
      <c r="W104" s="116">
        <f>IF(TrRoad_act!W26=0,0,W40/TrRoad_act!W26*1000)</f>
        <v>47.067514341439427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85.528928416266609</v>
      </c>
      <c r="C105" s="101">
        <f>IF(TrRoad_act!C27=0,0,C41/TrRoad_act!C27*1000)</f>
        <v>92.585691098896092</v>
      </c>
      <c r="D105" s="101">
        <f>IF(TrRoad_act!D27=0,0,D41/TrRoad_act!D27*1000)</f>
        <v>89.620125196040718</v>
      </c>
      <c r="E105" s="101">
        <f>IF(TrRoad_act!E27=0,0,E41/TrRoad_act!E27*1000)</f>
        <v>94.51211529662956</v>
      </c>
      <c r="F105" s="101">
        <f>IF(TrRoad_act!F27=0,0,F41/TrRoad_act!F27*1000)</f>
        <v>94.743244359266015</v>
      </c>
      <c r="G105" s="101">
        <f>IF(TrRoad_act!G27=0,0,G41/TrRoad_act!G27*1000)</f>
        <v>92.333347829303463</v>
      </c>
      <c r="H105" s="101">
        <f>IF(TrRoad_act!H27=0,0,H41/TrRoad_act!H27*1000)</f>
        <v>98.345680936355294</v>
      </c>
      <c r="I105" s="101">
        <f>IF(TrRoad_act!I27=0,0,I41/TrRoad_act!I27*1000)</f>
        <v>97.650012417628474</v>
      </c>
      <c r="J105" s="101">
        <f>IF(TrRoad_act!J27=0,0,J41/TrRoad_act!J27*1000)</f>
        <v>86.914225903970944</v>
      </c>
      <c r="K105" s="101">
        <f>IF(TrRoad_act!K27=0,0,K41/TrRoad_act!K27*1000)</f>
        <v>80.899525294689965</v>
      </c>
      <c r="L105" s="101">
        <f>IF(TrRoad_act!L27=0,0,L41/TrRoad_act!L27*1000)</f>
        <v>85.489164520507401</v>
      </c>
      <c r="M105" s="101">
        <f>IF(TrRoad_act!M27=0,0,M41/TrRoad_act!M27*1000)</f>
        <v>82.384013353866635</v>
      </c>
      <c r="N105" s="101">
        <f>IF(TrRoad_act!N27=0,0,N41/TrRoad_act!N27*1000)</f>
        <v>78.440222198170417</v>
      </c>
      <c r="O105" s="101">
        <f>IF(TrRoad_act!O27=0,0,O41/TrRoad_act!O27*1000)</f>
        <v>80.358940830094681</v>
      </c>
      <c r="P105" s="101">
        <f>IF(TrRoad_act!P27=0,0,P41/TrRoad_act!P27*1000)</f>
        <v>65.440490184020433</v>
      </c>
      <c r="Q105" s="101">
        <f>IF(TrRoad_act!Q27=0,0,Q41/TrRoad_act!Q27*1000)</f>
        <v>55.593779154741981</v>
      </c>
      <c r="R105" s="101">
        <f>IF(TrRoad_act!R27=0,0,R41/TrRoad_act!R27*1000)</f>
        <v>66.02987459579127</v>
      </c>
      <c r="S105" s="101">
        <f>IF(TrRoad_act!S27=0,0,S41/TrRoad_act!S27*1000)</f>
        <v>55.804954877896279</v>
      </c>
      <c r="T105" s="101">
        <f>IF(TrRoad_act!T27=0,0,T41/TrRoad_act!T27*1000)</f>
        <v>56.380753631727679</v>
      </c>
      <c r="U105" s="101">
        <f>IF(TrRoad_act!U27=0,0,U41/TrRoad_act!U27*1000)</f>
        <v>51.849137069101346</v>
      </c>
      <c r="V105" s="101">
        <f>IF(TrRoad_act!V27=0,0,V41/TrRoad_act!V27*1000)</f>
        <v>47.402914901184374</v>
      </c>
      <c r="W105" s="101">
        <f>IF(TrRoad_act!W27=0,0,W41/TrRoad_act!W27*1000)</f>
        <v>46.056361749756022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129.40827207670816</v>
      </c>
      <c r="C106" s="88">
        <f>IF(TrRoad_act!C28=0,0,C42/TrRoad_act!C28*1000)</f>
        <v>133.9746292562395</v>
      </c>
      <c r="D106" s="88">
        <f>IF(TrRoad_act!D28=0,0,D42/TrRoad_act!D28*1000)</f>
        <v>131.34173269809517</v>
      </c>
      <c r="E106" s="88">
        <f>IF(TrRoad_act!E28=0,0,E42/TrRoad_act!E28*1000)</f>
        <v>134.05172318272591</v>
      </c>
      <c r="F106" s="88">
        <f>IF(TrRoad_act!F28=0,0,F42/TrRoad_act!F28*1000)</f>
        <v>136.49701570884986</v>
      </c>
      <c r="G106" s="88">
        <f>IF(TrRoad_act!G28=0,0,G42/TrRoad_act!G28*1000)</f>
        <v>122.67521439864969</v>
      </c>
      <c r="H106" s="88">
        <f>IF(TrRoad_act!H28=0,0,H42/TrRoad_act!H28*1000)</f>
        <v>128.8086699650099</v>
      </c>
      <c r="I106" s="88">
        <f>IF(TrRoad_act!I28=0,0,I42/TrRoad_act!I28*1000)</f>
        <v>133.7570043735401</v>
      </c>
      <c r="J106" s="88">
        <f>IF(TrRoad_act!J28=0,0,J42/TrRoad_act!J28*1000)</f>
        <v>105.39604144106404</v>
      </c>
      <c r="K106" s="88">
        <f>IF(TrRoad_act!K28=0,0,K42/TrRoad_act!K28*1000)</f>
        <v>94.241689460054488</v>
      </c>
      <c r="L106" s="88">
        <f>IF(TrRoad_act!L28=0,0,L42/TrRoad_act!L28*1000)</f>
        <v>89.646388867433387</v>
      </c>
      <c r="M106" s="88">
        <f>IF(TrRoad_act!M28=0,0,M42/TrRoad_act!M28*1000)</f>
        <v>86.447414255567736</v>
      </c>
      <c r="N106" s="88">
        <f>IF(TrRoad_act!N28=0,0,N42/TrRoad_act!N28*1000)</f>
        <v>80.392426502154663</v>
      </c>
      <c r="O106" s="88">
        <f>IF(TrRoad_act!O28=0,0,O42/TrRoad_act!O28*1000)</f>
        <v>78.175467776750878</v>
      </c>
      <c r="P106" s="88">
        <f>IF(TrRoad_act!P28=0,0,P42/TrRoad_act!P28*1000)</f>
        <v>62.925330498980401</v>
      </c>
      <c r="Q106" s="88">
        <f>IF(TrRoad_act!Q28=0,0,Q42/TrRoad_act!Q28*1000)</f>
        <v>64.028505707372645</v>
      </c>
      <c r="R106" s="88">
        <f>IF(TrRoad_act!R28=0,0,R42/TrRoad_act!R28*1000)</f>
        <v>78.125298733779516</v>
      </c>
      <c r="S106" s="88">
        <f>IF(TrRoad_act!S28=0,0,S42/TrRoad_act!S28*1000)</f>
        <v>60.195376588640315</v>
      </c>
      <c r="T106" s="88">
        <f>IF(TrRoad_act!T28=0,0,T42/TrRoad_act!T28*1000)</f>
        <v>66.897326939600688</v>
      </c>
      <c r="U106" s="88">
        <f>IF(TrRoad_act!U28=0,0,U42/TrRoad_act!U28*1000)</f>
        <v>60.500014286064321</v>
      </c>
      <c r="V106" s="88">
        <f>IF(TrRoad_act!V28=0,0,V42/TrRoad_act!V28*1000)</f>
        <v>60.959350907878864</v>
      </c>
      <c r="W106" s="88">
        <f>IF(TrRoad_act!W28=0,0,W42/TrRoad_act!W28*1000)</f>
        <v>67.358074185582836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592.16548471625561</v>
      </c>
      <c r="C110" s="152">
        <f>IF(C19=0,0,1000000*C19/TrRoad_act!C59)</f>
        <v>548.15622755789775</v>
      </c>
      <c r="D110" s="152">
        <f>IF(D19=0,0,1000000*D19/TrRoad_act!D59)</f>
        <v>498.16799519480156</v>
      </c>
      <c r="E110" s="152">
        <f>IF(E19=0,0,1000000*E19/TrRoad_act!E59)</f>
        <v>446.13281165235742</v>
      </c>
      <c r="F110" s="152">
        <f>IF(F19=0,0,1000000*F19/TrRoad_act!F59)</f>
        <v>397.57267628587329</v>
      </c>
      <c r="G110" s="152">
        <f>IF(G19=0,0,1000000*G19/TrRoad_act!G59)</f>
        <v>354.38578007163881</v>
      </c>
      <c r="H110" s="152">
        <f>IF(H19=0,0,1000000*H19/TrRoad_act!H59)</f>
        <v>312.44605449209513</v>
      </c>
      <c r="I110" s="152">
        <f>IF(I19=0,0,1000000*I19/TrRoad_act!I59)</f>
        <v>278.98840535892202</v>
      </c>
      <c r="J110" s="152">
        <f>IF(J19=0,0,1000000*J19/TrRoad_act!J59)</f>
        <v>236.64710852431918</v>
      </c>
      <c r="K110" s="152">
        <f>IF(K19=0,0,1000000*K19/TrRoad_act!K59)</f>
        <v>213.75347935930964</v>
      </c>
      <c r="L110" s="152">
        <f>IF(L19=0,0,1000000*L19/TrRoad_act!L59)</f>
        <v>261.8138585714168</v>
      </c>
      <c r="M110" s="152">
        <f>IF(M19=0,0,1000000*M19/TrRoad_act!M59)</f>
        <v>240.93289298796608</v>
      </c>
      <c r="N110" s="152">
        <f>IF(N19=0,0,1000000*N19/TrRoad_act!N59)</f>
        <v>226.46021751289646</v>
      </c>
      <c r="O110" s="152">
        <f>IF(O19=0,0,1000000*O19/TrRoad_act!O59)</f>
        <v>221.8317700206679</v>
      </c>
      <c r="P110" s="152">
        <f>IF(P19=0,0,1000000*P19/TrRoad_act!P59)</f>
        <v>213.09671209777497</v>
      </c>
      <c r="Q110" s="152">
        <f>IF(Q19=0,0,1000000*Q19/TrRoad_act!Q59)</f>
        <v>207.17721424369333</v>
      </c>
      <c r="R110" s="152">
        <f>IF(R19=0,0,1000000*R19/TrRoad_act!R59)</f>
        <v>206.19805673628909</v>
      </c>
      <c r="S110" s="152">
        <f>IF(S19=0,0,1000000*S19/TrRoad_act!S59)</f>
        <v>187.38560127460184</v>
      </c>
      <c r="T110" s="152">
        <f>IF(T19=0,0,1000000*T19/TrRoad_act!T59)</f>
        <v>173.78548825850208</v>
      </c>
      <c r="U110" s="152">
        <f>IF(U19=0,0,1000000*U19/TrRoad_act!U59)</f>
        <v>179.09709585393932</v>
      </c>
      <c r="V110" s="152">
        <f>IF(V19=0,0,1000000*V19/TrRoad_act!V59)</f>
        <v>154.75608652926167</v>
      </c>
      <c r="W110" s="152">
        <f>IF(W19=0,0,1000000*W19/TrRoad_act!W59)</f>
        <v>150.05797514332312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2867.5056280869121</v>
      </c>
      <c r="C111" s="116">
        <f>IF(C20=0,0,1000000*C20/TrRoad_act!C60)</f>
        <v>2876.1640188244833</v>
      </c>
      <c r="D111" s="116">
        <f>IF(D20=0,0,1000000*D20/TrRoad_act!D60)</f>
        <v>2906.6490517977959</v>
      </c>
      <c r="E111" s="116">
        <f>IF(E20=0,0,1000000*E20/TrRoad_act!E60)</f>
        <v>2858.6338585111212</v>
      </c>
      <c r="F111" s="116">
        <f>IF(F20=0,0,1000000*F20/TrRoad_act!F60)</f>
        <v>2836.9109909000522</v>
      </c>
      <c r="G111" s="116">
        <f>IF(G20=0,0,1000000*G20/TrRoad_act!G60)</f>
        <v>2771.0205394836962</v>
      </c>
      <c r="H111" s="116">
        <f>IF(H20=0,0,1000000*H20/TrRoad_act!H60)</f>
        <v>2748.7593675624621</v>
      </c>
      <c r="I111" s="116">
        <f>IF(I20=0,0,1000000*I20/TrRoad_act!I60)</f>
        <v>2772.3177058566193</v>
      </c>
      <c r="J111" s="116">
        <f>IF(J20=0,0,1000000*J20/TrRoad_act!J60)</f>
        <v>2502.8544721393191</v>
      </c>
      <c r="K111" s="116">
        <f>IF(K20=0,0,1000000*K20/TrRoad_act!K60)</f>
        <v>2413.5618429899032</v>
      </c>
      <c r="L111" s="116">
        <f>IF(L20=0,0,1000000*L20/TrRoad_act!L60)</f>
        <v>2362.6258304725616</v>
      </c>
      <c r="M111" s="116">
        <f>IF(M20=0,0,1000000*M20/TrRoad_act!M60)</f>
        <v>2288.4440052579107</v>
      </c>
      <c r="N111" s="116">
        <f>IF(N20=0,0,1000000*N20/TrRoad_act!N60)</f>
        <v>2211.5189341823552</v>
      </c>
      <c r="O111" s="116">
        <f>IF(O20=0,0,1000000*O20/TrRoad_act!O60)</f>
        <v>2164.9907143364799</v>
      </c>
      <c r="P111" s="116">
        <f>IF(P20=0,0,1000000*P20/TrRoad_act!P60)</f>
        <v>1977.1568659441054</v>
      </c>
      <c r="Q111" s="116">
        <f>IF(Q20=0,0,1000000*Q20/TrRoad_act!Q60)</f>
        <v>1959.998894827658</v>
      </c>
      <c r="R111" s="116">
        <f>IF(R20=0,0,1000000*R20/TrRoad_act!R60)</f>
        <v>2001.972586565314</v>
      </c>
      <c r="S111" s="116">
        <f>IF(S20=0,0,1000000*S20/TrRoad_act!S60)</f>
        <v>1887.1780701860494</v>
      </c>
      <c r="T111" s="116">
        <f>IF(T20=0,0,1000000*T20/TrRoad_act!T60)</f>
        <v>1869.2663058638941</v>
      </c>
      <c r="U111" s="116">
        <f>IF(U20=0,0,1000000*U20/TrRoad_act!U60)</f>
        <v>1765.1211687212058</v>
      </c>
      <c r="V111" s="116">
        <f>IF(V20=0,0,1000000*V20/TrRoad_act!V60)</f>
        <v>1622.4293419717806</v>
      </c>
      <c r="W111" s="116">
        <f>IF(W20=0,0,1000000*W20/TrRoad_act!W60)</f>
        <v>1544.7724775048418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2459.5327960503741</v>
      </c>
      <c r="C112" s="87">
        <f>IF(C21=0,0,1000000*C21/TrRoad_act!C61)</f>
        <v>2481.7610307133878</v>
      </c>
      <c r="D112" s="87">
        <f>IF(D21=0,0,1000000*D21/TrRoad_act!D61)</f>
        <v>2505.0131931613982</v>
      </c>
      <c r="E112" s="87">
        <f>IF(E21=0,0,1000000*E21/TrRoad_act!E61)</f>
        <v>2444.0633480029333</v>
      </c>
      <c r="F112" s="87">
        <f>IF(F21=0,0,1000000*F21/TrRoad_act!F61)</f>
        <v>2419.5011421568847</v>
      </c>
      <c r="G112" s="87">
        <f>IF(G21=0,0,1000000*G21/TrRoad_act!G61)</f>
        <v>2351.4350852049379</v>
      </c>
      <c r="H112" s="87">
        <f>IF(H21=0,0,1000000*H21/TrRoad_act!H61)</f>
        <v>2286.1489213164496</v>
      </c>
      <c r="I112" s="87">
        <f>IF(I21=0,0,1000000*I21/TrRoad_act!I61)</f>
        <v>2254.7103953195688</v>
      </c>
      <c r="J112" s="87">
        <f>IF(J21=0,0,1000000*J21/TrRoad_act!J61)</f>
        <v>1970.4831226104154</v>
      </c>
      <c r="K112" s="87">
        <f>IF(K21=0,0,1000000*K21/TrRoad_act!K61)</f>
        <v>1875.4129616866489</v>
      </c>
      <c r="L112" s="87">
        <f>IF(L21=0,0,1000000*L21/TrRoad_act!L61)</f>
        <v>1786.171169357455</v>
      </c>
      <c r="M112" s="87">
        <f>IF(M21=0,0,1000000*M21/TrRoad_act!M61)</f>
        <v>1659.0321668861338</v>
      </c>
      <c r="N112" s="87">
        <f>IF(N21=0,0,1000000*N21/TrRoad_act!N61)</f>
        <v>1572.0214675682548</v>
      </c>
      <c r="O112" s="87">
        <f>IF(O21=0,0,1000000*O21/TrRoad_act!O61)</f>
        <v>1590.091369217186</v>
      </c>
      <c r="P112" s="87">
        <f>IF(P21=0,0,1000000*P21/TrRoad_act!P61)</f>
        <v>1513.3210406753039</v>
      </c>
      <c r="Q112" s="87">
        <f>IF(Q21=0,0,1000000*Q21/TrRoad_act!Q61)</f>
        <v>1491.0200672393632</v>
      </c>
      <c r="R112" s="87">
        <f>IF(R21=0,0,1000000*R21/TrRoad_act!R61)</f>
        <v>1459.7787780104647</v>
      </c>
      <c r="S112" s="87">
        <f>IF(S21=0,0,1000000*S21/TrRoad_act!S61)</f>
        <v>1385.4269661462822</v>
      </c>
      <c r="T112" s="87">
        <f>IF(T21=0,0,1000000*T21/TrRoad_act!T61)</f>
        <v>1351.3459710845245</v>
      </c>
      <c r="U112" s="87">
        <f>IF(U21=0,0,1000000*U21/TrRoad_act!U61)</f>
        <v>1298.0188050288682</v>
      </c>
      <c r="V112" s="87">
        <f>IF(V21=0,0,1000000*V21/TrRoad_act!V61)</f>
        <v>1189.1292492925209</v>
      </c>
      <c r="W112" s="87">
        <f>IF(W21=0,0,1000000*W21/TrRoad_act!W61)</f>
        <v>1202.3896866754071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6428.8462205719097</v>
      </c>
      <c r="C113" s="87">
        <f>IF(C22=0,0,1000000*C22/TrRoad_act!C62)</f>
        <v>6161.7138703989895</v>
      </c>
      <c r="D113" s="87">
        <f>IF(D22=0,0,1000000*D22/TrRoad_act!D62)</f>
        <v>6108.1614950932608</v>
      </c>
      <c r="E113" s="87">
        <f>IF(E22=0,0,1000000*E22/TrRoad_act!E62)</f>
        <v>5991.4734303149589</v>
      </c>
      <c r="F113" s="87">
        <f>IF(F22=0,0,1000000*F22/TrRoad_act!F62)</f>
        <v>5970.5255964839198</v>
      </c>
      <c r="G113" s="87">
        <f>IF(G22=0,0,1000000*G22/TrRoad_act!G62)</f>
        <v>5716.4830688872107</v>
      </c>
      <c r="H113" s="87">
        <f>IF(H22=0,0,1000000*H22/TrRoad_act!H62)</f>
        <v>5754.3370201880798</v>
      </c>
      <c r="I113" s="87">
        <f>IF(I22=0,0,1000000*I22/TrRoad_act!I62)</f>
        <v>5827.6515898353364</v>
      </c>
      <c r="J113" s="87">
        <f>IF(J22=0,0,1000000*J22/TrRoad_act!J62)</f>
        <v>5165.7581153051815</v>
      </c>
      <c r="K113" s="87">
        <f>IF(K22=0,0,1000000*K22/TrRoad_act!K62)</f>
        <v>4878.3129010993871</v>
      </c>
      <c r="L113" s="87">
        <f>IF(L22=0,0,1000000*L22/TrRoad_act!L62)</f>
        <v>4753.4215361029374</v>
      </c>
      <c r="M113" s="87">
        <f>IF(M22=0,0,1000000*M22/TrRoad_act!M62)</f>
        <v>4676.9096738018015</v>
      </c>
      <c r="N113" s="87">
        <f>IF(N22=0,0,1000000*N22/TrRoad_act!N62)</f>
        <v>4494.7757958377379</v>
      </c>
      <c r="O113" s="87">
        <f>IF(O22=0,0,1000000*O22/TrRoad_act!O62)</f>
        <v>4122.1048408296911</v>
      </c>
      <c r="P113" s="87">
        <f>IF(P22=0,0,1000000*P22/TrRoad_act!P62)</f>
        <v>3486.9331014513123</v>
      </c>
      <c r="Q113" s="87">
        <f>IF(Q22=0,0,1000000*Q22/TrRoad_act!Q62)</f>
        <v>3428.1104700488318</v>
      </c>
      <c r="R113" s="87">
        <f>IF(R22=0,0,1000000*R22/TrRoad_act!R62)</f>
        <v>3638.2667606158398</v>
      </c>
      <c r="S113" s="87">
        <f>IF(S22=0,0,1000000*S22/TrRoad_act!S62)</f>
        <v>3358.5483827500748</v>
      </c>
      <c r="T113" s="87">
        <f>IF(T22=0,0,1000000*T22/TrRoad_act!T62)</f>
        <v>3358.2080660714587</v>
      </c>
      <c r="U113" s="87">
        <f>IF(U22=0,0,1000000*U22/TrRoad_act!U62)</f>
        <v>3109.0437832436664</v>
      </c>
      <c r="V113" s="87">
        <f>IF(V22=0,0,1000000*V22/TrRoad_act!V62)</f>
        <v>2889.7284740705477</v>
      </c>
      <c r="W113" s="87">
        <f>IF(W22=0,0,1000000*W22/TrRoad_act!W62)</f>
        <v>2606.8428736779542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0</v>
      </c>
      <c r="E114" s="87">
        <f>IF(E23=0,0,1000000*E23/TrRoad_act!E63)</f>
        <v>0</v>
      </c>
      <c r="F114" s="87">
        <f>IF(F23=0,0,1000000*F23/TrRoad_act!F63)</f>
        <v>0</v>
      </c>
      <c r="G114" s="87">
        <f>IF(G23=0,0,1000000*G23/TrRoad_act!G63)</f>
        <v>0</v>
      </c>
      <c r="H114" s="87">
        <f>IF(H23=0,0,1000000*H23/TrRoad_act!H63)</f>
        <v>0</v>
      </c>
      <c r="I114" s="87">
        <f>IF(I23=0,0,1000000*I23/TrRoad_act!I63)</f>
        <v>0</v>
      </c>
      <c r="J114" s="87">
        <f>IF(J23=0,0,1000000*J23/TrRoad_act!J63)</f>
        <v>0</v>
      </c>
      <c r="K114" s="87">
        <f>IF(K23=0,0,1000000*K23/TrRoad_act!K63)</f>
        <v>0</v>
      </c>
      <c r="L114" s="87">
        <f>IF(L23=0,0,1000000*L23/TrRoad_act!L63)</f>
        <v>0</v>
      </c>
      <c r="M114" s="87">
        <f>IF(M23=0,0,1000000*M23/TrRoad_act!M63)</f>
        <v>0</v>
      </c>
      <c r="N114" s="87">
        <f>IF(N23=0,0,1000000*N23/TrRoad_act!N63)</f>
        <v>0</v>
      </c>
      <c r="O114" s="87">
        <f>IF(O23=0,0,1000000*O23/TrRoad_act!O63)</f>
        <v>0</v>
      </c>
      <c r="P114" s="87">
        <f>IF(P23=0,0,1000000*P23/TrRoad_act!P63)</f>
        <v>0</v>
      </c>
      <c r="Q114" s="87">
        <f>IF(Q23=0,0,1000000*Q23/TrRoad_act!Q63)</f>
        <v>0</v>
      </c>
      <c r="R114" s="87">
        <f>IF(R23=0,0,1000000*R23/TrRoad_act!R63)</f>
        <v>0</v>
      </c>
      <c r="S114" s="87">
        <f>IF(S23=0,0,1000000*S23/TrRoad_act!S63)</f>
        <v>0</v>
      </c>
      <c r="T114" s="87">
        <f>IF(T23=0,0,1000000*T23/TrRoad_act!T63)</f>
        <v>0</v>
      </c>
      <c r="U114" s="87">
        <f>IF(U23=0,0,1000000*U23/TrRoad_act!U63)</f>
        <v>0</v>
      </c>
      <c r="V114" s="87">
        <f>IF(V23=0,0,1000000*V23/TrRoad_act!V63)</f>
        <v>0</v>
      </c>
      <c r="W114" s="87">
        <f>IF(W23=0,0,1000000*W23/TrRoad_act!W63)</f>
        <v>0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2650.6646151009413</v>
      </c>
      <c r="I115" s="87">
        <f>IF(I24=0,0,1000000*I24/TrRoad_act!I64)</f>
        <v>2659.1903126019047</v>
      </c>
      <c r="J115" s="87">
        <f>IF(J24=0,0,1000000*J24/TrRoad_act!J64)</f>
        <v>2896.390981330866</v>
      </c>
      <c r="K115" s="87">
        <f>IF(K24=0,0,1000000*K24/TrRoad_act!K64)</f>
        <v>3190.7740623282284</v>
      </c>
      <c r="L115" s="87">
        <f>IF(L24=0,0,1000000*L24/TrRoad_act!L64)</f>
        <v>3125.0168917280962</v>
      </c>
      <c r="M115" s="87">
        <f>IF(M24=0,0,1000000*M24/TrRoad_act!M64)</f>
        <v>2289.666687042552</v>
      </c>
      <c r="N115" s="87">
        <f>IF(N24=0,0,1000000*N24/TrRoad_act!N64)</f>
        <v>3298.1244054122644</v>
      </c>
      <c r="O115" s="87">
        <f>IF(O24=0,0,1000000*O24/TrRoad_act!O64)</f>
        <v>2134.9840303574956</v>
      </c>
      <c r="P115" s="87">
        <f>IF(P24=0,0,1000000*P24/TrRoad_act!P64)</f>
        <v>1975.2347827025678</v>
      </c>
      <c r="Q115" s="87">
        <f>IF(Q24=0,0,1000000*Q24/TrRoad_act!Q64)</f>
        <v>1837.0247489180354</v>
      </c>
      <c r="R115" s="87">
        <f>IF(R24=0,0,1000000*R24/TrRoad_act!R64)</f>
        <v>1761.0552941990443</v>
      </c>
      <c r="S115" s="87">
        <f>IF(S24=0,0,1000000*S24/TrRoad_act!S64)</f>
        <v>1733.6127696828246</v>
      </c>
      <c r="T115" s="87">
        <f>IF(T24=0,0,1000000*T24/TrRoad_act!T64)</f>
        <v>1766.469880796363</v>
      </c>
      <c r="U115" s="87">
        <f>IF(U24=0,0,1000000*U24/TrRoad_act!U64)</f>
        <v>1941.5070693697101</v>
      </c>
      <c r="V115" s="87">
        <f>IF(V24=0,0,1000000*V24/TrRoad_act!V64)</f>
        <v>1986.74058541624</v>
      </c>
      <c r="W115" s="87">
        <f>IF(W24=0,0,1000000*W24/TrRoad_act!W64)</f>
        <v>2198.6936063839394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455.9778041675599</v>
      </c>
      <c r="O116" s="87">
        <f>IF(O25=0,0,1000000*O25/TrRoad_act!O65)</f>
        <v>487.54216466418387</v>
      </c>
      <c r="P116" s="87">
        <f>IF(P25=0,0,1000000*P25/TrRoad_act!P65)</f>
        <v>500.76754942013093</v>
      </c>
      <c r="Q116" s="87">
        <f>IF(Q25=0,0,1000000*Q25/TrRoad_act!Q65)</f>
        <v>544.46012633166038</v>
      </c>
      <c r="R116" s="87">
        <f>IF(R25=0,0,1000000*R25/TrRoad_act!R65)</f>
        <v>543.7798854143291</v>
      </c>
      <c r="S116" s="87">
        <f>IF(S25=0,0,1000000*S25/TrRoad_act!S65)</f>
        <v>538.75401497694509</v>
      </c>
      <c r="T116" s="87">
        <f>IF(T25=0,0,1000000*T25/TrRoad_act!T65)</f>
        <v>531.12091187491922</v>
      </c>
      <c r="U116" s="87">
        <f>IF(U25=0,0,1000000*U25/TrRoad_act!U65)</f>
        <v>460.16843760950741</v>
      </c>
      <c r="V116" s="87">
        <f>IF(V25=0,0,1000000*V25/TrRoad_act!V65)</f>
        <v>368.44400233985232</v>
      </c>
      <c r="W116" s="87">
        <f>IF(W25=0,0,1000000*W25/TrRoad_act!W65)</f>
        <v>331.90206524303505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68368.141681780049</v>
      </c>
      <c r="C118" s="116">
        <f>IF(C27=0,0,1000000*C27/TrRoad_act!C67)</f>
        <v>67529.148660973922</v>
      </c>
      <c r="D118" s="116">
        <f>IF(D27=0,0,1000000*D27/TrRoad_act!D67)</f>
        <v>66528.402972003678</v>
      </c>
      <c r="E118" s="116">
        <f>IF(E27=0,0,1000000*E27/TrRoad_act!E67)</f>
        <v>66049.715293174391</v>
      </c>
      <c r="F118" s="116">
        <f>IF(F27=0,0,1000000*F27/TrRoad_act!F67)</f>
        <v>66264.615435366606</v>
      </c>
      <c r="G118" s="116">
        <f>IF(G27=0,0,1000000*G27/TrRoad_act!G67)</f>
        <v>64170.657718192568</v>
      </c>
      <c r="H118" s="116">
        <f>IF(H27=0,0,1000000*H27/TrRoad_act!H67)</f>
        <v>64866.219484812354</v>
      </c>
      <c r="I118" s="116">
        <f>IF(I27=0,0,1000000*I27/TrRoad_act!I67)</f>
        <v>65279.462822245303</v>
      </c>
      <c r="J118" s="116">
        <f>IF(J27=0,0,1000000*J27/TrRoad_act!J67)</f>
        <v>61299.114533459026</v>
      </c>
      <c r="K118" s="116">
        <f>IF(K27=0,0,1000000*K27/TrRoad_act!K67)</f>
        <v>58699.089406598599</v>
      </c>
      <c r="L118" s="116">
        <f>IF(L27=0,0,1000000*L27/TrRoad_act!L67)</f>
        <v>58588.343904754489</v>
      </c>
      <c r="M118" s="116">
        <f>IF(M27=0,0,1000000*M27/TrRoad_act!M67)</f>
        <v>56560.11592389601</v>
      </c>
      <c r="N118" s="116">
        <f>IF(N27=0,0,1000000*N27/TrRoad_act!N67)</f>
        <v>56240.516131655393</v>
      </c>
      <c r="O118" s="116">
        <f>IF(O27=0,0,1000000*O27/TrRoad_act!O67)</f>
        <v>54605.303223983727</v>
      </c>
      <c r="P118" s="116">
        <f>IF(P27=0,0,1000000*P27/TrRoad_act!P67)</f>
        <v>47436.760264952121</v>
      </c>
      <c r="Q118" s="116">
        <f>IF(Q27=0,0,1000000*Q27/TrRoad_act!Q67)</f>
        <v>47498.055470550848</v>
      </c>
      <c r="R118" s="116">
        <f>IF(R27=0,0,1000000*R27/TrRoad_act!R67)</f>
        <v>56942.437492597215</v>
      </c>
      <c r="S118" s="116">
        <f>IF(S27=0,0,1000000*S27/TrRoad_act!S67)</f>
        <v>50661.954060739146</v>
      </c>
      <c r="T118" s="116">
        <f>IF(T27=0,0,1000000*T27/TrRoad_act!T67)</f>
        <v>49952.783032960491</v>
      </c>
      <c r="U118" s="116">
        <f>IF(U27=0,0,1000000*U27/TrRoad_act!U67)</f>
        <v>45617.330639211519</v>
      </c>
      <c r="V118" s="116">
        <f>IF(V27=0,0,1000000*V27/TrRoad_act!V67)</f>
        <v>39656.08635319423</v>
      </c>
      <c r="W118" s="116">
        <f>IF(W27=0,0,1000000*W27/TrRoad_act!W67)</f>
        <v>31680.93596682544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9603.8156006177869</v>
      </c>
      <c r="C119" s="101">
        <f>IF(C28=0,0,1000000*C28/TrRoad_act!C68)</f>
        <v>9401.4524453075755</v>
      </c>
      <c r="D119" s="101">
        <f>IF(D28=0,0,1000000*D28/TrRoad_act!D68)</f>
        <v>9390.7292067865528</v>
      </c>
      <c r="E119" s="101">
        <f>IF(E28=0,0,1000000*E28/TrRoad_act!E68)</f>
        <v>9371.7140051750011</v>
      </c>
      <c r="F119" s="101">
        <f>IF(F28=0,0,1000000*F28/TrRoad_act!F68)</f>
        <v>9331.4520780849143</v>
      </c>
      <c r="G119" s="101">
        <f>IF(G28=0,0,1000000*G28/TrRoad_act!G68)</f>
        <v>9267.9257772285146</v>
      </c>
      <c r="H119" s="101">
        <f>IF(H28=0,0,1000000*H28/TrRoad_act!H68)</f>
        <v>9247.424038846224</v>
      </c>
      <c r="I119" s="101">
        <f>IF(I28=0,0,1000000*I28/TrRoad_act!I68)</f>
        <v>9222.280876699595</v>
      </c>
      <c r="J119" s="101">
        <f>IF(J28=0,0,1000000*J28/TrRoad_act!J68)</f>
        <v>8885.4323176622092</v>
      </c>
      <c r="K119" s="101">
        <f>IF(K28=0,0,1000000*K28/TrRoad_act!K68)</f>
        <v>8680.2753093221618</v>
      </c>
      <c r="L119" s="101">
        <f>IF(L28=0,0,1000000*L28/TrRoad_act!L68)</f>
        <v>8587.1625829950444</v>
      </c>
      <c r="M119" s="101">
        <f>IF(M28=0,0,1000000*M28/TrRoad_act!M68)</f>
        <v>8490.4908561930461</v>
      </c>
      <c r="N119" s="101">
        <f>IF(N28=0,0,1000000*N28/TrRoad_act!N68)</f>
        <v>8449.672488081038</v>
      </c>
      <c r="O119" s="101">
        <f>IF(O28=0,0,1000000*O28/TrRoad_act!O68)</f>
        <v>8602.5450977336804</v>
      </c>
      <c r="P119" s="101">
        <f>IF(P28=0,0,1000000*P28/TrRoad_act!P68)</f>
        <v>8567.921332554728</v>
      </c>
      <c r="Q119" s="101">
        <f>IF(Q28=0,0,1000000*Q28/TrRoad_act!Q68)</f>
        <v>8587.3725540499236</v>
      </c>
      <c r="R119" s="101">
        <f>IF(R28=0,0,1000000*R28/TrRoad_act!R68)</f>
        <v>8571.8358956478405</v>
      </c>
      <c r="S119" s="101">
        <f>IF(S28=0,0,1000000*S28/TrRoad_act!S68)</f>
        <v>8117.9777457324881</v>
      </c>
      <c r="T119" s="101">
        <f>IF(T28=0,0,1000000*T28/TrRoad_act!T68)</f>
        <v>7538.8385075542064</v>
      </c>
      <c r="U119" s="101">
        <f>IF(U28=0,0,1000000*U28/TrRoad_act!U68)</f>
        <v>6944.0335388338126</v>
      </c>
      <c r="V119" s="101">
        <f>IF(V28=0,0,1000000*V28/TrRoad_act!V68)</f>
        <v>5775.9063255656592</v>
      </c>
      <c r="W119" s="101">
        <f>IF(W28=0,0,1000000*W28/TrRoad_act!W68)</f>
        <v>4823.4748352118322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68854.365105728415</v>
      </c>
      <c r="C120" s="101">
        <f>IF(C29=0,0,1000000*C29/TrRoad_act!C69)</f>
        <v>68013.828342082488</v>
      </c>
      <c r="D120" s="101">
        <f>IF(D29=0,0,1000000*D29/TrRoad_act!D69)</f>
        <v>67138.05736788144</v>
      </c>
      <c r="E120" s="101">
        <f>IF(E29=0,0,1000000*E29/TrRoad_act!E69)</f>
        <v>66642.650851172293</v>
      </c>
      <c r="F120" s="101">
        <f>IF(F29=0,0,1000000*F29/TrRoad_act!F69)</f>
        <v>66827.674539958651</v>
      </c>
      <c r="G120" s="101">
        <f>IF(G29=0,0,1000000*G29/TrRoad_act!G69)</f>
        <v>64696.878163750494</v>
      </c>
      <c r="H120" s="101">
        <f>IF(H29=0,0,1000000*H29/TrRoad_act!H69)</f>
        <v>65490.030735967091</v>
      </c>
      <c r="I120" s="101">
        <f>IF(I29=0,0,1000000*I29/TrRoad_act!I69)</f>
        <v>65946.841765168065</v>
      </c>
      <c r="J120" s="101">
        <f>IF(J29=0,0,1000000*J29/TrRoad_act!J69)</f>
        <v>61675.025566611912</v>
      </c>
      <c r="K120" s="101">
        <f>IF(K29=0,0,1000000*K29/TrRoad_act!K69)</f>
        <v>58901.805349989423</v>
      </c>
      <c r="L120" s="101">
        <f>IF(L29=0,0,1000000*L29/TrRoad_act!L69)</f>
        <v>58769.547436525558</v>
      </c>
      <c r="M120" s="101">
        <f>IF(M29=0,0,1000000*M29/TrRoad_act!M69)</f>
        <v>56936.867092187662</v>
      </c>
      <c r="N120" s="101">
        <f>IF(N29=0,0,1000000*N29/TrRoad_act!N69)</f>
        <v>56346.984494916149</v>
      </c>
      <c r="O120" s="101">
        <f>IF(O29=0,0,1000000*O29/TrRoad_act!O69)</f>
        <v>54925.060472271034</v>
      </c>
      <c r="P120" s="101">
        <f>IF(P29=0,0,1000000*P29/TrRoad_act!P69)</f>
        <v>47612.733792500549</v>
      </c>
      <c r="Q120" s="101">
        <f>IF(Q29=0,0,1000000*Q29/TrRoad_act!Q69)</f>
        <v>47676.765580119034</v>
      </c>
      <c r="R120" s="101">
        <f>IF(R29=0,0,1000000*R29/TrRoad_act!R69)</f>
        <v>57190.704692544357</v>
      </c>
      <c r="S120" s="101">
        <f>IF(S29=0,0,1000000*S29/TrRoad_act!S69)</f>
        <v>50871.209652769954</v>
      </c>
      <c r="T120" s="101">
        <f>IF(T29=0,0,1000000*T29/TrRoad_act!T69)</f>
        <v>50157.051714648107</v>
      </c>
      <c r="U120" s="101">
        <f>IF(U29=0,0,1000000*U29/TrRoad_act!U69)</f>
        <v>45848.812024943494</v>
      </c>
      <c r="V120" s="101">
        <f>IF(V29=0,0,1000000*V29/TrRoad_act!V69)</f>
        <v>39888.020554832401</v>
      </c>
      <c r="W120" s="101">
        <f>IF(W29=0,0,1000000*W29/TrRoad_act!W69)</f>
        <v>32137.533763843971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38468.571428571435</v>
      </c>
      <c r="C122" s="101">
        <f>IF(C31=0,0,1000000*C31/TrRoad_act!C71)</f>
        <v>39116.114479496769</v>
      </c>
      <c r="D122" s="101">
        <f>IF(D31=0,0,1000000*D31/TrRoad_act!D71)</f>
        <v>38773.18740579491</v>
      </c>
      <c r="E122" s="101">
        <f>IF(E31=0,0,1000000*E31/TrRoad_act!E71)</f>
        <v>38283.351223271326</v>
      </c>
      <c r="F122" s="101">
        <f>IF(F31=0,0,1000000*F31/TrRoad_act!F71)</f>
        <v>39028.612017686544</v>
      </c>
      <c r="G122" s="101">
        <f>IF(G31=0,0,1000000*G31/TrRoad_act!G71)</f>
        <v>39257.280389835556</v>
      </c>
      <c r="H122" s="101">
        <f>IF(H31=0,0,1000000*H31/TrRoad_act!H71)</f>
        <v>39695.433289860877</v>
      </c>
      <c r="I122" s="101">
        <f>IF(I31=0,0,1000000*I31/TrRoad_act!I71)</f>
        <v>37500.613795475103</v>
      </c>
      <c r="J122" s="101">
        <f>IF(J31=0,0,1000000*J31/TrRoad_act!J71)</f>
        <v>46858.078042894034</v>
      </c>
      <c r="K122" s="101">
        <f>IF(K31=0,0,1000000*K31/TrRoad_act!K71)</f>
        <v>53545.934043763584</v>
      </c>
      <c r="L122" s="101">
        <f>IF(L31=0,0,1000000*L31/TrRoad_act!L71)</f>
        <v>54250.839658597572</v>
      </c>
      <c r="M122" s="101">
        <f>IF(M31=0,0,1000000*M31/TrRoad_act!M71)</f>
        <v>35622.919817042166</v>
      </c>
      <c r="N122" s="101">
        <f>IF(N31=0,0,1000000*N31/TrRoad_act!N71)</f>
        <v>57719.48988137678</v>
      </c>
      <c r="O122" s="101">
        <f>IF(O31=0,0,1000000*O31/TrRoad_act!O71)</f>
        <v>34785.436132979186</v>
      </c>
      <c r="P122" s="101">
        <f>IF(P31=0,0,1000000*P31/TrRoad_act!P71)</f>
        <v>38398.678338607475</v>
      </c>
      <c r="Q122" s="101">
        <f>IF(Q31=0,0,1000000*Q31/TrRoad_act!Q71)</f>
        <v>36621.978502801838</v>
      </c>
      <c r="R122" s="101">
        <f>IF(R31=0,0,1000000*R31/TrRoad_act!R71)</f>
        <v>42101.81867310193</v>
      </c>
      <c r="S122" s="101">
        <f>IF(S31=0,0,1000000*S31/TrRoad_act!S71)</f>
        <v>40773.28867002597</v>
      </c>
      <c r="T122" s="101">
        <f>IF(T31=0,0,1000000*T31/TrRoad_act!T71)</f>
        <v>40029.554611361338</v>
      </c>
      <c r="U122" s="101">
        <f>IF(U31=0,0,1000000*U31/TrRoad_act!U71)</f>
        <v>44098.952319166623</v>
      </c>
      <c r="V122" s="101">
        <f>IF(V31=0,0,1000000*V31/TrRoad_act!V71)</f>
        <v>41695.836820460943</v>
      </c>
      <c r="W122" s="101">
        <f>IF(W31=0,0,1000000*W31/TrRoad_act!W71)</f>
        <v>40228.016330549006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5292.565021925021</v>
      </c>
      <c r="C125" s="152">
        <f>IF(C34=0,0,1000000*C34/TrRoad_act!C74)</f>
        <v>5170.8781962666917</v>
      </c>
      <c r="D125" s="152">
        <f>IF(D34=0,0,1000000*D34/TrRoad_act!D74)</f>
        <v>5103.2261918286358</v>
      </c>
      <c r="E125" s="152">
        <f>IF(E34=0,0,1000000*E34/TrRoad_act!E74)</f>
        <v>5049.2359894769506</v>
      </c>
      <c r="F125" s="152">
        <f>IF(F34=0,0,1000000*F34/TrRoad_act!F74)</f>
        <v>4938.7811833747874</v>
      </c>
      <c r="G125" s="152">
        <f>IF(G34=0,0,1000000*G34/TrRoad_act!G74)</f>
        <v>4878.7599770230854</v>
      </c>
      <c r="H125" s="152">
        <f>IF(H34=0,0,1000000*H34/TrRoad_act!H74)</f>
        <v>4845.7635308471272</v>
      </c>
      <c r="I125" s="152">
        <f>IF(I34=0,0,1000000*I34/TrRoad_act!I74)</f>
        <v>4895.0387322458455</v>
      </c>
      <c r="J125" s="152">
        <f>IF(J34=0,0,1000000*J34/TrRoad_act!J74)</f>
        <v>4660.9409768989726</v>
      </c>
      <c r="K125" s="152">
        <f>IF(K34=0,0,1000000*K34/TrRoad_act!K74)</f>
        <v>4358.7774932668917</v>
      </c>
      <c r="L125" s="152">
        <f>IF(L34=0,0,1000000*L34/TrRoad_act!L74)</f>
        <v>4416.5197833987877</v>
      </c>
      <c r="M125" s="152">
        <f>IF(M34=0,0,1000000*M34/TrRoad_act!M74)</f>
        <v>4331.1803329994491</v>
      </c>
      <c r="N125" s="152">
        <f>IF(N34=0,0,1000000*N34/TrRoad_act!N74)</f>
        <v>4237.7367864876587</v>
      </c>
      <c r="O125" s="152">
        <f>IF(O34=0,0,1000000*O34/TrRoad_act!O74)</f>
        <v>4166.7295738244356</v>
      </c>
      <c r="P125" s="152">
        <f>IF(P34=0,0,1000000*P34/TrRoad_act!P74)</f>
        <v>3578.9409553753621</v>
      </c>
      <c r="Q125" s="152">
        <f>IF(Q34=0,0,1000000*Q34/TrRoad_act!Q74)</f>
        <v>3540.7300053023459</v>
      </c>
      <c r="R125" s="152">
        <f>IF(R34=0,0,1000000*R34/TrRoad_act!R74)</f>
        <v>4089.9974351366204</v>
      </c>
      <c r="S125" s="152">
        <f>IF(S34=0,0,1000000*S34/TrRoad_act!S74)</f>
        <v>3620.3901687383791</v>
      </c>
      <c r="T125" s="152">
        <f>IF(T34=0,0,1000000*T34/TrRoad_act!T74)</f>
        <v>3674.0455595711146</v>
      </c>
      <c r="U125" s="152">
        <f>IF(U34=0,0,1000000*U34/TrRoad_act!U74)</f>
        <v>3491.3592709029872</v>
      </c>
      <c r="V125" s="152">
        <f>IF(V34=0,0,1000000*V34/TrRoad_act!V74)</f>
        <v>3385.8001293200086</v>
      </c>
      <c r="W125" s="152">
        <f>IF(W34=0,0,1000000*W34/TrRoad_act!W74)</f>
        <v>3174.9615043460617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2685.1262755055277</v>
      </c>
      <c r="C126" s="87">
        <f>IF(C35=0,0,1000000*C35/TrRoad_act!C75)</f>
        <v>2670.0170804359468</v>
      </c>
      <c r="D126" s="87">
        <f>IF(D35=0,0,1000000*D35/TrRoad_act!D75)</f>
        <v>2653.5659387730661</v>
      </c>
      <c r="E126" s="87">
        <f>IF(E35=0,0,1000000*E35/TrRoad_act!E75)</f>
        <v>2628.0662535104348</v>
      </c>
      <c r="F126" s="87">
        <f>IF(F35=0,0,1000000*F35/TrRoad_act!F75)</f>
        <v>2552.4845879174136</v>
      </c>
      <c r="G126" s="87">
        <f>IF(G35=0,0,1000000*G35/TrRoad_act!G75)</f>
        <v>2574.3946507286682</v>
      </c>
      <c r="H126" s="87">
        <f>IF(H35=0,0,1000000*H35/TrRoad_act!H75)</f>
        <v>2485.5148041780476</v>
      </c>
      <c r="I126" s="87">
        <f>IF(I35=0,0,1000000*I35/TrRoad_act!I75)</f>
        <v>2440.6260471026299</v>
      </c>
      <c r="J126" s="87">
        <f>IF(J35=0,0,1000000*J35/TrRoad_act!J75)</f>
        <v>2330.3325783946616</v>
      </c>
      <c r="K126" s="87">
        <f>IF(K35=0,0,1000000*K35/TrRoad_act!K75)</f>
        <v>2207.1503360907991</v>
      </c>
      <c r="L126" s="87">
        <f>IF(L35=0,0,1000000*L35/TrRoad_act!L75)</f>
        <v>2181.3103700079573</v>
      </c>
      <c r="M126" s="87">
        <f>IF(M35=0,0,1000000*M35/TrRoad_act!M75)</f>
        <v>2128.8284207549696</v>
      </c>
      <c r="N126" s="87">
        <f>IF(N35=0,0,1000000*N35/TrRoad_act!N75)</f>
        <v>2063.2920774692229</v>
      </c>
      <c r="O126" s="87">
        <f>IF(O35=0,0,1000000*O35/TrRoad_act!O75)</f>
        <v>2090.6159479686444</v>
      </c>
      <c r="P126" s="87">
        <f>IF(P35=0,0,1000000*P35/TrRoad_act!P75)</f>
        <v>2021.7323692430614</v>
      </c>
      <c r="Q126" s="87">
        <f>IF(Q35=0,0,1000000*Q35/TrRoad_act!Q75)</f>
        <v>1991.0098344037801</v>
      </c>
      <c r="R126" s="87">
        <f>IF(R35=0,0,1000000*R35/TrRoad_act!R75)</f>
        <v>1944.1492944202841</v>
      </c>
      <c r="S126" s="87">
        <f>IF(S35=0,0,1000000*S35/TrRoad_act!S75)</f>
        <v>1885.6232931377244</v>
      </c>
      <c r="T126" s="87">
        <f>IF(T35=0,0,1000000*T35/TrRoad_act!T75)</f>
        <v>1841.1083758239351</v>
      </c>
      <c r="U126" s="87">
        <f>IF(U35=0,0,1000000*U35/TrRoad_act!U75)</f>
        <v>1792.9223837437082</v>
      </c>
      <c r="V126" s="87">
        <f>IF(V35=0,0,1000000*V35/TrRoad_act!V75)</f>
        <v>1690.8572606979667</v>
      </c>
      <c r="W126" s="87">
        <f>IF(W35=0,0,1000000*W35/TrRoad_act!W75)</f>
        <v>1667.5102560633989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5848.8919366887985</v>
      </c>
      <c r="C127" s="87">
        <f>IF(C36=0,0,1000000*C36/TrRoad_act!C76)</f>
        <v>5658.3560554179512</v>
      </c>
      <c r="D127" s="87">
        <f>IF(D36=0,0,1000000*D36/TrRoad_act!D76)</f>
        <v>5542.6632797204884</v>
      </c>
      <c r="E127" s="87">
        <f>IF(E36=0,0,1000000*E36/TrRoad_act!E76)</f>
        <v>5442.7766629938715</v>
      </c>
      <c r="F127" s="87">
        <f>IF(F36=0,0,1000000*F36/TrRoad_act!F76)</f>
        <v>5272.9419124974429</v>
      </c>
      <c r="G127" s="87">
        <f>IF(G36=0,0,1000000*G36/TrRoad_act!G76)</f>
        <v>5179.044351943231</v>
      </c>
      <c r="H127" s="87">
        <f>IF(H36=0,0,1000000*H36/TrRoad_act!H76)</f>
        <v>5125.0514131675245</v>
      </c>
      <c r="I127" s="87">
        <f>IF(I36=0,0,1000000*I36/TrRoad_act!I76)</f>
        <v>5157.164724057523</v>
      </c>
      <c r="J127" s="87">
        <f>IF(J36=0,0,1000000*J36/TrRoad_act!J76)</f>
        <v>4892.1082154336864</v>
      </c>
      <c r="K127" s="87">
        <f>IF(K36=0,0,1000000*K36/TrRoad_act!K76)</f>
        <v>4560.856846392523</v>
      </c>
      <c r="L127" s="87">
        <f>IF(L36=0,0,1000000*L36/TrRoad_act!L76)</f>
        <v>4615.577994425953</v>
      </c>
      <c r="M127" s="87">
        <f>IF(M36=0,0,1000000*M36/TrRoad_act!M76)</f>
        <v>4516.1916108701143</v>
      </c>
      <c r="N127" s="87">
        <f>IF(N36=0,0,1000000*N36/TrRoad_act!N76)</f>
        <v>4412.2700170732787</v>
      </c>
      <c r="O127" s="87">
        <f>IF(O36=0,0,1000000*O36/TrRoad_act!O76)</f>
        <v>4322.5274088766291</v>
      </c>
      <c r="P127" s="87">
        <f>IF(P36=0,0,1000000*P36/TrRoad_act!P76)</f>
        <v>3691.3915281200252</v>
      </c>
      <c r="Q127" s="87">
        <f>IF(Q36=0,0,1000000*Q36/TrRoad_act!Q76)</f>
        <v>3648.3748841126408</v>
      </c>
      <c r="R127" s="87">
        <f>IF(R36=0,0,1000000*R36/TrRoad_act!R76)</f>
        <v>4233.1047923701881</v>
      </c>
      <c r="S127" s="87">
        <f>IF(S36=0,0,1000000*S36/TrRoad_act!S76)</f>
        <v>3731.8099223562122</v>
      </c>
      <c r="T127" s="87">
        <f>IF(T36=0,0,1000000*T36/TrRoad_act!T76)</f>
        <v>3787.6689599914662</v>
      </c>
      <c r="U127" s="87">
        <f>IF(U36=0,0,1000000*U36/TrRoad_act!U76)</f>
        <v>3593.3414198323549</v>
      </c>
      <c r="V127" s="87">
        <f>IF(V36=0,0,1000000*V36/TrRoad_act!V76)</f>
        <v>3485.1715222092007</v>
      </c>
      <c r="W127" s="87">
        <f>IF(W36=0,0,1000000*W36/TrRoad_act!W76)</f>
        <v>3262.5340773290236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0</v>
      </c>
      <c r="T128" s="87">
        <f>IF(T37=0,0,1000000*T37/TrRoad_act!T77)</f>
        <v>0</v>
      </c>
      <c r="U128" s="87">
        <f>IF(U37=0,0,1000000*U37/TrRoad_act!U77)</f>
        <v>0</v>
      </c>
      <c r="V128" s="87">
        <f>IF(V37=0,0,1000000*V37/TrRoad_act!V77)</f>
        <v>0</v>
      </c>
      <c r="W128" s="87">
        <f>IF(W37=0,0,1000000*W37/TrRoad_act!W77)</f>
        <v>0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3413.4028706113932</v>
      </c>
      <c r="D129" s="87">
        <f>IF(D38=0,0,1000000*D38/TrRoad_act!D78)</f>
        <v>3394.2548986644574</v>
      </c>
      <c r="E129" s="87">
        <f>IF(E38=0,0,1000000*E38/TrRoad_act!E78)</f>
        <v>3343.502241043474</v>
      </c>
      <c r="F129" s="87">
        <f>IF(F38=0,0,1000000*F38/TrRoad_act!F78)</f>
        <v>3121.7124195286492</v>
      </c>
      <c r="G129" s="87">
        <f>IF(G38=0,0,1000000*G38/TrRoad_act!G78)</f>
        <v>3294.7049913311421</v>
      </c>
      <c r="H129" s="87">
        <f>IF(H38=0,0,1000000*H38/TrRoad_act!H78)</f>
        <v>3068.7620782338554</v>
      </c>
      <c r="I129" s="87">
        <f>IF(I38=0,0,1000000*I38/TrRoad_act!I78)</f>
        <v>3081.7064728044834</v>
      </c>
      <c r="J129" s="87">
        <f>IF(J38=0,0,1000000*J38/TrRoad_act!J78)</f>
        <v>3554.1123649409587</v>
      </c>
      <c r="K129" s="87">
        <f>IF(K38=0,0,1000000*K38/TrRoad_act!K78)</f>
        <v>3608.0544958817709</v>
      </c>
      <c r="L129" s="87">
        <f>IF(L38=0,0,1000000*L38/TrRoad_act!L78)</f>
        <v>3633.2809606320975</v>
      </c>
      <c r="M129" s="87">
        <f>IF(M38=0,0,1000000*M38/TrRoad_act!M78)</f>
        <v>2711.2792267784457</v>
      </c>
      <c r="N129" s="87">
        <f>IF(N38=0,0,1000000*N38/TrRoad_act!N78)</f>
        <v>3761.4680734177491</v>
      </c>
      <c r="O129" s="87">
        <f>IF(O38=0,0,1000000*O38/TrRoad_act!O78)</f>
        <v>2550.5651302873162</v>
      </c>
      <c r="P129" s="87">
        <f>IF(P38=0,0,1000000*P38/TrRoad_act!P78)</f>
        <v>2492.7868642074272</v>
      </c>
      <c r="Q129" s="87">
        <f>IF(Q38=0,0,1000000*Q38/TrRoad_act!Q78)</f>
        <v>2473.4026970066125</v>
      </c>
      <c r="R129" s="87">
        <f>IF(R38=0,0,1000000*R38/TrRoad_act!R78)</f>
        <v>2804.3984769728518</v>
      </c>
      <c r="S129" s="87">
        <f>IF(S38=0,0,1000000*S38/TrRoad_act!S78)</f>
        <v>2674.7519568836283</v>
      </c>
      <c r="T129" s="87">
        <f>IF(T38=0,0,1000000*T38/TrRoad_act!T78)</f>
        <v>2783.3541883908119</v>
      </c>
      <c r="U129" s="87">
        <f>IF(U38=0,0,1000000*U38/TrRoad_act!U78)</f>
        <v>3061.250668415606</v>
      </c>
      <c r="V129" s="87">
        <f>IF(V38=0,0,1000000*V38/TrRoad_act!V78)</f>
        <v>3294.5294874748533</v>
      </c>
      <c r="W129" s="87">
        <f>IF(W38=0,0,1000000*W38/TrRoad_act!W78)</f>
        <v>3943.8379244784546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36086.214491131126</v>
      </c>
      <c r="C131" s="116">
        <f>IF(C40=0,0,1000000*C40/TrRoad_act!C80)</f>
        <v>35803.173186588232</v>
      </c>
      <c r="D131" s="116">
        <f>IF(D40=0,0,1000000*D40/TrRoad_act!D80)</f>
        <v>34623.962928866182</v>
      </c>
      <c r="E131" s="116">
        <f>IF(E40=0,0,1000000*E40/TrRoad_act!E80)</f>
        <v>32972.922593185758</v>
      </c>
      <c r="F131" s="116">
        <f>IF(F40=0,0,1000000*F40/TrRoad_act!F80)</f>
        <v>31727.893420115288</v>
      </c>
      <c r="G131" s="116">
        <f>IF(G40=0,0,1000000*G40/TrRoad_act!G80)</f>
        <v>29521.940163353949</v>
      </c>
      <c r="H131" s="116">
        <f>IF(H40=0,0,1000000*H40/TrRoad_act!H80)</f>
        <v>27637.226539288156</v>
      </c>
      <c r="I131" s="116">
        <f>IF(I40=0,0,1000000*I40/TrRoad_act!I80)</f>
        <v>26219.424355457122</v>
      </c>
      <c r="J131" s="116">
        <f>IF(J40=0,0,1000000*J40/TrRoad_act!J80)</f>
        <v>22429.843621960612</v>
      </c>
      <c r="K131" s="116">
        <f>IF(K40=0,0,1000000*K40/TrRoad_act!K80)</f>
        <v>17461.299165262597</v>
      </c>
      <c r="L131" s="116">
        <f>IF(L40=0,0,1000000*L40/TrRoad_act!L80)</f>
        <v>18194.840606139005</v>
      </c>
      <c r="M131" s="116">
        <f>IF(M40=0,0,1000000*M40/TrRoad_act!M80)</f>
        <v>15316.529746382426</v>
      </c>
      <c r="N131" s="116">
        <f>IF(N40=0,0,1000000*N40/TrRoad_act!N80)</f>
        <v>13058.867845706749</v>
      </c>
      <c r="O131" s="116">
        <f>IF(O40=0,0,1000000*O40/TrRoad_act!O80)</f>
        <v>12229.410887016704</v>
      </c>
      <c r="P131" s="116">
        <f>IF(P40=0,0,1000000*P40/TrRoad_act!P80)</f>
        <v>9445.1255522522224</v>
      </c>
      <c r="Q131" s="116">
        <f>IF(Q40=0,0,1000000*Q40/TrRoad_act!Q80)</f>
        <v>8332.37921258598</v>
      </c>
      <c r="R131" s="116">
        <f>IF(R40=0,0,1000000*R40/TrRoad_act!R80)</f>
        <v>10772.905239832442</v>
      </c>
      <c r="S131" s="116">
        <f>IF(S40=0,0,1000000*S40/TrRoad_act!S80)</f>
        <v>9307.7159208317116</v>
      </c>
      <c r="T131" s="116">
        <f>IF(T40=0,0,1000000*T40/TrRoad_act!T80)</f>
        <v>9078.6212820575092</v>
      </c>
      <c r="U131" s="116">
        <f>IF(U40=0,0,1000000*U40/TrRoad_act!U80)</f>
        <v>8189.8688002956842</v>
      </c>
      <c r="V131" s="116">
        <f>IF(V40=0,0,1000000*V40/TrRoad_act!V80)</f>
        <v>7609.6025220746387</v>
      </c>
      <c r="W131" s="116">
        <f>IF(W40=0,0,1000000*W40/TrRoad_act!W80)</f>
        <v>7321.3163084621719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35024.086709221563</v>
      </c>
      <c r="C132" s="101">
        <f>IF(C41=0,0,1000000*C41/TrRoad_act!C81)</f>
        <v>34671.54782616999</v>
      </c>
      <c r="D132" s="101">
        <f>IF(D41=0,0,1000000*D41/TrRoad_act!D81)</f>
        <v>33503.263252647637</v>
      </c>
      <c r="E132" s="101">
        <f>IF(E41=0,0,1000000*E41/TrRoad_act!E81)</f>
        <v>31860.598521252727</v>
      </c>
      <c r="F132" s="101">
        <f>IF(F41=0,0,1000000*F41/TrRoad_act!F81)</f>
        <v>30482.86121444076</v>
      </c>
      <c r="G132" s="101">
        <f>IF(G41=0,0,1000000*G41/TrRoad_act!G81)</f>
        <v>28444.479675180817</v>
      </c>
      <c r="H132" s="101">
        <f>IF(H41=0,0,1000000*H41/TrRoad_act!H81)</f>
        <v>26454.828185877588</v>
      </c>
      <c r="I132" s="101">
        <f>IF(I41=0,0,1000000*I41/TrRoad_act!I81)</f>
        <v>25020.081339050124</v>
      </c>
      <c r="J132" s="101">
        <f>IF(J41=0,0,1000000*J41/TrRoad_act!J81)</f>
        <v>21575.616877809458</v>
      </c>
      <c r="K132" s="101">
        <f>IF(K41=0,0,1000000*K41/TrRoad_act!K81)</f>
        <v>16784.859067809779</v>
      </c>
      <c r="L132" s="101">
        <f>IF(L41=0,0,1000000*L41/TrRoad_act!L81)</f>
        <v>17391.37632869861</v>
      </c>
      <c r="M132" s="101">
        <f>IF(M41=0,0,1000000*M41/TrRoad_act!M81)</f>
        <v>14833.897853704519</v>
      </c>
      <c r="N132" s="101">
        <f>IF(N41=0,0,1000000*N41/TrRoad_act!N81)</f>
        <v>12519.650275218768</v>
      </c>
      <c r="O132" s="101">
        <f>IF(O41=0,0,1000000*O41/TrRoad_act!O81)</f>
        <v>11789.329018600401</v>
      </c>
      <c r="P132" s="101">
        <f>IF(P41=0,0,1000000*P41/TrRoad_act!P81)</f>
        <v>9001.8980187941561</v>
      </c>
      <c r="Q132" s="101">
        <f>IF(Q41=0,0,1000000*Q41/TrRoad_act!Q81)</f>
        <v>7829.3071637597295</v>
      </c>
      <c r="R132" s="101">
        <f>IF(R41=0,0,1000000*R41/TrRoad_act!R81)</f>
        <v>10280.150311949468</v>
      </c>
      <c r="S132" s="101">
        <f>IF(S41=0,0,1000000*S41/TrRoad_act!S81)</f>
        <v>8945.9439864046763</v>
      </c>
      <c r="T132" s="101">
        <f>IF(T41=0,0,1000000*T41/TrRoad_act!T81)</f>
        <v>8628.8256789871284</v>
      </c>
      <c r="U132" s="101">
        <f>IF(U41=0,0,1000000*U41/TrRoad_act!U81)</f>
        <v>7863.4948317526168</v>
      </c>
      <c r="V132" s="101">
        <f>IF(V41=0,0,1000000*V41/TrRoad_act!V81)</f>
        <v>7284.8720344668145</v>
      </c>
      <c r="W132" s="101">
        <f>IF(W41=0,0,1000000*W41/TrRoad_act!W81)</f>
        <v>6866.4638445510072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156909.94376600385</v>
      </c>
      <c r="C133" s="88">
        <f>IF(C42=0,0,1000000*C42/TrRoad_act!C82)</f>
        <v>162162.09274175431</v>
      </c>
      <c r="D133" s="88">
        <f>IF(D42=0,0,1000000*D42/TrRoad_act!D82)</f>
        <v>160037.10449007939</v>
      </c>
      <c r="E133" s="88">
        <f>IF(E42=0,0,1000000*E42/TrRoad_act!E82)</f>
        <v>162530.25993505004</v>
      </c>
      <c r="F133" s="88">
        <f>IF(F42=0,0,1000000*F42/TrRoad_act!F82)</f>
        <v>162297.95610583609</v>
      </c>
      <c r="G133" s="88">
        <f>IF(G42=0,0,1000000*G42/TrRoad_act!G82)</f>
        <v>146029.61378868579</v>
      </c>
      <c r="H133" s="88">
        <f>IF(H42=0,0,1000000*H42/TrRoad_act!H82)</f>
        <v>154258.17962069652</v>
      </c>
      <c r="I133" s="88">
        <f>IF(I42=0,0,1000000*I42/TrRoad_act!I82)</f>
        <v>160511.38592958634</v>
      </c>
      <c r="J133" s="88">
        <f>IF(J42=0,0,1000000*J42/TrRoad_act!J82)</f>
        <v>124719.12855156911</v>
      </c>
      <c r="K133" s="88">
        <f>IF(K42=0,0,1000000*K42/TrRoad_act!K82)</f>
        <v>110047.75785899702</v>
      </c>
      <c r="L133" s="88">
        <f>IF(L42=0,0,1000000*L42/TrRoad_act!L82)</f>
        <v>108026.65087326991</v>
      </c>
      <c r="M133" s="88">
        <f>IF(M42=0,0,1000000*M42/TrRoad_act!M82)</f>
        <v>103789.19833989207</v>
      </c>
      <c r="N133" s="88">
        <f>IF(N42=0,0,1000000*N42/TrRoad_act!N82)</f>
        <v>96296.490718327113</v>
      </c>
      <c r="O133" s="88">
        <f>IF(O42=0,0,1000000*O42/TrRoad_act!O82)</f>
        <v>93703.272130103927</v>
      </c>
      <c r="P133" s="88">
        <f>IF(P42=0,0,1000000*P42/TrRoad_act!P82)</f>
        <v>75641.696007251216</v>
      </c>
      <c r="Q133" s="88">
        <f>IF(Q42=0,0,1000000*Q42/TrRoad_act!Q82)</f>
        <v>76210.088977842024</v>
      </c>
      <c r="R133" s="88">
        <f>IF(R42=0,0,1000000*R42/TrRoad_act!R82)</f>
        <v>92510.699301277244</v>
      </c>
      <c r="S133" s="88">
        <f>IF(S42=0,0,1000000*S42/TrRoad_act!S82)</f>
        <v>71920.945545528375</v>
      </c>
      <c r="T133" s="88">
        <f>IF(T42=0,0,1000000*T42/TrRoad_act!T82)</f>
        <v>80477.046252877903</v>
      </c>
      <c r="U133" s="88">
        <f>IF(U42=0,0,1000000*U42/TrRoad_act!U82)</f>
        <v>72559.367637597854</v>
      </c>
      <c r="V133" s="88">
        <f>IF(V42=0,0,1000000*V42/TrRoad_act!V82)</f>
        <v>71952.02074372588</v>
      </c>
      <c r="W133" s="88">
        <f>IF(W42=0,0,1000000*W42/TrRoad_act!W82)</f>
        <v>80363.139591110943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0.6494548932764953</v>
      </c>
      <c r="C136" s="46">
        <f t="shared" si="40"/>
        <v>0.64562341064089623</v>
      </c>
      <c r="D136" s="46">
        <f t="shared" si="40"/>
        <v>0.64814787380070038</v>
      </c>
      <c r="E136" s="46">
        <f t="shared" si="40"/>
        <v>0.65071462255622192</v>
      </c>
      <c r="F136" s="46">
        <f t="shared" si="40"/>
        <v>0.64761601306770056</v>
      </c>
      <c r="G136" s="46">
        <f t="shared" si="40"/>
        <v>0.65125178064283984</v>
      </c>
      <c r="H136" s="46">
        <f t="shared" si="40"/>
        <v>0.65754362923588849</v>
      </c>
      <c r="I136" s="46">
        <f t="shared" si="40"/>
        <v>0.65869914397311291</v>
      </c>
      <c r="J136" s="46">
        <f t="shared" si="40"/>
        <v>0.65539820465543774</v>
      </c>
      <c r="K136" s="46">
        <f t="shared" si="40"/>
        <v>0.68253174457654342</v>
      </c>
      <c r="L136" s="46">
        <f t="shared" si="41"/>
        <v>0.67008293346680226</v>
      </c>
      <c r="M136" s="46">
        <f t="shared" si="40"/>
        <v>0.68190559900627412</v>
      </c>
      <c r="N136" s="46">
        <f t="shared" si="40"/>
        <v>0.69353717150431526</v>
      </c>
      <c r="O136" s="46">
        <f t="shared" si="40"/>
        <v>0.69544599601461121</v>
      </c>
      <c r="P136" s="46">
        <f t="shared" si="40"/>
        <v>0.71653600704826392</v>
      </c>
      <c r="Q136" s="46">
        <f t="shared" si="40"/>
        <v>0.72575832782206295</v>
      </c>
      <c r="R136" s="46">
        <f t="shared" si="40"/>
        <v>0.69125366225399298</v>
      </c>
      <c r="S136" s="46">
        <f t="shared" si="40"/>
        <v>0.70215729553518036</v>
      </c>
      <c r="T136" s="46">
        <f t="shared" si="40"/>
        <v>0.69773150807699857</v>
      </c>
      <c r="U136" s="46">
        <f t="shared" si="40"/>
        <v>0.69840954003169908</v>
      </c>
      <c r="V136" s="46">
        <f t="shared" si="40"/>
        <v>0.68645532020169886</v>
      </c>
      <c r="W136" s="46">
        <f t="shared" si="42"/>
        <v>0.68021535971166647</v>
      </c>
      <c r="DA136" s="211"/>
    </row>
    <row r="137" spans="1:105" ht="11.45" customHeight="1" x14ac:dyDescent="0.25">
      <c r="A137" s="153" t="s">
        <v>180</v>
      </c>
      <c r="B137" s="154">
        <f t="shared" si="40"/>
        <v>1.0766009755746837E-2</v>
      </c>
      <c r="C137" s="154">
        <f t="shared" si="40"/>
        <v>1.044614091949911E-2</v>
      </c>
      <c r="D137" s="154">
        <f t="shared" si="40"/>
        <v>1.0087800141281101E-2</v>
      </c>
      <c r="E137" s="154">
        <f t="shared" si="40"/>
        <v>9.7639284515437415E-3</v>
      </c>
      <c r="F137" s="154">
        <f t="shared" si="40"/>
        <v>9.3586075541516531E-3</v>
      </c>
      <c r="G137" s="154">
        <f t="shared" si="40"/>
        <v>9.2352337553456496E-3</v>
      </c>
      <c r="H137" s="154">
        <f t="shared" si="40"/>
        <v>9.0082989094447275E-3</v>
      </c>
      <c r="I137" s="154">
        <f t="shared" si="40"/>
        <v>8.6662694307489459E-3</v>
      </c>
      <c r="J137" s="154">
        <f t="shared" si="40"/>
        <v>8.5900565670883489E-3</v>
      </c>
      <c r="K137" s="154">
        <f t="shared" si="40"/>
        <v>8.7999461680347696E-3</v>
      </c>
      <c r="L137" s="154">
        <f t="shared" si="41"/>
        <v>1.1053751862416231E-2</v>
      </c>
      <c r="M137" s="154">
        <f t="shared" si="40"/>
        <v>1.0934899526279367E-2</v>
      </c>
      <c r="N137" s="154">
        <f t="shared" si="40"/>
        <v>1.0941133073306568E-2</v>
      </c>
      <c r="O137" s="154">
        <f t="shared" si="40"/>
        <v>1.1044251648859806E-2</v>
      </c>
      <c r="P137" s="154">
        <f t="shared" si="40"/>
        <v>1.2034848129652002E-2</v>
      </c>
      <c r="Q137" s="154">
        <f t="shared" si="40"/>
        <v>1.1960444393500341E-2</v>
      </c>
      <c r="R137" s="154">
        <f t="shared" si="40"/>
        <v>1.0787780530005724E-2</v>
      </c>
      <c r="S137" s="154">
        <f t="shared" si="40"/>
        <v>1.0605550020798118E-2</v>
      </c>
      <c r="T137" s="154">
        <f t="shared" si="40"/>
        <v>9.8379802538430452E-3</v>
      </c>
      <c r="U137" s="154">
        <f t="shared" si="40"/>
        <v>1.0700363593187771E-2</v>
      </c>
      <c r="V137" s="154">
        <f t="shared" si="40"/>
        <v>1.0006059001575964E-2</v>
      </c>
      <c r="W137" s="154">
        <f t="shared" si="42"/>
        <v>1.0335491903852341E-2</v>
      </c>
      <c r="DA137" s="212"/>
    </row>
    <row r="138" spans="1:105" ht="11.45" customHeight="1" x14ac:dyDescent="0.25">
      <c r="A138" s="155" t="s">
        <v>20</v>
      </c>
      <c r="B138" s="156">
        <f t="shared" si="40"/>
        <v>0.57537718166285834</v>
      </c>
      <c r="C138" s="156">
        <f t="shared" si="40"/>
        <v>0.57421929339149913</v>
      </c>
      <c r="D138" s="156">
        <f t="shared" si="40"/>
        <v>0.57777390094817138</v>
      </c>
      <c r="E138" s="156">
        <f t="shared" si="40"/>
        <v>0.57993176552810788</v>
      </c>
      <c r="F138" s="156">
        <f t="shared" si="40"/>
        <v>0.57674149060986057</v>
      </c>
      <c r="G138" s="156">
        <f t="shared" si="40"/>
        <v>0.58150418945149718</v>
      </c>
      <c r="H138" s="156">
        <f t="shared" si="40"/>
        <v>0.58670635223931056</v>
      </c>
      <c r="I138" s="156">
        <f t="shared" si="40"/>
        <v>0.58786880910512262</v>
      </c>
      <c r="J138" s="156">
        <f t="shared" si="40"/>
        <v>0.5820099409097832</v>
      </c>
      <c r="K138" s="156">
        <f t="shared" si="40"/>
        <v>0.60477824261229063</v>
      </c>
      <c r="L138" s="156">
        <f t="shared" si="41"/>
        <v>0.58966412935809864</v>
      </c>
      <c r="M138" s="156">
        <f t="shared" si="40"/>
        <v>0.6001322893690344</v>
      </c>
      <c r="N138" s="156">
        <f t="shared" si="40"/>
        <v>0.60719421081723512</v>
      </c>
      <c r="O138" s="156">
        <f t="shared" si="40"/>
        <v>0.60819747281861025</v>
      </c>
      <c r="P138" s="156">
        <f t="shared" si="40"/>
        <v>0.62787719308517032</v>
      </c>
      <c r="Q138" s="156">
        <f t="shared" si="40"/>
        <v>0.63426445940026044</v>
      </c>
      <c r="R138" s="156">
        <f t="shared" si="40"/>
        <v>0.59218984363678706</v>
      </c>
      <c r="S138" s="156">
        <f t="shared" si="40"/>
        <v>0.6055205822025399</v>
      </c>
      <c r="T138" s="156">
        <f t="shared" si="40"/>
        <v>0.60256691176784793</v>
      </c>
      <c r="U138" s="156">
        <f t="shared" si="40"/>
        <v>0.6041236244303182</v>
      </c>
      <c r="V138" s="156">
        <f t="shared" si="40"/>
        <v>0.59876944605816129</v>
      </c>
      <c r="W138" s="156">
        <f t="shared" si="42"/>
        <v>0.60393758126064123</v>
      </c>
      <c r="DA138" s="213"/>
    </row>
    <row r="139" spans="1:105" ht="11.45" customHeight="1" x14ac:dyDescent="0.25">
      <c r="A139" s="157" t="s">
        <v>110</v>
      </c>
      <c r="B139" s="103">
        <f t="shared" si="40"/>
        <v>0.44279131145108547</v>
      </c>
      <c r="C139" s="103">
        <f t="shared" si="40"/>
        <v>0.44237431227113194</v>
      </c>
      <c r="D139" s="103">
        <f t="shared" si="40"/>
        <v>0.44243389991736887</v>
      </c>
      <c r="E139" s="103">
        <f t="shared" si="40"/>
        <v>0.43788249348323871</v>
      </c>
      <c r="F139" s="103">
        <f t="shared" si="40"/>
        <v>0.43406346886894903</v>
      </c>
      <c r="G139" s="103">
        <f t="shared" si="40"/>
        <v>0.43192499592554251</v>
      </c>
      <c r="H139" s="103">
        <f t="shared" si="40"/>
        <v>0.42287631129868414</v>
      </c>
      <c r="I139" s="103">
        <f t="shared" si="40"/>
        <v>0.40882877377109594</v>
      </c>
      <c r="J139" s="103">
        <f t="shared" si="40"/>
        <v>0.38184206391022629</v>
      </c>
      <c r="K139" s="103">
        <f t="shared" si="40"/>
        <v>0.38567689348272</v>
      </c>
      <c r="L139" s="103">
        <f t="shared" si="41"/>
        <v>0.35914055642914977</v>
      </c>
      <c r="M139" s="103">
        <f t="shared" si="40"/>
        <v>0.3442487802937691</v>
      </c>
      <c r="N139" s="103">
        <f t="shared" si="40"/>
        <v>0.33708029922562899</v>
      </c>
      <c r="O139" s="103">
        <f t="shared" si="40"/>
        <v>0.34505886648579337</v>
      </c>
      <c r="P139" s="103">
        <f t="shared" si="40"/>
        <v>0.36726530581473693</v>
      </c>
      <c r="Q139" s="103">
        <f t="shared" si="40"/>
        <v>0.36511701466789082</v>
      </c>
      <c r="R139" s="103">
        <f t="shared" si="40"/>
        <v>0.32350544036696838</v>
      </c>
      <c r="S139" s="103">
        <f t="shared" si="40"/>
        <v>0.32976880226206057</v>
      </c>
      <c r="T139" s="103">
        <f t="shared" si="40"/>
        <v>0.31983770351076685</v>
      </c>
      <c r="U139" s="103">
        <f t="shared" si="40"/>
        <v>0.32343550870256332</v>
      </c>
      <c r="V139" s="103">
        <f t="shared" si="40"/>
        <v>0.3160857019128554</v>
      </c>
      <c r="W139" s="103">
        <f t="shared" si="42"/>
        <v>0.33354151814885213</v>
      </c>
      <c r="DA139" s="191"/>
    </row>
    <row r="140" spans="1:105" ht="11.45" customHeight="1" x14ac:dyDescent="0.25">
      <c r="A140" s="157" t="s">
        <v>111</v>
      </c>
      <c r="B140" s="103">
        <f t="shared" si="40"/>
        <v>0.13258587021177279</v>
      </c>
      <c r="C140" s="103">
        <f t="shared" si="40"/>
        <v>0.13184498112036719</v>
      </c>
      <c r="D140" s="103">
        <f t="shared" si="40"/>
        <v>0.13534000103080254</v>
      </c>
      <c r="E140" s="103">
        <f t="shared" si="40"/>
        <v>0.1420492720448692</v>
      </c>
      <c r="F140" s="103">
        <f t="shared" si="40"/>
        <v>0.1426780217409116</v>
      </c>
      <c r="G140" s="103">
        <f t="shared" si="40"/>
        <v>0.1495791935259547</v>
      </c>
      <c r="H140" s="103">
        <f t="shared" si="40"/>
        <v>0.1638293635202705</v>
      </c>
      <c r="I140" s="103">
        <f t="shared" si="40"/>
        <v>0.17901678123987463</v>
      </c>
      <c r="J140" s="103">
        <f t="shared" si="40"/>
        <v>0.20011550147441953</v>
      </c>
      <c r="K140" s="103">
        <f t="shared" si="40"/>
        <v>0.21899596103894511</v>
      </c>
      <c r="L140" s="103">
        <f t="shared" si="41"/>
        <v>0.23039238478882454</v>
      </c>
      <c r="M140" s="103">
        <f t="shared" si="40"/>
        <v>0.25575832774112595</v>
      </c>
      <c r="N140" s="103">
        <f t="shared" si="40"/>
        <v>0.26986255389025005</v>
      </c>
      <c r="O140" s="103">
        <f t="shared" si="40"/>
        <v>0.26293037951097314</v>
      </c>
      <c r="P140" s="103">
        <f t="shared" si="40"/>
        <v>0.26033830159326848</v>
      </c>
      <c r="Q140" s="103">
        <f t="shared" si="40"/>
        <v>0.26881815972330614</v>
      </c>
      <c r="R140" s="103">
        <f t="shared" si="40"/>
        <v>0.26828359018665376</v>
      </c>
      <c r="S140" s="103">
        <f t="shared" si="40"/>
        <v>0.27495021945241965</v>
      </c>
      <c r="T140" s="103">
        <f t="shared" si="40"/>
        <v>0.28117509700200793</v>
      </c>
      <c r="U140" s="103">
        <f t="shared" si="40"/>
        <v>0.27785601187737585</v>
      </c>
      <c r="V140" s="103">
        <f t="shared" si="40"/>
        <v>0.27848217267937275</v>
      </c>
      <c r="W140" s="103">
        <f t="shared" si="42"/>
        <v>0.26451397941405441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0</v>
      </c>
      <c r="E141" s="103">
        <f t="shared" si="40"/>
        <v>0</v>
      </c>
      <c r="F141" s="103">
        <f t="shared" si="40"/>
        <v>0</v>
      </c>
      <c r="G141" s="103">
        <f t="shared" si="40"/>
        <v>0</v>
      </c>
      <c r="H141" s="103">
        <f t="shared" si="40"/>
        <v>0</v>
      </c>
      <c r="I141" s="103">
        <f t="shared" si="40"/>
        <v>0</v>
      </c>
      <c r="J141" s="103">
        <f t="shared" si="40"/>
        <v>0</v>
      </c>
      <c r="K141" s="103">
        <f t="shared" si="40"/>
        <v>0</v>
      </c>
      <c r="L141" s="103">
        <f t="shared" si="41"/>
        <v>0</v>
      </c>
      <c r="M141" s="103">
        <f t="shared" si="40"/>
        <v>0</v>
      </c>
      <c r="N141" s="103">
        <f t="shared" si="40"/>
        <v>0</v>
      </c>
      <c r="O141" s="103">
        <f t="shared" si="40"/>
        <v>0</v>
      </c>
      <c r="P141" s="103">
        <f t="shared" si="40"/>
        <v>0</v>
      </c>
      <c r="Q141" s="103">
        <f t="shared" si="40"/>
        <v>0</v>
      </c>
      <c r="R141" s="103">
        <f t="shared" si="40"/>
        <v>0</v>
      </c>
      <c r="S141" s="103">
        <f t="shared" si="40"/>
        <v>0</v>
      </c>
      <c r="T141" s="103">
        <f t="shared" si="40"/>
        <v>0</v>
      </c>
      <c r="U141" s="103">
        <f t="shared" si="40"/>
        <v>0</v>
      </c>
      <c r="V141" s="103">
        <f t="shared" si="40"/>
        <v>0</v>
      </c>
      <c r="W141" s="103">
        <f t="shared" si="42"/>
        <v>0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6.7742035590356997E-7</v>
      </c>
      <c r="I142" s="103">
        <f t="shared" si="40"/>
        <v>2.32540941519687E-5</v>
      </c>
      <c r="J142" s="103">
        <f t="shared" si="40"/>
        <v>5.2375525137387404E-5</v>
      </c>
      <c r="K142" s="103">
        <f t="shared" si="40"/>
        <v>1.053880906254418E-4</v>
      </c>
      <c r="L142" s="103">
        <f t="shared" si="41"/>
        <v>1.3118814012434262E-4</v>
      </c>
      <c r="M142" s="103">
        <f t="shared" si="40"/>
        <v>1.2518133413937454E-4</v>
      </c>
      <c r="N142" s="103">
        <f t="shared" si="40"/>
        <v>2.4611655316109375E-4</v>
      </c>
      <c r="O142" s="103">
        <f t="shared" si="40"/>
        <v>1.9561406714768974E-4</v>
      </c>
      <c r="P142" s="103">
        <f t="shared" si="40"/>
        <v>2.4541338885814457E-4</v>
      </c>
      <c r="Q142" s="103">
        <f t="shared" si="40"/>
        <v>2.7427947832971795E-4</v>
      </c>
      <c r="R142" s="103">
        <f t="shared" si="40"/>
        <v>2.8365967944902852E-4</v>
      </c>
      <c r="S142" s="103">
        <f t="shared" si="40"/>
        <v>5.1272793668511298E-4</v>
      </c>
      <c r="T142" s="103">
        <f t="shared" si="40"/>
        <v>9.1259715614856859E-4</v>
      </c>
      <c r="U142" s="103">
        <f t="shared" si="40"/>
        <v>1.7436901101347589E-3</v>
      </c>
      <c r="V142" s="103">
        <f t="shared" si="40"/>
        <v>2.4940230539763687E-3</v>
      </c>
      <c r="W142" s="103">
        <f t="shared" si="42"/>
        <v>3.157868107781786E-3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5.2411481949804201E-6</v>
      </c>
      <c r="O143" s="103">
        <f t="shared" si="40"/>
        <v>1.2612754696037406E-5</v>
      </c>
      <c r="P143" s="103">
        <f t="shared" si="40"/>
        <v>2.817228830671875E-5</v>
      </c>
      <c r="Q143" s="103">
        <f t="shared" si="40"/>
        <v>5.5005530733744807E-5</v>
      </c>
      <c r="R143" s="103">
        <f t="shared" si="40"/>
        <v>1.1715340371577894E-4</v>
      </c>
      <c r="S143" s="103">
        <f t="shared" si="40"/>
        <v>2.8883255137465908E-4</v>
      </c>
      <c r="T143" s="103">
        <f t="shared" si="40"/>
        <v>6.4151409892467979E-4</v>
      </c>
      <c r="U143" s="103">
        <f t="shared" si="40"/>
        <v>1.0884137402441972E-3</v>
      </c>
      <c r="V143" s="103">
        <f t="shared" si="40"/>
        <v>1.7075484119567581E-3</v>
      </c>
      <c r="W143" s="103">
        <f t="shared" si="42"/>
        <v>2.7242155899528746E-3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6.3311701857890146E-2</v>
      </c>
      <c r="C145" s="156">
        <f t="shared" si="40"/>
        <v>6.0957976329898009E-2</v>
      </c>
      <c r="D145" s="156">
        <f t="shared" si="40"/>
        <v>6.0286172711247893E-2</v>
      </c>
      <c r="E145" s="156">
        <f t="shared" si="40"/>
        <v>6.1018928576570299E-2</v>
      </c>
      <c r="F145" s="156">
        <f t="shared" si="40"/>
        <v>6.1515914903688344E-2</v>
      </c>
      <c r="G145" s="156">
        <f t="shared" si="40"/>
        <v>6.0512357435997088E-2</v>
      </c>
      <c r="H145" s="156">
        <f t="shared" si="40"/>
        <v>6.1828978087133259E-2</v>
      </c>
      <c r="I145" s="156">
        <f t="shared" si="40"/>
        <v>6.2164065437241338E-2</v>
      </c>
      <c r="J145" s="156">
        <f t="shared" si="40"/>
        <v>6.4798207178566325E-2</v>
      </c>
      <c r="K145" s="156">
        <f t="shared" si="40"/>
        <v>6.8953555796217925E-2</v>
      </c>
      <c r="L145" s="156">
        <f t="shared" si="41"/>
        <v>6.9365052246287348E-2</v>
      </c>
      <c r="M145" s="156">
        <f t="shared" si="40"/>
        <v>7.0838410110960398E-2</v>
      </c>
      <c r="N145" s="156">
        <f t="shared" si="40"/>
        <v>7.5401827613773606E-2</v>
      </c>
      <c r="O145" s="156">
        <f t="shared" si="40"/>
        <v>7.620427154714117E-2</v>
      </c>
      <c r="P145" s="156">
        <f t="shared" si="40"/>
        <v>7.6623965833441623E-2</v>
      </c>
      <c r="Q145" s="156">
        <f t="shared" si="40"/>
        <v>7.9533424028302227E-2</v>
      </c>
      <c r="R145" s="156">
        <f t="shared" si="40"/>
        <v>8.8276038087200276E-2</v>
      </c>
      <c r="S145" s="156">
        <f t="shared" si="40"/>
        <v>8.6031163311842365E-2</v>
      </c>
      <c r="T145" s="156">
        <f t="shared" si="40"/>
        <v>8.53266160553076E-2</v>
      </c>
      <c r="U145" s="156">
        <f t="shared" si="40"/>
        <v>8.3585552008193106E-2</v>
      </c>
      <c r="V145" s="156">
        <f t="shared" si="40"/>
        <v>7.7679815141961678E-2</v>
      </c>
      <c r="W145" s="156">
        <f t="shared" si="42"/>
        <v>6.5942286547172907E-2</v>
      </c>
      <c r="DA145" s="213"/>
    </row>
    <row r="146" spans="1:105" ht="11.45" customHeight="1" x14ac:dyDescent="0.25">
      <c r="A146" s="157" t="s">
        <v>110</v>
      </c>
      <c r="B146" s="103">
        <f t="shared" si="40"/>
        <v>2.4373246795302407E-5</v>
      </c>
      <c r="C146" s="103">
        <f t="shared" si="40"/>
        <v>2.6061857454948122E-5</v>
      </c>
      <c r="D146" s="103">
        <f t="shared" si="40"/>
        <v>2.4665551900480112E-5</v>
      </c>
      <c r="E146" s="103">
        <f t="shared" si="40"/>
        <v>2.4240118901656673E-5</v>
      </c>
      <c r="F146" s="103">
        <f t="shared" si="40"/>
        <v>2.4251778077624146E-5</v>
      </c>
      <c r="G146" s="103">
        <f t="shared" si="40"/>
        <v>2.6408373985552293E-5</v>
      </c>
      <c r="H146" s="103">
        <f t="shared" si="40"/>
        <v>2.4421069176995104E-5</v>
      </c>
      <c r="I146" s="103">
        <f t="shared" si="40"/>
        <v>2.4346271718832713E-5</v>
      </c>
      <c r="J146" s="103">
        <f t="shared" si="40"/>
        <v>2.371877012594258E-5</v>
      </c>
      <c r="K146" s="103">
        <f t="shared" si="40"/>
        <v>2.4283405463917139E-5</v>
      </c>
      <c r="L146" s="103">
        <f t="shared" si="41"/>
        <v>2.3833976572362236E-5</v>
      </c>
      <c r="M146" s="103">
        <f t="shared" si="40"/>
        <v>2.3172356562360557E-5</v>
      </c>
      <c r="N146" s="103">
        <f t="shared" si="40"/>
        <v>2.3522004943856576E-5</v>
      </c>
      <c r="O146" s="103">
        <f t="shared" si="40"/>
        <v>2.3954876276754759E-5</v>
      </c>
      <c r="P146" s="103">
        <f t="shared" si="40"/>
        <v>2.6400167300121894E-5</v>
      </c>
      <c r="Q146" s="103">
        <f t="shared" si="40"/>
        <v>2.6444863243466146E-5</v>
      </c>
      <c r="R146" s="103">
        <f t="shared" si="40"/>
        <v>2.3491556044738681E-5</v>
      </c>
      <c r="S146" s="103">
        <f t="shared" si="40"/>
        <v>2.4351928226270418E-5</v>
      </c>
      <c r="T146" s="103">
        <f t="shared" si="40"/>
        <v>2.2251624373006718E-5</v>
      </c>
      <c r="U146" s="103">
        <f t="shared" si="40"/>
        <v>2.127596551869068E-5</v>
      </c>
      <c r="V146" s="103">
        <f t="shared" si="40"/>
        <v>1.8189806882680484E-5</v>
      </c>
      <c r="W146" s="103">
        <f t="shared" si="42"/>
        <v>1.5941122915223446E-5</v>
      </c>
      <c r="DA146" s="191"/>
    </row>
    <row r="147" spans="1:105" ht="11.45" customHeight="1" x14ac:dyDescent="0.25">
      <c r="A147" s="157" t="s">
        <v>111</v>
      </c>
      <c r="B147" s="103">
        <f t="shared" si="40"/>
        <v>6.2907663083120444E-2</v>
      </c>
      <c r="C147" s="103">
        <f t="shared" si="40"/>
        <v>6.055962385605259E-2</v>
      </c>
      <c r="D147" s="103">
        <f t="shared" si="40"/>
        <v>5.9713672348717842E-2</v>
      </c>
      <c r="E147" s="103">
        <f t="shared" si="40"/>
        <v>6.0455196772278494E-2</v>
      </c>
      <c r="F147" s="103">
        <f t="shared" si="40"/>
        <v>6.0967594807844833E-2</v>
      </c>
      <c r="G147" s="103">
        <f t="shared" si="40"/>
        <v>5.9963930308317731E-2</v>
      </c>
      <c r="H147" s="103">
        <f t="shared" si="40"/>
        <v>6.1118091396977679E-2</v>
      </c>
      <c r="I147" s="103">
        <f t="shared" si="40"/>
        <v>6.1499316895208635E-2</v>
      </c>
      <c r="J147" s="103">
        <f t="shared" si="40"/>
        <v>6.3963466776759695E-2</v>
      </c>
      <c r="K147" s="103">
        <f t="shared" si="40"/>
        <v>6.7953176991068481E-2</v>
      </c>
      <c r="L147" s="103">
        <f t="shared" si="41"/>
        <v>6.8437767406435993E-2</v>
      </c>
      <c r="M147" s="103">
        <f t="shared" si="40"/>
        <v>7.0247583629128529E-2</v>
      </c>
      <c r="N147" s="103">
        <f t="shared" si="40"/>
        <v>7.4497167118419291E-2</v>
      </c>
      <c r="O147" s="103">
        <f t="shared" si="40"/>
        <v>7.5683495770643885E-2</v>
      </c>
      <c r="P147" s="103">
        <f t="shared" si="40"/>
        <v>7.60326969712527E-2</v>
      </c>
      <c r="Q147" s="103">
        <f t="shared" si="40"/>
        <v>7.9008574960457059E-2</v>
      </c>
      <c r="R147" s="103">
        <f t="shared" ref="R147:V147" si="43">IF(R29=0,0,R29/R$17)</f>
        <v>8.7776129729787628E-2</v>
      </c>
      <c r="S147" s="103">
        <f t="shared" si="43"/>
        <v>8.5551971831010737E-2</v>
      </c>
      <c r="T147" s="103">
        <f t="shared" si="43"/>
        <v>8.4861297532032545E-2</v>
      </c>
      <c r="U147" s="103">
        <f t="shared" si="43"/>
        <v>8.3070259350621484E-2</v>
      </c>
      <c r="V147" s="103">
        <f t="shared" si="43"/>
        <v>7.7157561070907363E-2</v>
      </c>
      <c r="W147" s="103">
        <f t="shared" ref="W147" si="44">IF(W29=0,0,W29/W$17)</f>
        <v>6.5415989948646294E-2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3.7966552797439056E-4</v>
      </c>
      <c r="C149" s="103">
        <f t="shared" si="49"/>
        <v>3.722906163904646E-4</v>
      </c>
      <c r="D149" s="103">
        <f t="shared" si="49"/>
        <v>5.4783481062956442E-4</v>
      </c>
      <c r="E149" s="103">
        <f t="shared" si="49"/>
        <v>5.3949168539015448E-4</v>
      </c>
      <c r="F149" s="103">
        <f t="shared" si="49"/>
        <v>5.2406831776588309E-4</v>
      </c>
      <c r="G149" s="103">
        <f t="shared" si="49"/>
        <v>5.2201875369380373E-4</v>
      </c>
      <c r="H149" s="103">
        <f t="shared" si="49"/>
        <v>6.8646562097858478E-4</v>
      </c>
      <c r="I149" s="103">
        <f t="shared" si="49"/>
        <v>6.4040227031387923E-4</v>
      </c>
      <c r="J149" s="103">
        <f t="shared" si="49"/>
        <v>8.1102163168068333E-4</v>
      </c>
      <c r="K149" s="103">
        <f t="shared" si="49"/>
        <v>9.7609539968553723E-4</v>
      </c>
      <c r="L149" s="103">
        <f t="shared" si="46"/>
        <v>9.0345086327899601E-4</v>
      </c>
      <c r="M149" s="103">
        <f t="shared" ref="M149:V149" si="50">IF(M31=0,0,M31/M$17)</f>
        <v>5.6765412526950745E-4</v>
      </c>
      <c r="N149" s="103">
        <f t="shared" si="50"/>
        <v>8.8113849041045991E-4</v>
      </c>
      <c r="O149" s="103">
        <f t="shared" si="50"/>
        <v>4.9682090022053183E-4</v>
      </c>
      <c r="P149" s="103">
        <f t="shared" si="50"/>
        <v>5.6486869488880736E-4</v>
      </c>
      <c r="Q149" s="103">
        <f t="shared" si="50"/>
        <v>4.9840420460169489E-4</v>
      </c>
      <c r="R149" s="103">
        <f t="shared" si="50"/>
        <v>4.764168013679032E-4</v>
      </c>
      <c r="S149" s="103">
        <f t="shared" si="50"/>
        <v>4.5483955260536117E-4</v>
      </c>
      <c r="T149" s="103">
        <f t="shared" si="50"/>
        <v>4.4306689890204887E-4</v>
      </c>
      <c r="U149" s="103">
        <f t="shared" si="50"/>
        <v>4.9401669205293406E-4</v>
      </c>
      <c r="V149" s="103">
        <f t="shared" si="50"/>
        <v>5.0406426417163653E-4</v>
      </c>
      <c r="W149" s="103">
        <f t="shared" ref="W149" si="51">IF(W31=0,0,W31/W$17)</f>
        <v>5.1035547561138707E-4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0.35054510672350481</v>
      </c>
      <c r="C151" s="46">
        <f t="shared" si="55"/>
        <v>0.35437658935910377</v>
      </c>
      <c r="D151" s="46">
        <f t="shared" si="55"/>
        <v>0.35185212619929951</v>
      </c>
      <c r="E151" s="46">
        <f t="shared" si="55"/>
        <v>0.34928537744377802</v>
      </c>
      <c r="F151" s="46">
        <f t="shared" si="55"/>
        <v>0.35238398693229944</v>
      </c>
      <c r="G151" s="46">
        <f t="shared" si="55"/>
        <v>0.34874821935716011</v>
      </c>
      <c r="H151" s="46">
        <f t="shared" si="55"/>
        <v>0.34245637076411145</v>
      </c>
      <c r="I151" s="46">
        <f t="shared" si="55"/>
        <v>0.34130085602688709</v>
      </c>
      <c r="J151" s="46">
        <f t="shared" si="55"/>
        <v>0.34460179534456215</v>
      </c>
      <c r="K151" s="46">
        <f t="shared" si="55"/>
        <v>0.31746825542345664</v>
      </c>
      <c r="L151" s="46">
        <f t="shared" ref="L151" si="56">IF(L33=0,0,L33/L$17)</f>
        <v>0.32991706653319769</v>
      </c>
      <c r="M151" s="46">
        <f t="shared" ref="M151:V151" si="57">IF(M33=0,0,M33/M$17)</f>
        <v>0.31809440099372582</v>
      </c>
      <c r="N151" s="46">
        <f t="shared" si="57"/>
        <v>0.30646282849568474</v>
      </c>
      <c r="O151" s="46">
        <f t="shared" si="57"/>
        <v>0.30455400398538879</v>
      </c>
      <c r="P151" s="46">
        <f t="shared" si="57"/>
        <v>0.28346399295173613</v>
      </c>
      <c r="Q151" s="46">
        <f t="shared" si="57"/>
        <v>0.27424167217793705</v>
      </c>
      <c r="R151" s="46">
        <f t="shared" si="57"/>
        <v>0.30874633774600707</v>
      </c>
      <c r="S151" s="46">
        <f t="shared" si="57"/>
        <v>0.29784270446481953</v>
      </c>
      <c r="T151" s="46">
        <f t="shared" si="57"/>
        <v>0.30226849192300148</v>
      </c>
      <c r="U151" s="46">
        <f t="shared" si="57"/>
        <v>0.30159045996830103</v>
      </c>
      <c r="V151" s="46">
        <f t="shared" si="57"/>
        <v>0.31354467979830108</v>
      </c>
      <c r="W151" s="46">
        <f t="shared" ref="W151" si="58">IF(W33=0,0,W33/W$17)</f>
        <v>0.31978464028833359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0.11894399072751857</v>
      </c>
      <c r="C152" s="154">
        <f t="shared" si="59"/>
        <v>0.11657943107970876</v>
      </c>
      <c r="D152" s="154">
        <f t="shared" si="59"/>
        <v>0.11427191597479887</v>
      </c>
      <c r="E152" s="154">
        <f t="shared" si="59"/>
        <v>0.11263392983653378</v>
      </c>
      <c r="F152" s="154">
        <f t="shared" si="59"/>
        <v>0.11667077894387425</v>
      </c>
      <c r="G152" s="154">
        <f t="shared" si="59"/>
        <v>0.11645977167663303</v>
      </c>
      <c r="H152" s="154">
        <f t="shared" si="59"/>
        <v>0.11749530686453669</v>
      </c>
      <c r="I152" s="154">
        <f t="shared" si="59"/>
        <v>0.12015241262413182</v>
      </c>
      <c r="J152" s="154">
        <f t="shared" si="59"/>
        <v>0.12794983741293539</v>
      </c>
      <c r="K152" s="154">
        <f t="shared" si="59"/>
        <v>0.13084589358599596</v>
      </c>
      <c r="L152" s="154">
        <f t="shared" ref="L152" si="60">IF(L34=0,0,L34/L$17)</f>
        <v>0.13302377982749397</v>
      </c>
      <c r="M152" s="154">
        <f t="shared" ref="M152:V152" si="61">IF(M34=0,0,M34/M$17)</f>
        <v>0.13939594783687737</v>
      </c>
      <c r="N152" s="154">
        <f t="shared" si="61"/>
        <v>0.14430861324354485</v>
      </c>
      <c r="O152" s="154">
        <f t="shared" si="61"/>
        <v>0.14670113712767355</v>
      </c>
      <c r="P152" s="154">
        <f t="shared" si="61"/>
        <v>0.14400673055908011</v>
      </c>
      <c r="Q152" s="154">
        <f t="shared" si="61"/>
        <v>0.1473300699370558</v>
      </c>
      <c r="R152" s="154">
        <f t="shared" si="61"/>
        <v>0.15744309203719645</v>
      </c>
      <c r="S152" s="154">
        <f t="shared" si="61"/>
        <v>0.15370481209768802</v>
      </c>
      <c r="T152" s="154">
        <f t="shared" si="61"/>
        <v>0.15927847505192949</v>
      </c>
      <c r="U152" s="154">
        <f t="shared" si="61"/>
        <v>0.16278167360896012</v>
      </c>
      <c r="V152" s="154">
        <f t="shared" si="61"/>
        <v>0.17268393909384325</v>
      </c>
      <c r="W152" s="154">
        <f t="shared" ref="W152" si="62">IF(W34=0,0,W34/W$17)</f>
        <v>0.17411619032978981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1.0538000359287062E-2</v>
      </c>
      <c r="C153" s="103">
        <f t="shared" si="63"/>
        <v>9.7476344435864677E-3</v>
      </c>
      <c r="D153" s="103">
        <f t="shared" si="63"/>
        <v>8.974481164144241E-3</v>
      </c>
      <c r="E153" s="103">
        <f t="shared" si="63"/>
        <v>8.1390041692504557E-3</v>
      </c>
      <c r="F153" s="103">
        <f t="shared" si="63"/>
        <v>7.356359113696094E-3</v>
      </c>
      <c r="G153" s="103">
        <f t="shared" si="63"/>
        <v>7.0372628680699769E-3</v>
      </c>
      <c r="H153" s="103">
        <f t="shared" si="63"/>
        <v>6.3345621735385717E-3</v>
      </c>
      <c r="I153" s="103">
        <f t="shared" si="63"/>
        <v>5.7418153076866296E-3</v>
      </c>
      <c r="J153" s="103">
        <f t="shared" si="63"/>
        <v>5.7317711247124184E-3</v>
      </c>
      <c r="K153" s="103">
        <f t="shared" si="63"/>
        <v>5.6453663460306067E-3</v>
      </c>
      <c r="L153" s="103">
        <f t="shared" ref="L153" si="64">IF(L35=0,0,L35/L$17)</f>
        <v>5.3287342717723615E-3</v>
      </c>
      <c r="M153" s="103">
        <f t="shared" ref="M153:V153" si="65">IF(M35=0,0,M35/M$17)</f>
        <v>5.259010481563701E-3</v>
      </c>
      <c r="N153" s="103">
        <f t="shared" si="65"/>
        <v>5.1723352631233869E-3</v>
      </c>
      <c r="O153" s="103">
        <f t="shared" si="65"/>
        <v>5.0702248347726207E-3</v>
      </c>
      <c r="P153" s="103">
        <f t="shared" si="65"/>
        <v>5.3885383824445561E-3</v>
      </c>
      <c r="Q153" s="103">
        <f t="shared" si="65"/>
        <v>5.2713583000641752E-3</v>
      </c>
      <c r="R153" s="103">
        <f t="shared" si="65"/>
        <v>4.573693418824732E-3</v>
      </c>
      <c r="S153" s="103">
        <f t="shared" si="65"/>
        <v>4.6903963875121963E-3</v>
      </c>
      <c r="T153" s="103">
        <f t="shared" si="65"/>
        <v>4.5007168548828044E-3</v>
      </c>
      <c r="U153" s="103">
        <f t="shared" si="65"/>
        <v>4.5615582250164988E-3</v>
      </c>
      <c r="V153" s="103">
        <f t="shared" si="65"/>
        <v>4.6108845835412015E-3</v>
      </c>
      <c r="W153" s="103">
        <f t="shared" ref="W153" si="66">IF(W35=0,0,W35/W$17)</f>
        <v>4.8062698527181306E-3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0.10840599036823152</v>
      </c>
      <c r="C154" s="103">
        <f t="shared" si="67"/>
        <v>0.10683085040340383</v>
      </c>
      <c r="D154" s="103">
        <f t="shared" si="67"/>
        <v>0.10529651253821583</v>
      </c>
      <c r="E154" s="103">
        <f t="shared" si="67"/>
        <v>0.10449403104318113</v>
      </c>
      <c r="F154" s="103">
        <f t="shared" si="67"/>
        <v>0.10931360851939621</v>
      </c>
      <c r="G154" s="103">
        <f t="shared" si="67"/>
        <v>0.10942137086244161</v>
      </c>
      <c r="H154" s="103">
        <f t="shared" si="67"/>
        <v>0.11115969899506843</v>
      </c>
      <c r="I154" s="103">
        <f t="shared" si="67"/>
        <v>0.11440780073097455</v>
      </c>
      <c r="J154" s="103">
        <f t="shared" si="67"/>
        <v>0.12221194541958694</v>
      </c>
      <c r="K154" s="103">
        <f t="shared" si="67"/>
        <v>0.12518847995424748</v>
      </c>
      <c r="L154" s="103">
        <f t="shared" ref="L154" si="68">IF(L36=0,0,L36/L$17)</f>
        <v>0.12767865856639343</v>
      </c>
      <c r="M154" s="103">
        <f t="shared" ref="M154:V154" si="69">IF(M36=0,0,M36/M$17)</f>
        <v>0.13411855755952065</v>
      </c>
      <c r="N154" s="103">
        <f t="shared" si="69"/>
        <v>0.13910283805179952</v>
      </c>
      <c r="O154" s="103">
        <f t="shared" si="69"/>
        <v>0.14159769152243662</v>
      </c>
      <c r="P154" s="103">
        <f t="shared" si="69"/>
        <v>0.13857532738021103</v>
      </c>
      <c r="Q154" s="103">
        <f t="shared" si="69"/>
        <v>0.14200883350331411</v>
      </c>
      <c r="R154" s="103">
        <f t="shared" si="69"/>
        <v>0.15280816175765222</v>
      </c>
      <c r="S154" s="103">
        <f t="shared" si="69"/>
        <v>0.14892089067804753</v>
      </c>
      <c r="T154" s="103">
        <f t="shared" si="69"/>
        <v>0.15463835407810306</v>
      </c>
      <c r="U154" s="103">
        <f t="shared" si="69"/>
        <v>0.15800175057227078</v>
      </c>
      <c r="V154" s="103">
        <f t="shared" si="69"/>
        <v>0.16776246439603124</v>
      </c>
      <c r="W154" s="103">
        <f t="shared" ref="W154" si="70">IF(W36=0,0,W36/W$17)</f>
        <v>0.16889493450998561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0</v>
      </c>
      <c r="T155" s="103">
        <f t="shared" si="73"/>
        <v>0</v>
      </c>
      <c r="U155" s="103">
        <f t="shared" si="73"/>
        <v>0</v>
      </c>
      <c r="V155" s="103">
        <f t="shared" si="73"/>
        <v>0</v>
      </c>
      <c r="W155" s="103">
        <f t="shared" ref="W155" si="74">IF(W37=0,0,W37/W$17)</f>
        <v>0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9.4623271848368613E-7</v>
      </c>
      <c r="D156" s="103">
        <f t="shared" si="75"/>
        <v>9.2227243879064301E-7</v>
      </c>
      <c r="E156" s="103">
        <f t="shared" si="75"/>
        <v>8.9462410220683417E-7</v>
      </c>
      <c r="F156" s="103">
        <f t="shared" si="75"/>
        <v>8.1131078193469356E-7</v>
      </c>
      <c r="G156" s="103">
        <f t="shared" si="75"/>
        <v>1.1379461214297071E-6</v>
      </c>
      <c r="H156" s="103">
        <f t="shared" si="75"/>
        <v>1.0456959296810883E-6</v>
      </c>
      <c r="I156" s="103">
        <f t="shared" si="75"/>
        <v>2.7965854706412332E-6</v>
      </c>
      <c r="J156" s="103">
        <f t="shared" si="75"/>
        <v>6.1208686360407832E-6</v>
      </c>
      <c r="K156" s="103">
        <f t="shared" si="75"/>
        <v>1.2047285717875793E-5</v>
      </c>
      <c r="L156" s="103">
        <f t="shared" ref="L156" si="76">IF(L38=0,0,L38/L$17)</f>
        <v>1.6386989328174263E-5</v>
      </c>
      <c r="M156" s="103">
        <f t="shared" ref="M156:V156" si="77">IF(M38=0,0,M38/M$17)</f>
        <v>1.837979579299771E-5</v>
      </c>
      <c r="N156" s="103">
        <f t="shared" si="77"/>
        <v>3.3439928621954522E-5</v>
      </c>
      <c r="O156" s="103">
        <f t="shared" si="77"/>
        <v>3.3220770464291938E-5</v>
      </c>
      <c r="P156" s="103">
        <f t="shared" si="77"/>
        <v>4.2864796424529727E-5</v>
      </c>
      <c r="Q156" s="103">
        <f t="shared" si="77"/>
        <v>4.9878133677521884E-5</v>
      </c>
      <c r="R156" s="103">
        <f t="shared" si="77"/>
        <v>6.1236860719492486E-5</v>
      </c>
      <c r="S156" s="103">
        <f t="shared" si="77"/>
        <v>9.3525032128277438E-5</v>
      </c>
      <c r="T156" s="103">
        <f t="shared" si="77"/>
        <v>1.3940411894364794E-4</v>
      </c>
      <c r="U156" s="103">
        <f t="shared" si="77"/>
        <v>2.1836481167283308E-4</v>
      </c>
      <c r="V156" s="103">
        <f t="shared" si="77"/>
        <v>3.1059011427078535E-4</v>
      </c>
      <c r="W156" s="103">
        <f t="shared" ref="W156" si="78">IF(W38=0,0,W38/W$17)</f>
        <v>4.1498596708607082E-4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0.23160111599598621</v>
      </c>
      <c r="C158" s="156">
        <f t="shared" si="83"/>
        <v>0.23779715827939496</v>
      </c>
      <c r="D158" s="156">
        <f t="shared" si="83"/>
        <v>0.23758021022450065</v>
      </c>
      <c r="E158" s="156">
        <f t="shared" si="83"/>
        <v>0.23665144760724424</v>
      </c>
      <c r="F158" s="156">
        <f t="shared" si="83"/>
        <v>0.23571320798842516</v>
      </c>
      <c r="G158" s="156">
        <f t="shared" si="83"/>
        <v>0.23228844768052706</v>
      </c>
      <c r="H158" s="156">
        <f t="shared" si="83"/>
        <v>0.22496106389957479</v>
      </c>
      <c r="I158" s="156">
        <f t="shared" si="83"/>
        <v>0.22114844340275525</v>
      </c>
      <c r="J158" s="156">
        <f t="shared" si="83"/>
        <v>0.21665195793162675</v>
      </c>
      <c r="K158" s="156">
        <f t="shared" si="83"/>
        <v>0.1866223618374607</v>
      </c>
      <c r="L158" s="156">
        <f t="shared" ref="L158" si="84">IF(L40=0,0,L40/L$17)</f>
        <v>0.19689328670570366</v>
      </c>
      <c r="M158" s="156">
        <f t="shared" ref="M158:V158" si="85">IF(M40=0,0,M40/M$17)</f>
        <v>0.17869845315684846</v>
      </c>
      <c r="N158" s="156">
        <f t="shared" si="85"/>
        <v>0.16215421525213991</v>
      </c>
      <c r="O158" s="156">
        <f t="shared" si="85"/>
        <v>0.15785286685771527</v>
      </c>
      <c r="P158" s="156">
        <f t="shared" si="85"/>
        <v>0.13945726239265602</v>
      </c>
      <c r="Q158" s="156">
        <f t="shared" si="85"/>
        <v>0.12691160224088124</v>
      </c>
      <c r="R158" s="156">
        <f t="shared" si="85"/>
        <v>0.15130324570881062</v>
      </c>
      <c r="S158" s="156">
        <f t="shared" si="85"/>
        <v>0.14413789236713154</v>
      </c>
      <c r="T158" s="156">
        <f t="shared" si="85"/>
        <v>0.14299001687107199</v>
      </c>
      <c r="U158" s="156">
        <f t="shared" si="85"/>
        <v>0.13880878635934091</v>
      </c>
      <c r="V158" s="156">
        <f t="shared" si="85"/>
        <v>0.14086074070445784</v>
      </c>
      <c r="W158" s="156">
        <f t="shared" ref="W158" si="86">IF(W40=0,0,W40/W$17)</f>
        <v>0.14566844995854375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0.22282558829164148</v>
      </c>
      <c r="C159" s="103">
        <f t="shared" si="87"/>
        <v>0.22823713002419066</v>
      </c>
      <c r="D159" s="103">
        <f t="shared" si="87"/>
        <v>0.22785415508070334</v>
      </c>
      <c r="E159" s="103">
        <f t="shared" si="87"/>
        <v>0.22672160139466285</v>
      </c>
      <c r="F159" s="103">
        <f t="shared" si="87"/>
        <v>0.22432458620835813</v>
      </c>
      <c r="G159" s="103">
        <f t="shared" si="87"/>
        <v>0.221759800153152</v>
      </c>
      <c r="H159" s="103">
        <f t="shared" si="87"/>
        <v>0.21334436655954214</v>
      </c>
      <c r="I159" s="103">
        <f t="shared" si="87"/>
        <v>0.20916453267546939</v>
      </c>
      <c r="J159" s="103">
        <f t="shared" si="87"/>
        <v>0.20667494142392615</v>
      </c>
      <c r="K159" s="103">
        <f t="shared" si="87"/>
        <v>0.17809158148206997</v>
      </c>
      <c r="L159" s="103">
        <f t="shared" ref="L159" si="88">IF(L41=0,0,L41/L$17)</f>
        <v>0.18653034910412036</v>
      </c>
      <c r="M159" s="103">
        <f t="shared" ref="M159:V159" si="89">IF(M41=0,0,M41/M$17)</f>
        <v>0.17212858343120241</v>
      </c>
      <c r="N159" s="103">
        <f t="shared" si="89"/>
        <v>0.15445807037592599</v>
      </c>
      <c r="O159" s="103">
        <f t="shared" si="89"/>
        <v>0.15135490231253107</v>
      </c>
      <c r="P159" s="103">
        <f t="shared" si="89"/>
        <v>0.13202899176994071</v>
      </c>
      <c r="Q159" s="103">
        <f t="shared" si="89"/>
        <v>0.11837193604092909</v>
      </c>
      <c r="R159" s="103">
        <f t="shared" si="89"/>
        <v>0.14351741143808699</v>
      </c>
      <c r="S159" s="103">
        <f t="shared" si="89"/>
        <v>0.13773970253675188</v>
      </c>
      <c r="T159" s="103">
        <f t="shared" si="89"/>
        <v>0.13505483226332035</v>
      </c>
      <c r="U159" s="103">
        <f t="shared" si="89"/>
        <v>0.13260477709374727</v>
      </c>
      <c r="V159" s="103">
        <f t="shared" si="89"/>
        <v>0.1341725238989489</v>
      </c>
      <c r="W159" s="103">
        <f t="shared" ref="W159" si="90">IF(W41=0,0,W41/W$17)</f>
        <v>0.13577298787639733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8.7755277043447474E-3</v>
      </c>
      <c r="C160" s="105">
        <f t="shared" si="91"/>
        <v>9.5600282552043402E-3</v>
      </c>
      <c r="D160" s="105">
        <f t="shared" si="91"/>
        <v>9.726055143797336E-3</v>
      </c>
      <c r="E160" s="105">
        <f t="shared" si="91"/>
        <v>9.9298462125813822E-3</v>
      </c>
      <c r="F160" s="105">
        <f t="shared" si="91"/>
        <v>1.1388621780067018E-2</v>
      </c>
      <c r="G160" s="105">
        <f t="shared" si="91"/>
        <v>1.0528647527375047E-2</v>
      </c>
      <c r="H160" s="105">
        <f t="shared" si="91"/>
        <v>1.1616697340032624E-2</v>
      </c>
      <c r="I160" s="105">
        <f t="shared" si="91"/>
        <v>1.1983910727285881E-2</v>
      </c>
      <c r="J160" s="105">
        <f t="shared" si="91"/>
        <v>9.9770165077006315E-3</v>
      </c>
      <c r="K160" s="105">
        <f t="shared" si="91"/>
        <v>8.5307803553907446E-3</v>
      </c>
      <c r="L160" s="105">
        <f t="shared" ref="L160" si="92">IF(L42=0,0,L42/L$17)</f>
        <v>1.0362937601583333E-2</v>
      </c>
      <c r="M160" s="105">
        <f t="shared" ref="M160:V160" si="93">IF(M42=0,0,M42/M$17)</f>
        <v>6.569869725646044E-3</v>
      </c>
      <c r="N160" s="105">
        <f t="shared" si="93"/>
        <v>7.6961448762139289E-3</v>
      </c>
      <c r="O160" s="105">
        <f t="shared" si="93"/>
        <v>6.4979645451842139E-3</v>
      </c>
      <c r="P160" s="105">
        <f t="shared" si="93"/>
        <v>7.4282706227153184E-3</v>
      </c>
      <c r="Q160" s="105">
        <f t="shared" si="93"/>
        <v>8.5396661999521395E-3</v>
      </c>
      <c r="R160" s="105">
        <f t="shared" si="93"/>
        <v>7.7858342707236346E-3</v>
      </c>
      <c r="S160" s="105">
        <f t="shared" si="93"/>
        <v>6.3981898303796646E-3</v>
      </c>
      <c r="T160" s="105">
        <f t="shared" si="93"/>
        <v>7.9351846077516577E-3</v>
      </c>
      <c r="U160" s="105">
        <f t="shared" si="93"/>
        <v>6.2040092655936208E-3</v>
      </c>
      <c r="V160" s="105">
        <f t="shared" si="93"/>
        <v>6.688216805508922E-3</v>
      </c>
      <c r="W160" s="105">
        <f t="shared" ref="W160" si="94">IF(W42=0,0,W42/W$17)</f>
        <v>9.8954620821464084E-3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2645377</v>
      </c>
      <c r="C3" s="54">
        <f>TrRoad_act!C57</f>
        <v>2692473</v>
      </c>
      <c r="D3" s="54">
        <f>TrRoad_act!D57</f>
        <v>2751255</v>
      </c>
      <c r="E3" s="54">
        <f>TrRoad_act!E57</f>
        <v>2860894</v>
      </c>
      <c r="F3" s="54">
        <f>TrRoad_act!F57</f>
        <v>2987609</v>
      </c>
      <c r="G3" s="54">
        <f>TrRoad_act!G57</f>
        <v>3110649</v>
      </c>
      <c r="H3" s="54">
        <f>TrRoad_act!H57</f>
        <v>3235352</v>
      </c>
      <c r="I3" s="54">
        <f>TrRoad_act!I57</f>
        <v>3358201</v>
      </c>
      <c r="J3" s="54">
        <f>TrRoad_act!J57</f>
        <v>3565281</v>
      </c>
      <c r="K3" s="54">
        <f>TrRoad_act!K57</f>
        <v>3696956</v>
      </c>
      <c r="L3" s="54">
        <f>TrRoad_act!L57</f>
        <v>3849921</v>
      </c>
      <c r="M3" s="54">
        <f>TrRoad_act!M57</f>
        <v>4006561</v>
      </c>
      <c r="N3" s="54">
        <f>TrRoad_act!N57</f>
        <v>4127925</v>
      </c>
      <c r="O3" s="54">
        <f>TrRoad_act!O57</f>
        <v>4232834</v>
      </c>
      <c r="P3" s="54">
        <f>TrRoad_act!P57</f>
        <v>4332756</v>
      </c>
      <c r="Q3" s="54">
        <f>TrRoad_act!Q57</f>
        <v>4427779</v>
      </c>
      <c r="R3" s="54">
        <f>TrRoad_act!R57</f>
        <v>4549641</v>
      </c>
      <c r="S3" s="54">
        <f>TrRoad_act!S57</f>
        <v>4662753</v>
      </c>
      <c r="T3" s="54">
        <f>TrRoad_act!T57</f>
        <v>4767861</v>
      </c>
      <c r="U3" s="54">
        <f>TrRoad_act!U57</f>
        <v>4881669</v>
      </c>
      <c r="V3" s="54">
        <f>TrRoad_act!V57</f>
        <v>4972851</v>
      </c>
      <c r="W3" s="54">
        <f>TrRoad_act!W57</f>
        <v>5033783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2338002</v>
      </c>
      <c r="C4" s="28">
        <f>TrRoad_act!C58</f>
        <v>2376607</v>
      </c>
      <c r="D4" s="28">
        <f>TrRoad_act!D58</f>
        <v>2428265</v>
      </c>
      <c r="E4" s="28">
        <f>TrRoad_act!E58</f>
        <v>2530317</v>
      </c>
      <c r="F4" s="28">
        <f>TrRoad_act!F58</f>
        <v>2629162</v>
      </c>
      <c r="G4" s="28">
        <f>TrRoad_act!G58</f>
        <v>2743071</v>
      </c>
      <c r="H4" s="28">
        <f>TrRoad_act!H58</f>
        <v>2855175</v>
      </c>
      <c r="I4" s="28">
        <f>TrRoad_act!I58</f>
        <v>2958431</v>
      </c>
      <c r="J4" s="28">
        <f>TrRoad_act!J58</f>
        <v>3134312</v>
      </c>
      <c r="K4" s="28">
        <f>TrRoad_act!K58</f>
        <v>3245878</v>
      </c>
      <c r="L4" s="28">
        <f>TrRoad_act!L58</f>
        <v>3377900</v>
      </c>
      <c r="M4" s="28">
        <f>TrRoad_act!M58</f>
        <v>3508472</v>
      </c>
      <c r="N4" s="28">
        <f>TrRoad_act!N58</f>
        <v>3610433</v>
      </c>
      <c r="O4" s="28">
        <f>TrRoad_act!O58</f>
        <v>3697187</v>
      </c>
      <c r="P4" s="28">
        <f>TrRoad_act!P58</f>
        <v>3779392</v>
      </c>
      <c r="Q4" s="28">
        <f>TrRoad_act!Q58</f>
        <v>3855584</v>
      </c>
      <c r="R4" s="28">
        <f>TrRoad_act!R58</f>
        <v>3955336</v>
      </c>
      <c r="S4" s="28">
        <f>TrRoad_act!S58</f>
        <v>4044663</v>
      </c>
      <c r="T4" s="28">
        <f>TrRoad_act!T58</f>
        <v>4127096</v>
      </c>
      <c r="U4" s="28">
        <f>TrRoad_act!U58</f>
        <v>4217704</v>
      </c>
      <c r="V4" s="28">
        <f>TrRoad_act!V58</f>
        <v>4288590</v>
      </c>
      <c r="W4" s="28">
        <f>TrRoad_act!W58</f>
        <v>4332751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193422</v>
      </c>
      <c r="C5" s="137">
        <f>TrRoad_act!C59</f>
        <v>206235</v>
      </c>
      <c r="D5" s="137">
        <f>TrRoad_act!D59</f>
        <v>223577</v>
      </c>
      <c r="E5" s="137">
        <f>TrRoad_act!E59</f>
        <v>245382</v>
      </c>
      <c r="F5" s="137">
        <f>TrRoad_act!F59</f>
        <v>271720</v>
      </c>
      <c r="G5" s="137">
        <f>TrRoad_act!G59</f>
        <v>301805</v>
      </c>
      <c r="H5" s="137">
        <f>TrRoad_act!H59</f>
        <v>338443</v>
      </c>
      <c r="I5" s="137">
        <f>TrRoad_act!I59</f>
        <v>376532</v>
      </c>
      <c r="J5" s="137">
        <f>TrRoad_act!J59</f>
        <v>421544</v>
      </c>
      <c r="K5" s="137">
        <f>TrRoad_act!K59</f>
        <v>456197</v>
      </c>
      <c r="L5" s="137">
        <f>TrRoad_act!L59</f>
        <v>486766</v>
      </c>
      <c r="M5" s="137">
        <f>TrRoad_act!M59</f>
        <v>515517</v>
      </c>
      <c r="N5" s="137">
        <f>TrRoad_act!N59</f>
        <v>538019</v>
      </c>
      <c r="O5" s="137">
        <f>TrRoad_act!O59</f>
        <v>554252</v>
      </c>
      <c r="P5" s="137">
        <f>TrRoad_act!P59</f>
        <v>568191</v>
      </c>
      <c r="Q5" s="137">
        <f>TrRoad_act!Q59</f>
        <v>581147</v>
      </c>
      <c r="R5" s="137">
        <f>TrRoad_act!R59</f>
        <v>591795</v>
      </c>
      <c r="S5" s="137">
        <f>TrRoad_act!S59</f>
        <v>603756</v>
      </c>
      <c r="T5" s="137">
        <f>TrRoad_act!T59</f>
        <v>613741</v>
      </c>
      <c r="U5" s="137">
        <f>TrRoad_act!U59</f>
        <v>623997</v>
      </c>
      <c r="V5" s="137">
        <f>TrRoad_act!V59</f>
        <v>636457</v>
      </c>
      <c r="W5" s="137">
        <f>TrRoad_act!W59</f>
        <v>646063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2134728</v>
      </c>
      <c r="C6" s="110">
        <f>TrRoad_act!C60</f>
        <v>2160603</v>
      </c>
      <c r="D6" s="110">
        <f>TrRoad_act!D60</f>
        <v>2194683</v>
      </c>
      <c r="E6" s="110">
        <f>TrRoad_act!E60</f>
        <v>2274577</v>
      </c>
      <c r="F6" s="110">
        <f>TrRoad_act!F60</f>
        <v>2346726</v>
      </c>
      <c r="G6" s="110">
        <f>TrRoad_act!G60</f>
        <v>2430345</v>
      </c>
      <c r="H6" s="110">
        <f>TrRoad_act!H60</f>
        <v>2505543</v>
      </c>
      <c r="I6" s="110">
        <f>TrRoad_act!I60</f>
        <v>2570356</v>
      </c>
      <c r="J6" s="110">
        <f>TrRoad_act!J60</f>
        <v>2700492</v>
      </c>
      <c r="K6" s="110">
        <f>TrRoad_act!K60</f>
        <v>2776664</v>
      </c>
      <c r="L6" s="110">
        <f>TrRoad_act!L60</f>
        <v>2877484</v>
      </c>
      <c r="M6" s="110">
        <f>TrRoad_act!M60</f>
        <v>2978729</v>
      </c>
      <c r="N6" s="110">
        <f>TrRoad_act!N60</f>
        <v>3057484</v>
      </c>
      <c r="O6" s="110">
        <f>TrRoad_act!O60</f>
        <v>3127399</v>
      </c>
      <c r="P6" s="110">
        <f>TrRoad_act!P60</f>
        <v>3194950</v>
      </c>
      <c r="Q6" s="110">
        <f>TrRoad_act!Q60</f>
        <v>3257581</v>
      </c>
      <c r="R6" s="110">
        <f>TrRoad_act!R60</f>
        <v>3346005</v>
      </c>
      <c r="S6" s="110">
        <f>TrRoad_act!S60</f>
        <v>3422792</v>
      </c>
      <c r="T6" s="110">
        <f>TrRoad_act!T60</f>
        <v>3494836</v>
      </c>
      <c r="U6" s="110">
        <f>TrRoad_act!U60</f>
        <v>3574570</v>
      </c>
      <c r="V6" s="110">
        <f>TrRoad_act!V60</f>
        <v>3632851</v>
      </c>
      <c r="W6" s="110">
        <f>TrRoad_act!W60</f>
        <v>3667164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1915317</v>
      </c>
      <c r="C7" s="84">
        <f>TrRoad_act!C61</f>
        <v>1929038</v>
      </c>
      <c r="D7" s="84">
        <f>TrRoad_act!D61</f>
        <v>1950046</v>
      </c>
      <c r="E7" s="84">
        <f>TrRoad_act!E61</f>
        <v>2008757</v>
      </c>
      <c r="F7" s="84">
        <f>TrRoad_act!F61</f>
        <v>2070877</v>
      </c>
      <c r="G7" s="84">
        <f>TrRoad_act!G61</f>
        <v>2127307</v>
      </c>
      <c r="H7" s="84">
        <f>TrRoad_act!H61</f>
        <v>2171334</v>
      </c>
      <c r="I7" s="84">
        <f>TrRoad_act!I61</f>
        <v>2197893</v>
      </c>
      <c r="J7" s="84">
        <f>TrRoad_act!J61</f>
        <v>2250397</v>
      </c>
      <c r="K7" s="84">
        <f>TrRoad_act!K61</f>
        <v>2278832</v>
      </c>
      <c r="L7" s="84">
        <f>TrRoad_act!L61</f>
        <v>2318166</v>
      </c>
      <c r="M7" s="84">
        <f>TrRoad_act!M61</f>
        <v>2356904</v>
      </c>
      <c r="N7" s="84">
        <f>TrRoad_act!N61</f>
        <v>2387823</v>
      </c>
      <c r="O7" s="84">
        <f>TrRoad_act!O61</f>
        <v>2415827</v>
      </c>
      <c r="P7" s="84">
        <f>TrRoad_act!P61</f>
        <v>2441627</v>
      </c>
      <c r="Q7" s="84">
        <f>TrRoad_act!Q61</f>
        <v>2465070</v>
      </c>
      <c r="R7" s="84">
        <f>TrRoad_act!R61</f>
        <v>2506792</v>
      </c>
      <c r="S7" s="84">
        <f>TrRoad_act!S61</f>
        <v>2539162</v>
      </c>
      <c r="T7" s="84">
        <f>TrRoad_act!T61</f>
        <v>2565995</v>
      </c>
      <c r="U7" s="84">
        <f>TrRoad_act!U61</f>
        <v>2602431</v>
      </c>
      <c r="V7" s="84">
        <f>TrRoad_act!V61</f>
        <v>2616553</v>
      </c>
      <c r="W7" s="84">
        <f>TrRoad_act!W61</f>
        <v>2602001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219411</v>
      </c>
      <c r="C8" s="84">
        <f>TrRoad_act!C62</f>
        <v>231565</v>
      </c>
      <c r="D8" s="84">
        <f>TrRoad_act!D62</f>
        <v>244637</v>
      </c>
      <c r="E8" s="84">
        <f>TrRoad_act!E62</f>
        <v>265820</v>
      </c>
      <c r="F8" s="84">
        <f>TrRoad_act!F62</f>
        <v>275849</v>
      </c>
      <c r="G8" s="84">
        <f>TrRoad_act!G62</f>
        <v>303038</v>
      </c>
      <c r="H8" s="84">
        <f>TrRoad_act!H62</f>
        <v>334206</v>
      </c>
      <c r="I8" s="84">
        <f>TrRoad_act!I62</f>
        <v>372354</v>
      </c>
      <c r="J8" s="84">
        <f>TrRoad_act!J62</f>
        <v>449878</v>
      </c>
      <c r="K8" s="84">
        <f>TrRoad_act!K62</f>
        <v>497453</v>
      </c>
      <c r="L8" s="84">
        <f>TrRoad_act!L62</f>
        <v>558811</v>
      </c>
      <c r="M8" s="84">
        <f>TrRoad_act!M62</f>
        <v>621148</v>
      </c>
      <c r="N8" s="84">
        <f>TrRoad_act!N62</f>
        <v>668593</v>
      </c>
      <c r="O8" s="84">
        <f>TrRoad_act!O62</f>
        <v>710095</v>
      </c>
      <c r="P8" s="84">
        <f>TrRoad_act!P62</f>
        <v>751147</v>
      </c>
      <c r="Q8" s="84">
        <f>TrRoad_act!Q62</f>
        <v>789377</v>
      </c>
      <c r="R8" s="84">
        <f>TrRoad_act!R62</f>
        <v>834110</v>
      </c>
      <c r="S8" s="84">
        <f>TrRoad_act!S62</f>
        <v>873307</v>
      </c>
      <c r="T8" s="84">
        <f>TrRoad_act!T62</f>
        <v>907741</v>
      </c>
      <c r="U8" s="84">
        <f>TrRoad_act!U62</f>
        <v>933395</v>
      </c>
      <c r="V8" s="84">
        <f>TrRoad_act!V62</f>
        <v>948624</v>
      </c>
      <c r="W8" s="84">
        <f>TrRoad_act!W62</f>
        <v>951780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0</v>
      </c>
      <c r="E9" s="84">
        <f>TrRoad_act!E63</f>
        <v>0</v>
      </c>
      <c r="F9" s="84">
        <f>TrRoad_act!F63</f>
        <v>0</v>
      </c>
      <c r="G9" s="84">
        <f>TrRoad_act!G63</f>
        <v>0</v>
      </c>
      <c r="H9" s="84">
        <f>TrRoad_act!H63</f>
        <v>0</v>
      </c>
      <c r="I9" s="84">
        <f>TrRoad_act!I63</f>
        <v>0</v>
      </c>
      <c r="J9" s="84">
        <f>TrRoad_act!J63</f>
        <v>0</v>
      </c>
      <c r="K9" s="84">
        <f>TrRoad_act!K63</f>
        <v>0</v>
      </c>
      <c r="L9" s="84">
        <f>TrRoad_act!L63</f>
        <v>0</v>
      </c>
      <c r="M9" s="84">
        <f>TrRoad_act!M63</f>
        <v>0</v>
      </c>
      <c r="N9" s="84">
        <f>TrRoad_act!N63</f>
        <v>0</v>
      </c>
      <c r="O9" s="84">
        <f>TrRoad_act!O63</f>
        <v>0</v>
      </c>
      <c r="P9" s="84">
        <f>TrRoad_act!P63</f>
        <v>0</v>
      </c>
      <c r="Q9" s="84">
        <f>TrRoad_act!Q63</f>
        <v>0</v>
      </c>
      <c r="R9" s="84">
        <f>TrRoad_act!R63</f>
        <v>0</v>
      </c>
      <c r="S9" s="84">
        <f>TrRoad_act!S63</f>
        <v>0</v>
      </c>
      <c r="T9" s="84">
        <f>TrRoad_act!T63</f>
        <v>0</v>
      </c>
      <c r="U9" s="84">
        <f>TrRoad_act!U63</f>
        <v>0</v>
      </c>
      <c r="V9" s="84">
        <f>TrRoad_act!V63</f>
        <v>0</v>
      </c>
      <c r="W9" s="84">
        <f>TrRoad_act!W63</f>
        <v>0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3</v>
      </c>
      <c r="I10" s="84">
        <f>TrRoad_act!I64</f>
        <v>106</v>
      </c>
      <c r="J10" s="84">
        <f>TrRoad_act!J64</f>
        <v>210</v>
      </c>
      <c r="K10" s="84">
        <f>TrRoad_act!K64</f>
        <v>366</v>
      </c>
      <c r="L10" s="84">
        <f>TrRoad_act!L64</f>
        <v>484</v>
      </c>
      <c r="M10" s="84">
        <f>TrRoad_act!M64</f>
        <v>621</v>
      </c>
      <c r="N10" s="84">
        <f>TrRoad_act!N64</f>
        <v>831</v>
      </c>
      <c r="O10" s="84">
        <f>TrRoad_act!O64</f>
        <v>1020</v>
      </c>
      <c r="P10" s="84">
        <f>TrRoad_act!P64</f>
        <v>1250</v>
      </c>
      <c r="Q10" s="84">
        <f>TrRoad_act!Q64</f>
        <v>1503</v>
      </c>
      <c r="R10" s="84">
        <f>TrRoad_act!R64</f>
        <v>1822</v>
      </c>
      <c r="S10" s="84">
        <f>TrRoad_act!S64</f>
        <v>3155</v>
      </c>
      <c r="T10" s="84">
        <f>TrRoad_act!T64</f>
        <v>5601</v>
      </c>
      <c r="U10" s="84">
        <f>TrRoad_act!U64</f>
        <v>9380</v>
      </c>
      <c r="V10" s="84">
        <f>TrRoad_act!V64</f>
        <v>12357</v>
      </c>
      <c r="W10" s="84">
        <f>TrRoad_act!W64</f>
        <v>13472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128</v>
      </c>
      <c r="O11" s="84">
        <f>TrRoad_act!O65</f>
        <v>288</v>
      </c>
      <c r="P11" s="84">
        <f>TrRoad_act!P65</f>
        <v>566</v>
      </c>
      <c r="Q11" s="84">
        <f>TrRoad_act!Q65</f>
        <v>1017</v>
      </c>
      <c r="R11" s="84">
        <f>TrRoad_act!R65</f>
        <v>2437</v>
      </c>
      <c r="S11" s="84">
        <f>TrRoad_act!S65</f>
        <v>5719</v>
      </c>
      <c r="T11" s="84">
        <f>TrRoad_act!T65</f>
        <v>13095</v>
      </c>
      <c r="U11" s="84">
        <f>TrRoad_act!U65</f>
        <v>24703</v>
      </c>
      <c r="V11" s="84">
        <f>TrRoad_act!V65</f>
        <v>45620</v>
      </c>
      <c r="W11" s="84">
        <f>TrRoad_act!W65</f>
        <v>76990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3</v>
      </c>
      <c r="J12" s="84">
        <f>TrRoad_act!J66</f>
        <v>7</v>
      </c>
      <c r="K12" s="84">
        <f>TrRoad_act!K66</f>
        <v>13</v>
      </c>
      <c r="L12" s="84">
        <f>TrRoad_act!L66</f>
        <v>23</v>
      </c>
      <c r="M12" s="84">
        <f>TrRoad_act!M66</f>
        <v>56</v>
      </c>
      <c r="N12" s="84">
        <f>TrRoad_act!N66</f>
        <v>109</v>
      </c>
      <c r="O12" s="84">
        <f>TrRoad_act!O66</f>
        <v>169</v>
      </c>
      <c r="P12" s="84">
        <f>TrRoad_act!P66</f>
        <v>360</v>
      </c>
      <c r="Q12" s="84">
        <f>TrRoad_act!Q66</f>
        <v>614</v>
      </c>
      <c r="R12" s="84">
        <f>TrRoad_act!R66</f>
        <v>844</v>
      </c>
      <c r="S12" s="84">
        <f>TrRoad_act!S66</f>
        <v>1449</v>
      </c>
      <c r="T12" s="84">
        <f>TrRoad_act!T66</f>
        <v>2404</v>
      </c>
      <c r="U12" s="84">
        <f>TrRoad_act!U66</f>
        <v>4661</v>
      </c>
      <c r="V12" s="84">
        <f>TrRoad_act!V66</f>
        <v>9697</v>
      </c>
      <c r="W12" s="84">
        <f>TrRoad_act!W66</f>
        <v>22921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9852</v>
      </c>
      <c r="C13" s="110">
        <f>TrRoad_act!C67</f>
        <v>9769</v>
      </c>
      <c r="D13" s="110">
        <f>TrRoad_act!D67</f>
        <v>10005</v>
      </c>
      <c r="E13" s="110">
        <f>TrRoad_act!E67</f>
        <v>10358</v>
      </c>
      <c r="F13" s="110">
        <f>TrRoad_act!F67</f>
        <v>10716</v>
      </c>
      <c r="G13" s="110">
        <f>TrRoad_act!G67</f>
        <v>10921</v>
      </c>
      <c r="H13" s="110">
        <f>TrRoad_act!H67</f>
        <v>11189</v>
      </c>
      <c r="I13" s="110">
        <f>TrRoad_act!I67</f>
        <v>11543</v>
      </c>
      <c r="J13" s="110">
        <f>TrRoad_act!J67</f>
        <v>12276</v>
      </c>
      <c r="K13" s="110">
        <f>TrRoad_act!K67</f>
        <v>13017</v>
      </c>
      <c r="L13" s="110">
        <f>TrRoad_act!L67</f>
        <v>13650</v>
      </c>
      <c r="M13" s="110">
        <f>TrRoad_act!M67</f>
        <v>14226</v>
      </c>
      <c r="N13" s="110">
        <f>TrRoad_act!N67</f>
        <v>14930</v>
      </c>
      <c r="O13" s="110">
        <f>TrRoad_act!O67</f>
        <v>15536</v>
      </c>
      <c r="P13" s="110">
        <f>TrRoad_act!P67</f>
        <v>16251</v>
      </c>
      <c r="Q13" s="110">
        <f>TrRoad_act!Q67</f>
        <v>16856</v>
      </c>
      <c r="R13" s="110">
        <f>TrRoad_act!R67</f>
        <v>17536</v>
      </c>
      <c r="S13" s="110">
        <f>TrRoad_act!S67</f>
        <v>18115</v>
      </c>
      <c r="T13" s="110">
        <f>TrRoad_act!T67</f>
        <v>18519</v>
      </c>
      <c r="U13" s="110">
        <f>TrRoad_act!U67</f>
        <v>19137</v>
      </c>
      <c r="V13" s="110">
        <f>TrRoad_act!V67</f>
        <v>19282</v>
      </c>
      <c r="W13" s="110">
        <f>TrRoad_act!W67</f>
        <v>19524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27</v>
      </c>
      <c r="C14" s="102">
        <f>TrRoad_act!C68</f>
        <v>30</v>
      </c>
      <c r="D14" s="102">
        <f>TrRoad_act!D68</f>
        <v>29</v>
      </c>
      <c r="E14" s="102">
        <f>TrRoad_act!E68</f>
        <v>29</v>
      </c>
      <c r="F14" s="102">
        <f>TrRoad_act!F68</f>
        <v>30</v>
      </c>
      <c r="G14" s="102">
        <f>TrRoad_act!G68</f>
        <v>33</v>
      </c>
      <c r="H14" s="102">
        <f>TrRoad_act!H68</f>
        <v>31</v>
      </c>
      <c r="I14" s="102">
        <f>TrRoad_act!I68</f>
        <v>32</v>
      </c>
      <c r="J14" s="102">
        <f>TrRoad_act!J68</f>
        <v>31</v>
      </c>
      <c r="K14" s="102">
        <f>TrRoad_act!K68</f>
        <v>31</v>
      </c>
      <c r="L14" s="102">
        <f>TrRoad_act!L68</f>
        <v>32</v>
      </c>
      <c r="M14" s="102">
        <f>TrRoad_act!M68</f>
        <v>31</v>
      </c>
      <c r="N14" s="102">
        <f>TrRoad_act!N68</f>
        <v>31</v>
      </c>
      <c r="O14" s="102">
        <f>TrRoad_act!O68</f>
        <v>31</v>
      </c>
      <c r="P14" s="102">
        <f>TrRoad_act!P68</f>
        <v>31</v>
      </c>
      <c r="Q14" s="102">
        <f>TrRoad_act!Q68</f>
        <v>31</v>
      </c>
      <c r="R14" s="102">
        <f>TrRoad_act!R68</f>
        <v>31</v>
      </c>
      <c r="S14" s="102">
        <f>TrRoad_act!S68</f>
        <v>32</v>
      </c>
      <c r="T14" s="102">
        <f>TrRoad_act!T68</f>
        <v>32</v>
      </c>
      <c r="U14" s="102">
        <f>TrRoad_act!U68</f>
        <v>32</v>
      </c>
      <c r="V14" s="102">
        <f>TrRoad_act!V68</f>
        <v>31</v>
      </c>
      <c r="W14" s="102">
        <f>TrRoad_act!W68</f>
        <v>31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9720</v>
      </c>
      <c r="C15" s="102">
        <f>TrRoad_act!C69</f>
        <v>9636</v>
      </c>
      <c r="D15" s="102">
        <f>TrRoad_act!D69</f>
        <v>9820</v>
      </c>
      <c r="E15" s="102">
        <f>TrRoad_act!E69</f>
        <v>10171</v>
      </c>
      <c r="F15" s="102">
        <f>TrRoad_act!F69</f>
        <v>10531</v>
      </c>
      <c r="G15" s="102">
        <f>TrRoad_act!G69</f>
        <v>10734</v>
      </c>
      <c r="H15" s="102">
        <f>TrRoad_act!H69</f>
        <v>10955</v>
      </c>
      <c r="I15" s="102">
        <f>TrRoad_act!I69</f>
        <v>11304</v>
      </c>
      <c r="J15" s="102">
        <f>TrRoad_act!J69</f>
        <v>12044</v>
      </c>
      <c r="K15" s="102">
        <f>TrRoad_act!K69</f>
        <v>12784</v>
      </c>
      <c r="L15" s="102">
        <f>TrRoad_act!L69</f>
        <v>13426</v>
      </c>
      <c r="M15" s="102">
        <f>TrRoad_act!M69</f>
        <v>14014</v>
      </c>
      <c r="N15" s="102">
        <f>TrRoad_act!N69</f>
        <v>14723</v>
      </c>
      <c r="O15" s="102">
        <f>TrRoad_act!O69</f>
        <v>15340</v>
      </c>
      <c r="P15" s="102">
        <f>TrRoad_act!P69</f>
        <v>16066</v>
      </c>
      <c r="Q15" s="102">
        <f>TrRoad_act!Q69</f>
        <v>16682</v>
      </c>
      <c r="R15" s="102">
        <f>TrRoad_act!R69</f>
        <v>17361</v>
      </c>
      <c r="S15" s="102">
        <f>TrRoad_act!S69</f>
        <v>17940</v>
      </c>
      <c r="T15" s="102">
        <f>TrRoad_act!T69</f>
        <v>18343</v>
      </c>
      <c r="U15" s="102">
        <f>TrRoad_act!U69</f>
        <v>18923</v>
      </c>
      <c r="V15" s="102">
        <f>TrRoad_act!V69</f>
        <v>19041</v>
      </c>
      <c r="W15" s="102">
        <f>TrRoad_act!W69</f>
        <v>19093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105</v>
      </c>
      <c r="C17" s="102">
        <f>TrRoad_act!C71</f>
        <v>103</v>
      </c>
      <c r="D17" s="102">
        <f>TrRoad_act!D71</f>
        <v>156</v>
      </c>
      <c r="E17" s="102">
        <f>TrRoad_act!E71</f>
        <v>158</v>
      </c>
      <c r="F17" s="102">
        <f>TrRoad_act!F71</f>
        <v>155</v>
      </c>
      <c r="G17" s="102">
        <f>TrRoad_act!G71</f>
        <v>154</v>
      </c>
      <c r="H17" s="102">
        <f>TrRoad_act!H71</f>
        <v>203</v>
      </c>
      <c r="I17" s="102">
        <f>TrRoad_act!I71</f>
        <v>207</v>
      </c>
      <c r="J17" s="102">
        <f>TrRoad_act!J71</f>
        <v>201</v>
      </c>
      <c r="K17" s="102">
        <f>TrRoad_act!K71</f>
        <v>202</v>
      </c>
      <c r="L17" s="102">
        <f>TrRoad_act!L71</f>
        <v>192</v>
      </c>
      <c r="M17" s="102">
        <f>TrRoad_act!M71</f>
        <v>181</v>
      </c>
      <c r="N17" s="102">
        <f>TrRoad_act!N71</f>
        <v>170</v>
      </c>
      <c r="O17" s="102">
        <f>TrRoad_act!O71</f>
        <v>159</v>
      </c>
      <c r="P17" s="102">
        <f>TrRoad_act!P71</f>
        <v>148</v>
      </c>
      <c r="Q17" s="102">
        <f>TrRoad_act!Q71</f>
        <v>137</v>
      </c>
      <c r="R17" s="102">
        <f>TrRoad_act!R71</f>
        <v>128</v>
      </c>
      <c r="S17" s="102">
        <f>TrRoad_act!S71</f>
        <v>119</v>
      </c>
      <c r="T17" s="102">
        <f>TrRoad_act!T71</f>
        <v>120</v>
      </c>
      <c r="U17" s="102">
        <f>TrRoad_act!U71</f>
        <v>117</v>
      </c>
      <c r="V17" s="102">
        <f>TrRoad_act!V71</f>
        <v>119</v>
      </c>
      <c r="W17" s="102">
        <f>TrRoad_act!W71</f>
        <v>119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6</v>
      </c>
      <c r="O18" s="102">
        <f>TrRoad_act!O72</f>
        <v>6</v>
      </c>
      <c r="P18" s="102">
        <f>TrRoad_act!P72</f>
        <v>6</v>
      </c>
      <c r="Q18" s="102">
        <f>TrRoad_act!Q72</f>
        <v>6</v>
      </c>
      <c r="R18" s="102">
        <f>TrRoad_act!R72</f>
        <v>16</v>
      </c>
      <c r="S18" s="102">
        <f>TrRoad_act!S72</f>
        <v>24</v>
      </c>
      <c r="T18" s="102">
        <f>TrRoad_act!T72</f>
        <v>24</v>
      </c>
      <c r="U18" s="102">
        <f>TrRoad_act!U72</f>
        <v>65</v>
      </c>
      <c r="V18" s="102">
        <f>TrRoad_act!V72</f>
        <v>91</v>
      </c>
      <c r="W18" s="102">
        <f>TrRoad_act!W72</f>
        <v>281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307375</v>
      </c>
      <c r="C19" s="28">
        <f>TrRoad_act!C73</f>
        <v>315866</v>
      </c>
      <c r="D19" s="28">
        <f>TrRoad_act!D73</f>
        <v>322990</v>
      </c>
      <c r="E19" s="28">
        <f>TrRoad_act!E73</f>
        <v>330577</v>
      </c>
      <c r="F19" s="28">
        <f>TrRoad_act!F73</f>
        <v>358447</v>
      </c>
      <c r="G19" s="28">
        <f>TrRoad_act!G73</f>
        <v>367578</v>
      </c>
      <c r="H19" s="28">
        <f>TrRoad_act!H73</f>
        <v>380177</v>
      </c>
      <c r="I19" s="28">
        <f>TrRoad_act!I73</f>
        <v>399770</v>
      </c>
      <c r="J19" s="28">
        <f>TrRoad_act!J73</f>
        <v>430969</v>
      </c>
      <c r="K19" s="28">
        <f>TrRoad_act!K73</f>
        <v>451078</v>
      </c>
      <c r="L19" s="28">
        <f>TrRoad_act!L73</f>
        <v>472021</v>
      </c>
      <c r="M19" s="28">
        <f>TrRoad_act!M73</f>
        <v>498089</v>
      </c>
      <c r="N19" s="28">
        <f>TrRoad_act!N73</f>
        <v>517492</v>
      </c>
      <c r="O19" s="28">
        <f>TrRoad_act!O73</f>
        <v>535647</v>
      </c>
      <c r="P19" s="28">
        <f>TrRoad_act!P73</f>
        <v>553364</v>
      </c>
      <c r="Q19" s="28">
        <f>TrRoad_act!Q73</f>
        <v>572195</v>
      </c>
      <c r="R19" s="28">
        <f>TrRoad_act!R73</f>
        <v>594305</v>
      </c>
      <c r="S19" s="28">
        <f>TrRoad_act!S73</f>
        <v>618090</v>
      </c>
      <c r="T19" s="28">
        <f>TrRoad_act!T73</f>
        <v>640765</v>
      </c>
      <c r="U19" s="28">
        <f>TrRoad_act!U73</f>
        <v>663965</v>
      </c>
      <c r="V19" s="28">
        <f>TrRoad_act!V73</f>
        <v>684261</v>
      </c>
      <c r="W19" s="28">
        <f>TrRoad_act!W73</f>
        <v>701032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239095</v>
      </c>
      <c r="C20" s="137">
        <f>TrRoad_act!C74</f>
        <v>243988</v>
      </c>
      <c r="D20" s="137">
        <f>TrRoad_act!D74</f>
        <v>247230</v>
      </c>
      <c r="E20" s="137">
        <f>TrRoad_act!E74</f>
        <v>250107</v>
      </c>
      <c r="F20" s="137">
        <f>TrRoad_act!F74</f>
        <v>272690</v>
      </c>
      <c r="G20" s="137">
        <f>TrRoad_act!G74</f>
        <v>276453</v>
      </c>
      <c r="H20" s="137">
        <f>TrRoad_act!H74</f>
        <v>284627</v>
      </c>
      <c r="I20" s="137">
        <f>TrRoad_act!I74</f>
        <v>297531</v>
      </c>
      <c r="J20" s="137">
        <f>TrRoad_act!J74</f>
        <v>318797</v>
      </c>
      <c r="K20" s="137">
        <f>TrRoad_act!K74</f>
        <v>332645</v>
      </c>
      <c r="L20" s="137">
        <f>TrRoad_act!L74</f>
        <v>347258</v>
      </c>
      <c r="M20" s="137">
        <f>TrRoad_act!M74</f>
        <v>365568</v>
      </c>
      <c r="N20" s="137">
        <f>TrRoad_act!N74</f>
        <v>379215</v>
      </c>
      <c r="O20" s="137">
        <f>TrRoad_act!O74</f>
        <v>391952</v>
      </c>
      <c r="P20" s="137">
        <f>TrRoad_act!P74</f>
        <v>404817</v>
      </c>
      <c r="Q20" s="137">
        <f>TrRoad_act!Q74</f>
        <v>418870</v>
      </c>
      <c r="R20" s="137">
        <f>TrRoad_act!R74</f>
        <v>435436</v>
      </c>
      <c r="S20" s="137">
        <f>TrRoad_act!S74</f>
        <v>452894</v>
      </c>
      <c r="T20" s="137">
        <f>TrRoad_act!T74</f>
        <v>470008</v>
      </c>
      <c r="U20" s="137">
        <f>TrRoad_act!U74</f>
        <v>486949</v>
      </c>
      <c r="V20" s="137">
        <f>TrRoad_act!V74</f>
        <v>502047</v>
      </c>
      <c r="W20" s="137">
        <f>TrRoad_act!W74</f>
        <v>514403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41753</v>
      </c>
      <c r="C21" s="84">
        <f>TrRoad_act!C75</f>
        <v>39509</v>
      </c>
      <c r="D21" s="84">
        <f>TrRoad_act!D75</f>
        <v>37341</v>
      </c>
      <c r="E21" s="84">
        <f>TrRoad_act!E75</f>
        <v>34723</v>
      </c>
      <c r="F21" s="84">
        <f>TrRoad_act!F75</f>
        <v>33268</v>
      </c>
      <c r="G21" s="84">
        <f>TrRoad_act!G75</f>
        <v>31658</v>
      </c>
      <c r="H21" s="84">
        <f>TrRoad_act!H75</f>
        <v>29917</v>
      </c>
      <c r="I21" s="84">
        <f>TrRoad_act!I75</f>
        <v>28517</v>
      </c>
      <c r="J21" s="84">
        <f>TrRoad_act!J75</f>
        <v>28564</v>
      </c>
      <c r="K21" s="84">
        <f>TrRoad_act!K75</f>
        <v>28343</v>
      </c>
      <c r="L21" s="84">
        <f>TrRoad_act!L75</f>
        <v>28165</v>
      </c>
      <c r="M21" s="84">
        <f>TrRoad_act!M75</f>
        <v>28060</v>
      </c>
      <c r="N21" s="84">
        <f>TrRoad_act!N75</f>
        <v>27916</v>
      </c>
      <c r="O21" s="84">
        <f>TrRoad_act!O75</f>
        <v>26999</v>
      </c>
      <c r="P21" s="84">
        <f>TrRoad_act!P75</f>
        <v>26815</v>
      </c>
      <c r="Q21" s="84">
        <f>TrRoad_act!Q75</f>
        <v>26652</v>
      </c>
      <c r="R21" s="84">
        <f>TrRoad_act!R75</f>
        <v>26611</v>
      </c>
      <c r="S21" s="84">
        <f>TrRoad_act!S75</f>
        <v>26535</v>
      </c>
      <c r="T21" s="84">
        <f>TrRoad_act!T75</f>
        <v>26503</v>
      </c>
      <c r="U21" s="84">
        <f>TrRoad_act!U75</f>
        <v>26572</v>
      </c>
      <c r="V21" s="84">
        <f>TrRoad_act!V75</f>
        <v>26843</v>
      </c>
      <c r="W21" s="84">
        <f>TrRoad_act!W75</f>
        <v>27036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197185</v>
      </c>
      <c r="C22" s="84">
        <f>TrRoad_act!C76</f>
        <v>204323</v>
      </c>
      <c r="D22" s="84">
        <f>TrRoad_act!D76</f>
        <v>209750</v>
      </c>
      <c r="E22" s="84">
        <f>TrRoad_act!E76</f>
        <v>215255</v>
      </c>
      <c r="F22" s="84">
        <f>TrRoad_act!F76</f>
        <v>239303</v>
      </c>
      <c r="G22" s="84">
        <f>TrRoad_act!G76</f>
        <v>244685</v>
      </c>
      <c r="H22" s="84">
        <f>TrRoad_act!H76</f>
        <v>254605</v>
      </c>
      <c r="I22" s="84">
        <f>TrRoad_act!I76</f>
        <v>268906</v>
      </c>
      <c r="J22" s="84">
        <f>TrRoad_act!J76</f>
        <v>290112</v>
      </c>
      <c r="K22" s="84">
        <f>TrRoad_act!K76</f>
        <v>304161</v>
      </c>
      <c r="L22" s="84">
        <f>TrRoad_act!L76</f>
        <v>318930</v>
      </c>
      <c r="M22" s="84">
        <f>TrRoad_act!M76</f>
        <v>337319</v>
      </c>
      <c r="N22" s="84">
        <f>TrRoad_act!N76</f>
        <v>351076</v>
      </c>
      <c r="O22" s="84">
        <f>TrRoad_act!O76</f>
        <v>364681</v>
      </c>
      <c r="P22" s="84">
        <f>TrRoad_act!P76</f>
        <v>377682</v>
      </c>
      <c r="Q22" s="84">
        <f>TrRoad_act!Q76</f>
        <v>391829</v>
      </c>
      <c r="R22" s="84">
        <f>TrRoad_act!R76</f>
        <v>408330</v>
      </c>
      <c r="S22" s="84">
        <f>TrRoad_act!S76</f>
        <v>425697</v>
      </c>
      <c r="T22" s="84">
        <f>TrRoad_act!T76</f>
        <v>442627</v>
      </c>
      <c r="U22" s="84">
        <f>TrRoad_act!U76</f>
        <v>459236</v>
      </c>
      <c r="V22" s="84">
        <f>TrRoad_act!V76</f>
        <v>473832</v>
      </c>
      <c r="W22" s="84">
        <f>TrRoad_act!W76</f>
        <v>485584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0</v>
      </c>
      <c r="T23" s="84">
        <f>TrRoad_act!T77</f>
        <v>0</v>
      </c>
      <c r="U23" s="84">
        <f>TrRoad_act!U77</f>
        <v>0</v>
      </c>
      <c r="V23" s="84">
        <f>TrRoad_act!V77</f>
        <v>0</v>
      </c>
      <c r="W23" s="84">
        <f>TrRoad_act!W77</f>
        <v>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3</v>
      </c>
      <c r="D24" s="84">
        <f>TrRoad_act!D78</f>
        <v>3</v>
      </c>
      <c r="E24" s="84">
        <f>TrRoad_act!E78</f>
        <v>3</v>
      </c>
      <c r="F24" s="84">
        <f>TrRoad_act!F78</f>
        <v>3</v>
      </c>
      <c r="G24" s="84">
        <f>TrRoad_act!G78</f>
        <v>4</v>
      </c>
      <c r="H24" s="84">
        <f>TrRoad_act!H78</f>
        <v>4</v>
      </c>
      <c r="I24" s="84">
        <f>TrRoad_act!I78</f>
        <v>11</v>
      </c>
      <c r="J24" s="84">
        <f>TrRoad_act!J78</f>
        <v>20</v>
      </c>
      <c r="K24" s="84">
        <f>TrRoad_act!K78</f>
        <v>37</v>
      </c>
      <c r="L24" s="84">
        <f>TrRoad_act!L78</f>
        <v>52</v>
      </c>
      <c r="M24" s="84">
        <f>TrRoad_act!M78</f>
        <v>77</v>
      </c>
      <c r="N24" s="84">
        <f>TrRoad_act!N78</f>
        <v>99</v>
      </c>
      <c r="O24" s="84">
        <f>TrRoad_act!O78</f>
        <v>145</v>
      </c>
      <c r="P24" s="84">
        <f>TrRoad_act!P78</f>
        <v>173</v>
      </c>
      <c r="Q24" s="84">
        <f>TrRoad_act!Q78</f>
        <v>203</v>
      </c>
      <c r="R24" s="84">
        <f>TrRoad_act!R78</f>
        <v>247</v>
      </c>
      <c r="S24" s="84">
        <f>TrRoad_act!S78</f>
        <v>373</v>
      </c>
      <c r="T24" s="84">
        <f>TrRoad_act!T78</f>
        <v>543</v>
      </c>
      <c r="U24" s="84">
        <f>TrRoad_act!U78</f>
        <v>745</v>
      </c>
      <c r="V24" s="84">
        <f>TrRoad_act!V78</f>
        <v>928</v>
      </c>
      <c r="W24" s="84">
        <f>TrRoad_act!W78</f>
        <v>987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157</v>
      </c>
      <c r="C25" s="84">
        <f>TrRoad_act!C79</f>
        <v>153</v>
      </c>
      <c r="D25" s="84">
        <f>TrRoad_act!D79</f>
        <v>136</v>
      </c>
      <c r="E25" s="84">
        <f>TrRoad_act!E79</f>
        <v>126</v>
      </c>
      <c r="F25" s="84">
        <f>TrRoad_act!F79</f>
        <v>116</v>
      </c>
      <c r="G25" s="84">
        <f>TrRoad_act!G79</f>
        <v>106</v>
      </c>
      <c r="H25" s="84">
        <f>TrRoad_act!H79</f>
        <v>101</v>
      </c>
      <c r="I25" s="84">
        <f>TrRoad_act!I79</f>
        <v>97</v>
      </c>
      <c r="J25" s="84">
        <f>TrRoad_act!J79</f>
        <v>101</v>
      </c>
      <c r="K25" s="84">
        <f>TrRoad_act!K79</f>
        <v>104</v>
      </c>
      <c r="L25" s="84">
        <f>TrRoad_act!L79</f>
        <v>111</v>
      </c>
      <c r="M25" s="84">
        <f>TrRoad_act!M79</f>
        <v>112</v>
      </c>
      <c r="N25" s="84">
        <f>TrRoad_act!N79</f>
        <v>124</v>
      </c>
      <c r="O25" s="84">
        <f>TrRoad_act!O79</f>
        <v>127</v>
      </c>
      <c r="P25" s="84">
        <f>TrRoad_act!P79</f>
        <v>147</v>
      </c>
      <c r="Q25" s="84">
        <f>TrRoad_act!Q79</f>
        <v>186</v>
      </c>
      <c r="R25" s="84">
        <f>TrRoad_act!R79</f>
        <v>248</v>
      </c>
      <c r="S25" s="84">
        <f>TrRoad_act!S79</f>
        <v>289</v>
      </c>
      <c r="T25" s="84">
        <f>TrRoad_act!T79</f>
        <v>335</v>
      </c>
      <c r="U25" s="84">
        <f>TrRoad_act!U79</f>
        <v>396</v>
      </c>
      <c r="V25" s="84">
        <f>TrRoad_act!V79</f>
        <v>444</v>
      </c>
      <c r="W25" s="84">
        <f>TrRoad_act!W79</f>
        <v>796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68280</v>
      </c>
      <c r="C26" s="110">
        <f>TrRoad_act!C80</f>
        <v>71878</v>
      </c>
      <c r="D26" s="110">
        <f>TrRoad_act!D80</f>
        <v>75760</v>
      </c>
      <c r="E26" s="110">
        <f>TrRoad_act!E80</f>
        <v>80470</v>
      </c>
      <c r="F26" s="110">
        <f>TrRoad_act!F80</f>
        <v>85757</v>
      </c>
      <c r="G26" s="110">
        <f>TrRoad_act!G80</f>
        <v>91125</v>
      </c>
      <c r="H26" s="110">
        <f>TrRoad_act!H80</f>
        <v>95550</v>
      </c>
      <c r="I26" s="110">
        <f>TrRoad_act!I80</f>
        <v>102239</v>
      </c>
      <c r="J26" s="110">
        <f>TrRoad_act!J80</f>
        <v>112172</v>
      </c>
      <c r="K26" s="110">
        <f>TrRoad_act!K80</f>
        <v>118433</v>
      </c>
      <c r="L26" s="110">
        <f>TrRoad_act!L80</f>
        <v>124763</v>
      </c>
      <c r="M26" s="110">
        <f>TrRoad_act!M80</f>
        <v>132521</v>
      </c>
      <c r="N26" s="110">
        <f>TrRoad_act!N80</f>
        <v>138277</v>
      </c>
      <c r="O26" s="110">
        <f>TrRoad_act!O80</f>
        <v>143695</v>
      </c>
      <c r="P26" s="110">
        <f>TrRoad_act!P80</f>
        <v>148547</v>
      </c>
      <c r="Q26" s="110">
        <f>TrRoad_act!Q80</f>
        <v>153325</v>
      </c>
      <c r="R26" s="110">
        <f>TrRoad_act!R80</f>
        <v>158869</v>
      </c>
      <c r="S26" s="110">
        <f>TrRoad_act!S80</f>
        <v>165196</v>
      </c>
      <c r="T26" s="110">
        <f>TrRoad_act!T80</f>
        <v>170757</v>
      </c>
      <c r="U26" s="110">
        <f>TrRoad_act!U80</f>
        <v>177016</v>
      </c>
      <c r="V26" s="110">
        <f>TrRoad_act!V80</f>
        <v>182214</v>
      </c>
      <c r="W26" s="110">
        <f>TrRoad_act!W80</f>
        <v>186629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67685</v>
      </c>
      <c r="C27" s="102">
        <f>TrRoad_act!C81</f>
        <v>71240</v>
      </c>
      <c r="D27" s="102">
        <f>TrRoad_act!D81</f>
        <v>75089</v>
      </c>
      <c r="E27" s="102">
        <f>TrRoad_act!E81</f>
        <v>79785</v>
      </c>
      <c r="F27" s="102">
        <f>TrRoad_act!F81</f>
        <v>84947</v>
      </c>
      <c r="G27" s="102">
        <f>TrRoad_act!G81</f>
        <v>90290</v>
      </c>
      <c r="H27" s="102">
        <f>TrRoad_act!H81</f>
        <v>94666</v>
      </c>
      <c r="I27" s="102">
        <f>TrRoad_act!I81</f>
        <v>101334</v>
      </c>
      <c r="J27" s="102">
        <f>TrRoad_act!J81</f>
        <v>111243</v>
      </c>
      <c r="K27" s="102">
        <f>TrRoad_act!K81</f>
        <v>117574</v>
      </c>
      <c r="L27" s="102">
        <f>TrRoad_act!L81</f>
        <v>123657</v>
      </c>
      <c r="M27" s="102">
        <f>TrRoad_act!M81</f>
        <v>131802</v>
      </c>
      <c r="N27" s="102">
        <f>TrRoad_act!N81</f>
        <v>137387</v>
      </c>
      <c r="O27" s="102">
        <f>TrRoad_act!O81</f>
        <v>142923</v>
      </c>
      <c r="P27" s="102">
        <f>TrRoad_act!P81</f>
        <v>147559</v>
      </c>
      <c r="Q27" s="102">
        <f>TrRoad_act!Q81</f>
        <v>152197</v>
      </c>
      <c r="R27" s="102">
        <f>TrRoad_act!R81</f>
        <v>157917</v>
      </c>
      <c r="S27" s="102">
        <f>TrRoad_act!S81</f>
        <v>164247</v>
      </c>
      <c r="T27" s="102">
        <f>TrRoad_act!T81</f>
        <v>169688</v>
      </c>
      <c r="U27" s="102">
        <f>TrRoad_act!U81</f>
        <v>176123</v>
      </c>
      <c r="V27" s="102">
        <f>TrRoad_act!V81</f>
        <v>181299</v>
      </c>
      <c r="W27" s="102">
        <f>TrRoad_act!W81</f>
        <v>185474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595</v>
      </c>
      <c r="C28" s="86">
        <f>TrRoad_act!C82</f>
        <v>638</v>
      </c>
      <c r="D28" s="86">
        <f>TrRoad_act!D82</f>
        <v>671</v>
      </c>
      <c r="E28" s="86">
        <f>TrRoad_act!E82</f>
        <v>685</v>
      </c>
      <c r="F28" s="86">
        <f>TrRoad_act!F82</f>
        <v>810</v>
      </c>
      <c r="G28" s="86">
        <f>TrRoad_act!G82</f>
        <v>835</v>
      </c>
      <c r="H28" s="86">
        <f>TrRoad_act!H82</f>
        <v>884</v>
      </c>
      <c r="I28" s="86">
        <f>TrRoad_act!I82</f>
        <v>905</v>
      </c>
      <c r="J28" s="86">
        <f>TrRoad_act!J82</f>
        <v>929</v>
      </c>
      <c r="K28" s="86">
        <f>TrRoad_act!K82</f>
        <v>859</v>
      </c>
      <c r="L28" s="86">
        <f>TrRoad_act!L82</f>
        <v>1106</v>
      </c>
      <c r="M28" s="86">
        <f>TrRoad_act!M82</f>
        <v>719</v>
      </c>
      <c r="N28" s="86">
        <f>TrRoad_act!N82</f>
        <v>890</v>
      </c>
      <c r="O28" s="86">
        <f>TrRoad_act!O82</f>
        <v>772</v>
      </c>
      <c r="P28" s="86">
        <f>TrRoad_act!P82</f>
        <v>988</v>
      </c>
      <c r="Q28" s="86">
        <f>TrRoad_act!Q82</f>
        <v>1128</v>
      </c>
      <c r="R28" s="86">
        <f>TrRoad_act!R82</f>
        <v>952</v>
      </c>
      <c r="S28" s="86">
        <f>TrRoad_act!S82</f>
        <v>949</v>
      </c>
      <c r="T28" s="86">
        <f>TrRoad_act!T82</f>
        <v>1069</v>
      </c>
      <c r="U28" s="86">
        <f>TrRoad_act!U82</f>
        <v>893</v>
      </c>
      <c r="V28" s="86">
        <f>TrRoad_act!V82</f>
        <v>915</v>
      </c>
      <c r="W28" s="86">
        <f>TrRoad_act!W82</f>
        <v>1155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236460</v>
      </c>
      <c r="C30" s="54">
        <f>TrRoad_act!C111</f>
        <v>221210</v>
      </c>
      <c r="D30" s="54">
        <f>TrRoad_act!D111</f>
        <v>239647</v>
      </c>
      <c r="E30" s="54">
        <f>TrRoad_act!E111</f>
        <v>281304</v>
      </c>
      <c r="F30" s="54">
        <f>TrRoad_act!F111</f>
        <v>303347</v>
      </c>
      <c r="G30" s="54">
        <f>TrRoad_act!G111</f>
        <v>295859</v>
      </c>
      <c r="H30" s="54">
        <f>TrRoad_act!H111</f>
        <v>319059</v>
      </c>
      <c r="I30" s="54">
        <f>TrRoad_act!I111</f>
        <v>312167</v>
      </c>
      <c r="J30" s="54">
        <f>TrRoad_act!J111</f>
        <v>357853</v>
      </c>
      <c r="K30" s="54">
        <f>TrRoad_act!K111</f>
        <v>289650</v>
      </c>
      <c r="L30" s="54">
        <f>TrRoad_act!L111</f>
        <v>320016</v>
      </c>
      <c r="M30" s="54">
        <f>TrRoad_act!M111</f>
        <v>334978</v>
      </c>
      <c r="N30" s="54">
        <f>TrRoad_act!N111</f>
        <v>306710</v>
      </c>
      <c r="O30" s="54">
        <f>TrRoad_act!O111</f>
        <v>290926</v>
      </c>
      <c r="P30" s="54">
        <f>TrRoad_act!P111</f>
        <v>292034</v>
      </c>
      <c r="Q30" s="54">
        <f>TrRoad_act!Q111</f>
        <v>304139</v>
      </c>
      <c r="R30" s="54">
        <f>TrRoad_act!R111</f>
        <v>320603</v>
      </c>
      <c r="S30" s="54">
        <f>TrRoad_act!S111</f>
        <v>330677</v>
      </c>
      <c r="T30" s="54">
        <f>TrRoad_act!T111</f>
        <v>342047</v>
      </c>
      <c r="U30" s="54">
        <f>TrRoad_act!U111</f>
        <v>344500</v>
      </c>
      <c r="V30" s="54">
        <f>TrRoad_act!V111</f>
        <v>329779</v>
      </c>
      <c r="W30" s="54">
        <f>TrRoad_act!W111</f>
        <v>342176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221650</v>
      </c>
      <c r="C31" s="28">
        <f>TrRoad_act!C112</f>
        <v>201189</v>
      </c>
      <c r="D31" s="28">
        <f>TrRoad_act!D112</f>
        <v>216180</v>
      </c>
      <c r="E31" s="28">
        <f>TrRoad_act!E112</f>
        <v>255229</v>
      </c>
      <c r="F31" s="28">
        <f>TrRoad_act!F112</f>
        <v>258963</v>
      </c>
      <c r="G31" s="28">
        <f>TrRoad_act!G112</f>
        <v>262044</v>
      </c>
      <c r="H31" s="28">
        <f>TrRoad_act!H112</f>
        <v>282755</v>
      </c>
      <c r="I31" s="28">
        <f>TrRoad_act!I112</f>
        <v>268279</v>
      </c>
      <c r="J31" s="28">
        <f>TrRoad_act!J112</f>
        <v>302218</v>
      </c>
      <c r="K31" s="28">
        <f>TrRoad_act!K112</f>
        <v>240952</v>
      </c>
      <c r="L31" s="28">
        <f>TrRoad_act!L112</f>
        <v>270075</v>
      </c>
      <c r="M31" s="28">
        <f>TrRoad_act!M112</f>
        <v>281009</v>
      </c>
      <c r="N31" s="28">
        <f>TrRoad_act!N112</f>
        <v>255789</v>
      </c>
      <c r="O31" s="28">
        <f>TrRoad_act!O112</f>
        <v>241667</v>
      </c>
      <c r="P31" s="28">
        <f>TrRoad_act!P112</f>
        <v>242631</v>
      </c>
      <c r="Q31" s="28">
        <f>TrRoad_act!Q112</f>
        <v>252972</v>
      </c>
      <c r="R31" s="28">
        <f>TrRoad_act!R112</f>
        <v>265310</v>
      </c>
      <c r="S31" s="28">
        <f>TrRoad_act!S112</f>
        <v>272351</v>
      </c>
      <c r="T31" s="28">
        <f>TrRoad_act!T112</f>
        <v>282219</v>
      </c>
      <c r="U31" s="28">
        <f>TrRoad_act!U112</f>
        <v>283075</v>
      </c>
      <c r="V31" s="28">
        <f>TrRoad_act!V112</f>
        <v>271380</v>
      </c>
      <c r="W31" s="28">
        <f>TrRoad_act!W112</f>
        <v>284608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15501</v>
      </c>
      <c r="C32" s="137">
        <f>TrRoad_act!C113</f>
        <v>19643</v>
      </c>
      <c r="D32" s="137">
        <f>TrRoad_act!D113</f>
        <v>25545</v>
      </c>
      <c r="E32" s="137">
        <f>TrRoad_act!E113</f>
        <v>31449</v>
      </c>
      <c r="F32" s="137">
        <f>TrRoad_act!F113</f>
        <v>37524</v>
      </c>
      <c r="G32" s="137">
        <f>TrRoad_act!G113</f>
        <v>42701</v>
      </c>
      <c r="H32" s="137">
        <f>TrRoad_act!H113</f>
        <v>51456</v>
      </c>
      <c r="I32" s="137">
        <f>TrRoad_act!I113</f>
        <v>53958</v>
      </c>
      <c r="J32" s="137">
        <f>TrRoad_act!J113</f>
        <v>63325</v>
      </c>
      <c r="K32" s="137">
        <f>TrRoad_act!K113</f>
        <v>51220</v>
      </c>
      <c r="L32" s="137">
        <f>TrRoad_act!L113</f>
        <v>46765</v>
      </c>
      <c r="M32" s="137">
        <f>TrRoad_act!M113</f>
        <v>45669</v>
      </c>
      <c r="N32" s="137">
        <f>TrRoad_act!N113</f>
        <v>37199</v>
      </c>
      <c r="O32" s="137">
        <f>TrRoad_act!O113</f>
        <v>30379</v>
      </c>
      <c r="P32" s="137">
        <f>TrRoad_act!P113</f>
        <v>27816</v>
      </c>
      <c r="Q32" s="137">
        <f>TrRoad_act!Q113</f>
        <v>26849</v>
      </c>
      <c r="R32" s="137">
        <f>TrRoad_act!R113</f>
        <v>24206</v>
      </c>
      <c r="S32" s="137">
        <f>TrRoad_act!S113</f>
        <v>26103</v>
      </c>
      <c r="T32" s="137">
        <f>TrRoad_act!T113</f>
        <v>23748</v>
      </c>
      <c r="U32" s="137">
        <f>TrRoad_act!U113</f>
        <v>24328</v>
      </c>
      <c r="V32" s="137">
        <f>TrRoad_act!V113</f>
        <v>27275</v>
      </c>
      <c r="W32" s="137">
        <f>TrRoad_act!W113</f>
        <v>23941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205303</v>
      </c>
      <c r="C33" s="110">
        <f>TrRoad_act!C114</f>
        <v>180962</v>
      </c>
      <c r="D33" s="110">
        <f>TrRoad_act!D114</f>
        <v>189700</v>
      </c>
      <c r="E33" s="110">
        <f>TrRoad_act!E114</f>
        <v>222704</v>
      </c>
      <c r="F33" s="110">
        <f>TrRoad_act!F114</f>
        <v>220339</v>
      </c>
      <c r="G33" s="110">
        <f>TrRoad_act!G114</f>
        <v>218382</v>
      </c>
      <c r="H33" s="110">
        <f>TrRoad_act!H114</f>
        <v>230266</v>
      </c>
      <c r="I33" s="110">
        <f>TrRoad_act!I114</f>
        <v>213204</v>
      </c>
      <c r="J33" s="110">
        <f>TrRoad_act!J114</f>
        <v>237397</v>
      </c>
      <c r="K33" s="110">
        <f>TrRoad_act!K114</f>
        <v>188232</v>
      </c>
      <c r="L33" s="110">
        <f>TrRoad_act!L114</f>
        <v>221926</v>
      </c>
      <c r="M33" s="110">
        <f>TrRoad_act!M114</f>
        <v>234014</v>
      </c>
      <c r="N33" s="110">
        <f>TrRoad_act!N114</f>
        <v>217137</v>
      </c>
      <c r="O33" s="110">
        <f>TrRoad_act!O114</f>
        <v>209929</v>
      </c>
      <c r="P33" s="110">
        <f>TrRoad_act!P114</f>
        <v>213337</v>
      </c>
      <c r="Q33" s="110">
        <f>TrRoad_act!Q114</f>
        <v>224738</v>
      </c>
      <c r="R33" s="110">
        <f>TrRoad_act!R114</f>
        <v>239805</v>
      </c>
      <c r="S33" s="110">
        <f>TrRoad_act!S114</f>
        <v>244976</v>
      </c>
      <c r="T33" s="110">
        <f>TrRoad_act!T114</f>
        <v>257313</v>
      </c>
      <c r="U33" s="110">
        <f>TrRoad_act!U114</f>
        <v>257286</v>
      </c>
      <c r="V33" s="110">
        <f>TrRoad_act!V114</f>
        <v>243065</v>
      </c>
      <c r="W33" s="110">
        <f>TrRoad_act!W114</f>
        <v>259473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171706</v>
      </c>
      <c r="C34" s="84">
        <f>TrRoad_act!C115</f>
        <v>155279</v>
      </c>
      <c r="D34" s="84">
        <f>TrRoad_act!D115</f>
        <v>163404</v>
      </c>
      <c r="E34" s="84">
        <f>TrRoad_act!E115</f>
        <v>191542</v>
      </c>
      <c r="F34" s="84">
        <f>TrRoad_act!F115</f>
        <v>189103</v>
      </c>
      <c r="G34" s="84">
        <f>TrRoad_act!G115</f>
        <v>186327</v>
      </c>
      <c r="H34" s="84">
        <f>TrRoad_act!H115</f>
        <v>188028</v>
      </c>
      <c r="I34" s="84">
        <f>TrRoad_act!I115</f>
        <v>162617</v>
      </c>
      <c r="J34" s="84">
        <f>TrRoad_act!J115</f>
        <v>144864</v>
      </c>
      <c r="K34" s="84">
        <f>TrRoad_act!K115</f>
        <v>124028</v>
      </c>
      <c r="L34" s="84">
        <f>TrRoad_act!L115</f>
        <v>141934</v>
      </c>
      <c r="M34" s="84">
        <f>TrRoad_act!M115</f>
        <v>150939</v>
      </c>
      <c r="N34" s="84">
        <f>TrRoad_act!N115</f>
        <v>147166</v>
      </c>
      <c r="O34" s="84">
        <f>TrRoad_act!O115</f>
        <v>144514</v>
      </c>
      <c r="P34" s="84">
        <f>TrRoad_act!P115</f>
        <v>146358</v>
      </c>
      <c r="Q34" s="84">
        <f>TrRoad_act!Q115</f>
        <v>158520</v>
      </c>
      <c r="R34" s="84">
        <f>TrRoad_act!R115</f>
        <v>165509</v>
      </c>
      <c r="S34" s="84">
        <f>TrRoad_act!S115</f>
        <v>171677</v>
      </c>
      <c r="T34" s="84">
        <f>TrRoad_act!T115</f>
        <v>182100</v>
      </c>
      <c r="U34" s="84">
        <f>TrRoad_act!U115</f>
        <v>183189</v>
      </c>
      <c r="V34" s="84">
        <f>TrRoad_act!V115</f>
        <v>166351</v>
      </c>
      <c r="W34" s="84">
        <f>TrRoad_act!W115</f>
        <v>167813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33597</v>
      </c>
      <c r="C35" s="84">
        <f>TrRoad_act!C116</f>
        <v>25683</v>
      </c>
      <c r="D35" s="84">
        <f>TrRoad_act!D116</f>
        <v>26296</v>
      </c>
      <c r="E35" s="84">
        <f>TrRoad_act!E116</f>
        <v>31162</v>
      </c>
      <c r="F35" s="84">
        <f>TrRoad_act!F116</f>
        <v>31236</v>
      </c>
      <c r="G35" s="84">
        <f>TrRoad_act!G116</f>
        <v>32055</v>
      </c>
      <c r="H35" s="84">
        <f>TrRoad_act!H116</f>
        <v>42235</v>
      </c>
      <c r="I35" s="84">
        <f>TrRoad_act!I116</f>
        <v>50481</v>
      </c>
      <c r="J35" s="84">
        <f>TrRoad_act!J116</f>
        <v>92424</v>
      </c>
      <c r="K35" s="84">
        <f>TrRoad_act!K116</f>
        <v>64042</v>
      </c>
      <c r="L35" s="84">
        <f>TrRoad_act!L116</f>
        <v>79858</v>
      </c>
      <c r="M35" s="84">
        <f>TrRoad_act!M116</f>
        <v>82904</v>
      </c>
      <c r="N35" s="84">
        <f>TrRoad_act!N116</f>
        <v>69578</v>
      </c>
      <c r="O35" s="84">
        <f>TrRoad_act!O116</f>
        <v>65004</v>
      </c>
      <c r="P35" s="84">
        <f>TrRoad_act!P116</f>
        <v>66277</v>
      </c>
      <c r="Q35" s="84">
        <f>TrRoad_act!Q116</f>
        <v>65254</v>
      </c>
      <c r="R35" s="84">
        <f>TrRoad_act!R116</f>
        <v>72318</v>
      </c>
      <c r="S35" s="84">
        <f>TrRoad_act!S116</f>
        <v>68067</v>
      </c>
      <c r="T35" s="84">
        <f>TrRoad_act!T116</f>
        <v>64416</v>
      </c>
      <c r="U35" s="84">
        <f>TrRoad_act!U116</f>
        <v>56418</v>
      </c>
      <c r="V35" s="84">
        <f>TrRoad_act!V116</f>
        <v>47721</v>
      </c>
      <c r="W35" s="84">
        <f>TrRoad_act!W116</f>
        <v>45836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0</v>
      </c>
      <c r="L36" s="84">
        <f>TrRoad_act!L117</f>
        <v>0</v>
      </c>
      <c r="M36" s="84">
        <f>TrRoad_act!M117</f>
        <v>0</v>
      </c>
      <c r="N36" s="84">
        <f>TrRoad_act!N117</f>
        <v>0</v>
      </c>
      <c r="O36" s="84">
        <f>TrRoad_act!O117</f>
        <v>0</v>
      </c>
      <c r="P36" s="84">
        <f>TrRoad_act!P117</f>
        <v>0</v>
      </c>
      <c r="Q36" s="84">
        <f>TrRoad_act!Q117</f>
        <v>0</v>
      </c>
      <c r="R36" s="84">
        <f>TrRoad_act!R117</f>
        <v>0</v>
      </c>
      <c r="S36" s="84">
        <f>TrRoad_act!S117</f>
        <v>0</v>
      </c>
      <c r="T36" s="84">
        <f>TrRoad_act!T117</f>
        <v>0</v>
      </c>
      <c r="U36" s="84">
        <f>TrRoad_act!U117</f>
        <v>0</v>
      </c>
      <c r="V36" s="84">
        <f>TrRoad_act!V117</f>
        <v>0</v>
      </c>
      <c r="W36" s="84">
        <f>TrRoad_act!W117</f>
        <v>0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3</v>
      </c>
      <c r="I37" s="84">
        <f>TrRoad_act!I118</f>
        <v>103</v>
      </c>
      <c r="J37" s="84">
        <f>TrRoad_act!J118</f>
        <v>104</v>
      </c>
      <c r="K37" s="84">
        <f>TrRoad_act!K118</f>
        <v>156</v>
      </c>
      <c r="L37" s="84">
        <f>TrRoad_act!L118</f>
        <v>119</v>
      </c>
      <c r="M37" s="84">
        <f>TrRoad_act!M118</f>
        <v>138</v>
      </c>
      <c r="N37" s="84">
        <f>TrRoad_act!N118</f>
        <v>212</v>
      </c>
      <c r="O37" s="84">
        <f>TrRoad_act!O118</f>
        <v>191</v>
      </c>
      <c r="P37" s="84">
        <f>TrRoad_act!P118</f>
        <v>233</v>
      </c>
      <c r="Q37" s="84">
        <f>TrRoad_act!Q118</f>
        <v>257</v>
      </c>
      <c r="R37" s="84">
        <f>TrRoad_act!R118</f>
        <v>325</v>
      </c>
      <c r="S37" s="84">
        <f>TrRoad_act!S118</f>
        <v>1340</v>
      </c>
      <c r="T37" s="84">
        <f>TrRoad_act!T118</f>
        <v>2456</v>
      </c>
      <c r="U37" s="84">
        <f>TrRoad_act!U118</f>
        <v>3793</v>
      </c>
      <c r="V37" s="84">
        <f>TrRoad_act!V118</f>
        <v>2998</v>
      </c>
      <c r="W37" s="84">
        <f>TrRoad_act!W118</f>
        <v>1147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128</v>
      </c>
      <c r="O38" s="84">
        <f>TrRoad_act!O119</f>
        <v>160</v>
      </c>
      <c r="P38" s="84">
        <f>TrRoad_act!P119</f>
        <v>278</v>
      </c>
      <c r="Q38" s="84">
        <f>TrRoad_act!Q119</f>
        <v>452</v>
      </c>
      <c r="R38" s="84">
        <f>TrRoad_act!R119</f>
        <v>1422</v>
      </c>
      <c r="S38" s="84">
        <f>TrRoad_act!S119</f>
        <v>3285</v>
      </c>
      <c r="T38" s="84">
        <f>TrRoad_act!T119</f>
        <v>7383</v>
      </c>
      <c r="U38" s="84">
        <f>TrRoad_act!U119</f>
        <v>11624</v>
      </c>
      <c r="V38" s="84">
        <f>TrRoad_act!V119</f>
        <v>20951</v>
      </c>
      <c r="W38" s="84">
        <f>TrRoad_act!W119</f>
        <v>31438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3</v>
      </c>
      <c r="J39" s="84">
        <f>TrRoad_act!J120</f>
        <v>5</v>
      </c>
      <c r="K39" s="84">
        <f>TrRoad_act!K120</f>
        <v>6</v>
      </c>
      <c r="L39" s="84">
        <f>TrRoad_act!L120</f>
        <v>15</v>
      </c>
      <c r="M39" s="84">
        <f>TrRoad_act!M120</f>
        <v>33</v>
      </c>
      <c r="N39" s="84">
        <f>TrRoad_act!N120</f>
        <v>53</v>
      </c>
      <c r="O39" s="84">
        <f>TrRoad_act!O120</f>
        <v>60</v>
      </c>
      <c r="P39" s="84">
        <f>TrRoad_act!P120</f>
        <v>191</v>
      </c>
      <c r="Q39" s="84">
        <f>TrRoad_act!Q120</f>
        <v>255</v>
      </c>
      <c r="R39" s="84">
        <f>TrRoad_act!R120</f>
        <v>231</v>
      </c>
      <c r="S39" s="84">
        <f>TrRoad_act!S120</f>
        <v>607</v>
      </c>
      <c r="T39" s="84">
        <f>TrRoad_act!T120</f>
        <v>958</v>
      </c>
      <c r="U39" s="84">
        <f>TrRoad_act!U120</f>
        <v>2262</v>
      </c>
      <c r="V39" s="84">
        <f>TrRoad_act!V120</f>
        <v>5044</v>
      </c>
      <c r="W39" s="84">
        <f>TrRoad_act!W120</f>
        <v>13239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846</v>
      </c>
      <c r="C40" s="110">
        <f>TrRoad_act!C121</f>
        <v>584</v>
      </c>
      <c r="D40" s="110">
        <f>TrRoad_act!D121</f>
        <v>935</v>
      </c>
      <c r="E40" s="110">
        <f>TrRoad_act!E121</f>
        <v>1076</v>
      </c>
      <c r="F40" s="110">
        <f>TrRoad_act!F121</f>
        <v>1100</v>
      </c>
      <c r="G40" s="110">
        <f>TrRoad_act!G121</f>
        <v>961</v>
      </c>
      <c r="H40" s="110">
        <f>TrRoad_act!H121</f>
        <v>1033</v>
      </c>
      <c r="I40" s="110">
        <f>TrRoad_act!I121</f>
        <v>1117</v>
      </c>
      <c r="J40" s="110">
        <f>TrRoad_act!J121</f>
        <v>1496</v>
      </c>
      <c r="K40" s="110">
        <f>TrRoad_act!K121</f>
        <v>1500</v>
      </c>
      <c r="L40" s="110">
        <f>TrRoad_act!L121</f>
        <v>1384</v>
      </c>
      <c r="M40" s="110">
        <f>TrRoad_act!M121</f>
        <v>1326</v>
      </c>
      <c r="N40" s="110">
        <f>TrRoad_act!N121</f>
        <v>1453</v>
      </c>
      <c r="O40" s="110">
        <f>TrRoad_act!O121</f>
        <v>1359</v>
      </c>
      <c r="P40" s="110">
        <f>TrRoad_act!P121</f>
        <v>1478</v>
      </c>
      <c r="Q40" s="110">
        <f>TrRoad_act!Q121</f>
        <v>1385</v>
      </c>
      <c r="R40" s="110">
        <f>TrRoad_act!R121</f>
        <v>1299</v>
      </c>
      <c r="S40" s="110">
        <f>TrRoad_act!S121</f>
        <v>1272</v>
      </c>
      <c r="T40" s="110">
        <f>TrRoad_act!T121</f>
        <v>1158</v>
      </c>
      <c r="U40" s="110">
        <f>TrRoad_act!U121</f>
        <v>1461</v>
      </c>
      <c r="V40" s="110">
        <f>TrRoad_act!V121</f>
        <v>1040</v>
      </c>
      <c r="W40" s="110">
        <f>TrRoad_act!W121</f>
        <v>1194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1</v>
      </c>
      <c r="C41" s="102">
        <f>TrRoad_act!C122</f>
        <v>3</v>
      </c>
      <c r="D41" s="102">
        <f>TrRoad_act!D122</f>
        <v>0</v>
      </c>
      <c r="E41" s="102">
        <f>TrRoad_act!E122</f>
        <v>0</v>
      </c>
      <c r="F41" s="102">
        <f>TrRoad_act!F122</f>
        <v>1</v>
      </c>
      <c r="G41" s="102">
        <f>TrRoad_act!G122</f>
        <v>3</v>
      </c>
      <c r="H41" s="102">
        <f>TrRoad_act!H122</f>
        <v>0</v>
      </c>
      <c r="I41" s="102">
        <f>TrRoad_act!I122</f>
        <v>1</v>
      </c>
      <c r="J41" s="102">
        <f>TrRoad_act!J122</f>
        <v>0</v>
      </c>
      <c r="K41" s="102">
        <f>TrRoad_act!K122</f>
        <v>2</v>
      </c>
      <c r="L41" s="102">
        <f>TrRoad_act!L122</f>
        <v>1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1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845</v>
      </c>
      <c r="C42" s="102">
        <f>TrRoad_act!C123</f>
        <v>575</v>
      </c>
      <c r="D42" s="102">
        <f>TrRoad_act!D123</f>
        <v>874</v>
      </c>
      <c r="E42" s="102">
        <f>TrRoad_act!E123</f>
        <v>1066</v>
      </c>
      <c r="F42" s="102">
        <f>TrRoad_act!F123</f>
        <v>1093</v>
      </c>
      <c r="G42" s="102">
        <f>TrRoad_act!G123</f>
        <v>950</v>
      </c>
      <c r="H42" s="102">
        <f>TrRoad_act!H123</f>
        <v>974</v>
      </c>
      <c r="I42" s="102">
        <f>TrRoad_act!I123</f>
        <v>1103</v>
      </c>
      <c r="J42" s="102">
        <f>TrRoad_act!J123</f>
        <v>1492</v>
      </c>
      <c r="K42" s="102">
        <f>TrRoad_act!K123</f>
        <v>1486</v>
      </c>
      <c r="L42" s="102">
        <f>TrRoad_act!L123</f>
        <v>1383</v>
      </c>
      <c r="M42" s="102">
        <f>TrRoad_act!M123</f>
        <v>1326</v>
      </c>
      <c r="N42" s="102">
        <f>TrRoad_act!N123</f>
        <v>1447</v>
      </c>
      <c r="O42" s="102">
        <f>TrRoad_act!O123</f>
        <v>1359</v>
      </c>
      <c r="P42" s="102">
        <f>TrRoad_act!P123</f>
        <v>1478</v>
      </c>
      <c r="Q42" s="102">
        <f>TrRoad_act!Q123</f>
        <v>1385</v>
      </c>
      <c r="R42" s="102">
        <f>TrRoad_act!R123</f>
        <v>1284</v>
      </c>
      <c r="S42" s="102">
        <f>TrRoad_act!S123</f>
        <v>1256</v>
      </c>
      <c r="T42" s="102">
        <f>TrRoad_act!T123</f>
        <v>1152</v>
      </c>
      <c r="U42" s="102">
        <f>TrRoad_act!U123</f>
        <v>1398</v>
      </c>
      <c r="V42" s="102">
        <f>TrRoad_act!V123</f>
        <v>1002</v>
      </c>
      <c r="W42" s="102">
        <f>TrRoad_act!W123</f>
        <v>998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6</v>
      </c>
      <c r="D44" s="102">
        <f>TrRoad_act!D125</f>
        <v>61</v>
      </c>
      <c r="E44" s="102">
        <f>TrRoad_act!E125</f>
        <v>10</v>
      </c>
      <c r="F44" s="102">
        <f>TrRoad_act!F125</f>
        <v>6</v>
      </c>
      <c r="G44" s="102">
        <f>TrRoad_act!G125</f>
        <v>8</v>
      </c>
      <c r="H44" s="102">
        <f>TrRoad_act!H125</f>
        <v>59</v>
      </c>
      <c r="I44" s="102">
        <f>TrRoad_act!I125</f>
        <v>13</v>
      </c>
      <c r="J44" s="102">
        <f>TrRoad_act!J125</f>
        <v>4</v>
      </c>
      <c r="K44" s="102">
        <f>TrRoad_act!K125</f>
        <v>12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6</v>
      </c>
      <c r="T44" s="102">
        <f>TrRoad_act!T125</f>
        <v>4</v>
      </c>
      <c r="U44" s="102">
        <f>TrRoad_act!U125</f>
        <v>15</v>
      </c>
      <c r="V44" s="102">
        <f>TrRoad_act!V125</f>
        <v>10</v>
      </c>
      <c r="W44" s="102">
        <f>TrRoad_act!W125</f>
        <v>5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6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15</v>
      </c>
      <c r="S45" s="102">
        <f>TrRoad_act!S126</f>
        <v>9</v>
      </c>
      <c r="T45" s="102">
        <f>TrRoad_act!T126</f>
        <v>2</v>
      </c>
      <c r="U45" s="102">
        <f>TrRoad_act!U126</f>
        <v>48</v>
      </c>
      <c r="V45" s="102">
        <f>TrRoad_act!V126</f>
        <v>28</v>
      </c>
      <c r="W45" s="102">
        <f>TrRoad_act!W126</f>
        <v>191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14810</v>
      </c>
      <c r="C46" s="28">
        <f>TrRoad_act!C127</f>
        <v>20021</v>
      </c>
      <c r="D46" s="28">
        <f>TrRoad_act!D127</f>
        <v>23467</v>
      </c>
      <c r="E46" s="28">
        <f>TrRoad_act!E127</f>
        <v>26075</v>
      </c>
      <c r="F46" s="28">
        <f>TrRoad_act!F127</f>
        <v>44384</v>
      </c>
      <c r="G46" s="28">
        <f>TrRoad_act!G127</f>
        <v>33815</v>
      </c>
      <c r="H46" s="28">
        <f>TrRoad_act!H127</f>
        <v>36304</v>
      </c>
      <c r="I46" s="28">
        <f>TrRoad_act!I127</f>
        <v>43888</v>
      </c>
      <c r="J46" s="28">
        <f>TrRoad_act!J127</f>
        <v>55635</v>
      </c>
      <c r="K46" s="28">
        <f>TrRoad_act!K127</f>
        <v>48698</v>
      </c>
      <c r="L46" s="28">
        <f>TrRoad_act!L127</f>
        <v>49941</v>
      </c>
      <c r="M46" s="28">
        <f>TrRoad_act!M127</f>
        <v>53969</v>
      </c>
      <c r="N46" s="28">
        <f>TrRoad_act!N127</f>
        <v>50921</v>
      </c>
      <c r="O46" s="28">
        <f>TrRoad_act!O127</f>
        <v>49259</v>
      </c>
      <c r="P46" s="28">
        <f>TrRoad_act!P127</f>
        <v>49403</v>
      </c>
      <c r="Q46" s="28">
        <f>TrRoad_act!Q127</f>
        <v>51167</v>
      </c>
      <c r="R46" s="28">
        <f>TrRoad_act!R127</f>
        <v>55293</v>
      </c>
      <c r="S46" s="28">
        <f>TrRoad_act!S127</f>
        <v>58326</v>
      </c>
      <c r="T46" s="28">
        <f>TrRoad_act!T127</f>
        <v>59828</v>
      </c>
      <c r="U46" s="28">
        <f>TrRoad_act!U127</f>
        <v>61425</v>
      </c>
      <c r="V46" s="28">
        <f>TrRoad_act!V127</f>
        <v>58399</v>
      </c>
      <c r="W46" s="28">
        <f>TrRoad_act!W127</f>
        <v>57568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14750</v>
      </c>
      <c r="C47" s="137">
        <f>TrRoad_act!C128</f>
        <v>14591</v>
      </c>
      <c r="D47" s="137">
        <f>TrRoad_act!D128</f>
        <v>16951</v>
      </c>
      <c r="E47" s="137">
        <f>TrRoad_act!E128</f>
        <v>18461</v>
      </c>
      <c r="F47" s="137">
        <f>TrRoad_act!F128</f>
        <v>35219</v>
      </c>
      <c r="G47" s="137">
        <f>TrRoad_act!G128</f>
        <v>25150</v>
      </c>
      <c r="H47" s="137">
        <f>TrRoad_act!H128</f>
        <v>27594</v>
      </c>
      <c r="I47" s="137">
        <f>TrRoad_act!I128</f>
        <v>32614</v>
      </c>
      <c r="J47" s="137">
        <f>TrRoad_act!J128</f>
        <v>40888</v>
      </c>
      <c r="K47" s="137">
        <f>TrRoad_act!K128</f>
        <v>37064</v>
      </c>
      <c r="L47" s="137">
        <f>TrRoad_act!L128</f>
        <v>37285</v>
      </c>
      <c r="M47" s="137">
        <f>TrRoad_act!M128</f>
        <v>40603</v>
      </c>
      <c r="N47" s="137">
        <f>TrRoad_act!N128</f>
        <v>37846</v>
      </c>
      <c r="O47" s="137">
        <f>TrRoad_act!O128</f>
        <v>36918</v>
      </c>
      <c r="P47" s="137">
        <f>TrRoad_act!P128</f>
        <v>37258</v>
      </c>
      <c r="Q47" s="137">
        <f>TrRoad_act!Q128</f>
        <v>38809</v>
      </c>
      <c r="R47" s="137">
        <f>TrRoad_act!R128</f>
        <v>41780</v>
      </c>
      <c r="S47" s="137">
        <f>TrRoad_act!S128</f>
        <v>43883</v>
      </c>
      <c r="T47" s="137">
        <f>TrRoad_act!T128</f>
        <v>44945</v>
      </c>
      <c r="U47" s="137">
        <f>TrRoad_act!U128</f>
        <v>46060</v>
      </c>
      <c r="V47" s="137">
        <f>TrRoad_act!V128</f>
        <v>45163</v>
      </c>
      <c r="W47" s="137">
        <f>TrRoad_act!W128</f>
        <v>44218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144</v>
      </c>
      <c r="C48" s="84">
        <f>TrRoad_act!C129</f>
        <v>528</v>
      </c>
      <c r="D48" s="84">
        <f>TrRoad_act!D129</f>
        <v>612</v>
      </c>
      <c r="E48" s="84">
        <f>TrRoad_act!E129</f>
        <v>293</v>
      </c>
      <c r="F48" s="84">
        <f>TrRoad_act!F129</f>
        <v>818</v>
      </c>
      <c r="G48" s="84">
        <f>TrRoad_act!G129</f>
        <v>1482</v>
      </c>
      <c r="H48" s="84">
        <f>TrRoad_act!H129</f>
        <v>1578</v>
      </c>
      <c r="I48" s="84">
        <f>TrRoad_act!I129</f>
        <v>1884</v>
      </c>
      <c r="J48" s="84">
        <f>TrRoad_act!J129</f>
        <v>3063</v>
      </c>
      <c r="K48" s="84">
        <f>TrRoad_act!K129</f>
        <v>3002</v>
      </c>
      <c r="L48" s="84">
        <f>TrRoad_act!L129</f>
        <v>2906</v>
      </c>
      <c r="M48" s="84">
        <f>TrRoad_act!M129</f>
        <v>2804</v>
      </c>
      <c r="N48" s="84">
        <f>TrRoad_act!N129</f>
        <v>2598</v>
      </c>
      <c r="O48" s="84">
        <f>TrRoad_act!O129</f>
        <v>1782</v>
      </c>
      <c r="P48" s="84">
        <f>TrRoad_act!P129</f>
        <v>2063</v>
      </c>
      <c r="Q48" s="84">
        <f>TrRoad_act!Q129</f>
        <v>2008</v>
      </c>
      <c r="R48" s="84">
        <f>TrRoad_act!R129</f>
        <v>1995</v>
      </c>
      <c r="S48" s="84">
        <f>TrRoad_act!S129</f>
        <v>1894</v>
      </c>
      <c r="T48" s="84">
        <f>TrRoad_act!T129</f>
        <v>1874</v>
      </c>
      <c r="U48" s="84">
        <f>TrRoad_act!U129</f>
        <v>1945</v>
      </c>
      <c r="V48" s="84">
        <f>TrRoad_act!V129</f>
        <v>1994</v>
      </c>
      <c r="W48" s="84">
        <f>TrRoad_act!W129</f>
        <v>2003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14600</v>
      </c>
      <c r="C49" s="84">
        <f>TrRoad_act!C130</f>
        <v>14058</v>
      </c>
      <c r="D49" s="84">
        <f>TrRoad_act!D130</f>
        <v>16337</v>
      </c>
      <c r="E49" s="84">
        <f>TrRoad_act!E130</f>
        <v>18167</v>
      </c>
      <c r="F49" s="84">
        <f>TrRoad_act!F130</f>
        <v>34401</v>
      </c>
      <c r="G49" s="84">
        <f>TrRoad_act!G130</f>
        <v>23666</v>
      </c>
      <c r="H49" s="84">
        <f>TrRoad_act!H130</f>
        <v>26014</v>
      </c>
      <c r="I49" s="84">
        <f>TrRoad_act!I130</f>
        <v>30723</v>
      </c>
      <c r="J49" s="84">
        <f>TrRoad_act!J130</f>
        <v>37809</v>
      </c>
      <c r="K49" s="84">
        <f>TrRoad_act!K130</f>
        <v>34042</v>
      </c>
      <c r="L49" s="84">
        <f>TrRoad_act!L130</f>
        <v>34357</v>
      </c>
      <c r="M49" s="84">
        <f>TrRoad_act!M130</f>
        <v>37773</v>
      </c>
      <c r="N49" s="84">
        <f>TrRoad_act!N130</f>
        <v>35213</v>
      </c>
      <c r="O49" s="84">
        <f>TrRoad_act!O130</f>
        <v>35086</v>
      </c>
      <c r="P49" s="84">
        <f>TrRoad_act!P130</f>
        <v>35146</v>
      </c>
      <c r="Q49" s="84">
        <f>TrRoad_act!Q130</f>
        <v>36727</v>
      </c>
      <c r="R49" s="84">
        <f>TrRoad_act!R130</f>
        <v>39678</v>
      </c>
      <c r="S49" s="84">
        <f>TrRoad_act!S130</f>
        <v>41817</v>
      </c>
      <c r="T49" s="84">
        <f>TrRoad_act!T130</f>
        <v>42853</v>
      </c>
      <c r="U49" s="84">
        <f>TrRoad_act!U130</f>
        <v>43849</v>
      </c>
      <c r="V49" s="84">
        <f>TrRoad_act!V130</f>
        <v>42858</v>
      </c>
      <c r="W49" s="84">
        <f>TrRoad_act!W130</f>
        <v>41795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3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1</v>
      </c>
      <c r="H51" s="84">
        <f>TrRoad_act!H132</f>
        <v>0</v>
      </c>
      <c r="I51" s="84">
        <f>TrRoad_act!I132</f>
        <v>7</v>
      </c>
      <c r="J51" s="84">
        <f>TrRoad_act!J132</f>
        <v>12</v>
      </c>
      <c r="K51" s="84">
        <f>TrRoad_act!K132</f>
        <v>17</v>
      </c>
      <c r="L51" s="84">
        <f>TrRoad_act!L132</f>
        <v>15</v>
      </c>
      <c r="M51" s="84">
        <f>TrRoad_act!M132</f>
        <v>25</v>
      </c>
      <c r="N51" s="84">
        <f>TrRoad_act!N132</f>
        <v>23</v>
      </c>
      <c r="O51" s="84">
        <f>TrRoad_act!O132</f>
        <v>47</v>
      </c>
      <c r="P51" s="84">
        <f>TrRoad_act!P132</f>
        <v>29</v>
      </c>
      <c r="Q51" s="84">
        <f>TrRoad_act!Q132</f>
        <v>31</v>
      </c>
      <c r="R51" s="84">
        <f>TrRoad_act!R132</f>
        <v>45</v>
      </c>
      <c r="S51" s="84">
        <f>TrRoad_act!S132</f>
        <v>128</v>
      </c>
      <c r="T51" s="84">
        <f>TrRoad_act!T132</f>
        <v>172</v>
      </c>
      <c r="U51" s="84">
        <f>TrRoad_act!U132</f>
        <v>205</v>
      </c>
      <c r="V51" s="84">
        <f>TrRoad_act!V132</f>
        <v>187</v>
      </c>
      <c r="W51" s="84">
        <f>TrRoad_act!W132</f>
        <v>65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6</v>
      </c>
      <c r="C52" s="84">
        <f>TrRoad_act!C133</f>
        <v>2</v>
      </c>
      <c r="D52" s="84">
        <f>TrRoad_act!D133</f>
        <v>2</v>
      </c>
      <c r="E52" s="84">
        <f>TrRoad_act!E133</f>
        <v>1</v>
      </c>
      <c r="F52" s="84">
        <f>TrRoad_act!F133</f>
        <v>0</v>
      </c>
      <c r="G52" s="84">
        <f>TrRoad_act!G133</f>
        <v>1</v>
      </c>
      <c r="H52" s="84">
        <f>TrRoad_act!H133</f>
        <v>2</v>
      </c>
      <c r="I52" s="84">
        <f>TrRoad_act!I133</f>
        <v>0</v>
      </c>
      <c r="J52" s="84">
        <f>TrRoad_act!J133</f>
        <v>4</v>
      </c>
      <c r="K52" s="84">
        <f>TrRoad_act!K133</f>
        <v>3</v>
      </c>
      <c r="L52" s="84">
        <f>TrRoad_act!L133</f>
        <v>7</v>
      </c>
      <c r="M52" s="84">
        <f>TrRoad_act!M133</f>
        <v>1</v>
      </c>
      <c r="N52" s="84">
        <f>TrRoad_act!N133</f>
        <v>12</v>
      </c>
      <c r="O52" s="84">
        <f>TrRoad_act!O133</f>
        <v>3</v>
      </c>
      <c r="P52" s="84">
        <f>TrRoad_act!P133</f>
        <v>20</v>
      </c>
      <c r="Q52" s="84">
        <f>TrRoad_act!Q133</f>
        <v>43</v>
      </c>
      <c r="R52" s="84">
        <f>TrRoad_act!R133</f>
        <v>62</v>
      </c>
      <c r="S52" s="84">
        <f>TrRoad_act!S133</f>
        <v>44</v>
      </c>
      <c r="T52" s="84">
        <f>TrRoad_act!T133</f>
        <v>46</v>
      </c>
      <c r="U52" s="84">
        <f>TrRoad_act!U133</f>
        <v>61</v>
      </c>
      <c r="V52" s="84">
        <f>TrRoad_act!V133</f>
        <v>124</v>
      </c>
      <c r="W52" s="84">
        <f>TrRoad_act!W133</f>
        <v>355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60</v>
      </c>
      <c r="C53" s="110">
        <f>TrRoad_act!C134</f>
        <v>5430</v>
      </c>
      <c r="D53" s="110">
        <f>TrRoad_act!D134</f>
        <v>6516</v>
      </c>
      <c r="E53" s="110">
        <f>TrRoad_act!E134</f>
        <v>7614</v>
      </c>
      <c r="F53" s="110">
        <f>TrRoad_act!F134</f>
        <v>9165</v>
      </c>
      <c r="G53" s="110">
        <f>TrRoad_act!G134</f>
        <v>8665</v>
      </c>
      <c r="H53" s="110">
        <f>TrRoad_act!H134</f>
        <v>8710</v>
      </c>
      <c r="I53" s="110">
        <f>TrRoad_act!I134</f>
        <v>11274</v>
      </c>
      <c r="J53" s="110">
        <f>TrRoad_act!J134</f>
        <v>14747</v>
      </c>
      <c r="K53" s="110">
        <f>TrRoad_act!K134</f>
        <v>11634</v>
      </c>
      <c r="L53" s="110">
        <f>TrRoad_act!L134</f>
        <v>12656</v>
      </c>
      <c r="M53" s="110">
        <f>TrRoad_act!M134</f>
        <v>13366</v>
      </c>
      <c r="N53" s="110">
        <f>TrRoad_act!N134</f>
        <v>13075</v>
      </c>
      <c r="O53" s="110">
        <f>TrRoad_act!O134</f>
        <v>12341</v>
      </c>
      <c r="P53" s="110">
        <f>TrRoad_act!P134</f>
        <v>12145</v>
      </c>
      <c r="Q53" s="110">
        <f>TrRoad_act!Q134</f>
        <v>12358</v>
      </c>
      <c r="R53" s="110">
        <f>TrRoad_act!R134</f>
        <v>13513</v>
      </c>
      <c r="S53" s="110">
        <f>TrRoad_act!S134</f>
        <v>14443</v>
      </c>
      <c r="T53" s="110">
        <f>TrRoad_act!T134</f>
        <v>14883</v>
      </c>
      <c r="U53" s="110">
        <f>TrRoad_act!U134</f>
        <v>15365</v>
      </c>
      <c r="V53" s="110">
        <f>TrRoad_act!V134</f>
        <v>13236</v>
      </c>
      <c r="W53" s="110">
        <f>TrRoad_act!W134</f>
        <v>13350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5348</v>
      </c>
      <c r="D54" s="102">
        <f>TrRoad_act!D135</f>
        <v>6436</v>
      </c>
      <c r="E54" s="102">
        <f>TrRoad_act!E135</f>
        <v>7547</v>
      </c>
      <c r="F54" s="102">
        <f>TrRoad_act!F135</f>
        <v>8979</v>
      </c>
      <c r="G54" s="102">
        <f>TrRoad_act!G135</f>
        <v>8571</v>
      </c>
      <c r="H54" s="102">
        <f>TrRoad_act!H135</f>
        <v>8585</v>
      </c>
      <c r="I54" s="102">
        <f>TrRoad_act!I135</f>
        <v>11172</v>
      </c>
      <c r="J54" s="102">
        <f>TrRoad_act!J135</f>
        <v>14637</v>
      </c>
      <c r="K54" s="102">
        <f>TrRoad_act!K135</f>
        <v>11615</v>
      </c>
      <c r="L54" s="102">
        <f>TrRoad_act!L135</f>
        <v>12321</v>
      </c>
      <c r="M54" s="102">
        <f>TrRoad_act!M135</f>
        <v>13366</v>
      </c>
      <c r="N54" s="102">
        <f>TrRoad_act!N135</f>
        <v>12854</v>
      </c>
      <c r="O54" s="102">
        <f>TrRoad_act!O135</f>
        <v>12341</v>
      </c>
      <c r="P54" s="102">
        <f>TrRoad_act!P135</f>
        <v>11871</v>
      </c>
      <c r="Q54" s="102">
        <f>TrRoad_act!Q135</f>
        <v>12153</v>
      </c>
      <c r="R54" s="102">
        <f>TrRoad_act!R135</f>
        <v>13513</v>
      </c>
      <c r="S54" s="102">
        <f>TrRoad_act!S135</f>
        <v>14375</v>
      </c>
      <c r="T54" s="102">
        <f>TrRoad_act!T135</f>
        <v>14687</v>
      </c>
      <c r="U54" s="102">
        <f>TrRoad_act!U135</f>
        <v>15365</v>
      </c>
      <c r="V54" s="102">
        <f>TrRoad_act!V135</f>
        <v>13137</v>
      </c>
      <c r="W54" s="102">
        <f>TrRoad_act!W135</f>
        <v>13026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60</v>
      </c>
      <c r="C55" s="86">
        <f>TrRoad_act!C136</f>
        <v>82</v>
      </c>
      <c r="D55" s="86">
        <f>TrRoad_act!D136</f>
        <v>80</v>
      </c>
      <c r="E55" s="86">
        <f>TrRoad_act!E136</f>
        <v>67</v>
      </c>
      <c r="F55" s="86">
        <f>TrRoad_act!F136</f>
        <v>186</v>
      </c>
      <c r="G55" s="86">
        <f>TrRoad_act!G136</f>
        <v>94</v>
      </c>
      <c r="H55" s="86">
        <f>TrRoad_act!H136</f>
        <v>125</v>
      </c>
      <c r="I55" s="86">
        <f>TrRoad_act!I136</f>
        <v>102</v>
      </c>
      <c r="J55" s="86">
        <f>TrRoad_act!J136</f>
        <v>110</v>
      </c>
      <c r="K55" s="86">
        <f>TrRoad_act!K136</f>
        <v>19</v>
      </c>
      <c r="L55" s="86">
        <f>TrRoad_act!L136</f>
        <v>335</v>
      </c>
      <c r="M55" s="86">
        <f>TrRoad_act!M136</f>
        <v>0</v>
      </c>
      <c r="N55" s="86">
        <f>TrRoad_act!N136</f>
        <v>221</v>
      </c>
      <c r="O55" s="86">
        <f>TrRoad_act!O136</f>
        <v>0</v>
      </c>
      <c r="P55" s="86">
        <f>TrRoad_act!P136</f>
        <v>274</v>
      </c>
      <c r="Q55" s="86">
        <f>TrRoad_act!Q136</f>
        <v>205</v>
      </c>
      <c r="R55" s="86">
        <f>TrRoad_act!R136</f>
        <v>0</v>
      </c>
      <c r="S55" s="86">
        <f>TrRoad_act!S136</f>
        <v>68</v>
      </c>
      <c r="T55" s="86">
        <f>TrRoad_act!T136</f>
        <v>196</v>
      </c>
      <c r="U55" s="86">
        <f>TrRoad_act!U136</f>
        <v>0</v>
      </c>
      <c r="V55" s="86">
        <f>TrRoad_act!V136</f>
        <v>99</v>
      </c>
      <c r="W55" s="86">
        <f>TrRoad_act!W136</f>
        <v>324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51381</v>
      </c>
      <c r="C59" s="54">
        <f t="shared" si="0"/>
        <v>54094</v>
      </c>
      <c r="D59" s="54">
        <f t="shared" si="0"/>
        <v>69924</v>
      </c>
      <c r="E59" s="54">
        <f t="shared" si="0"/>
        <v>98097</v>
      </c>
      <c r="F59" s="54">
        <f t="shared" si="0"/>
        <v>125458</v>
      </c>
      <c r="G59" s="54">
        <f t="shared" si="0"/>
        <v>150179</v>
      </c>
      <c r="H59" s="54">
        <f t="shared" si="0"/>
        <v>185860</v>
      </c>
      <c r="I59" s="54">
        <f t="shared" si="0"/>
        <v>202428</v>
      </c>
      <c r="J59" s="54">
        <f t="shared" si="0"/>
        <v>252778</v>
      </c>
      <c r="K59" s="54">
        <f t="shared" si="0"/>
        <v>218441</v>
      </c>
      <c r="L59" s="54">
        <f t="shared" ref="L59" si="1">L60+L75</f>
        <v>255877</v>
      </c>
      <c r="M59" s="54">
        <f t="shared" ref="M59:V59" si="2">M60+M75</f>
        <v>281823</v>
      </c>
      <c r="N59" s="54">
        <f t="shared" si="2"/>
        <v>268818</v>
      </c>
      <c r="O59" s="54">
        <f t="shared" si="2"/>
        <v>264005</v>
      </c>
      <c r="P59" s="54">
        <f t="shared" si="2"/>
        <v>272756</v>
      </c>
      <c r="Q59" s="54">
        <f t="shared" si="2"/>
        <v>290542</v>
      </c>
      <c r="R59" s="54">
        <f t="shared" si="2"/>
        <v>311761</v>
      </c>
      <c r="S59" s="54">
        <f t="shared" si="2"/>
        <v>325540</v>
      </c>
      <c r="T59" s="54">
        <f t="shared" si="2"/>
        <v>339510</v>
      </c>
      <c r="U59" s="54">
        <f t="shared" si="2"/>
        <v>343641</v>
      </c>
      <c r="V59" s="54">
        <f t="shared" si="2"/>
        <v>328694</v>
      </c>
      <c r="W59" s="54">
        <f t="shared" ref="W59" si="3">W60+W75</f>
        <v>342176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51360</v>
      </c>
      <c r="C60" s="28">
        <f t="shared" si="4"/>
        <v>54093</v>
      </c>
      <c r="D60" s="28">
        <f t="shared" si="4"/>
        <v>69923</v>
      </c>
      <c r="E60" s="28">
        <f t="shared" si="4"/>
        <v>98097</v>
      </c>
      <c r="F60" s="28">
        <f t="shared" si="4"/>
        <v>124763</v>
      </c>
      <c r="G60" s="28">
        <f t="shared" si="4"/>
        <v>144078</v>
      </c>
      <c r="H60" s="28">
        <f t="shared" si="4"/>
        <v>173036</v>
      </c>
      <c r="I60" s="28">
        <f t="shared" si="4"/>
        <v>180233</v>
      </c>
      <c r="J60" s="28">
        <f t="shared" si="4"/>
        <v>220560</v>
      </c>
      <c r="K60" s="28">
        <f t="shared" si="4"/>
        <v>187153</v>
      </c>
      <c r="L60" s="28">
        <f t="shared" ref="L60" si="5">L61+L62+L69</f>
        <v>220722</v>
      </c>
      <c r="M60" s="28">
        <f t="shared" ref="M60:V60" si="6">M61+M62+M69</f>
        <v>240528</v>
      </c>
      <c r="N60" s="28">
        <f t="shared" si="6"/>
        <v>227258</v>
      </c>
      <c r="O60" s="28">
        <f t="shared" si="6"/>
        <v>221662</v>
      </c>
      <c r="P60" s="28">
        <f t="shared" si="6"/>
        <v>228556</v>
      </c>
      <c r="Q60" s="28">
        <f t="shared" si="6"/>
        <v>243215</v>
      </c>
      <c r="R60" s="28">
        <f t="shared" si="6"/>
        <v>259208</v>
      </c>
      <c r="S60" s="28">
        <f t="shared" si="6"/>
        <v>269017</v>
      </c>
      <c r="T60" s="28">
        <f t="shared" si="6"/>
        <v>280718</v>
      </c>
      <c r="U60" s="28">
        <f t="shared" si="6"/>
        <v>282663</v>
      </c>
      <c r="V60" s="28">
        <f t="shared" si="6"/>
        <v>271300</v>
      </c>
      <c r="W60" s="28">
        <f t="shared" ref="W60" si="7">W61+W62+W69</f>
        <v>284608</v>
      </c>
      <c r="DA60" s="173" t="s">
        <v>837</v>
      </c>
    </row>
    <row r="61" spans="1:105" ht="11.45" customHeight="1" x14ac:dyDescent="0.25">
      <c r="A61" s="136" t="s">
        <v>180</v>
      </c>
      <c r="B61" s="137">
        <v>5080</v>
      </c>
      <c r="C61" s="137">
        <v>11035</v>
      </c>
      <c r="D61" s="137">
        <v>15841</v>
      </c>
      <c r="E61" s="137">
        <v>21220</v>
      </c>
      <c r="F61" s="137">
        <v>27216</v>
      </c>
      <c r="G61" s="137">
        <v>32943</v>
      </c>
      <c r="H61" s="137">
        <v>41230</v>
      </c>
      <c r="I61" s="137">
        <v>44638</v>
      </c>
      <c r="J61" s="137">
        <v>53927</v>
      </c>
      <c r="K61" s="137">
        <v>44774</v>
      </c>
      <c r="L61" s="137">
        <v>41850</v>
      </c>
      <c r="M61" s="137">
        <v>41731</v>
      </c>
      <c r="N61" s="137">
        <v>34623</v>
      </c>
      <c r="O61" s="137">
        <v>28733</v>
      </c>
      <c r="P61" s="137">
        <v>26674</v>
      </c>
      <c r="Q61" s="137">
        <v>26049</v>
      </c>
      <c r="R61" s="137">
        <v>23711</v>
      </c>
      <c r="S61" s="137">
        <v>25765</v>
      </c>
      <c r="T61" s="137">
        <v>23577</v>
      </c>
      <c r="U61" s="137">
        <v>24251</v>
      </c>
      <c r="V61" s="137">
        <v>27254</v>
      </c>
      <c r="W61" s="137">
        <v>23941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46261</v>
      </c>
      <c r="C62" s="110">
        <f t="shared" si="8"/>
        <v>43055</v>
      </c>
      <c r="D62" s="110">
        <f t="shared" si="8"/>
        <v>54082</v>
      </c>
      <c r="E62" s="110">
        <f t="shared" si="8"/>
        <v>76721</v>
      </c>
      <c r="F62" s="110">
        <f t="shared" si="8"/>
        <v>97045</v>
      </c>
      <c r="G62" s="110">
        <f t="shared" si="8"/>
        <v>110603</v>
      </c>
      <c r="H62" s="110">
        <f t="shared" si="8"/>
        <v>131145</v>
      </c>
      <c r="I62" s="110">
        <f t="shared" si="8"/>
        <v>134835</v>
      </c>
      <c r="J62" s="110">
        <f t="shared" si="8"/>
        <v>165551</v>
      </c>
      <c r="K62" s="110">
        <f t="shared" si="8"/>
        <v>141231</v>
      </c>
      <c r="L62" s="110">
        <f t="shared" ref="L62" si="9">SUM(L63:L68)</f>
        <v>177762</v>
      </c>
      <c r="M62" s="110">
        <f t="shared" ref="M62:V62" si="10">SUM(M63:M68)</f>
        <v>197687</v>
      </c>
      <c r="N62" s="110">
        <f t="shared" si="10"/>
        <v>191377</v>
      </c>
      <c r="O62" s="110">
        <f t="shared" si="10"/>
        <v>191709</v>
      </c>
      <c r="P62" s="110">
        <f t="shared" si="10"/>
        <v>200519</v>
      </c>
      <c r="Q62" s="110">
        <f t="shared" si="10"/>
        <v>215859</v>
      </c>
      <c r="R62" s="110">
        <f t="shared" si="10"/>
        <v>234258</v>
      </c>
      <c r="S62" s="110">
        <f t="shared" si="10"/>
        <v>242012</v>
      </c>
      <c r="T62" s="110">
        <f t="shared" si="10"/>
        <v>255999</v>
      </c>
      <c r="U62" s="110">
        <f t="shared" si="10"/>
        <v>256959</v>
      </c>
      <c r="V62" s="110">
        <f t="shared" si="10"/>
        <v>243021</v>
      </c>
      <c r="W62" s="110">
        <f t="shared" ref="W62" si="11">SUM(W63:W68)</f>
        <v>259473</v>
      </c>
      <c r="DA62" s="176" t="s">
        <v>839</v>
      </c>
    </row>
    <row r="63" spans="1:105" ht="11.45" customHeight="1" x14ac:dyDescent="0.25">
      <c r="A63" s="111" t="s">
        <v>110</v>
      </c>
      <c r="B63" s="84">
        <v>46261</v>
      </c>
      <c r="C63" s="84">
        <v>43055</v>
      </c>
      <c r="D63" s="84">
        <v>54082</v>
      </c>
      <c r="E63" s="84">
        <v>74278</v>
      </c>
      <c r="F63" s="84">
        <v>84471</v>
      </c>
      <c r="G63" s="84">
        <v>94387</v>
      </c>
      <c r="H63" s="84">
        <v>106473</v>
      </c>
      <c r="I63" s="84">
        <v>101581</v>
      </c>
      <c r="J63" s="84">
        <v>98616</v>
      </c>
      <c r="K63" s="84">
        <v>90988</v>
      </c>
      <c r="L63" s="84">
        <v>111062</v>
      </c>
      <c r="M63" s="84">
        <v>124796</v>
      </c>
      <c r="N63" s="84">
        <v>127461</v>
      </c>
      <c r="O63" s="84">
        <v>130087</v>
      </c>
      <c r="P63" s="84">
        <v>135953</v>
      </c>
      <c r="Q63" s="84">
        <v>150966</v>
      </c>
      <c r="R63" s="84">
        <v>160651</v>
      </c>
      <c r="S63" s="84">
        <v>168942</v>
      </c>
      <c r="T63" s="84">
        <v>180847</v>
      </c>
      <c r="U63" s="84">
        <v>182881</v>
      </c>
      <c r="V63" s="84">
        <v>166350</v>
      </c>
      <c r="W63" s="84">
        <v>167813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2443</v>
      </c>
      <c r="F64" s="84">
        <v>12574</v>
      </c>
      <c r="G64" s="84">
        <v>16216</v>
      </c>
      <c r="H64" s="84">
        <v>24671</v>
      </c>
      <c r="I64" s="84">
        <v>33163</v>
      </c>
      <c r="J64" s="84">
        <v>66843</v>
      </c>
      <c r="K64" s="84">
        <v>50099</v>
      </c>
      <c r="L64" s="84">
        <v>66575</v>
      </c>
      <c r="M64" s="84">
        <v>72730</v>
      </c>
      <c r="N64" s="84">
        <v>63542</v>
      </c>
      <c r="O64" s="84">
        <v>61226</v>
      </c>
      <c r="P64" s="84">
        <v>63881</v>
      </c>
      <c r="Q64" s="84">
        <v>63945</v>
      </c>
      <c r="R64" s="84">
        <v>71651</v>
      </c>
      <c r="S64" s="84">
        <v>67868</v>
      </c>
      <c r="T64" s="84">
        <v>64383</v>
      </c>
      <c r="U64" s="84">
        <v>56413</v>
      </c>
      <c r="V64" s="84">
        <v>47721</v>
      </c>
      <c r="W64" s="84">
        <v>45836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1</v>
      </c>
      <c r="I66" s="84">
        <v>91</v>
      </c>
      <c r="J66" s="84">
        <v>92</v>
      </c>
      <c r="K66" s="84">
        <v>142</v>
      </c>
      <c r="L66" s="84">
        <v>110</v>
      </c>
      <c r="M66" s="84">
        <v>130</v>
      </c>
      <c r="N66" s="84">
        <v>203</v>
      </c>
      <c r="O66" s="84">
        <v>185</v>
      </c>
      <c r="P66" s="84">
        <v>228</v>
      </c>
      <c r="Q66" s="84">
        <v>254</v>
      </c>
      <c r="R66" s="84">
        <v>322</v>
      </c>
      <c r="S66" s="84">
        <v>1334</v>
      </c>
      <c r="T66" s="84">
        <v>2450</v>
      </c>
      <c r="U66" s="84">
        <v>3790</v>
      </c>
      <c r="V66" s="84">
        <v>2993</v>
      </c>
      <c r="W66" s="84">
        <v>1147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120</v>
      </c>
      <c r="O67" s="84">
        <v>153</v>
      </c>
      <c r="P67" s="84">
        <v>270</v>
      </c>
      <c r="Q67" s="84">
        <v>443</v>
      </c>
      <c r="R67" s="84">
        <v>1405</v>
      </c>
      <c r="S67" s="84">
        <v>3264</v>
      </c>
      <c r="T67" s="84">
        <v>7363</v>
      </c>
      <c r="U67" s="84">
        <v>11614</v>
      </c>
      <c r="V67" s="84">
        <v>20920</v>
      </c>
      <c r="W67" s="84">
        <v>31438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2</v>
      </c>
      <c r="L68" s="84">
        <v>15</v>
      </c>
      <c r="M68" s="84">
        <v>31</v>
      </c>
      <c r="N68" s="84">
        <v>51</v>
      </c>
      <c r="O68" s="84">
        <v>58</v>
      </c>
      <c r="P68" s="84">
        <v>187</v>
      </c>
      <c r="Q68" s="84">
        <v>251</v>
      </c>
      <c r="R68" s="84">
        <v>229</v>
      </c>
      <c r="S68" s="84">
        <v>604</v>
      </c>
      <c r="T68" s="84">
        <v>956</v>
      </c>
      <c r="U68" s="84">
        <v>2261</v>
      </c>
      <c r="V68" s="84">
        <v>5037</v>
      </c>
      <c r="W68" s="84">
        <v>13239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19</v>
      </c>
      <c r="C69" s="110">
        <f t="shared" si="12"/>
        <v>3</v>
      </c>
      <c r="D69" s="110">
        <f t="shared" si="12"/>
        <v>0</v>
      </c>
      <c r="E69" s="110">
        <f t="shared" si="12"/>
        <v>156</v>
      </c>
      <c r="F69" s="110">
        <f t="shared" si="12"/>
        <v>502</v>
      </c>
      <c r="G69" s="110">
        <f t="shared" si="12"/>
        <v>532</v>
      </c>
      <c r="H69" s="110">
        <f t="shared" si="12"/>
        <v>661</v>
      </c>
      <c r="I69" s="110">
        <f t="shared" si="12"/>
        <v>760</v>
      </c>
      <c r="J69" s="110">
        <f t="shared" si="12"/>
        <v>1082</v>
      </c>
      <c r="K69" s="110">
        <f t="shared" si="12"/>
        <v>1148</v>
      </c>
      <c r="L69" s="110">
        <f t="shared" ref="L69" si="13">SUM(L70:L74)</f>
        <v>1110</v>
      </c>
      <c r="M69" s="110">
        <f t="shared" ref="M69:V69" si="14">SUM(M70:M74)</f>
        <v>1110</v>
      </c>
      <c r="N69" s="110">
        <f t="shared" si="14"/>
        <v>1258</v>
      </c>
      <c r="O69" s="110">
        <f t="shared" si="14"/>
        <v>1220</v>
      </c>
      <c r="P69" s="110">
        <f t="shared" si="14"/>
        <v>1363</v>
      </c>
      <c r="Q69" s="110">
        <f t="shared" si="14"/>
        <v>1307</v>
      </c>
      <c r="R69" s="110">
        <f t="shared" si="14"/>
        <v>1239</v>
      </c>
      <c r="S69" s="110">
        <f t="shared" si="14"/>
        <v>1240</v>
      </c>
      <c r="T69" s="110">
        <f t="shared" si="14"/>
        <v>1142</v>
      </c>
      <c r="U69" s="110">
        <f t="shared" si="14"/>
        <v>1453</v>
      </c>
      <c r="V69" s="110">
        <f t="shared" si="14"/>
        <v>1025</v>
      </c>
      <c r="W69" s="110">
        <f t="shared" ref="W69" si="15">SUM(W70:W74)</f>
        <v>1194</v>
      </c>
      <c r="DA69" s="176" t="s">
        <v>846</v>
      </c>
    </row>
    <row r="70" spans="1:105" ht="11.45" customHeight="1" x14ac:dyDescent="0.25">
      <c r="A70" s="111" t="s">
        <v>110</v>
      </c>
      <c r="B70" s="102">
        <v>19</v>
      </c>
      <c r="C70" s="102">
        <v>3</v>
      </c>
      <c r="D70" s="102">
        <v>0</v>
      </c>
      <c r="E70" s="102">
        <v>0</v>
      </c>
      <c r="F70" s="102">
        <v>1</v>
      </c>
      <c r="G70" s="102">
        <v>3</v>
      </c>
      <c r="H70" s="102">
        <v>0</v>
      </c>
      <c r="I70" s="102">
        <v>1</v>
      </c>
      <c r="J70" s="102">
        <v>0</v>
      </c>
      <c r="K70" s="102">
        <v>2</v>
      </c>
      <c r="L70" s="102">
        <v>1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1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151</v>
      </c>
      <c r="F71" s="102">
        <v>498</v>
      </c>
      <c r="G71" s="102">
        <v>524</v>
      </c>
      <c r="H71" s="102">
        <v>620</v>
      </c>
      <c r="I71" s="102">
        <v>749</v>
      </c>
      <c r="J71" s="102">
        <v>1078</v>
      </c>
      <c r="K71" s="102">
        <v>1135</v>
      </c>
      <c r="L71" s="102">
        <v>1109</v>
      </c>
      <c r="M71" s="102">
        <v>1110</v>
      </c>
      <c r="N71" s="102">
        <v>1258</v>
      </c>
      <c r="O71" s="102">
        <v>1220</v>
      </c>
      <c r="P71" s="102">
        <v>1363</v>
      </c>
      <c r="Q71" s="102">
        <v>1307</v>
      </c>
      <c r="R71" s="102">
        <v>1234</v>
      </c>
      <c r="S71" s="102">
        <v>1225</v>
      </c>
      <c r="T71" s="102">
        <v>1136</v>
      </c>
      <c r="U71" s="102">
        <v>1390</v>
      </c>
      <c r="V71" s="102">
        <v>988</v>
      </c>
      <c r="W71" s="102">
        <v>998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5</v>
      </c>
      <c r="F73" s="102">
        <v>3</v>
      </c>
      <c r="G73" s="102">
        <v>5</v>
      </c>
      <c r="H73" s="102">
        <v>41</v>
      </c>
      <c r="I73" s="102">
        <v>10</v>
      </c>
      <c r="J73" s="102">
        <v>4</v>
      </c>
      <c r="K73" s="102">
        <v>11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6</v>
      </c>
      <c r="T73" s="102">
        <v>4</v>
      </c>
      <c r="U73" s="102">
        <v>15</v>
      </c>
      <c r="V73" s="102">
        <v>10</v>
      </c>
      <c r="W73" s="102">
        <v>5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5</v>
      </c>
      <c r="S74" s="102">
        <v>8</v>
      </c>
      <c r="T74" s="102">
        <v>2</v>
      </c>
      <c r="U74" s="102">
        <v>48</v>
      </c>
      <c r="V74" s="102">
        <v>27</v>
      </c>
      <c r="W74" s="102">
        <v>191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21</v>
      </c>
      <c r="C75" s="28">
        <f t="shared" si="16"/>
        <v>1</v>
      </c>
      <c r="D75" s="28">
        <f t="shared" si="16"/>
        <v>1</v>
      </c>
      <c r="E75" s="28">
        <f t="shared" si="16"/>
        <v>0</v>
      </c>
      <c r="F75" s="28">
        <f t="shared" si="16"/>
        <v>695</v>
      </c>
      <c r="G75" s="28">
        <f t="shared" si="16"/>
        <v>6101</v>
      </c>
      <c r="H75" s="28">
        <f t="shared" si="16"/>
        <v>12824</v>
      </c>
      <c r="I75" s="28">
        <f t="shared" si="16"/>
        <v>22195</v>
      </c>
      <c r="J75" s="28">
        <f t="shared" si="16"/>
        <v>32218</v>
      </c>
      <c r="K75" s="28">
        <f t="shared" si="16"/>
        <v>31288</v>
      </c>
      <c r="L75" s="28">
        <f t="shared" ref="L75" si="17">L76+L82</f>
        <v>35155</v>
      </c>
      <c r="M75" s="28">
        <f t="shared" ref="M75:V75" si="18">M76+M82</f>
        <v>41295</v>
      </c>
      <c r="N75" s="28">
        <f t="shared" si="18"/>
        <v>41560</v>
      </c>
      <c r="O75" s="28">
        <f t="shared" si="18"/>
        <v>42343</v>
      </c>
      <c r="P75" s="28">
        <f t="shared" si="18"/>
        <v>44200</v>
      </c>
      <c r="Q75" s="28">
        <f t="shared" si="18"/>
        <v>47327</v>
      </c>
      <c r="R75" s="28">
        <f t="shared" si="18"/>
        <v>52553</v>
      </c>
      <c r="S75" s="28">
        <f t="shared" si="18"/>
        <v>56523</v>
      </c>
      <c r="T75" s="28">
        <f t="shared" si="18"/>
        <v>58792</v>
      </c>
      <c r="U75" s="28">
        <f t="shared" si="18"/>
        <v>60978</v>
      </c>
      <c r="V75" s="28">
        <f t="shared" si="18"/>
        <v>57394</v>
      </c>
      <c r="W75" s="28">
        <f t="shared" ref="W75" si="19">W76+W82</f>
        <v>57568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21</v>
      </c>
      <c r="C76" s="137">
        <f t="shared" si="20"/>
        <v>1</v>
      </c>
      <c r="D76" s="137">
        <f t="shared" si="20"/>
        <v>1</v>
      </c>
      <c r="E76" s="137">
        <f t="shared" si="20"/>
        <v>0</v>
      </c>
      <c r="F76" s="137">
        <f t="shared" si="20"/>
        <v>695</v>
      </c>
      <c r="G76" s="137">
        <f t="shared" si="20"/>
        <v>6101</v>
      </c>
      <c r="H76" s="137">
        <f t="shared" si="20"/>
        <v>9567</v>
      </c>
      <c r="I76" s="137">
        <f t="shared" si="20"/>
        <v>14881</v>
      </c>
      <c r="J76" s="137">
        <f t="shared" si="20"/>
        <v>21440</v>
      </c>
      <c r="K76" s="137">
        <f t="shared" si="20"/>
        <v>21924</v>
      </c>
      <c r="L76" s="137">
        <f t="shared" ref="L76" si="21">SUM(L77:L81)</f>
        <v>24480</v>
      </c>
      <c r="M76" s="137">
        <f t="shared" ref="M76:V76" si="22">SUM(M77:M81)</f>
        <v>29132</v>
      </c>
      <c r="N76" s="137">
        <f t="shared" si="22"/>
        <v>29273</v>
      </c>
      <c r="O76" s="137">
        <f t="shared" si="22"/>
        <v>30375</v>
      </c>
      <c r="P76" s="137">
        <f t="shared" si="22"/>
        <v>32307</v>
      </c>
      <c r="Q76" s="137">
        <f t="shared" si="22"/>
        <v>35099</v>
      </c>
      <c r="R76" s="137">
        <f t="shared" si="22"/>
        <v>39071</v>
      </c>
      <c r="S76" s="137">
        <f t="shared" si="22"/>
        <v>42101</v>
      </c>
      <c r="T76" s="137">
        <f t="shared" si="22"/>
        <v>43941</v>
      </c>
      <c r="U76" s="137">
        <f t="shared" si="22"/>
        <v>45613</v>
      </c>
      <c r="V76" s="137">
        <f t="shared" si="22"/>
        <v>44162</v>
      </c>
      <c r="W76" s="137">
        <f t="shared" ref="W76" si="23">SUM(W77:W81)</f>
        <v>44218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205</v>
      </c>
      <c r="I77" s="84">
        <v>651</v>
      </c>
      <c r="J77" s="84">
        <v>1385</v>
      </c>
      <c r="K77" s="84">
        <v>1670</v>
      </c>
      <c r="L77" s="84">
        <v>1898</v>
      </c>
      <c r="M77" s="84">
        <v>2075</v>
      </c>
      <c r="N77" s="84">
        <v>2115</v>
      </c>
      <c r="O77" s="84">
        <v>1560</v>
      </c>
      <c r="P77" s="84">
        <v>1904</v>
      </c>
      <c r="Q77" s="84">
        <v>1922</v>
      </c>
      <c r="R77" s="84">
        <v>1956</v>
      </c>
      <c r="S77" s="84">
        <v>1881</v>
      </c>
      <c r="T77" s="84">
        <v>1872</v>
      </c>
      <c r="U77" s="84">
        <v>1945</v>
      </c>
      <c r="V77" s="84">
        <v>1994</v>
      </c>
      <c r="W77" s="84">
        <v>2003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695</v>
      </c>
      <c r="G78" s="84">
        <v>6100</v>
      </c>
      <c r="H78" s="84">
        <v>9361</v>
      </c>
      <c r="I78" s="84">
        <v>14230</v>
      </c>
      <c r="J78" s="84">
        <v>20045</v>
      </c>
      <c r="K78" s="84">
        <v>20237</v>
      </c>
      <c r="L78" s="84">
        <v>22563</v>
      </c>
      <c r="M78" s="84">
        <v>27033</v>
      </c>
      <c r="N78" s="84">
        <v>27126</v>
      </c>
      <c r="O78" s="84">
        <v>28767</v>
      </c>
      <c r="P78" s="84">
        <v>30356</v>
      </c>
      <c r="Q78" s="84">
        <v>33106</v>
      </c>
      <c r="R78" s="84">
        <v>37010</v>
      </c>
      <c r="S78" s="84">
        <v>40050</v>
      </c>
      <c r="T78" s="84">
        <v>41851</v>
      </c>
      <c r="U78" s="84">
        <v>43402</v>
      </c>
      <c r="V78" s="84">
        <v>41857</v>
      </c>
      <c r="W78" s="84">
        <v>41795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7</v>
      </c>
      <c r="K80" s="84">
        <v>15</v>
      </c>
      <c r="L80" s="84">
        <v>14</v>
      </c>
      <c r="M80" s="84">
        <v>23</v>
      </c>
      <c r="N80" s="84">
        <v>22</v>
      </c>
      <c r="O80" s="84">
        <v>45</v>
      </c>
      <c r="P80" s="84">
        <v>29</v>
      </c>
      <c r="Q80" s="84">
        <v>31</v>
      </c>
      <c r="R80" s="84">
        <v>45</v>
      </c>
      <c r="S80" s="84">
        <v>127</v>
      </c>
      <c r="T80" s="84">
        <v>172</v>
      </c>
      <c r="U80" s="84">
        <v>205</v>
      </c>
      <c r="V80" s="84">
        <v>187</v>
      </c>
      <c r="W80" s="84">
        <v>65</v>
      </c>
      <c r="DA80" s="171" t="s">
        <v>857</v>
      </c>
    </row>
    <row r="81" spans="1:105" ht="11.45" customHeight="1" x14ac:dyDescent="0.25">
      <c r="A81" s="111" t="s">
        <v>115</v>
      </c>
      <c r="B81" s="84">
        <v>21</v>
      </c>
      <c r="C81" s="84">
        <v>1</v>
      </c>
      <c r="D81" s="84">
        <v>1</v>
      </c>
      <c r="E81" s="84">
        <v>0</v>
      </c>
      <c r="F81" s="84">
        <v>0</v>
      </c>
      <c r="G81" s="84">
        <v>1</v>
      </c>
      <c r="H81" s="84">
        <v>1</v>
      </c>
      <c r="I81" s="84">
        <v>0</v>
      </c>
      <c r="J81" s="84">
        <v>3</v>
      </c>
      <c r="K81" s="84">
        <v>2</v>
      </c>
      <c r="L81" s="84">
        <v>5</v>
      </c>
      <c r="M81" s="84">
        <v>1</v>
      </c>
      <c r="N81" s="84">
        <v>10</v>
      </c>
      <c r="O81" s="84">
        <v>3</v>
      </c>
      <c r="P81" s="84">
        <v>18</v>
      </c>
      <c r="Q81" s="84">
        <v>40</v>
      </c>
      <c r="R81" s="84">
        <v>60</v>
      </c>
      <c r="S81" s="84">
        <v>43</v>
      </c>
      <c r="T81" s="84">
        <v>46</v>
      </c>
      <c r="U81" s="84">
        <v>61</v>
      </c>
      <c r="V81" s="84">
        <v>124</v>
      </c>
      <c r="W81" s="84">
        <v>355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3257</v>
      </c>
      <c r="I82" s="110">
        <f t="shared" si="24"/>
        <v>7314</v>
      </c>
      <c r="J82" s="110">
        <f t="shared" si="24"/>
        <v>10778</v>
      </c>
      <c r="K82" s="110">
        <f t="shared" si="24"/>
        <v>9364</v>
      </c>
      <c r="L82" s="110">
        <f t="shared" ref="L82" si="25">SUM(L83:L84)</f>
        <v>10675</v>
      </c>
      <c r="M82" s="110">
        <f t="shared" ref="M82:V82" si="26">SUM(M83:M84)</f>
        <v>12163</v>
      </c>
      <c r="N82" s="110">
        <f t="shared" si="26"/>
        <v>12287</v>
      </c>
      <c r="O82" s="110">
        <f t="shared" si="26"/>
        <v>11968</v>
      </c>
      <c r="P82" s="110">
        <f t="shared" si="26"/>
        <v>11893</v>
      </c>
      <c r="Q82" s="110">
        <f t="shared" si="26"/>
        <v>12228</v>
      </c>
      <c r="R82" s="110">
        <f t="shared" si="26"/>
        <v>13482</v>
      </c>
      <c r="S82" s="110">
        <f t="shared" si="26"/>
        <v>14422</v>
      </c>
      <c r="T82" s="110">
        <f t="shared" si="26"/>
        <v>14851</v>
      </c>
      <c r="U82" s="110">
        <f t="shared" si="26"/>
        <v>15365</v>
      </c>
      <c r="V82" s="110">
        <f t="shared" si="26"/>
        <v>13232</v>
      </c>
      <c r="W82" s="110">
        <f t="shared" ref="W82" si="27">SUM(W83:W84)</f>
        <v>13350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3257</v>
      </c>
      <c r="I83" s="102">
        <v>7314</v>
      </c>
      <c r="J83" s="102">
        <v>10778</v>
      </c>
      <c r="K83" s="102">
        <v>9364</v>
      </c>
      <c r="L83" s="102">
        <v>10646</v>
      </c>
      <c r="M83" s="102">
        <v>12163</v>
      </c>
      <c r="N83" s="102">
        <v>12144</v>
      </c>
      <c r="O83" s="102">
        <v>11968</v>
      </c>
      <c r="P83" s="102">
        <v>11700</v>
      </c>
      <c r="Q83" s="102">
        <v>12079</v>
      </c>
      <c r="R83" s="102">
        <v>13482</v>
      </c>
      <c r="S83" s="102">
        <v>14366</v>
      </c>
      <c r="T83" s="102">
        <v>14685</v>
      </c>
      <c r="U83" s="102">
        <v>15365</v>
      </c>
      <c r="V83" s="102">
        <v>13137</v>
      </c>
      <c r="W83" s="102">
        <v>13026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29</v>
      </c>
      <c r="M84" s="86">
        <v>0</v>
      </c>
      <c r="N84" s="86">
        <v>143</v>
      </c>
      <c r="O84" s="86">
        <v>0</v>
      </c>
      <c r="P84" s="86">
        <v>193</v>
      </c>
      <c r="Q84" s="86">
        <v>149</v>
      </c>
      <c r="R84" s="86">
        <v>0</v>
      </c>
      <c r="S84" s="86">
        <v>56</v>
      </c>
      <c r="T84" s="86">
        <v>166</v>
      </c>
      <c r="U84" s="86">
        <v>0</v>
      </c>
      <c r="V84" s="86">
        <v>95</v>
      </c>
      <c r="W84" s="86">
        <v>324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4.2483254296430601</v>
      </c>
      <c r="C90" s="141">
        <v>4.1919112353060966</v>
      </c>
      <c r="D90" s="141">
        <v>4.1287680259597597</v>
      </c>
      <c r="E90" s="141">
        <v>4.0575698025161691</v>
      </c>
      <c r="F90" s="141">
        <v>3.9946601734792275</v>
      </c>
      <c r="G90" s="141">
        <v>3.9345957722739904</v>
      </c>
      <c r="H90" s="141">
        <v>3.8718317816763079</v>
      </c>
      <c r="I90" s="141">
        <v>3.820095227400476</v>
      </c>
      <c r="J90" s="141">
        <v>3.7342802769383052</v>
      </c>
      <c r="K90" s="141">
        <v>3.6588072586324452</v>
      </c>
      <c r="L90" s="141">
        <v>3.584093819070314</v>
      </c>
      <c r="M90" s="141">
        <v>3.5084162579176401</v>
      </c>
      <c r="N90" s="141">
        <v>3.4443383920931789</v>
      </c>
      <c r="O90" s="141">
        <v>3.4003358128661603</v>
      </c>
      <c r="P90" s="141">
        <v>3.3423634465418832</v>
      </c>
      <c r="Q90" s="141">
        <v>3.3003910312383553</v>
      </c>
      <c r="R90" s="141">
        <v>3.2495669433605325</v>
      </c>
      <c r="S90" s="141">
        <v>3.2086268735425314</v>
      </c>
      <c r="T90" s="141">
        <v>3.1676630192796766</v>
      </c>
      <c r="U90" s="141">
        <v>3.1260720234599106</v>
      </c>
      <c r="V90" s="141">
        <v>3.0809551980125218</v>
      </c>
      <c r="W90" s="141">
        <v>2.9673978126552099</v>
      </c>
      <c r="DA90" s="174" t="s">
        <v>862</v>
      </c>
    </row>
    <row r="91" spans="1:105" ht="11.45" customHeight="1" x14ac:dyDescent="0.25">
      <c r="A91" s="109" t="s">
        <v>20</v>
      </c>
      <c r="B91" s="130">
        <v>6.7614502637124927</v>
      </c>
      <c r="C91" s="130">
        <v>6.6994288374822917</v>
      </c>
      <c r="D91" s="130">
        <v>6.6741607652109884</v>
      </c>
      <c r="E91" s="130">
        <v>6.646568562520935</v>
      </c>
      <c r="F91" s="130">
        <v>6.6165012787685962</v>
      </c>
      <c r="G91" s="130">
        <v>6.5962294043171674</v>
      </c>
      <c r="H91" s="130">
        <v>6.5751212727295743</v>
      </c>
      <c r="I91" s="130">
        <v>6.5560648254974705</v>
      </c>
      <c r="J91" s="130">
        <v>6.5335217888933181</v>
      </c>
      <c r="K91" s="130">
        <v>6.5187637720052871</v>
      </c>
      <c r="L91" s="130">
        <v>6.494312794835241</v>
      </c>
      <c r="M91" s="130">
        <v>6.4613568056283688</v>
      </c>
      <c r="N91" s="130">
        <v>6.4304347486463858</v>
      </c>
      <c r="O91" s="130">
        <v>6.3849491428314833</v>
      </c>
      <c r="P91" s="130">
        <v>6.3293651044191526</v>
      </c>
      <c r="Q91" s="130">
        <v>6.2757932985321689</v>
      </c>
      <c r="R91" s="130">
        <v>6.2035551096451265</v>
      </c>
      <c r="S91" s="130">
        <v>6.1333478736715987</v>
      </c>
      <c r="T91" s="130">
        <v>6.0402529187697693</v>
      </c>
      <c r="U91" s="130">
        <v>5.9433508123537981</v>
      </c>
      <c r="V91" s="130">
        <v>5.8484142729727875</v>
      </c>
      <c r="W91" s="130">
        <v>5.7113730338192301</v>
      </c>
      <c r="DA91" s="176" t="s">
        <v>863</v>
      </c>
    </row>
    <row r="92" spans="1:105" ht="11.45" customHeight="1" x14ac:dyDescent="0.25">
      <c r="A92" s="111" t="s">
        <v>110</v>
      </c>
      <c r="B92" s="96">
        <v>6.6777275401814666</v>
      </c>
      <c r="C92" s="96">
        <v>6.639026427305577</v>
      </c>
      <c r="D92" s="96">
        <v>6.617872468946894</v>
      </c>
      <c r="E92" s="96">
        <v>6.5930303670446051</v>
      </c>
      <c r="F92" s="96">
        <v>6.5683053622589922</v>
      </c>
      <c r="G92" s="96">
        <v>6.5431598252088241</v>
      </c>
      <c r="H92" s="96">
        <v>6.516508829466761</v>
      </c>
      <c r="I92" s="96">
        <v>6.4911200746644946</v>
      </c>
      <c r="J92" s="96">
        <v>6.469134239228616</v>
      </c>
      <c r="K92" s="96">
        <v>6.4525765906291497</v>
      </c>
      <c r="L92" s="96">
        <v>6.4279612998919315</v>
      </c>
      <c r="M92" s="96">
        <v>6.3928613973151753</v>
      </c>
      <c r="N92" s="96">
        <v>6.3579866018060915</v>
      </c>
      <c r="O92" s="96">
        <v>6.3083763600501745</v>
      </c>
      <c r="P92" s="96">
        <v>6.2546070181856104</v>
      </c>
      <c r="Q92" s="96">
        <v>6.1974889741877845</v>
      </c>
      <c r="R92" s="96">
        <v>6.1190477456251058</v>
      </c>
      <c r="S92" s="96">
        <v>6.0365868616105942</v>
      </c>
      <c r="T92" s="96">
        <v>5.932640239581608</v>
      </c>
      <c r="U92" s="96">
        <v>5.8334665273790201</v>
      </c>
      <c r="V92" s="96">
        <v>5.7419183038841766</v>
      </c>
      <c r="W92" s="96">
        <v>5.6273151136438022</v>
      </c>
      <c r="DA92" s="171" t="s">
        <v>864</v>
      </c>
    </row>
    <row r="93" spans="1:105" ht="11.45" customHeight="1" x14ac:dyDescent="0.25">
      <c r="A93" s="111" t="s">
        <v>111</v>
      </c>
      <c r="B93" s="96">
        <v>7.4922958259918317</v>
      </c>
      <c r="C93" s="96">
        <v>7.0380619624669887</v>
      </c>
      <c r="D93" s="96">
        <v>6.9251932931881308</v>
      </c>
      <c r="E93" s="96">
        <v>6.8321892221057023</v>
      </c>
      <c r="F93" s="96">
        <v>6.7550301072199801</v>
      </c>
      <c r="G93" s="96">
        <v>6.7397511502451843</v>
      </c>
      <c r="H93" s="96">
        <v>6.747622451937124</v>
      </c>
      <c r="I93" s="96">
        <v>6.7594442960884829</v>
      </c>
      <c r="J93" s="96">
        <v>6.7000367348320991</v>
      </c>
      <c r="K93" s="96">
        <v>6.6732253587509316</v>
      </c>
      <c r="L93" s="96">
        <v>6.6335459035183986</v>
      </c>
      <c r="M93" s="96">
        <v>6.5891942073723788</v>
      </c>
      <c r="N93" s="96">
        <v>6.5450209535519583</v>
      </c>
      <c r="O93" s="96">
        <v>6.4798549893366522</v>
      </c>
      <c r="P93" s="96">
        <v>6.3966753711004216</v>
      </c>
      <c r="Q93" s="96">
        <v>6.3091182360188753</v>
      </c>
      <c r="R93" s="96">
        <v>6.2195077075410428</v>
      </c>
      <c r="S93" s="96">
        <v>6.1433176734263535</v>
      </c>
      <c r="T93" s="96">
        <v>6.0713465714176245</v>
      </c>
      <c r="U93" s="96">
        <v>6.0036716963777188</v>
      </c>
      <c r="V93" s="96">
        <v>5.9363363424656166</v>
      </c>
      <c r="W93" s="96">
        <v>5.8619952088147542</v>
      </c>
      <c r="DA93" s="171" t="s">
        <v>865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96">
        <v>0</v>
      </c>
      <c r="N94" s="96">
        <v>0</v>
      </c>
      <c r="O94" s="96">
        <v>0</v>
      </c>
      <c r="P94" s="96">
        <v>0</v>
      </c>
      <c r="Q94" s="96">
        <v>0</v>
      </c>
      <c r="R94" s="96">
        <v>0</v>
      </c>
      <c r="S94" s="96">
        <v>0</v>
      </c>
      <c r="T94" s="96">
        <v>0</v>
      </c>
      <c r="U94" s="96">
        <v>0</v>
      </c>
      <c r="V94" s="96">
        <v>0</v>
      </c>
      <c r="W94" s="96">
        <v>0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8.2915018849079249</v>
      </c>
      <c r="I95" s="96">
        <v>8.3108580765935756</v>
      </c>
      <c r="J95" s="96">
        <v>8.0221139765836362</v>
      </c>
      <c r="K95" s="96">
        <v>7.7515581138186143</v>
      </c>
      <c r="L95" s="96">
        <v>7.5755236382804778</v>
      </c>
      <c r="M95" s="96">
        <v>7.6941602088752203</v>
      </c>
      <c r="N95" s="96">
        <v>7.732227535031357</v>
      </c>
      <c r="O95" s="96">
        <v>7.3787701271976065</v>
      </c>
      <c r="P95" s="96">
        <v>6.8963026584824041</v>
      </c>
      <c r="Q95" s="96">
        <v>6.5074593650814103</v>
      </c>
      <c r="R95" s="96">
        <v>6.2090919407896283</v>
      </c>
      <c r="S95" s="96">
        <v>5.6934822555709319</v>
      </c>
      <c r="T95" s="96">
        <v>5.5526395383651863</v>
      </c>
      <c r="U95" s="96">
        <v>5.2638812420859677</v>
      </c>
      <c r="V95" s="96">
        <v>5.141120368691424</v>
      </c>
      <c r="W95" s="96">
        <v>5.0798481237679587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2.7395941481737638</v>
      </c>
      <c r="O96" s="96">
        <v>2.8472836737778873</v>
      </c>
      <c r="P96" s="96">
        <v>3.0896928889118329</v>
      </c>
      <c r="Q96" s="96">
        <v>3.3730650870780372</v>
      </c>
      <c r="R96" s="96">
        <v>3.523380251120904</v>
      </c>
      <c r="S96" s="96">
        <v>3.4900129728667841</v>
      </c>
      <c r="T96" s="96">
        <v>3.5242284480202759</v>
      </c>
      <c r="U96" s="96">
        <v>3.3556096771110924</v>
      </c>
      <c r="V96" s="96">
        <v>3.2074195500024496</v>
      </c>
      <c r="W96" s="96">
        <v>3.0632986915775455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1.5561912025524094</v>
      </c>
      <c r="J97" s="96">
        <v>1.5449596628477595</v>
      </c>
      <c r="K97" s="96">
        <v>1.5356187699041717</v>
      </c>
      <c r="L97" s="96">
        <v>1.5163827530472398</v>
      </c>
      <c r="M97" s="96">
        <v>1.512523198196579</v>
      </c>
      <c r="N97" s="96">
        <v>1.4527547384502641</v>
      </c>
      <c r="O97" s="96">
        <v>1.4519870613415653</v>
      </c>
      <c r="P97" s="96">
        <v>1.4341827866772889</v>
      </c>
      <c r="Q97" s="96">
        <v>1.5229269086833777</v>
      </c>
      <c r="R97" s="96">
        <v>1.5201869227343603</v>
      </c>
      <c r="S97" s="96">
        <v>1.4756189863276514</v>
      </c>
      <c r="T97" s="96">
        <v>1.4798462407573001</v>
      </c>
      <c r="U97" s="96">
        <v>1.4073883425937821</v>
      </c>
      <c r="V97" s="96">
        <v>1.4678303423281169</v>
      </c>
      <c r="W97" s="96">
        <v>1.5693529499084617</v>
      </c>
      <c r="DA97" s="171" t="s">
        <v>869</v>
      </c>
    </row>
    <row r="98" spans="1:105" ht="11.45" customHeight="1" x14ac:dyDescent="0.25">
      <c r="A98" s="109" t="s">
        <v>21</v>
      </c>
      <c r="B98" s="130">
        <v>52.060950475242649</v>
      </c>
      <c r="C98" s="130">
        <v>51.356709347574224</v>
      </c>
      <c r="D98" s="130">
        <v>50.896066700754758</v>
      </c>
      <c r="E98" s="130">
        <v>50.431480884175741</v>
      </c>
      <c r="F98" s="130">
        <v>50.004797668595209</v>
      </c>
      <c r="G98" s="130">
        <v>49.617698586810171</v>
      </c>
      <c r="H98" s="130">
        <v>49.201658701762923</v>
      </c>
      <c r="I98" s="130">
        <v>48.821527415770483</v>
      </c>
      <c r="J98" s="130">
        <v>48.437630666097732</v>
      </c>
      <c r="K98" s="130">
        <v>47.940647038717465</v>
      </c>
      <c r="L98" s="130">
        <v>47.472477608554094</v>
      </c>
      <c r="M98" s="130">
        <v>47.058155785361599</v>
      </c>
      <c r="N98" s="130">
        <v>46.625507920440413</v>
      </c>
      <c r="O98" s="130">
        <v>46.201984372100156</v>
      </c>
      <c r="P98" s="130">
        <v>45.825139274478971</v>
      </c>
      <c r="Q98" s="130">
        <v>45.541395878728594</v>
      </c>
      <c r="R98" s="130">
        <v>45.305756290662295</v>
      </c>
      <c r="S98" s="130">
        <v>45.031539770348203</v>
      </c>
      <c r="T98" s="130">
        <v>44.770144024669911</v>
      </c>
      <c r="U98" s="130">
        <v>44.429104549807199</v>
      </c>
      <c r="V98" s="130">
        <v>44.151315609623737</v>
      </c>
      <c r="W98" s="130">
        <v>43.832842985990233</v>
      </c>
      <c r="DA98" s="176" t="s">
        <v>870</v>
      </c>
    </row>
    <row r="99" spans="1:105" ht="11.45" customHeight="1" x14ac:dyDescent="0.25">
      <c r="A99" s="111" t="s">
        <v>110</v>
      </c>
      <c r="B99" s="97">
        <v>17.250092589056678</v>
      </c>
      <c r="C99" s="97">
        <v>16.883233777075258</v>
      </c>
      <c r="D99" s="97">
        <v>16.873274996334047</v>
      </c>
      <c r="E99" s="97">
        <v>16.873274996334047</v>
      </c>
      <c r="F99" s="97">
        <v>16.792128137334725</v>
      </c>
      <c r="G99" s="97">
        <v>16.577578319682381</v>
      </c>
      <c r="H99" s="97">
        <v>16.546378085432632</v>
      </c>
      <c r="I99" s="97">
        <v>16.476773719074995</v>
      </c>
      <c r="J99" s="97">
        <v>16.459339218607727</v>
      </c>
      <c r="K99" s="97">
        <v>16.121943547028025</v>
      </c>
      <c r="L99" s="97">
        <v>15.958800882571856</v>
      </c>
      <c r="M99" s="97">
        <v>15.932285065353726</v>
      </c>
      <c r="N99" s="97">
        <v>15.932285065353724</v>
      </c>
      <c r="O99" s="97">
        <v>15.932285065353723</v>
      </c>
      <c r="P99" s="97">
        <v>15.932285065353726</v>
      </c>
      <c r="Q99" s="97">
        <v>15.932285065353723</v>
      </c>
      <c r="R99" s="97">
        <v>15.932285065353726</v>
      </c>
      <c r="S99" s="97">
        <v>15.586383944970329</v>
      </c>
      <c r="T99" s="97">
        <v>15.586383944970335</v>
      </c>
      <c r="U99" s="97">
        <v>15.586383944970327</v>
      </c>
      <c r="V99" s="97">
        <v>15.553726081300997</v>
      </c>
      <c r="W99" s="97">
        <v>15.553726081300999</v>
      </c>
      <c r="DA99" s="175" t="s">
        <v>871</v>
      </c>
    </row>
    <row r="100" spans="1:105" ht="11.45" customHeight="1" x14ac:dyDescent="0.25">
      <c r="A100" s="111" t="s">
        <v>111</v>
      </c>
      <c r="B100" s="97">
        <v>52.249679488369722</v>
      </c>
      <c r="C100" s="97">
        <v>51.275998953232104</v>
      </c>
      <c r="D100" s="97">
        <v>50.754913095500456</v>
      </c>
      <c r="E100" s="97">
        <v>50.19267586543409</v>
      </c>
      <c r="F100" s="97">
        <v>49.724330329508462</v>
      </c>
      <c r="G100" s="97">
        <v>49.348538800828173</v>
      </c>
      <c r="H100" s="97">
        <v>48.998046044119576</v>
      </c>
      <c r="I100" s="97">
        <v>48.672822974739823</v>
      </c>
      <c r="J100" s="97">
        <v>48.251343591776973</v>
      </c>
      <c r="K100" s="97">
        <v>47.807636930043067</v>
      </c>
      <c r="L100" s="97">
        <v>47.376547672001543</v>
      </c>
      <c r="M100" s="97">
        <v>46.974749669198189</v>
      </c>
      <c r="N100" s="97">
        <v>46.563966384482292</v>
      </c>
      <c r="O100" s="97">
        <v>46.147310209641034</v>
      </c>
      <c r="P100" s="97">
        <v>45.760128796119375</v>
      </c>
      <c r="Q100" s="97">
        <v>45.443232656487545</v>
      </c>
      <c r="R100" s="97">
        <v>45.175071193510149</v>
      </c>
      <c r="S100" s="97">
        <v>44.883384556544506</v>
      </c>
      <c r="T100" s="97">
        <v>44.603584894577985</v>
      </c>
      <c r="U100" s="97">
        <v>44.278921912307233</v>
      </c>
      <c r="V100" s="97">
        <v>44.018385587981847</v>
      </c>
      <c r="W100" s="97">
        <v>43.826316202582063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43.541399573641435</v>
      </c>
      <c r="C102" s="97">
        <v>43.210177854062366</v>
      </c>
      <c r="D102" s="97">
        <v>41.440614905388443</v>
      </c>
      <c r="E102" s="97">
        <v>41.216031449231615</v>
      </c>
      <c r="F102" s="97">
        <v>41.053173145286941</v>
      </c>
      <c r="G102" s="97">
        <v>40.868158721262454</v>
      </c>
      <c r="H102" s="97">
        <v>40.311116352632133</v>
      </c>
      <c r="I102" s="97">
        <v>40.170538173069353</v>
      </c>
      <c r="J102" s="97">
        <v>40.042026243798894</v>
      </c>
      <c r="K102" s="97">
        <v>39.791400096396529</v>
      </c>
      <c r="L102" s="97">
        <v>39.679116192354016</v>
      </c>
      <c r="M102" s="97">
        <v>39.533794352131103</v>
      </c>
      <c r="N102" s="97">
        <v>39.391184418664238</v>
      </c>
      <c r="O102" s="97">
        <v>39.380155366628607</v>
      </c>
      <c r="P102" s="97">
        <v>39.367434181701157</v>
      </c>
      <c r="Q102" s="97">
        <v>39.353704712272936</v>
      </c>
      <c r="R102" s="97">
        <v>39.354914573199231</v>
      </c>
      <c r="S102" s="97">
        <v>39.054972171730597</v>
      </c>
      <c r="T102" s="97">
        <v>38.862313001834941</v>
      </c>
      <c r="U102" s="97">
        <v>38.116105537795633</v>
      </c>
      <c r="V102" s="97">
        <v>37.687795243480295</v>
      </c>
      <c r="W102" s="97">
        <v>37.468883449808764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29.871356279868579</v>
      </c>
      <c r="O103" s="97">
        <v>29.871356279868582</v>
      </c>
      <c r="P103" s="97">
        <v>29.871356279868582</v>
      </c>
      <c r="Q103" s="97">
        <v>29.871356279868586</v>
      </c>
      <c r="R103" s="97">
        <v>28.785637303587752</v>
      </c>
      <c r="S103" s="97">
        <v>28.633812457106654</v>
      </c>
      <c r="T103" s="97">
        <v>28.595617947021683</v>
      </c>
      <c r="U103" s="97">
        <v>28.209806279356403</v>
      </c>
      <c r="V103" s="97">
        <v>28.110314764041124</v>
      </c>
      <c r="W103" s="97">
        <v>27.882060610263657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9.1555493275027313</v>
      </c>
      <c r="C105" s="141">
        <v>8.9220974156050055</v>
      </c>
      <c r="D105" s="141">
        <v>8.8140320529915801</v>
      </c>
      <c r="E105" s="141">
        <v>8.708033659439316</v>
      </c>
      <c r="F105" s="141">
        <v>8.5720097599882781</v>
      </c>
      <c r="G105" s="141">
        <v>8.4760331781245561</v>
      </c>
      <c r="H105" s="141">
        <v>8.4104939083073731</v>
      </c>
      <c r="I105" s="141">
        <v>8.3700002762000363</v>
      </c>
      <c r="J105" s="141">
        <v>8.3176649520500732</v>
      </c>
      <c r="K105" s="141">
        <v>8.2820632718437448</v>
      </c>
      <c r="L105" s="141">
        <v>8.2841360322351729</v>
      </c>
      <c r="M105" s="141">
        <v>8.295492273730817</v>
      </c>
      <c r="N105" s="141">
        <v>8.2508161131142952</v>
      </c>
      <c r="O105" s="141">
        <v>8.1633449477770572</v>
      </c>
      <c r="P105" s="141">
        <v>8.1178263158085624</v>
      </c>
      <c r="Q105" s="141">
        <v>8.0377002243567155</v>
      </c>
      <c r="R105" s="141">
        <v>7.9546645846007848</v>
      </c>
      <c r="S105" s="141">
        <v>7.8220257280207166</v>
      </c>
      <c r="T105" s="141">
        <v>7.69342747435826</v>
      </c>
      <c r="U105" s="141">
        <v>7.5636592480568776</v>
      </c>
      <c r="V105" s="141">
        <v>7.4390980870588841</v>
      </c>
      <c r="W105" s="141">
        <v>7.3148245877376326</v>
      </c>
      <c r="DA105" s="174" t="s">
        <v>876</v>
      </c>
    </row>
    <row r="106" spans="1:105" ht="11.45" customHeight="1" x14ac:dyDescent="0.25">
      <c r="A106" s="111" t="s">
        <v>110</v>
      </c>
      <c r="B106" s="96">
        <v>8.2684880758210593</v>
      </c>
      <c r="C106" s="96">
        <v>8.2427437363318798</v>
      </c>
      <c r="D106" s="96">
        <v>8.2161854927132758</v>
      </c>
      <c r="E106" s="96">
        <v>8.1997667246707824</v>
      </c>
      <c r="F106" s="96">
        <v>8.1586560532789925</v>
      </c>
      <c r="G106" s="96">
        <v>8.0816908168812596</v>
      </c>
      <c r="H106" s="96">
        <v>7.9946736926257271</v>
      </c>
      <c r="I106" s="96">
        <v>7.8918124060987074</v>
      </c>
      <c r="J106" s="96">
        <v>7.7391310557329076</v>
      </c>
      <c r="K106" s="96">
        <v>7.6115123009746162</v>
      </c>
      <c r="L106" s="96">
        <v>7.4984976837136044</v>
      </c>
      <c r="M106" s="96">
        <v>7.3897806252352654</v>
      </c>
      <c r="N106" s="96">
        <v>7.295110471618826</v>
      </c>
      <c r="O106" s="96">
        <v>7.1771352578426466</v>
      </c>
      <c r="P106" s="96">
        <v>7.0426827889814057</v>
      </c>
      <c r="Q106" s="96">
        <v>6.938328737150564</v>
      </c>
      <c r="R106" s="96">
        <v>6.7817792237050813</v>
      </c>
      <c r="S106" s="96">
        <v>6.6355210943972782</v>
      </c>
      <c r="T106" s="96">
        <v>6.490026854277211</v>
      </c>
      <c r="U106" s="96">
        <v>6.3359294834097533</v>
      </c>
      <c r="V106" s="96">
        <v>6.1493272168722521</v>
      </c>
      <c r="W106" s="96">
        <v>5.9674020651444444</v>
      </c>
      <c r="DA106" s="171" t="s">
        <v>877</v>
      </c>
    </row>
    <row r="107" spans="1:105" ht="11.45" customHeight="1" x14ac:dyDescent="0.25">
      <c r="A107" s="111" t="s">
        <v>111</v>
      </c>
      <c r="B107" s="96">
        <v>9.349482110331035</v>
      </c>
      <c r="C107" s="96">
        <v>8.9692720020597658</v>
      </c>
      <c r="D107" s="96">
        <v>8.802757301232452</v>
      </c>
      <c r="E107" s="96">
        <v>8.6490884250201656</v>
      </c>
      <c r="F107" s="96">
        <v>8.4722860978053287</v>
      </c>
      <c r="G107" s="96">
        <v>8.3743880170596174</v>
      </c>
      <c r="H107" s="96">
        <v>8.3226392288155235</v>
      </c>
      <c r="I107" s="96">
        <v>8.3091288998457475</v>
      </c>
      <c r="J107" s="96">
        <v>8.2837450288975294</v>
      </c>
      <c r="K107" s="96">
        <v>8.2776912126390574</v>
      </c>
      <c r="L107" s="96">
        <v>8.3142499819554683</v>
      </c>
      <c r="M107" s="96">
        <v>8.3672668609538565</v>
      </c>
      <c r="N107" s="96">
        <v>8.3397172620010043</v>
      </c>
      <c r="O107" s="96">
        <v>8.2515019371753393</v>
      </c>
      <c r="P107" s="96">
        <v>8.1965696120338407</v>
      </c>
      <c r="Q107" s="96">
        <v>8.1008449975905119</v>
      </c>
      <c r="R107" s="96">
        <v>7.9943678053827938</v>
      </c>
      <c r="S107" s="96">
        <v>7.8381215438871603</v>
      </c>
      <c r="T107" s="96">
        <v>7.6821805586442347</v>
      </c>
      <c r="U107" s="96">
        <v>7.5352315942602157</v>
      </c>
      <c r="V107" s="96">
        <v>7.4049386914171729</v>
      </c>
      <c r="W107" s="96">
        <v>7.2725429010318035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8.6170733654012643</v>
      </c>
      <c r="D109" s="96">
        <v>8.6170733654012643</v>
      </c>
      <c r="E109" s="96">
        <v>8.6170733654012661</v>
      </c>
      <c r="F109" s="96">
        <v>8.6170733654012661</v>
      </c>
      <c r="G109" s="96">
        <v>8.6076920854448247</v>
      </c>
      <c r="H109" s="96">
        <v>8.6076920854448247</v>
      </c>
      <c r="I109" s="96">
        <v>8.5510739609145627</v>
      </c>
      <c r="J109" s="96">
        <v>8.1680007779783175</v>
      </c>
      <c r="K109" s="96">
        <v>7.8976866842769828</v>
      </c>
      <c r="L109" s="96">
        <v>7.703913662755002</v>
      </c>
      <c r="M109" s="96">
        <v>7.9035569571289495</v>
      </c>
      <c r="N109" s="96">
        <v>7.9297709090447563</v>
      </c>
      <c r="O109" s="96">
        <v>7.5857492131220674</v>
      </c>
      <c r="P109" s="96">
        <v>7.7590465369092252</v>
      </c>
      <c r="Q109" s="96">
        <v>7.9317405464723318</v>
      </c>
      <c r="R109" s="96">
        <v>8.0367750328762106</v>
      </c>
      <c r="S109" s="96">
        <v>7.5935348134711367</v>
      </c>
      <c r="T109" s="96">
        <v>7.4290007587771969</v>
      </c>
      <c r="U109" s="96">
        <v>6.9332183206729523</v>
      </c>
      <c r="V109" s="96">
        <v>6.7340023282405106</v>
      </c>
      <c r="W109" s="96">
        <v>6.9968355083782159</v>
      </c>
      <c r="DA109" s="171" t="s">
        <v>880</v>
      </c>
    </row>
    <row r="110" spans="1:105" ht="11.45" customHeight="1" x14ac:dyDescent="0.25">
      <c r="A110" s="111" t="s">
        <v>115</v>
      </c>
      <c r="B110" s="96">
        <v>1.4920630820596272</v>
      </c>
      <c r="C110" s="96">
        <v>1.4869197805641219</v>
      </c>
      <c r="D110" s="96">
        <v>1.484506082342576</v>
      </c>
      <c r="E110" s="96">
        <v>1.4828609389973979</v>
      </c>
      <c r="F110" s="96">
        <v>1.4820518918180408</v>
      </c>
      <c r="G110" s="96">
        <v>1.4783871661059018</v>
      </c>
      <c r="H110" s="96">
        <v>1.4711457892588502</v>
      </c>
      <c r="I110" s="96">
        <v>1.470371045633565</v>
      </c>
      <c r="J110" s="96">
        <v>1.4542035868801171</v>
      </c>
      <c r="K110" s="96">
        <v>1.4423882634439229</v>
      </c>
      <c r="L110" s="96">
        <v>1.416631041700688</v>
      </c>
      <c r="M110" s="96">
        <v>1.4130724499286142</v>
      </c>
      <c r="N110" s="96">
        <v>1.3743279519974723</v>
      </c>
      <c r="O110" s="96">
        <v>1.3661345899076405</v>
      </c>
      <c r="P110" s="96">
        <v>1.377168230867178</v>
      </c>
      <c r="Q110" s="96">
        <v>1.3890926256956662</v>
      </c>
      <c r="R110" s="96">
        <v>1.3987496583317462</v>
      </c>
      <c r="S110" s="96">
        <v>1.402142148427133</v>
      </c>
      <c r="T110" s="96">
        <v>1.4870063884017655</v>
      </c>
      <c r="U110" s="96">
        <v>1.5774639182278398</v>
      </c>
      <c r="V110" s="96">
        <v>1.823985675401083</v>
      </c>
      <c r="W110" s="96">
        <v>2.1660173023265643</v>
      </c>
      <c r="DA110" s="171" t="s">
        <v>881</v>
      </c>
    </row>
    <row r="111" spans="1:105" ht="11.45" customHeight="1" x14ac:dyDescent="0.25">
      <c r="A111" s="109" t="s">
        <v>158</v>
      </c>
      <c r="B111" s="130">
        <v>29.293291798877505</v>
      </c>
      <c r="C111" s="130">
        <v>29.1292465390448</v>
      </c>
      <c r="D111" s="130">
        <v>28.936939276209475</v>
      </c>
      <c r="E111" s="130">
        <v>28.717626762709578</v>
      </c>
      <c r="F111" s="130">
        <v>28.467184276595653</v>
      </c>
      <c r="G111" s="130">
        <v>28.231291401655447</v>
      </c>
      <c r="H111" s="130">
        <v>27.985906248416285</v>
      </c>
      <c r="I111" s="130">
        <v>27.677464005756669</v>
      </c>
      <c r="J111" s="130">
        <v>27.303925116196929</v>
      </c>
      <c r="K111" s="130">
        <v>26.98969083080414</v>
      </c>
      <c r="L111" s="130">
        <v>26.655318368201808</v>
      </c>
      <c r="M111" s="130">
        <v>26.293774186468138</v>
      </c>
      <c r="N111" s="130">
        <v>25.887828923601358</v>
      </c>
      <c r="O111" s="130">
        <v>25.482782707759661</v>
      </c>
      <c r="P111" s="130">
        <v>25.072899913123106</v>
      </c>
      <c r="Q111" s="130">
        <v>24.782390190304714</v>
      </c>
      <c r="R111" s="130">
        <v>24.25050063995312</v>
      </c>
      <c r="S111" s="130">
        <v>23.730252419194425</v>
      </c>
      <c r="T111" s="130">
        <v>23.2250450046322</v>
      </c>
      <c r="U111" s="130">
        <v>22.66415107503299</v>
      </c>
      <c r="V111" s="130">
        <v>22.156094424804312</v>
      </c>
      <c r="W111" s="130">
        <v>21.609711525851491</v>
      </c>
      <c r="DA111" s="176" t="s">
        <v>882</v>
      </c>
    </row>
    <row r="112" spans="1:105" ht="11.45" customHeight="1" x14ac:dyDescent="0.25">
      <c r="A112" s="128" t="s">
        <v>27</v>
      </c>
      <c r="B112" s="97">
        <v>29.227809921590655</v>
      </c>
      <c r="C112" s="97">
        <v>29.065008180747643</v>
      </c>
      <c r="D112" s="97">
        <v>28.874639861789376</v>
      </c>
      <c r="E112" s="97">
        <v>28.65871194527351</v>
      </c>
      <c r="F112" s="97">
        <v>28.406080673446468</v>
      </c>
      <c r="G112" s="97">
        <v>28.173142802701506</v>
      </c>
      <c r="H112" s="97">
        <v>27.929054333712457</v>
      </c>
      <c r="I112" s="97">
        <v>27.623793527144855</v>
      </c>
      <c r="J112" s="97">
        <v>27.254204635310806</v>
      </c>
      <c r="K112" s="97">
        <v>26.945597202376536</v>
      </c>
      <c r="L112" s="97">
        <v>26.606719663157367</v>
      </c>
      <c r="M112" s="97">
        <v>26.264792434098208</v>
      </c>
      <c r="N112" s="97">
        <v>25.854288417945845</v>
      </c>
      <c r="O112" s="97">
        <v>25.453335472676585</v>
      </c>
      <c r="P112" s="97">
        <v>25.03864268089805</v>
      </c>
      <c r="Q112" s="97">
        <v>24.745993816708349</v>
      </c>
      <c r="R112" s="97">
        <v>24.219040135073712</v>
      </c>
      <c r="S112" s="97">
        <v>23.698841705696847</v>
      </c>
      <c r="T112" s="97">
        <v>23.19191469262676</v>
      </c>
      <c r="U112" s="97">
        <v>22.63579784424601</v>
      </c>
      <c r="V112" s="97">
        <v>22.12771262720867</v>
      </c>
      <c r="W112" s="97">
        <v>21.577576186689701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36.302194258620602</v>
      </c>
      <c r="D113" s="98">
        <v>35.908624416881295</v>
      </c>
      <c r="E113" s="98">
        <v>35.579697870938226</v>
      </c>
      <c r="F113" s="98">
        <v>34.875292642908775</v>
      </c>
      <c r="G113" s="98">
        <v>34.519000383154101</v>
      </c>
      <c r="H113" s="98">
        <v>34.074077467140917</v>
      </c>
      <c r="I113" s="98">
        <v>33.68701569597706</v>
      </c>
      <c r="J113" s="98">
        <v>33.257698480260331</v>
      </c>
      <c r="K113" s="98">
        <v>33.024922808391167</v>
      </c>
      <c r="L113" s="98">
        <v>32.088926026140648</v>
      </c>
      <c r="M113" s="98">
        <v>31.606504264161465</v>
      </c>
      <c r="N113" s="98">
        <v>31.065390103931666</v>
      </c>
      <c r="O113" s="98">
        <v>30.934450039078257</v>
      </c>
      <c r="P113" s="98">
        <v>30.189259153909571</v>
      </c>
      <c r="Q113" s="98">
        <v>29.693222523856466</v>
      </c>
      <c r="R113" s="98">
        <v>29.469144073820136</v>
      </c>
      <c r="S113" s="98">
        <v>29.166622766757463</v>
      </c>
      <c r="T113" s="98">
        <v>28.483993913499653</v>
      </c>
      <c r="U113" s="98">
        <v>28.256151148823552</v>
      </c>
      <c r="V113" s="98">
        <v>27.779691716927143</v>
      </c>
      <c r="W113" s="98">
        <v>26.770118361950001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1.1000000000067303</v>
      </c>
      <c r="C117" s="150">
        <f>IF(TrRoad_act!C59=0,0,TrRoad_ene!C62/TrRoad_tech!C90)</f>
        <v>1.100333861386767</v>
      </c>
      <c r="D117" s="150">
        <f>IF(TrRoad_act!D59=0,0,TrRoad_ene!D62/TrRoad_tech!D90)</f>
        <v>1.1012614601111856</v>
      </c>
      <c r="E117" s="150">
        <f>IF(TrRoad_act!E59=0,0,TrRoad_ene!E62/TrRoad_tech!E90)</f>
        <v>1.1030015588079289</v>
      </c>
      <c r="F117" s="150">
        <f>IF(TrRoad_act!F59=0,0,TrRoad_ene!F62/TrRoad_tech!F90)</f>
        <v>1.1058009828102795</v>
      </c>
      <c r="G117" s="150">
        <f>IF(TrRoad_act!G59=0,0,TrRoad_ene!G62/TrRoad_tech!G90)</f>
        <v>1.1096878607700496</v>
      </c>
      <c r="H117" s="150">
        <f>IF(TrRoad_act!H59=0,0,TrRoad_ene!H62/TrRoad_tech!H90)</f>
        <v>1.115041031423079</v>
      </c>
      <c r="I117" s="150">
        <f>IF(TrRoad_act!I59=0,0,TrRoad_ene!I62/TrRoad_tech!I90)</f>
        <v>1.1213328764682111</v>
      </c>
      <c r="J117" s="150">
        <f>IF(TrRoad_act!J59=0,0,TrRoad_ene!J62/TrRoad_tech!J90)</f>
        <v>1.1289227139369602</v>
      </c>
      <c r="K117" s="150">
        <f>IF(TrRoad_act!K59=0,0,TrRoad_ene!K62/TrRoad_tech!K90)</f>
        <v>1.1356138678185073</v>
      </c>
      <c r="L117" s="150">
        <f>IF(TrRoad_act!L59=0,0,TrRoad_ene!L62/TrRoad_tech!L90)</f>
        <v>1.1423479296051022</v>
      </c>
      <c r="M117" s="150">
        <f>IF(TrRoad_act!M59=0,0,TrRoad_ene!M62/TrRoad_tech!M90)</f>
        <v>1.1496523315881166</v>
      </c>
      <c r="N117" s="150">
        <f>IF(TrRoad_act!N59=0,0,TrRoad_ene!N62/TrRoad_tech!N90)</f>
        <v>1.1562723180343546</v>
      </c>
      <c r="O117" s="150">
        <f>IF(TrRoad_act!O59=0,0,TrRoad_ene!O62/TrRoad_tech!O90)</f>
        <v>1.1613127529665346</v>
      </c>
      <c r="P117" s="150">
        <f>IF(TrRoad_act!P59=0,0,TrRoad_ene!P62/TrRoad_tech!P90)</f>
        <v>1.1675927529300782</v>
      </c>
      <c r="Q117" s="150">
        <f>IF(TrRoad_act!Q59=0,0,TrRoad_ene!Q62/TrRoad_tech!Q90)</f>
        <v>1.1729345157677837</v>
      </c>
      <c r="R117" s="150">
        <f>IF(TrRoad_act!R59=0,0,TrRoad_ene!R62/TrRoad_tech!R90)</f>
        <v>1.1791970414196149</v>
      </c>
      <c r="S117" s="150">
        <f>IF(TrRoad_act!S59=0,0,TrRoad_ene!S62/TrRoad_tech!S90)</f>
        <v>1.1847525795797127</v>
      </c>
      <c r="T117" s="150">
        <f>IF(TrRoad_act!T59=0,0,TrRoad_ene!T62/TrRoad_tech!T90)</f>
        <v>1.1909883365410026</v>
      </c>
      <c r="U117" s="150">
        <f>IF(TrRoad_act!U59=0,0,TrRoad_ene!U62/TrRoad_tech!U90)</f>
        <v>1.1979319534753257</v>
      </c>
      <c r="V117" s="150">
        <f>IF(TrRoad_act!V59=0,0,TrRoad_ene!V62/TrRoad_tech!V90)</f>
        <v>1.2062769172591576</v>
      </c>
      <c r="W117" s="150">
        <f>IF(TrRoad_act!W59=0,0,TrRoad_ene!W62/TrRoad_tech!W90)</f>
        <v>1.2061820345985019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0.93667213101941549</v>
      </c>
      <c r="C118" s="151">
        <f>IF(TrRoad_act!C60=0,0,TrRoad_ene!C63/TrRoad_tech!C91)</f>
        <v>0.93509423502653377</v>
      </c>
      <c r="D118" s="151">
        <f>IF(TrRoad_act!D60=0,0,TrRoad_ene!D63/TrRoad_tech!D91)</f>
        <v>0.9358838397037289</v>
      </c>
      <c r="E118" s="151">
        <f>IF(TrRoad_act!E60=0,0,TrRoad_ene!E63/TrRoad_tech!E91)</f>
        <v>0.93459521925174449</v>
      </c>
      <c r="F118" s="151">
        <f>IF(TrRoad_act!F60=0,0,TrRoad_ene!F63/TrRoad_tech!F91)</f>
        <v>0.93594613157745932</v>
      </c>
      <c r="G118" s="151">
        <f>IF(TrRoad_act!G60=0,0,TrRoad_ene!G63/TrRoad_tech!G91)</f>
        <v>0.92965687251326223</v>
      </c>
      <c r="H118" s="151">
        <f>IF(TrRoad_act!H60=0,0,TrRoad_ene!H63/TrRoad_tech!H91)</f>
        <v>0.94278612745174462</v>
      </c>
      <c r="I118" s="151">
        <f>IF(TrRoad_act!I60=0,0,TrRoad_ene!I63/TrRoad_tech!I91)</f>
        <v>0.95286996883248132</v>
      </c>
      <c r="J118" s="151">
        <f>IF(TrRoad_act!J60=0,0,TrRoad_ene!J63/TrRoad_tech!J91)</f>
        <v>0.93509500259308465</v>
      </c>
      <c r="K118" s="151">
        <f>IF(TrRoad_act!K60=0,0,TrRoad_ene!K63/TrRoad_tech!K91)</f>
        <v>0.92399485703020912</v>
      </c>
      <c r="L118" s="151">
        <f>IF(TrRoad_act!L60=0,0,TrRoad_ene!L63/TrRoad_tech!L91)</f>
        <v>0.93349701261396179</v>
      </c>
      <c r="M118" s="151">
        <f>IF(TrRoad_act!M60=0,0,TrRoad_ene!M63/TrRoad_tech!M91)</f>
        <v>0.93785502760082817</v>
      </c>
      <c r="N118" s="151">
        <f>IF(TrRoad_act!N60=0,0,TrRoad_ene!N63/TrRoad_tech!N91)</f>
        <v>0.93886020223703137</v>
      </c>
      <c r="O118" s="151">
        <f>IF(TrRoad_act!O60=0,0,TrRoad_ene!O63/TrRoad_tech!O91)</f>
        <v>0.94931215118504142</v>
      </c>
      <c r="P118" s="151">
        <f>IF(TrRoad_act!P60=0,0,TrRoad_ene!P63/TrRoad_tech!P91)</f>
        <v>0.93866051511366233</v>
      </c>
      <c r="Q118" s="151">
        <f>IF(TrRoad_act!Q60=0,0,TrRoad_ene!Q63/TrRoad_tech!Q91)</f>
        <v>0.94352865807085884</v>
      </c>
      <c r="R118" s="151">
        <f>IF(TrRoad_act!R60=0,0,TrRoad_ene!R63/TrRoad_tech!R91)</f>
        <v>0.9893597250779198</v>
      </c>
      <c r="S118" s="151">
        <f>IF(TrRoad_act!S60=0,0,TrRoad_ene!S63/TrRoad_tech!S91)</f>
        <v>0.95066844430105002</v>
      </c>
      <c r="T118" s="151">
        <f>IF(TrRoad_act!T60=0,0,TrRoad_ene!T63/TrRoad_tech!T91)</f>
        <v>0.96979329400984537</v>
      </c>
      <c r="U118" s="151">
        <f>IF(TrRoad_act!U60=0,0,TrRoad_ene!U63/TrRoad_tech!U91)</f>
        <v>0.96806741621819048</v>
      </c>
      <c r="V118" s="151">
        <f>IF(TrRoad_act!V60=0,0,TrRoad_ene!V63/TrRoad_tech!V91)</f>
        <v>0.95859728563811575</v>
      </c>
      <c r="W118" s="151">
        <f>IF(TrRoad_act!W60=0,0,TrRoad_ene!W63/TrRoad_tech!W91)</f>
        <v>1.0163961018996348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0.88961685286593373</v>
      </c>
      <c r="C119" s="91">
        <f>IF(TrRoad_act!C61=0,0,TrRoad_ene!C64/TrRoad_tech!C92)</f>
        <v>0.89246590627867339</v>
      </c>
      <c r="D119" s="91">
        <f>IF(TrRoad_act!D61=0,0,TrRoad_ene!D64/TrRoad_tech!D92)</f>
        <v>0.8938728141681489</v>
      </c>
      <c r="E119" s="91">
        <f>IF(TrRoad_act!E61=0,0,TrRoad_ene!E64/TrRoad_tech!E92)</f>
        <v>0.88996918600829766</v>
      </c>
      <c r="F119" s="91">
        <f>IF(TrRoad_act!F61=0,0,TrRoad_ene!F64/TrRoad_tech!F92)</f>
        <v>0.88855478515824438</v>
      </c>
      <c r="G119" s="91">
        <f>IF(TrRoad_act!G61=0,0,TrRoad_ene!G64/TrRoad_tech!G92)</f>
        <v>0.88437747806192313</v>
      </c>
      <c r="H119" s="91">
        <f>IF(TrRoad_act!H61=0,0,TrRoad_ene!H64/TrRoad_tech!H92)</f>
        <v>0.88849912663277109</v>
      </c>
      <c r="I119" s="91">
        <f>IF(TrRoad_act!I61=0,0,TrRoad_ene!I64/TrRoad_tech!I92)</f>
        <v>0.88895912888683026</v>
      </c>
      <c r="J119" s="91">
        <f>IF(TrRoad_act!J61=0,0,TrRoad_ene!J64/TrRoad_tech!J92)</f>
        <v>0.87700324994327927</v>
      </c>
      <c r="K119" s="91">
        <f>IF(TrRoad_act!K61=0,0,TrRoad_ene!K64/TrRoad_tech!K92)</f>
        <v>0.86437845151822745</v>
      </c>
      <c r="L119" s="91">
        <f>IF(TrRoad_act!L61=0,0,TrRoad_ene!L64/TrRoad_tech!L92)</f>
        <v>0.86902903979714707</v>
      </c>
      <c r="M119" s="91">
        <f>IF(TrRoad_act!M61=0,0,TrRoad_ene!M64/TrRoad_tech!M92)</f>
        <v>0.86891852906687816</v>
      </c>
      <c r="N119" s="91">
        <f>IF(TrRoad_act!N61=0,0,TrRoad_ene!N64/TrRoad_tech!N92)</f>
        <v>0.87172563341498477</v>
      </c>
      <c r="O119" s="91">
        <f>IF(TrRoad_act!O61=0,0,TrRoad_ene!O64/TrRoad_tech!O92)</f>
        <v>0.89010133540746161</v>
      </c>
      <c r="P119" s="91">
        <f>IF(TrRoad_act!P61=0,0,TrRoad_ene!P64/TrRoad_tech!P92)</f>
        <v>0.88065513533184037</v>
      </c>
      <c r="Q119" s="91">
        <f>IF(TrRoad_act!Q61=0,0,TrRoad_ene!Q64/TrRoad_tech!Q92)</f>
        <v>0.88722403083689061</v>
      </c>
      <c r="R119" s="91">
        <f>IF(TrRoad_act!R61=0,0,TrRoad_ene!R64/TrRoad_tech!R92)</f>
        <v>0.95738330803584082</v>
      </c>
      <c r="S119" s="91">
        <f>IF(TrRoad_act!S61=0,0,TrRoad_ene!S64/TrRoad_tech!S92)</f>
        <v>0.91190835298418271</v>
      </c>
      <c r="T119" s="91">
        <f>IF(TrRoad_act!T61=0,0,TrRoad_ene!T64/TrRoad_tech!T92)</f>
        <v>0.92877234637850281</v>
      </c>
      <c r="U119" s="91">
        <f>IF(TrRoad_act!U61=0,0,TrRoad_ene!U64/TrRoad_tech!U92)</f>
        <v>0.93123389287506841</v>
      </c>
      <c r="V119" s="91">
        <f>IF(TrRoad_act!V61=0,0,TrRoad_ene!V64/TrRoad_tech!V92)</f>
        <v>0.91443780485668846</v>
      </c>
      <c r="W119" s="91">
        <f>IF(TrRoad_act!W61=0,0,TrRoad_ene!W64/TrRoad_tech!W92)</f>
        <v>0.9729175601288117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1.106450181079337</v>
      </c>
      <c r="C120" s="91">
        <f>IF(TrRoad_act!C62=0,0,TrRoad_ene!C65/TrRoad_tech!C93)</f>
        <v>1.1204197301467049</v>
      </c>
      <c r="D120" s="91">
        <f>IF(TrRoad_act!D62=0,0,TrRoad_ene!D65/TrRoad_tech!D93)</f>
        <v>1.121121410112988</v>
      </c>
      <c r="E120" s="91">
        <f>IF(TrRoad_act!E62=0,0,TrRoad_ene!E65/TrRoad_tech!E93)</f>
        <v>1.1277925947436247</v>
      </c>
      <c r="F120" s="91">
        <f>IF(TrRoad_act!F62=0,0,TrRoad_ene!F65/TrRoad_tech!F93)</f>
        <v>1.1447254336929851</v>
      </c>
      <c r="G120" s="91">
        <f>IF(TrRoad_act!G62=0,0,TrRoad_ene!G65/TrRoad_tech!G93)</f>
        <v>1.1155819900184634</v>
      </c>
      <c r="H120" s="91">
        <f>IF(TrRoad_act!H62=0,0,TrRoad_ene!H65/TrRoad_tech!H93)</f>
        <v>1.1412934151431737</v>
      </c>
      <c r="I120" s="91">
        <f>IF(TrRoad_act!I62=0,0,TrRoad_ene!I65/TrRoad_tech!I93)</f>
        <v>1.1579433646520336</v>
      </c>
      <c r="J120" s="91">
        <f>IF(TrRoad_act!J62=0,0,TrRoad_ene!J65/TrRoad_tech!J93)</f>
        <v>1.0878545235117865</v>
      </c>
      <c r="K120" s="91">
        <f>IF(TrRoad_act!K62=0,0,TrRoad_ene!K65/TrRoad_tech!K93)</f>
        <v>1.0657693968816553</v>
      </c>
      <c r="L120" s="91">
        <f>IF(TrRoad_act!L62=0,0,TrRoad_ene!L65/TrRoad_tech!L93)</f>
        <v>1.0689900316983385</v>
      </c>
      <c r="M120" s="91">
        <f>IF(TrRoad_act!M62=0,0,TrRoad_ene!M65/TrRoad_tech!M93)</f>
        <v>1.0601070122014431</v>
      </c>
      <c r="N120" s="91">
        <f>IF(TrRoad_act!N62=0,0,TrRoad_ene!N65/TrRoad_tech!N93)</f>
        <v>1.0497053858436847</v>
      </c>
      <c r="O120" s="91">
        <f>IF(TrRoad_act!O62=0,0,TrRoad_ene!O65/TrRoad_tech!O93)</f>
        <v>1.0501715893661743</v>
      </c>
      <c r="P120" s="91">
        <f>IF(TrRoad_act!P62=0,0,TrRoad_ene!P65/TrRoad_tech!P93)</f>
        <v>1.0352207425711633</v>
      </c>
      <c r="Q120" s="91">
        <f>IF(TrRoad_act!Q62=0,0,TrRoad_ene!Q65/TrRoad_tech!Q93)</f>
        <v>1.0391233962498441</v>
      </c>
      <c r="R120" s="91">
        <f>IF(TrRoad_act!R62=0,0,TrRoad_ene!R65/TrRoad_tech!R93)</f>
        <v>1.0526466166290169</v>
      </c>
      <c r="S120" s="91">
        <f>IF(TrRoad_act!S62=0,0,TrRoad_ene!S65/TrRoad_tech!S93)</f>
        <v>1.0231830754242797</v>
      </c>
      <c r="T120" s="91">
        <f>IF(TrRoad_act!T62=0,0,TrRoad_ene!T65/TrRoad_tech!T93)</f>
        <v>1.0436401880326067</v>
      </c>
      <c r="U120" s="91">
        <f>IF(TrRoad_act!U62=0,0,TrRoad_ene!U65/TrRoad_tech!U93)</f>
        <v>1.0332931983048106</v>
      </c>
      <c r="V120" s="91">
        <f>IF(TrRoad_act!V62=0,0,TrRoad_ene!V65/TrRoad_tech!V93)</f>
        <v>1.0314534597560894</v>
      </c>
      <c r="W120" s="91">
        <f>IF(TrRoad_act!W62=0,0,TrRoad_ene!W65/TrRoad_tech!W93)</f>
        <v>1.0854142382339158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0</v>
      </c>
      <c r="E121" s="91">
        <f>IF(TrRoad_act!E63=0,0,TrRoad_ene!E66/TrRoad_tech!E94)</f>
        <v>0</v>
      </c>
      <c r="F121" s="91">
        <f>IF(TrRoad_act!F63=0,0,TrRoad_ene!F66/TrRoad_tech!F94)</f>
        <v>0</v>
      </c>
      <c r="G121" s="91">
        <f>IF(TrRoad_act!G63=0,0,TrRoad_ene!G66/TrRoad_tech!G94)</f>
        <v>0</v>
      </c>
      <c r="H121" s="91">
        <f>IF(TrRoad_act!H63=0,0,TrRoad_ene!H66/TrRoad_tech!H94)</f>
        <v>0</v>
      </c>
      <c r="I121" s="91">
        <f>IF(TrRoad_act!I63=0,0,TrRoad_ene!I66/TrRoad_tech!I94)</f>
        <v>0</v>
      </c>
      <c r="J121" s="91">
        <f>IF(TrRoad_act!J63=0,0,TrRoad_ene!J66/TrRoad_tech!J94)</f>
        <v>0</v>
      </c>
      <c r="K121" s="91">
        <f>IF(TrRoad_act!K63=0,0,TrRoad_ene!K66/TrRoad_tech!K94)</f>
        <v>0</v>
      </c>
      <c r="L121" s="91">
        <f>IF(TrRoad_act!L63=0,0,TrRoad_ene!L66/TrRoad_tech!L94)</f>
        <v>0</v>
      </c>
      <c r="M121" s="91">
        <f>IF(TrRoad_act!M63=0,0,TrRoad_ene!M66/TrRoad_tech!M94)</f>
        <v>0</v>
      </c>
      <c r="N121" s="91">
        <f>IF(TrRoad_act!N63=0,0,TrRoad_ene!N66/TrRoad_tech!N94)</f>
        <v>0</v>
      </c>
      <c r="O121" s="91">
        <f>IF(TrRoad_act!O63=0,0,TrRoad_ene!O66/TrRoad_tech!O94)</f>
        <v>0</v>
      </c>
      <c r="P121" s="91">
        <f>IF(TrRoad_act!P63=0,0,TrRoad_ene!P66/TrRoad_tech!P94)</f>
        <v>0</v>
      </c>
      <c r="Q121" s="91">
        <f>IF(TrRoad_act!Q63=0,0,TrRoad_ene!Q66/TrRoad_tech!Q94)</f>
        <v>0</v>
      </c>
      <c r="R121" s="91">
        <f>IF(TrRoad_act!R63=0,0,TrRoad_ene!R66/TrRoad_tech!R94)</f>
        <v>0</v>
      </c>
      <c r="S121" s="91">
        <f>IF(TrRoad_act!S63=0,0,TrRoad_ene!S66/TrRoad_tech!S94)</f>
        <v>0</v>
      </c>
      <c r="T121" s="91">
        <f>IF(TrRoad_act!T63=0,0,TrRoad_ene!T66/TrRoad_tech!T94)</f>
        <v>0</v>
      </c>
      <c r="U121" s="91">
        <f>IF(TrRoad_act!U63=0,0,TrRoad_ene!U66/TrRoad_tech!U94)</f>
        <v>0</v>
      </c>
      <c r="V121" s="91">
        <f>IF(TrRoad_act!V63=0,0,TrRoad_ene!V66/TrRoad_tech!V94)</f>
        <v>0</v>
      </c>
      <c r="W121" s="91">
        <f>IF(TrRoad_act!W63=0,0,TrRoad_ene!W66/TrRoad_tech!W94)</f>
        <v>0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1.0400000000040797</v>
      </c>
      <c r="I122" s="91">
        <f>IF(TrRoad_act!I64=0,0,TrRoad_ene!I67/TrRoad_tech!I95)</f>
        <v>1.0432425196038992</v>
      </c>
      <c r="J122" s="91">
        <f>IF(TrRoad_act!J64=0,0,TrRoad_ene!J67/TrRoad_tech!J95)</f>
        <v>1.2102903314803064</v>
      </c>
      <c r="K122" s="91">
        <f>IF(TrRoad_act!K64=0,0,TrRoad_ene!K67/TrRoad_tech!K95)</f>
        <v>1.3954377913191089</v>
      </c>
      <c r="L122" s="91">
        <f>IF(TrRoad_act!L64=0,0,TrRoad_ene!L67/TrRoad_tech!L95)</f>
        <v>1.4255966042543851</v>
      </c>
      <c r="M122" s="91">
        <f>IF(TrRoad_act!M64=0,0,TrRoad_ene!M67/TrRoad_tech!M95)</f>
        <v>1.0522638965645197</v>
      </c>
      <c r="N122" s="91">
        <f>IF(TrRoad_act!N64=0,0,TrRoad_ene!N67/TrRoad_tech!N95)</f>
        <v>1.518977908618766</v>
      </c>
      <c r="O122" s="91">
        <f>IF(TrRoad_act!O64=0,0,TrRoad_ene!O67/TrRoad_tech!O95)</f>
        <v>1.0585323136487712</v>
      </c>
      <c r="P122" s="91">
        <f>IF(TrRoad_act!P64=0,0,TrRoad_ene!P67/TrRoad_tech!P95)</f>
        <v>1.0742680779190272</v>
      </c>
      <c r="Q122" s="91">
        <f>IF(TrRoad_act!Q64=0,0,TrRoad_ene!Q67/TrRoad_tech!Q95)</f>
        <v>1.0645444863680369</v>
      </c>
      <c r="R122" s="91">
        <f>IF(TrRoad_act!R64=0,0,TrRoad_ene!R67/TrRoad_tech!R95)</f>
        <v>1.2063660970569177</v>
      </c>
      <c r="S122" s="91">
        <f>IF(TrRoad_act!S64=0,0,TrRoad_ene!S67/TrRoad_tech!S95)</f>
        <v>1.2505799270471161</v>
      </c>
      <c r="T122" s="91">
        <f>IF(TrRoad_act!T64=0,0,TrRoad_ene!T67/TrRoad_tech!T95)</f>
        <v>1.4339765438390644</v>
      </c>
      <c r="U122" s="91">
        <f>IF(TrRoad_act!U64=0,0,TrRoad_ene!U67/TrRoad_tech!U95)</f>
        <v>1.7201258274969811</v>
      </c>
      <c r="V122" s="91">
        <f>IF(TrRoad_act!V64=0,0,TrRoad_ene!V67/TrRoad_tech!V95)</f>
        <v>2.2181102906850878</v>
      </c>
      <c r="W122" s="91">
        <f>IF(TrRoad_act!W64=0,0,TrRoad_ene!W67/TrRoad_tech!W95)</f>
        <v>2.6191851473253167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0.95110894006897895</v>
      </c>
      <c r="O123" s="91">
        <f>IF(TrRoad_act!O65=0,0,TrRoad_ene!O68/TrRoad_tech!O96)</f>
        <v>0.9656790400864671</v>
      </c>
      <c r="P123" s="91">
        <f>IF(TrRoad_act!P65=0,0,TrRoad_ene!P68/TrRoad_tech!P96)</f>
        <v>0.96571375103531643</v>
      </c>
      <c r="Q123" s="91">
        <f>IF(TrRoad_act!Q65=0,0,TrRoad_ene!Q68/TrRoad_tech!Q96)</f>
        <v>0.97468571435487816</v>
      </c>
      <c r="R123" s="91">
        <f>IF(TrRoad_act!R65=0,0,TrRoad_ene!R68/TrRoad_tech!R96)</f>
        <v>1.0258869103306147</v>
      </c>
      <c r="S123" s="91">
        <f>IF(TrRoad_act!S65=0,0,TrRoad_ene!S68/TrRoad_tech!S96)</f>
        <v>0.99728309153673467</v>
      </c>
      <c r="T123" s="91">
        <f>IF(TrRoad_act!T65=0,0,TrRoad_ene!T68/TrRoad_tech!T96)</f>
        <v>1.0104585322666233</v>
      </c>
      <c r="U123" s="91">
        <f>IF(TrRoad_act!U65=0,0,TrRoad_ene!U68/TrRoad_tech!U96)</f>
        <v>1.0163073759978827</v>
      </c>
      <c r="V123" s="91">
        <f>IF(TrRoad_act!V65=0,0,TrRoad_ene!V68/TrRoad_tech!V96)</f>
        <v>1.0115136721550646</v>
      </c>
      <c r="W123" s="91">
        <f>IF(TrRoad_act!W65=0,0,TrRoad_ene!W68/TrRoad_tech!W96)</f>
        <v>1.0486723586201592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1.0433333333377</v>
      </c>
      <c r="J124" s="91">
        <f>IF(TrRoad_act!J66=0,0,TrRoad_ene!J69/TrRoad_tech!J97)</f>
        <v>1.0459989247599735</v>
      </c>
      <c r="K124" s="91">
        <f>IF(TrRoad_act!K66=0,0,TrRoad_ene!K69/TrRoad_tech!K97)</f>
        <v>1.0484020213656768</v>
      </c>
      <c r="L124" s="91">
        <f>IF(TrRoad_act!L66=0,0,TrRoad_ene!L69/TrRoad_tech!L97)</f>
        <v>1.0537034096703806</v>
      </c>
      <c r="M124" s="91">
        <f>IF(TrRoad_act!M66=0,0,TrRoad_ene!M69/TrRoad_tech!M97)</f>
        <v>1.0577096692296273</v>
      </c>
      <c r="N124" s="91">
        <f>IF(TrRoad_act!N66=0,0,TrRoad_ene!N69/TrRoad_tech!N97)</f>
        <v>1.0614772388220313</v>
      </c>
      <c r="O124" s="91">
        <f>IF(TrRoad_act!O66=0,0,TrRoad_ene!O69/TrRoad_tech!O97)</f>
        <v>1.0650416576410626</v>
      </c>
      <c r="P124" s="91">
        <f>IF(TrRoad_act!P66=0,0,TrRoad_ene!P69/TrRoad_tech!P97)</f>
        <v>1.0715740737847257</v>
      </c>
      <c r="Q124" s="91">
        <f>IF(TrRoad_act!Q66=0,0,TrRoad_ene!Q69/TrRoad_tech!Q97)</f>
        <v>1.0770884706606969</v>
      </c>
      <c r="R124" s="91">
        <f>IF(TrRoad_act!R66=0,0,TrRoad_ene!R69/TrRoad_tech!R97)</f>
        <v>1.0803717076050421</v>
      </c>
      <c r="S124" s="91">
        <f>IF(TrRoad_act!S66=0,0,TrRoad_ene!S69/TrRoad_tech!S97)</f>
        <v>1.0852810953651884</v>
      </c>
      <c r="T124" s="91">
        <f>IF(TrRoad_act!T66=0,0,TrRoad_ene!T69/TrRoad_tech!T97)</f>
        <v>1.0891699194418172</v>
      </c>
      <c r="U124" s="91">
        <f>IF(TrRoad_act!U66=0,0,TrRoad_ene!U69/TrRoad_tech!U97)</f>
        <v>1.0926812231319591</v>
      </c>
      <c r="V124" s="91">
        <f>IF(TrRoad_act!V66=0,0,TrRoad_ene!V69/TrRoad_tech!V97)</f>
        <v>1.0956117569565329</v>
      </c>
      <c r="W124" s="91">
        <f>IF(TrRoad_act!W66=0,0,TrRoad_ene!W69/TrRoad_tech!W97)</f>
        <v>1.0977290113715892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1.174856292875915</v>
      </c>
      <c r="C125" s="151">
        <f>IF(TrRoad_act!C67=0,0,TrRoad_ene!C70/TrRoad_tech!C98)</f>
        <v>1.1827789353926632</v>
      </c>
      <c r="D125" s="151">
        <f>IF(TrRoad_act!D67=0,0,TrRoad_ene!D70/TrRoad_tech!D98)</f>
        <v>1.1813914410787087</v>
      </c>
      <c r="E125" s="151">
        <f>IF(TrRoad_act!E67=0,0,TrRoad_ene!E70/TrRoad_tech!E98)</f>
        <v>1.1874603517243343</v>
      </c>
      <c r="F125" s="151">
        <f>IF(TrRoad_act!F67=0,0,TrRoad_ene!F70/TrRoad_tech!F98)</f>
        <v>1.2053226558362131</v>
      </c>
      <c r="G125" s="151">
        <f>IF(TrRoad_act!G67=0,0,TrRoad_ene!G70/TrRoad_tech!G98)</f>
        <v>1.1811457342116027</v>
      </c>
      <c r="H125" s="151">
        <f>IF(TrRoad_act!H67=0,0,TrRoad_ene!H70/TrRoad_tech!H98)</f>
        <v>1.2095527821952259</v>
      </c>
      <c r="I125" s="151">
        <f>IF(TrRoad_act!I67=0,0,TrRoad_ene!I70/TrRoad_tech!I98)</f>
        <v>1.2306360785448429</v>
      </c>
      <c r="J125" s="151">
        <f>IF(TrRoad_act!J67=0,0,TrRoad_ene!J70/TrRoad_tech!J98)</f>
        <v>1.1735124841409414</v>
      </c>
      <c r="K125" s="151">
        <f>IF(TrRoad_act!K67=0,0,TrRoad_ene!K70/TrRoad_tech!K98)</f>
        <v>1.1634120824152407</v>
      </c>
      <c r="L125" s="151">
        <f>IF(TrRoad_act!L67=0,0,TrRoad_ene!L70/TrRoad_tech!L98)</f>
        <v>1.1749520815018335</v>
      </c>
      <c r="M125" s="151">
        <f>IF(TrRoad_act!M67=0,0,TrRoad_ene!M70/TrRoad_tech!M98)</f>
        <v>1.1677832342915795</v>
      </c>
      <c r="N125" s="151">
        <f>IF(TrRoad_act!N67=0,0,TrRoad_ene!N70/TrRoad_tech!N98)</f>
        <v>1.1738947069991295</v>
      </c>
      <c r="O125" s="151">
        <f>IF(TrRoad_act!O67=0,0,TrRoad_ene!O70/TrRoad_tech!O98)</f>
        <v>1.1780625777210922</v>
      </c>
      <c r="P125" s="151">
        <f>IF(TrRoad_act!P67=0,0,TrRoad_ene!P70/TrRoad_tech!P98)</f>
        <v>1.1749496609510584</v>
      </c>
      <c r="Q125" s="151">
        <f>IF(TrRoad_act!Q67=0,0,TrRoad_ene!Q70/TrRoad_tech!Q98)</f>
        <v>1.1884180358890475</v>
      </c>
      <c r="R125" s="151">
        <f>IF(TrRoad_act!R67=0,0,TrRoad_ene!R70/TrRoad_tech!R98)</f>
        <v>1.2104225356176888</v>
      </c>
      <c r="S125" s="151">
        <f>IF(TrRoad_act!S67=0,0,TrRoad_ene!S70/TrRoad_tech!S98)</f>
        <v>1.1894237925925291</v>
      </c>
      <c r="T125" s="151">
        <f>IF(TrRoad_act!T67=0,0,TrRoad_ene!T70/TrRoad_tech!T98)</f>
        <v>1.2198762586040048</v>
      </c>
      <c r="U125" s="151">
        <f>IF(TrRoad_act!U67=0,0,TrRoad_ene!U70/TrRoad_tech!U98)</f>
        <v>1.2207156717963208</v>
      </c>
      <c r="V125" s="151">
        <f>IF(TrRoad_act!V67=0,0,TrRoad_ene!V70/TrRoad_tech!V98)</f>
        <v>1.2291848140770454</v>
      </c>
      <c r="W125" s="151">
        <f>IF(TrRoad_act!W67=0,0,TrRoad_ene!W70/TrRoad_tech!W98)</f>
        <v>1.2888333197239206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1.1005179012980644</v>
      </c>
      <c r="D126" s="93">
        <f>IF(TrRoad_act!D68=0,0,TrRoad_ene!D71/TrRoad_tech!D99)</f>
        <v>1.1005322742593313</v>
      </c>
      <c r="E126" s="93">
        <f>IF(TrRoad_act!E68=0,0,TrRoad_ene!E71/TrRoad_tech!E99)</f>
        <v>1.1005322742593313</v>
      </c>
      <c r="F126" s="93">
        <f>IF(TrRoad_act!F68=0,0,TrRoad_ene!F71/TrRoad_tech!F99)</f>
        <v>1.101639795669392</v>
      </c>
      <c r="G126" s="93">
        <f>IF(TrRoad_act!G68=0,0,TrRoad_ene!G71/TrRoad_tech!G99)</f>
        <v>1.1056850359339976</v>
      </c>
      <c r="H126" s="93">
        <f>IF(TrRoad_act!H68=0,0,TrRoad_ene!H71/TrRoad_tech!H99)</f>
        <v>1.1059600013359963</v>
      </c>
      <c r="I126" s="93">
        <f>IF(TrRoad_act!I68=0,0,TrRoad_ene!I71/TrRoad_tech!I99)</f>
        <v>1.1082371583622825</v>
      </c>
      <c r="J126" s="93">
        <f>IF(TrRoad_act!J68=0,0,TrRoad_ene!J71/TrRoad_tech!J99)</f>
        <v>1.1084317872723481</v>
      </c>
      <c r="K126" s="93">
        <f>IF(TrRoad_act!K68=0,0,TrRoad_ene!K71/TrRoad_tech!K99)</f>
        <v>1.1152944335173796</v>
      </c>
      <c r="L126" s="93">
        <f>IF(TrRoad_act!L68=0,0,TrRoad_ene!L71/TrRoad_tech!L99)</f>
        <v>1.1187470150396661</v>
      </c>
      <c r="M126" s="93">
        <f>IF(TrRoad_act!M68=0,0,TrRoad_ene!M71/TrRoad_tech!M99)</f>
        <v>1.1191638135371322</v>
      </c>
      <c r="N126" s="93">
        <f>IF(TrRoad_act!N68=0,0,TrRoad_ene!N71/TrRoad_tech!N99)</f>
        <v>1.119163813537132</v>
      </c>
      <c r="O126" s="93">
        <f>IF(TrRoad_act!O68=0,0,TrRoad_ene!O71/TrRoad_tech!O99)</f>
        <v>1.1191638135371322</v>
      </c>
      <c r="P126" s="93">
        <f>IF(TrRoad_act!P68=0,0,TrRoad_ene!P71/TrRoad_tech!P99)</f>
        <v>1.1191638135371318</v>
      </c>
      <c r="Q126" s="93">
        <f>IF(TrRoad_act!Q68=0,0,TrRoad_ene!Q71/TrRoad_tech!Q99)</f>
        <v>1.1191638135371322</v>
      </c>
      <c r="R126" s="93">
        <f>IF(TrRoad_act!R68=0,0,TrRoad_ene!R71/TrRoad_tech!R99)</f>
        <v>1.119163813537132</v>
      </c>
      <c r="S126" s="93">
        <f>IF(TrRoad_act!S68=0,0,TrRoad_ene!S71/TrRoad_tech!S99)</f>
        <v>1.1279620728876247</v>
      </c>
      <c r="T126" s="93">
        <f>IF(TrRoad_act!T68=0,0,TrRoad_ene!T71/TrRoad_tech!T99)</f>
        <v>1.127962072887625</v>
      </c>
      <c r="U126" s="93">
        <f>IF(TrRoad_act!U68=0,0,TrRoad_ene!U71/TrRoad_tech!U99)</f>
        <v>1.127962072887625</v>
      </c>
      <c r="V126" s="93">
        <f>IF(TrRoad_act!V68=0,0,TrRoad_ene!V71/TrRoad_tech!V99)</f>
        <v>1.1285708199047846</v>
      </c>
      <c r="W126" s="93">
        <f>IF(TrRoad_act!W68=0,0,TrRoad_ene!W71/TrRoad_tech!W99)</f>
        <v>1.1285708199047844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1.1757195022691209</v>
      </c>
      <c r="C127" s="93">
        <f>IF(TrRoad_act!C69=0,0,TrRoad_ene!C72/TrRoad_tech!C100)</f>
        <v>1.1897048707817803</v>
      </c>
      <c r="D127" s="93">
        <f>IF(TrRoad_act!D69=0,0,TrRoad_ene!D72/TrRoad_tech!D100)</f>
        <v>1.1915361082089952</v>
      </c>
      <c r="E127" s="93">
        <f>IF(TrRoad_act!E69=0,0,TrRoad_ene!E72/TrRoad_tech!E100)</f>
        <v>1.1999905452040998</v>
      </c>
      <c r="F127" s="93">
        <f>IF(TrRoad_act!F69=0,0,TrRoad_ene!F72/TrRoad_tech!F100)</f>
        <v>1.2186518088864753</v>
      </c>
      <c r="G127" s="93">
        <f>IF(TrRoad_act!G69=0,0,TrRoad_ene!G72/TrRoad_tech!G100)</f>
        <v>1.193498662553836</v>
      </c>
      <c r="H127" s="93">
        <f>IF(TrRoad_act!H69=0,0,TrRoad_ene!H72/TrRoad_tech!H100)</f>
        <v>1.2220309637168583</v>
      </c>
      <c r="I127" s="93">
        <f>IF(TrRoad_act!I69=0,0,TrRoad_ene!I72/TrRoad_tech!I100)</f>
        <v>1.2430964915913376</v>
      </c>
      <c r="J127" s="93">
        <f>IF(TrRoad_act!J69=0,0,TrRoad_ene!J72/TrRoad_tech!J100)</f>
        <v>1.1808159727894152</v>
      </c>
      <c r="K127" s="93">
        <f>IF(TrRoad_act!K69=0,0,TrRoad_ene!K72/TrRoad_tech!K100)</f>
        <v>1.1661022123685607</v>
      </c>
      <c r="L127" s="93">
        <f>IF(TrRoad_act!L69=0,0,TrRoad_ene!L72/TrRoad_tech!L100)</f>
        <v>1.1765542266921611</v>
      </c>
      <c r="M127" s="93">
        <f>IF(TrRoad_act!M69=0,0,TrRoad_ene!M72/TrRoad_tech!M100)</f>
        <v>1.1750862026087749</v>
      </c>
      <c r="N127" s="93">
        <f>IF(TrRoad_act!N69=0,0,TrRoad_ene!N72/TrRoad_tech!N100)</f>
        <v>1.1738168492782353</v>
      </c>
      <c r="O127" s="93">
        <f>IF(TrRoad_act!O69=0,0,TrRoad_ene!O72/TrRoad_tech!O100)</f>
        <v>1.1838780234352126</v>
      </c>
      <c r="P127" s="93">
        <f>IF(TrRoad_act!P69=0,0,TrRoad_ene!P72/TrRoad_tech!P100)</f>
        <v>1.1794143579919583</v>
      </c>
      <c r="Q127" s="93">
        <f>IF(TrRoad_act!Q69=0,0,TrRoad_ene!Q72/TrRoad_tech!Q100)</f>
        <v>1.1940336993202163</v>
      </c>
      <c r="R127" s="93">
        <f>IF(TrRoad_act!R69=0,0,TrRoad_ene!R72/TrRoad_tech!R100)</f>
        <v>1.2157797820240537</v>
      </c>
      <c r="S127" s="93">
        <f>IF(TrRoad_act!S69=0,0,TrRoad_ene!S72/TrRoad_tech!S100)</f>
        <v>1.1947829477320446</v>
      </c>
      <c r="T127" s="93">
        <f>IF(TrRoad_act!T69=0,0,TrRoad_ene!T72/TrRoad_tech!T100)</f>
        <v>1.2249706726516583</v>
      </c>
      <c r="U127" s="93">
        <f>IF(TrRoad_act!U69=0,0,TrRoad_ene!U72/TrRoad_tech!U100)</f>
        <v>1.224703097633937</v>
      </c>
      <c r="V127" s="93">
        <f>IF(TrRoad_act!V69=0,0,TrRoad_ene!V72/TrRoad_tech!V100)</f>
        <v>1.2307497504875988</v>
      </c>
      <c r="W127" s="93">
        <f>IF(TrRoad_act!W69=0,0,TrRoad_ene!W72/TrRoad_tech!W100)</f>
        <v>1.2919628227541555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0.98279342761690502</v>
      </c>
      <c r="C129" s="93">
        <f>IF(TrRoad_act!C71=0,0,TrRoad_ene!C74/TrRoad_tech!C102)</f>
        <v>1.0072695677790307</v>
      </c>
      <c r="D129" s="93">
        <f>IF(TrRoad_act!D71=0,0,TrRoad_ene!D74/TrRoad_tech!D102)</f>
        <v>1.0412709619610188</v>
      </c>
      <c r="E129" s="93">
        <f>IF(TrRoad_act!E71=0,0,TrRoad_ene!E74/TrRoad_tech!E102)</f>
        <v>1.0338865251018521</v>
      </c>
      <c r="F129" s="93">
        <f>IF(TrRoad_act!F71=0,0,TrRoad_ene!F74/TrRoad_tech!F102)</f>
        <v>1.0583684545266567</v>
      </c>
      <c r="G129" s="93">
        <f>IF(TrRoad_act!G71=0,0,TrRoad_ene!G74/TrRoad_tech!G102)</f>
        <v>1.069604886797503</v>
      </c>
      <c r="H129" s="93">
        <f>IF(TrRoad_act!H71=0,0,TrRoad_ene!H74/TrRoad_tech!H102)</f>
        <v>1.0966951990286722</v>
      </c>
      <c r="I129" s="93">
        <f>IF(TrRoad_act!I71=0,0,TrRoad_ene!I74/TrRoad_tech!I102)</f>
        <v>1.0398613380722443</v>
      </c>
      <c r="J129" s="93">
        <f>IF(TrRoad_act!J71=0,0,TrRoad_ene!J74/TrRoad_tech!J102)</f>
        <v>1.3036307273549133</v>
      </c>
      <c r="K129" s="93">
        <f>IF(TrRoad_act!K71=0,0,TrRoad_ene!K74/TrRoad_tech!K102)</f>
        <v>1.5061758960332468</v>
      </c>
      <c r="L129" s="93">
        <f>IF(TrRoad_act!L71=0,0,TrRoad_ene!L74/TrRoad_tech!L102)</f>
        <v>1.5375809296053369</v>
      </c>
      <c r="M129" s="93">
        <f>IF(TrRoad_act!M71=0,0,TrRoad_ene!M74/TrRoad_tech!M102)</f>
        <v>1.0250931216634096</v>
      </c>
      <c r="N129" s="93">
        <f>IF(TrRoad_act!N71=0,0,TrRoad_ene!N74/TrRoad_tech!N102)</f>
        <v>1.6330496118532392</v>
      </c>
      <c r="O129" s="93">
        <f>IF(TrRoad_act!O71=0,0,TrRoad_ene!O74/TrRoad_tech!O102)</f>
        <v>1.0254464982473206</v>
      </c>
      <c r="P129" s="93">
        <f>IF(TrRoad_act!P71=0,0,TrRoad_ene!P74/TrRoad_tech!P102)</f>
        <v>1.1522792874578351</v>
      </c>
      <c r="Q129" s="93">
        <f>IF(TrRoad_act!Q71=0,0,TrRoad_ene!Q74/TrRoad_tech!Q102)</f>
        <v>1.1012801600845117</v>
      </c>
      <c r="R129" s="93">
        <f>IF(TrRoad_act!R71=0,0,TrRoad_ene!R74/TrRoad_tech!R102)</f>
        <v>1.2870631460653861</v>
      </c>
      <c r="S129" s="93">
        <f>IF(TrRoad_act!S71=0,0,TrRoad_ene!S74/TrRoad_tech!S102)</f>
        <v>1.3395008298635629</v>
      </c>
      <c r="T129" s="93">
        <f>IF(TrRoad_act!T71=0,0,TrRoad_ene!T74/TrRoad_tech!T102)</f>
        <v>1.5376300327281975</v>
      </c>
      <c r="U129" s="93">
        <f>IF(TrRoad_act!U71=0,0,TrRoad_ene!U74/TrRoad_tech!U102)</f>
        <v>1.8950315148168437</v>
      </c>
      <c r="V129" s="93">
        <f>IF(TrRoad_act!V71=0,0,TrRoad_ene!V74/TrRoad_tech!V102)</f>
        <v>2.4824779685003056</v>
      </c>
      <c r="W129" s="93">
        <f>IF(TrRoad_act!W71=0,0,TrRoad_ene!W74/TrRoad_tech!W102)</f>
        <v>2.956022847007199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1.2360000000066977</v>
      </c>
      <c r="O130" s="93">
        <f>IF(TrRoad_act!O72=0,0,TrRoad_ene!O75/TrRoad_tech!O103)</f>
        <v>1.2360000000066975</v>
      </c>
      <c r="P130" s="93">
        <f>IF(TrRoad_act!P72=0,0,TrRoad_ene!P75/TrRoad_tech!P103)</f>
        <v>1.2360000000066975</v>
      </c>
      <c r="Q130" s="93">
        <f>IF(TrRoad_act!Q72=0,0,TrRoad_ene!Q75/TrRoad_tech!Q103)</f>
        <v>1.2360000000066975</v>
      </c>
      <c r="R130" s="93">
        <f>IF(TrRoad_act!R72=0,0,TrRoad_ene!R75/TrRoad_tech!R103)</f>
        <v>1.3126748863184323</v>
      </c>
      <c r="S130" s="93">
        <f>IF(TrRoad_act!S72=0,0,TrRoad_ene!S75/TrRoad_tech!S103)</f>
        <v>1.3222635415879456</v>
      </c>
      <c r="T130" s="93">
        <f>IF(TrRoad_act!T72=0,0,TrRoad_ene!T75/TrRoad_tech!T103)</f>
        <v>1.3242391630114052</v>
      </c>
      <c r="U130" s="93">
        <f>IF(TrRoad_act!U72=0,0,TrRoad_ene!U75/TrRoad_tech!U103)</f>
        <v>1.3424136322270486</v>
      </c>
      <c r="V130" s="93">
        <f>IF(TrRoad_act!V72=0,0,TrRoad_ene!V75/TrRoad_tech!V103)</f>
        <v>1.3464051334717833</v>
      </c>
      <c r="W130" s="93">
        <f>IF(TrRoad_act!W72=0,0,TrRoad_ene!W75/TrRoad_tech!W103)</f>
        <v>1.3541643832863692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1.1729403330143431</v>
      </c>
      <c r="C132" s="150">
        <f>IF(TrRoad_act!C74=0,0,TrRoad_ene!C77/TrRoad_tech!C105)</f>
        <v>1.1719498605468603</v>
      </c>
      <c r="D132" s="150">
        <f>IF(TrRoad_act!D74=0,0,TrRoad_ene!D77/TrRoad_tech!D105)</f>
        <v>1.167852580132855</v>
      </c>
      <c r="E132" s="150">
        <f>IF(TrRoad_act!E74=0,0,TrRoad_ene!E77/TrRoad_tech!E105)</f>
        <v>1.1697435108532912</v>
      </c>
      <c r="F132" s="150">
        <f>IF(TrRoad_act!F74=0,0,TrRoad_ene!F77/TrRoad_tech!F105)</f>
        <v>1.1809185334833485</v>
      </c>
      <c r="G132" s="150">
        <f>IF(TrRoad_act!G74=0,0,TrRoad_ene!G77/TrRoad_tech!G105)</f>
        <v>1.1575329516015946</v>
      </c>
      <c r="H132" s="150">
        <f>IF(TrRoad_act!H74=0,0,TrRoad_ene!H77/TrRoad_tech!H105)</f>
        <v>1.1817841595657859</v>
      </c>
      <c r="I132" s="150">
        <f>IF(TrRoad_act!I74=0,0,TrRoad_ene!I77/TrRoad_tech!I105)</f>
        <v>1.2011086399879729</v>
      </c>
      <c r="J132" s="150">
        <f>IF(TrRoad_act!J74=0,0,TrRoad_ene!J77/TrRoad_tech!J105)</f>
        <v>1.1464390996082756</v>
      </c>
      <c r="K132" s="150">
        <f>IF(TrRoad_act!K74=0,0,TrRoad_ene!K77/TrRoad_tech!K105)</f>
        <v>1.1334631152982571</v>
      </c>
      <c r="L132" s="150">
        <f>IF(TrRoad_act!L74=0,0,TrRoad_ene!L77/TrRoad_tech!L105)</f>
        <v>1.1419784326441318</v>
      </c>
      <c r="M132" s="150">
        <f>IF(TrRoad_act!M74=0,0,TrRoad_ene!M77/TrRoad_tech!M105)</f>
        <v>1.1418479269150252</v>
      </c>
      <c r="N132" s="150">
        <f>IF(TrRoad_act!N74=0,0,TrRoad_ene!N77/TrRoad_tech!N105)</f>
        <v>1.1409568822800964</v>
      </c>
      <c r="O132" s="150">
        <f>IF(TrRoad_act!O74=0,0,TrRoad_ene!O77/TrRoad_tech!O105)</f>
        <v>1.1476602096668855</v>
      </c>
      <c r="P132" s="150">
        <f>IF(TrRoad_act!P74=0,0,TrRoad_ene!P77/TrRoad_tech!P105)</f>
        <v>1.1391258949546264</v>
      </c>
      <c r="Q132" s="150">
        <f>IF(TrRoad_act!Q74=0,0,TrRoad_ene!Q77/TrRoad_tech!Q105)</f>
        <v>1.1481586494744485</v>
      </c>
      <c r="R132" s="150">
        <f>IF(TrRoad_act!R74=0,0,TrRoad_ene!R77/TrRoad_tech!R105)</f>
        <v>1.165465007355035</v>
      </c>
      <c r="S132" s="150">
        <f>IF(TrRoad_act!S74=0,0,TrRoad_ene!S77/TrRoad_tech!S105)</f>
        <v>1.144926994853398</v>
      </c>
      <c r="T132" s="150">
        <f>IF(TrRoad_act!T74=0,0,TrRoad_ene!T77/TrRoad_tech!T105)</f>
        <v>1.1705345666677041</v>
      </c>
      <c r="U132" s="150">
        <f>IF(TrRoad_act!U74=0,0,TrRoad_ene!U77/TrRoad_tech!U105)</f>
        <v>1.1705793401685465</v>
      </c>
      <c r="V132" s="150">
        <f>IF(TrRoad_act!V74=0,0,TrRoad_ene!V77/TrRoad_tech!V105)</f>
        <v>1.180752361425929</v>
      </c>
      <c r="W132" s="150">
        <f>IF(TrRoad_act!W74=0,0,TrRoad_ene!W77/TrRoad_tech!W105)</f>
        <v>1.2383029508431325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1.1000011114943686</v>
      </c>
      <c r="D133" s="91">
        <f>IF(TrRoad_act!D75=0,0,TrRoad_ene!D78/TrRoad_tech!D106)</f>
        <v>1.1000044209648601</v>
      </c>
      <c r="E133" s="91">
        <f>IF(TrRoad_act!E75=0,0,TrRoad_ene!E78/TrRoad_tech!E106)</f>
        <v>1.1000076026556369</v>
      </c>
      <c r="F133" s="91">
        <f>IF(TrRoad_act!F75=0,0,TrRoad_ene!F78/TrRoad_tech!F106)</f>
        <v>1.1000209921652666</v>
      </c>
      <c r="G133" s="91">
        <f>IF(TrRoad_act!G75=0,0,TrRoad_ene!G78/TrRoad_tech!G106)</f>
        <v>1.1000566466962087</v>
      </c>
      <c r="H133" s="91">
        <f>IF(TrRoad_act!H75=0,0,TrRoad_ene!H78/TrRoad_tech!H106)</f>
        <v>1.1003797077676176</v>
      </c>
      <c r="I133" s="91">
        <f>IF(TrRoad_act!I75=0,0,TrRoad_ene!I78/TrRoad_tech!I106)</f>
        <v>1.1012559474513226</v>
      </c>
      <c r="J133" s="91">
        <f>IF(TrRoad_act!J75=0,0,TrRoad_ene!J78/TrRoad_tech!J106)</f>
        <v>1.103490520803537</v>
      </c>
      <c r="K133" s="91">
        <f>IF(TrRoad_act!K75=0,0,TrRoad_ene!K78/TrRoad_tech!K106)</f>
        <v>1.1066608378644076</v>
      </c>
      <c r="L133" s="91">
        <f>IF(TrRoad_act!L75=0,0,TrRoad_ene!L78/TrRoad_tech!L106)</f>
        <v>1.1106120815744909</v>
      </c>
      <c r="M133" s="91">
        <f>IF(TrRoad_act!M75=0,0,TrRoad_ene!M78/TrRoad_tech!M106)</f>
        <v>1.1155131824964568</v>
      </c>
      <c r="N133" s="91">
        <f>IF(TrRoad_act!N75=0,0,TrRoad_ene!N78/TrRoad_tech!N106)</f>
        <v>1.12136296537185</v>
      </c>
      <c r="O133" s="91">
        <f>IF(TrRoad_act!O75=0,0,TrRoad_ene!O78/TrRoad_tech!O106)</f>
        <v>1.1266326934546382</v>
      </c>
      <c r="P133" s="91">
        <f>IF(TrRoad_act!P75=0,0,TrRoad_ene!P78/TrRoad_tech!P106)</f>
        <v>1.1332699345381247</v>
      </c>
      <c r="Q133" s="91">
        <f>IF(TrRoad_act!Q75=0,0,TrRoad_ene!Q78/TrRoad_tech!Q106)</f>
        <v>1.1401249735933954</v>
      </c>
      <c r="R133" s="91">
        <f>IF(TrRoad_act!R75=0,0,TrRoad_ene!R78/TrRoad_tech!R106)</f>
        <v>1.1486519550244605</v>
      </c>
      <c r="S133" s="91">
        <f>IF(TrRoad_act!S75=0,0,TrRoad_ene!S78/TrRoad_tech!S106)</f>
        <v>1.1578513178186731</v>
      </c>
      <c r="T133" s="91">
        <f>IF(TrRoad_act!T75=0,0,TrRoad_ene!T78/TrRoad_tech!T106)</f>
        <v>1.1666437200925868</v>
      </c>
      <c r="U133" s="91">
        <f>IF(TrRoad_act!U75=0,0,TrRoad_ene!U78/TrRoad_tech!U106)</f>
        <v>1.1783234738177493</v>
      </c>
      <c r="V133" s="91">
        <f>IF(TrRoad_act!V75=0,0,TrRoad_ene!V78/TrRoad_tech!V106)</f>
        <v>1.1907472194563185</v>
      </c>
      <c r="W133" s="91">
        <f>IF(TrRoad_act!W75=0,0,TrRoad_ene!W78/TrRoad_tech!W106)</f>
        <v>1.2043542889181733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1.1709870333777215</v>
      </c>
      <c r="C134" s="91">
        <f>IF(TrRoad_act!C76=0,0,TrRoad_ene!C79/TrRoad_tech!C107)</f>
        <v>1.1838482436362816</v>
      </c>
      <c r="D134" s="91">
        <f>IF(TrRoad_act!D76=0,0,TrRoad_ene!D79/TrRoad_tech!D107)</f>
        <v>1.1846714120117747</v>
      </c>
      <c r="E134" s="91">
        <f>IF(TrRoad_act!E76=0,0,TrRoad_ene!E79/TrRoad_tech!E107)</f>
        <v>1.1908597577993634</v>
      </c>
      <c r="F134" s="91">
        <f>IF(TrRoad_act!F76=0,0,TrRoad_ene!F79/TrRoad_tech!F107)</f>
        <v>1.2062035752302684</v>
      </c>
      <c r="G134" s="91">
        <f>IF(TrRoad_act!G76=0,0,TrRoad_ene!G79/TrRoad_tech!G107)</f>
        <v>1.1802091886977002</v>
      </c>
      <c r="H134" s="91">
        <f>IF(TrRoad_act!H76=0,0,TrRoad_ene!H79/TrRoad_tech!H107)</f>
        <v>1.2040012217684075</v>
      </c>
      <c r="I134" s="91">
        <f>IF(TrRoad_act!I76=0,0,TrRoad_ene!I79/TrRoad_tech!I107)</f>
        <v>1.2203805023415697</v>
      </c>
      <c r="J134" s="91">
        <f>IF(TrRoad_act!J76=0,0,TrRoad_ene!J79/TrRoad_tech!J107)</f>
        <v>1.1582976308213717</v>
      </c>
      <c r="K134" s="91">
        <f>IF(TrRoad_act!K76=0,0,TrRoad_ene!K79/TrRoad_tech!K107)</f>
        <v>1.1406241540144744</v>
      </c>
      <c r="L134" s="91">
        <f>IF(TrRoad_act!L76=0,0,TrRoad_ene!L79/TrRoad_tech!L107)</f>
        <v>1.1450939583076845</v>
      </c>
      <c r="M134" s="91">
        <f>IF(TrRoad_act!M76=0,0,TrRoad_ene!M79/TrRoad_tech!M107)</f>
        <v>1.1394531625089941</v>
      </c>
      <c r="N134" s="91">
        <f>IF(TrRoad_act!N76=0,0,TrRoad_ene!N79/TrRoad_tech!N107)</f>
        <v>1.1358300912539532</v>
      </c>
      <c r="O134" s="91">
        <f>IF(TrRoad_act!O76=0,0,TrRoad_ene!O79/TrRoad_tech!O107)</f>
        <v>1.1423989700220927</v>
      </c>
      <c r="P134" s="91">
        <f>IF(TrRoad_act!P76=0,0,TrRoad_ene!P79/TrRoad_tech!P107)</f>
        <v>1.1348638041796153</v>
      </c>
      <c r="Q134" s="91">
        <f>IF(TrRoad_act!Q76=0,0,TrRoad_ene!Q79/TrRoad_tech!Q107)</f>
        <v>1.1459879353774376</v>
      </c>
      <c r="R134" s="91">
        <f>IF(TrRoad_act!R76=0,0,TrRoad_ene!R79/TrRoad_tech!R107)</f>
        <v>1.167043225597898</v>
      </c>
      <c r="S134" s="91">
        <f>IF(TrRoad_act!S76=0,0,TrRoad_ene!S79/TrRoad_tech!S107)</f>
        <v>1.1487512535754074</v>
      </c>
      <c r="T134" s="91">
        <f>IF(TrRoad_act!T76=0,0,TrRoad_ene!T79/TrRoad_tech!T107)</f>
        <v>1.1788591154340036</v>
      </c>
      <c r="U134" s="91">
        <f>IF(TrRoad_act!U76=0,0,TrRoad_ene!U79/TrRoad_tech!U107)</f>
        <v>1.180952663152474</v>
      </c>
      <c r="V134" s="91">
        <f>IF(TrRoad_act!V76=0,0,TrRoad_ene!V79/TrRoad_tech!V107)</f>
        <v>1.1916034337845052</v>
      </c>
      <c r="W134" s="91">
        <f>IF(TrRoad_act!W76=0,0,TrRoad_ene!W79/TrRoad_tech!W107)</f>
        <v>1.2523381822145518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0</v>
      </c>
      <c r="T135" s="91">
        <f>IF(TrRoad_act!T77=0,0,TrRoad_ene!T80/TrRoad_tech!T108)</f>
        <v>0</v>
      </c>
      <c r="U135" s="91">
        <f>IF(TrRoad_act!U77=0,0,TrRoad_ene!U80/TrRoad_tech!U108)</f>
        <v>0</v>
      </c>
      <c r="V135" s="91">
        <f>IF(TrRoad_act!V77=0,0,TrRoad_ene!V80/TrRoad_tech!V108)</f>
        <v>0</v>
      </c>
      <c r="W135" s="91">
        <f>IF(TrRoad_act!W77=0,0,TrRoad_ene!W80/TrRoad_tech!W108)</f>
        <v>0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1.1040000000061811</v>
      </c>
      <c r="D136" s="91">
        <f>IF(TrRoad_act!D78=0,0,TrRoad_ene!D81/TrRoad_tech!D109)</f>
        <v>1.1040000000061811</v>
      </c>
      <c r="E136" s="91">
        <f>IF(TrRoad_act!E78=0,0,TrRoad_ene!E81/TrRoad_tech!E109)</f>
        <v>1.1040000000061811</v>
      </c>
      <c r="F136" s="91">
        <f>IF(TrRoad_act!F78=0,0,TrRoad_ene!F81/TrRoad_tech!F109)</f>
        <v>1.1040000000061811</v>
      </c>
      <c r="G136" s="91">
        <f>IF(TrRoad_act!G78=0,0,TrRoad_ene!G81/TrRoad_tech!G109)</f>
        <v>1.1121487957462892</v>
      </c>
      <c r="H136" s="91">
        <f>IF(TrRoad_act!H78=0,0,TrRoad_ene!H81/TrRoad_tech!H109)</f>
        <v>1.1121487957462892</v>
      </c>
      <c r="I136" s="91">
        <f>IF(TrRoad_act!I78=0,0,TrRoad_ene!I81/TrRoad_tech!I109)</f>
        <v>1.141756043196378</v>
      </c>
      <c r="J136" s="91">
        <f>IF(TrRoad_act!J78=0,0,TrRoad_ene!J81/TrRoad_tech!J109)</f>
        <v>1.34664074290311</v>
      </c>
      <c r="K136" s="91">
        <f>IF(TrRoad_act!K78=0,0,TrRoad_ene!K81/TrRoad_tech!K109)</f>
        <v>1.5617284077461513</v>
      </c>
      <c r="L136" s="91">
        <f>IF(TrRoad_act!L78=0,0,TrRoad_ene!L81/TrRoad_tech!L109)</f>
        <v>1.6031992358793832</v>
      </c>
      <c r="M136" s="91">
        <f>IF(TrRoad_act!M78=0,0,TrRoad_ene!M81/TrRoad_tech!M109)</f>
        <v>1.1936253330462818</v>
      </c>
      <c r="N136" s="91">
        <f>IF(TrRoad_act!N78=0,0,TrRoad_ene!N81/TrRoad_tech!N109)</f>
        <v>1.7331226416105907</v>
      </c>
      <c r="O136" s="91">
        <f>IF(TrRoad_act!O78=0,0,TrRoad_ene!O81/TrRoad_tech!O109)</f>
        <v>1.2214535940798159</v>
      </c>
      <c r="P136" s="91">
        <f>IF(TrRoad_act!P78=0,0,TrRoad_ene!P81/TrRoad_tech!P109)</f>
        <v>1.2480725088096523</v>
      </c>
      <c r="Q136" s="91">
        <f>IF(TrRoad_act!Q78=0,0,TrRoad_ene!Q81/TrRoad_tech!Q109)</f>
        <v>1.2459728801468679</v>
      </c>
      <c r="R136" s="91">
        <f>IF(TrRoad_act!R78=0,0,TrRoad_ene!R81/TrRoad_tech!R109)</f>
        <v>1.4243692626120041</v>
      </c>
      <c r="S136" s="91">
        <f>IF(TrRoad_act!S78=0,0,TrRoad_ene!S81/TrRoad_tech!S109)</f>
        <v>1.4909967146035128</v>
      </c>
      <c r="T136" s="91">
        <f>IF(TrRoad_act!T78=0,0,TrRoad_ene!T81/TrRoad_tech!T109)</f>
        <v>1.7223665984659617</v>
      </c>
      <c r="U136" s="91">
        <f>IF(TrRoad_act!U78=0,0,TrRoad_ene!U81/TrRoad_tech!U109)</f>
        <v>2.0758650355391111</v>
      </c>
      <c r="V136" s="91">
        <f>IF(TrRoad_act!V78=0,0,TrRoad_ene!V81/TrRoad_tech!V109)</f>
        <v>2.6882213032693669</v>
      </c>
      <c r="W136" s="91">
        <f>IF(TrRoad_act!W78=0,0,TrRoad_ene!W81/TrRoad_tech!W109)</f>
        <v>3.182549614451184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1.1000000000067305</v>
      </c>
      <c r="C137" s="91">
        <f>IF(TrRoad_act!C79=0,0,TrRoad_ene!C82/TrRoad_tech!C110)</f>
        <v>1.1000673496006959</v>
      </c>
      <c r="D137" s="91">
        <f>IF(TrRoad_act!D79=0,0,TrRoad_ene!D82/TrRoad_tech!D110)</f>
        <v>1.1002491560980228</v>
      </c>
      <c r="E137" s="91">
        <f>IF(TrRoad_act!E79=0,0,TrRoad_ene!E82/TrRoad_tech!E110)</f>
        <v>1.1004266868950303</v>
      </c>
      <c r="F137" s="91">
        <f>IF(TrRoad_act!F79=0,0,TrRoad_ene!F82/TrRoad_tech!F110)</f>
        <v>1.1004644543690942</v>
      </c>
      <c r="G137" s="91">
        <f>IF(TrRoad_act!G79=0,0,TrRoad_ene!G82/TrRoad_tech!G110)</f>
        <v>1.1008931177406498</v>
      </c>
      <c r="H137" s="91">
        <f>IF(TrRoad_act!H79=0,0,TrRoad_ene!H82/TrRoad_tech!H110)</f>
        <v>1.1020440453333946</v>
      </c>
      <c r="I137" s="91">
        <f>IF(TrRoad_act!I79=0,0,TrRoad_ene!I82/TrRoad_tech!I110)</f>
        <v>1.1021208704628183</v>
      </c>
      <c r="J137" s="91">
        <f>IF(TrRoad_act!J79=0,0,TrRoad_ene!J82/TrRoad_tech!J110)</f>
        <v>1.1055750382099419</v>
      </c>
      <c r="K137" s="91">
        <f>IF(TrRoad_act!K79=0,0,TrRoad_ene!K82/TrRoad_tech!K110)</f>
        <v>1.1085615013549202</v>
      </c>
      <c r="L137" s="91">
        <f>IF(TrRoad_act!L79=0,0,TrRoad_ene!L82/TrRoad_tech!L110)</f>
        <v>1.1162084649131134</v>
      </c>
      <c r="M137" s="91">
        <f>IF(TrRoad_act!M79=0,0,TrRoad_ene!M82/TrRoad_tech!M110)</f>
        <v>1.1174343010492231</v>
      </c>
      <c r="N137" s="91">
        <f>IF(TrRoad_act!N79=0,0,TrRoad_ene!N82/TrRoad_tech!N110)</f>
        <v>1.1328460153427353</v>
      </c>
      <c r="O137" s="91">
        <f>IF(TrRoad_act!O79=0,0,TrRoad_ene!O82/TrRoad_tech!O110)</f>
        <v>1.1368611328514211</v>
      </c>
      <c r="P137" s="91">
        <f>IF(TrRoad_act!P79=0,0,TrRoad_ene!P82/TrRoad_tech!P110)</f>
        <v>1.1672110750095779</v>
      </c>
      <c r="Q137" s="91">
        <f>IF(TrRoad_act!Q79=0,0,TrRoad_ene!Q82/TrRoad_tech!Q110)</f>
        <v>1.2119417100989245</v>
      </c>
      <c r="R137" s="91">
        <f>IF(TrRoad_act!R79=0,0,TrRoad_ene!R82/TrRoad_tech!R110)</f>
        <v>1.2467331555733823</v>
      </c>
      <c r="S137" s="91">
        <f>IF(TrRoad_act!S79=0,0,TrRoad_ene!S82/TrRoad_tech!S110)</f>
        <v>1.2640147755520568</v>
      </c>
      <c r="T137" s="91">
        <f>IF(TrRoad_act!T79=0,0,TrRoad_ene!T82/TrRoad_tech!T110)</f>
        <v>1.2808895509638989</v>
      </c>
      <c r="U137" s="91">
        <f>IF(TrRoad_act!U79=0,0,TrRoad_ene!U82/TrRoad_tech!U110)</f>
        <v>1.296906182228736</v>
      </c>
      <c r="V137" s="91">
        <f>IF(TrRoad_act!V79=0,0,TrRoad_ene!V82/TrRoad_tech!V110)</f>
        <v>1.3303386851129579</v>
      </c>
      <c r="W137" s="91">
        <f>IF(TrRoad_act!W79=0,0,TrRoad_ene!W82/TrRoad_tech!W110)</f>
        <v>1.3460169529634238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1.2220441948372529</v>
      </c>
      <c r="C138" s="151">
        <f>IF(TrRoad_act!C80=0,0,TrRoad_ene!C83/TrRoad_tech!C111)</f>
        <v>1.2428618075189215</v>
      </c>
      <c r="D138" s="151">
        <f>IF(TrRoad_act!D80=0,0,TrRoad_ene!D83/TrRoad_tech!D111)</f>
        <v>1.2449352900751562</v>
      </c>
      <c r="E138" s="151">
        <f>IF(TrRoad_act!E80=0,0,TrRoad_ene!E83/TrRoad_tech!E111)</f>
        <v>1.2569811222912712</v>
      </c>
      <c r="F138" s="151">
        <f>IF(TrRoad_act!F80=0,0,TrRoad_ene!F83/TrRoad_tech!F111)</f>
        <v>1.28537297864263</v>
      </c>
      <c r="G138" s="151">
        <f>IF(TrRoad_act!G80=0,0,TrRoad_ene!G83/TrRoad_tech!G111)</f>
        <v>1.2440278446383644</v>
      </c>
      <c r="H138" s="151">
        <f>IF(TrRoad_act!H80=0,0,TrRoad_ene!H83/TrRoad_tech!H111)</f>
        <v>1.2892328447936869</v>
      </c>
      <c r="I138" s="151">
        <f>IF(TrRoad_act!I80=0,0,TrRoad_ene!I83/TrRoad_tech!I111)</f>
        <v>1.3222944732850337</v>
      </c>
      <c r="J138" s="151">
        <f>IF(TrRoad_act!J80=0,0,TrRoad_ene!J83/TrRoad_tech!J111)</f>
        <v>1.2163447224564072</v>
      </c>
      <c r="K138" s="151">
        <f>IF(TrRoad_act!K80=0,0,TrRoad_ene!K83/TrRoad_tech!K111)</f>
        <v>1.1874050169136312</v>
      </c>
      <c r="L138" s="151">
        <f>IF(TrRoad_act!L80=0,0,TrRoad_ene!L83/TrRoad_tech!L111)</f>
        <v>1.1986444144023181</v>
      </c>
      <c r="M138" s="151">
        <f>IF(TrRoad_act!M80=0,0,TrRoad_ene!M83/TrRoad_tech!M111)</f>
        <v>1.1875866099007495</v>
      </c>
      <c r="N138" s="151">
        <f>IF(TrRoad_act!N80=0,0,TrRoad_ene!N83/TrRoad_tech!N111)</f>
        <v>1.1789698214897872</v>
      </c>
      <c r="O138" s="151">
        <f>IF(TrRoad_act!O80=0,0,TrRoad_ene!O83/TrRoad_tech!O111)</f>
        <v>1.1861561380815091</v>
      </c>
      <c r="P138" s="151">
        <f>IF(TrRoad_act!P80=0,0,TrRoad_ene!P83/TrRoad_tech!P111)</f>
        <v>1.1677678599964345</v>
      </c>
      <c r="Q138" s="151">
        <f>IF(TrRoad_act!Q80=0,0,TrRoad_ene!Q83/TrRoad_tech!Q111)</f>
        <v>1.1828244504633116</v>
      </c>
      <c r="R138" s="151">
        <f>IF(TrRoad_act!R80=0,0,TrRoad_ene!R83/TrRoad_tech!R111)</f>
        <v>1.2150329482134543</v>
      </c>
      <c r="S138" s="151">
        <f>IF(TrRoad_act!S80=0,0,TrRoad_ene!S83/TrRoad_tech!S111)</f>
        <v>1.1652382234647456</v>
      </c>
      <c r="T138" s="151">
        <f>IF(TrRoad_act!T80=0,0,TrRoad_ene!T83/TrRoad_tech!T111)</f>
        <v>1.2179706219978175</v>
      </c>
      <c r="U138" s="151">
        <f>IF(TrRoad_act!U80=0,0,TrRoad_ene!U83/TrRoad_tech!U111)</f>
        <v>1.2054231896404126</v>
      </c>
      <c r="V138" s="151">
        <f>IF(TrRoad_act!V80=0,0,TrRoad_ene!V83/TrRoad_tech!V111)</f>
        <v>1.2124279730008276</v>
      </c>
      <c r="W138" s="151">
        <f>IF(TrRoad_act!W80=0,0,TrRoad_ene!W83/TrRoad_tech!W111)</f>
        <v>1.3412891741996451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1.2058777362806299</v>
      </c>
      <c r="C139" s="93">
        <f>IF(TrRoad_act!C81=0,0,TrRoad_ene!C84/TrRoad_tech!C112)</f>
        <v>1.2245042132902602</v>
      </c>
      <c r="D139" s="93">
        <f>IF(TrRoad_act!D81=0,0,TrRoad_ene!D84/TrRoad_tech!D112)</f>
        <v>1.2263401536196838</v>
      </c>
      <c r="E139" s="93">
        <f>IF(TrRoad_act!E81=0,0,TrRoad_ene!E84/TrRoad_tech!E112)</f>
        <v>1.2371379892811805</v>
      </c>
      <c r="F139" s="93">
        <f>IF(TrRoad_act!F81=0,0,TrRoad_ene!F84/TrRoad_tech!F112)</f>
        <v>1.2621444417888428</v>
      </c>
      <c r="G139" s="93">
        <f>IF(TrRoad_act!G81=0,0,TrRoad_ene!G84/TrRoad_tech!G112)</f>
        <v>1.2253291010992124</v>
      </c>
      <c r="H139" s="93">
        <f>IF(TrRoad_act!H81=0,0,TrRoad_ene!H84/TrRoad_tech!H112)</f>
        <v>1.2654535784191281</v>
      </c>
      <c r="I139" s="93">
        <f>IF(TrRoad_act!I81=0,0,TrRoad_ene!I84/TrRoad_tech!I112)</f>
        <v>1.2952811967138338</v>
      </c>
      <c r="J139" s="93">
        <f>IF(TrRoad_act!J81=0,0,TrRoad_ene!J84/TrRoad_tech!J112)</f>
        <v>1.2011144801037923</v>
      </c>
      <c r="K139" s="93">
        <f>IF(TrRoad_act!K81=0,0,TrRoad_ene!K84/TrRoad_tech!K112)</f>
        <v>1.1751494817397161</v>
      </c>
      <c r="L139" s="93">
        <f>IF(TrRoad_act!L81=0,0,TrRoad_ene!L84/TrRoad_tech!L112)</f>
        <v>1.1849893289696147</v>
      </c>
      <c r="M139" s="93">
        <f>IF(TrRoad_act!M81=0,0,TrRoad_ene!M84/TrRoad_tech!M112)</f>
        <v>1.1779949486302077</v>
      </c>
      <c r="N139" s="93">
        <f>IF(TrRoad_act!N81=0,0,TrRoad_ene!N84/TrRoad_tech!N112)</f>
        <v>1.1688863239951297</v>
      </c>
      <c r="O139" s="93">
        <f>IF(TrRoad_act!O81=0,0,TrRoad_ene!O84/TrRoad_tech!O112)</f>
        <v>1.1772280661448618</v>
      </c>
      <c r="P139" s="93">
        <f>IF(TrRoad_act!P81=0,0,TrRoad_ene!P84/TrRoad_tech!P112)</f>
        <v>1.159004196566771</v>
      </c>
      <c r="Q139" s="93">
        <f>IF(TrRoad_act!Q81=0,0,TrRoad_ene!Q84/TrRoad_tech!Q112)</f>
        <v>1.1706011672997694</v>
      </c>
      <c r="R139" s="93">
        <f>IF(TrRoad_act!R81=0,0,TrRoad_ene!R84/TrRoad_tech!R112)</f>
        <v>1.2037833324333667</v>
      </c>
      <c r="S139" s="93">
        <f>IF(TrRoad_act!S81=0,0,TrRoad_ene!S84/TrRoad_tech!S112)</f>
        <v>1.1609233555350915</v>
      </c>
      <c r="T139" s="93">
        <f>IF(TrRoad_act!T81=0,0,TrRoad_ene!T84/TrRoad_tech!T112)</f>
        <v>1.2073964207026657</v>
      </c>
      <c r="U139" s="93">
        <f>IF(TrRoad_act!U81=0,0,TrRoad_ene!U84/TrRoad_tech!U112)</f>
        <v>1.199173989247692</v>
      </c>
      <c r="V139" s="93">
        <f>IF(TrRoad_act!V81=0,0,TrRoad_ene!V84/TrRoad_tech!V112)</f>
        <v>1.2056460075827324</v>
      </c>
      <c r="W139" s="93">
        <f>IF(TrRoad_act!W81=0,0,TrRoad_ene!W84/TrRoad_tech!W112)</f>
        <v>1.3183127276770668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1.6185892707010137</v>
      </c>
      <c r="C140" s="94">
        <f>IF(TrRoad_act!C82=0,0,TrRoad_ene!C85/TrRoad_tech!C113)</f>
        <v>1.6945465268207178</v>
      </c>
      <c r="D140" s="94">
        <f>IF(TrRoad_act!D82=0,0,TrRoad_ene!D85/TrRoad_tech!D113)</f>
        <v>1.6904814541143742</v>
      </c>
      <c r="E140" s="94">
        <f>IF(TrRoad_act!E82=0,0,TrRoad_ene!E85/TrRoad_tech!E113)</f>
        <v>1.7310560188049118</v>
      </c>
      <c r="F140" s="94">
        <f>IF(TrRoad_act!F82=0,0,TrRoad_ene!F85/TrRoad_tech!F113)</f>
        <v>1.7653059561892432</v>
      </c>
      <c r="G140" s="94">
        <f>IF(TrRoad_act!G82=0,0,TrRoad_ene!G85/TrRoad_tech!G113)</f>
        <v>1.6036431346481894</v>
      </c>
      <c r="H140" s="94">
        <f>IF(TrRoad_act!H82=0,0,TrRoad_ene!H85/TrRoad_tech!H113)</f>
        <v>1.7167066216522617</v>
      </c>
      <c r="I140" s="94">
        <f>IF(TrRoad_act!I82=0,0,TrRoad_ene!I85/TrRoad_tech!I113)</f>
        <v>1.8065189332898317</v>
      </c>
      <c r="J140" s="94">
        <f>IF(TrRoad_act!J82=0,0,TrRoad_ene!J85/TrRoad_tech!J113)</f>
        <v>1.4284824730819721</v>
      </c>
      <c r="K140" s="94">
        <f>IF(TrRoad_act!K82=0,0,TrRoad_ene!K85/TrRoad_tech!K113)</f>
        <v>1.2977480875243179</v>
      </c>
      <c r="L140" s="94">
        <f>IF(TrRoad_act!L82=0,0,TrRoad_ene!L85/TrRoad_tech!L113)</f>
        <v>1.3112668715422531</v>
      </c>
      <c r="M140" s="94">
        <f>IF(TrRoad_act!M82=0,0,TrRoad_ene!M85/TrRoad_tech!M113)</f>
        <v>1.3041978420545675</v>
      </c>
      <c r="N140" s="94">
        <f>IF(TrRoad_act!N82=0,0,TrRoad_ene!N85/TrRoad_tech!N113)</f>
        <v>1.2271613909187244</v>
      </c>
      <c r="O140" s="94">
        <f>IF(TrRoad_act!O82=0,0,TrRoad_ene!O85/TrRoad_tech!O113)</f>
        <v>1.2272293954156428</v>
      </c>
      <c r="P140" s="94">
        <f>IF(TrRoad_act!P82=0,0,TrRoad_ene!P85/TrRoad_tech!P113)</f>
        <v>1.153079127963051</v>
      </c>
      <c r="Q140" s="94">
        <f>IF(TrRoad_act!Q82=0,0,TrRoad_ene!Q85/TrRoad_tech!Q113)</f>
        <v>1.182759287860466</v>
      </c>
      <c r="R140" s="94">
        <f>IF(TrRoad_act!R82=0,0,TrRoad_ene!R85/TrRoad_tech!R113)</f>
        <v>1.2442785014568225</v>
      </c>
      <c r="S140" s="94">
        <f>IF(TrRoad_act!S82=0,0,TrRoad_ene!S85/TrRoad_tech!S113)</f>
        <v>1.0636146774502049</v>
      </c>
      <c r="T140" s="94">
        <f>IF(TrRoad_act!T82=0,0,TrRoad_ene!T85/TrRoad_tech!T113)</f>
        <v>1.2016916100737829</v>
      </c>
      <c r="U140" s="94">
        <f>IF(TrRoad_act!U82=0,0,TrRoad_ene!U85/TrRoad_tech!U113)</f>
        <v>1.1220412772612456</v>
      </c>
      <c r="V140" s="94">
        <f>IF(TrRoad_act!V82=0,0,TrRoad_ene!V85/TrRoad_tech!V113)</f>
        <v>1.122738509680167</v>
      </c>
      <c r="W140" s="94">
        <f>IF(TrRoad_act!W82=0,0,TrRoad_ene!W85/TrRoad_tech!W113)</f>
        <v>1.4630026010521016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3.6734389377950611</v>
      </c>
      <c r="C144" s="141">
        <v>3.6734389377950611</v>
      </c>
      <c r="D144" s="141">
        <v>3.6734389377950611</v>
      </c>
      <c r="E144" s="141">
        <v>3.6251042149293373</v>
      </c>
      <c r="F144" s="141">
        <v>3.6734389377950616</v>
      </c>
      <c r="G144" s="141">
        <v>3.6590835251039411</v>
      </c>
      <c r="H144" s="141">
        <v>3.6251042149293378</v>
      </c>
      <c r="I144" s="141">
        <v>3.6338044650451682</v>
      </c>
      <c r="J144" s="141">
        <v>3.3834306006007151</v>
      </c>
      <c r="K144" s="141">
        <v>3.2384264320035414</v>
      </c>
      <c r="L144" s="141">
        <v>3.0934222634063682</v>
      </c>
      <c r="M144" s="141">
        <v>2.9809615711711142</v>
      </c>
      <c r="N144" s="141">
        <v>2.8746706058159899</v>
      </c>
      <c r="O144" s="141">
        <v>2.7139492300690851</v>
      </c>
      <c r="P144" s="141">
        <v>2.6242592068658164</v>
      </c>
      <c r="Q144" s="141">
        <v>2.5304897784171607</v>
      </c>
      <c r="R144" s="141">
        <v>2.4641058795631365</v>
      </c>
      <c r="S144" s="141">
        <v>2.4109987604799175</v>
      </c>
      <c r="T144" s="141">
        <v>2.3685130652133419</v>
      </c>
      <c r="U144" s="141">
        <v>2.3345245090000817</v>
      </c>
      <c r="V144" s="141">
        <v>2.3073336640294735</v>
      </c>
      <c r="W144" s="141">
        <v>2.2855809880529869</v>
      </c>
      <c r="DA144" s="174" t="s">
        <v>885</v>
      </c>
    </row>
    <row r="145" spans="1:105" ht="11.45" customHeight="1" x14ac:dyDescent="0.25">
      <c r="A145" s="109" t="s">
        <v>20</v>
      </c>
      <c r="B145" s="130">
        <v>6.4283888212527076</v>
      </c>
      <c r="C145" s="130">
        <v>6.4303333318266587</v>
      </c>
      <c r="D145" s="130">
        <v>6.432559491409509</v>
      </c>
      <c r="E145" s="130">
        <v>6.4056122070740082</v>
      </c>
      <c r="F145" s="130">
        <v>6.3943856596065203</v>
      </c>
      <c r="G145" s="130">
        <v>6.3926740405180613</v>
      </c>
      <c r="H145" s="130">
        <v>6.4223460193121849</v>
      </c>
      <c r="I145" s="130">
        <v>6.4291316073234777</v>
      </c>
      <c r="J145" s="130">
        <v>6.3102109697394928</v>
      </c>
      <c r="K145" s="130">
        <v>6.2765844482232431</v>
      </c>
      <c r="L145" s="130">
        <v>6.1457080186932673</v>
      </c>
      <c r="M145" s="130">
        <v>5.9357544014338268</v>
      </c>
      <c r="N145" s="130">
        <v>5.7366136489535968</v>
      </c>
      <c r="O145" s="130">
        <v>5.4340294498755242</v>
      </c>
      <c r="P145" s="130">
        <v>5.2604923126796663</v>
      </c>
      <c r="Q145" s="130">
        <v>5.0827214085388492</v>
      </c>
      <c r="R145" s="130">
        <v>4.9751852529316762</v>
      </c>
      <c r="S145" s="130">
        <v>4.929274815291647</v>
      </c>
      <c r="T145" s="130">
        <v>4.93181864009357</v>
      </c>
      <c r="U145" s="130">
        <v>4.9091655098806344</v>
      </c>
      <c r="V145" s="130">
        <v>4.6059481139829765</v>
      </c>
      <c r="W145" s="130">
        <v>4.2173901020867683</v>
      </c>
      <c r="DA145" s="176" t="s">
        <v>886</v>
      </c>
    </row>
    <row r="146" spans="1:105" ht="11.45" customHeight="1" x14ac:dyDescent="0.25">
      <c r="A146" s="111" t="s">
        <v>110</v>
      </c>
      <c r="B146" s="96">
        <v>6.4512711968813523</v>
      </c>
      <c r="C146" s="96">
        <v>6.4223777091535919</v>
      </c>
      <c r="D146" s="96">
        <v>6.3904255812473574</v>
      </c>
      <c r="E146" s="96">
        <v>6.3586324191516006</v>
      </c>
      <c r="F146" s="96">
        <v>6.326997431991642</v>
      </c>
      <c r="G146" s="96">
        <v>6.2955198328275053</v>
      </c>
      <c r="H146" s="96">
        <v>6.2641988386343348</v>
      </c>
      <c r="I146" s="96">
        <v>6.2330336702829197</v>
      </c>
      <c r="J146" s="96">
        <v>6.2020235525203198</v>
      </c>
      <c r="K146" s="96">
        <v>6.1711677139505685</v>
      </c>
      <c r="L146" s="96">
        <v>6.1404653870154897</v>
      </c>
      <c r="M146" s="96">
        <v>5.9130732560622103</v>
      </c>
      <c r="N146" s="96">
        <v>5.7094449141066681</v>
      </c>
      <c r="O146" s="96">
        <v>5.3949613964413121</v>
      </c>
      <c r="P146" s="96">
        <v>5.2247215140866361</v>
      </c>
      <c r="Q146" s="96">
        <v>5.0457352598748573</v>
      </c>
      <c r="R146" s="96">
        <v>4.9351666820339615</v>
      </c>
      <c r="S146" s="96">
        <v>4.8701032641609041</v>
      </c>
      <c r="T146" s="96">
        <v>4.8655134523259314</v>
      </c>
      <c r="U146" s="96">
        <v>4.956403186664871</v>
      </c>
      <c r="V146" s="96">
        <v>4.7594703450875011</v>
      </c>
      <c r="W146" s="96">
        <v>4.4774028527551444</v>
      </c>
      <c r="DA146" s="171" t="s">
        <v>887</v>
      </c>
    </row>
    <row r="147" spans="1:105" ht="11.45" customHeight="1" x14ac:dyDescent="0.25">
      <c r="A147" s="111" t="s">
        <v>111</v>
      </c>
      <c r="B147" s="96">
        <v>6.2900423506207614</v>
      </c>
      <c r="C147" s="96">
        <v>6.4784328970274165</v>
      </c>
      <c r="D147" s="96">
        <v>6.6943806602616629</v>
      </c>
      <c r="E147" s="96">
        <v>6.6943806602616629</v>
      </c>
      <c r="F147" s="96">
        <v>6.8023545418787874</v>
      </c>
      <c r="G147" s="96">
        <v>6.9574050358809769</v>
      </c>
      <c r="H147" s="96">
        <v>7.1262761867301583</v>
      </c>
      <c r="I147" s="96">
        <v>7.057280876376816</v>
      </c>
      <c r="J147" s="96">
        <v>6.4784328970274165</v>
      </c>
      <c r="K147" s="96">
        <v>6.4784328970274165</v>
      </c>
      <c r="L147" s="96">
        <v>6.1545112521760874</v>
      </c>
      <c r="M147" s="96">
        <v>5.9752430871345936</v>
      </c>
      <c r="N147" s="96">
        <v>5.7965183815399968</v>
      </c>
      <c r="O147" s="96">
        <v>5.529020294478312</v>
      </c>
      <c r="P147" s="96">
        <v>5.3594105165009474</v>
      </c>
      <c r="Q147" s="96">
        <v>5.1963867943486983</v>
      </c>
      <c r="R147" s="96">
        <v>5.1041152435660084</v>
      </c>
      <c r="S147" s="96">
        <v>5.1769958902449531</v>
      </c>
      <c r="T147" s="96">
        <v>5.3112287697938365</v>
      </c>
      <c r="U147" s="96">
        <v>5.2574621379690702</v>
      </c>
      <c r="V147" s="96">
        <v>5.0702078884591684</v>
      </c>
      <c r="W147" s="96">
        <v>4.9276762660112068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0</v>
      </c>
      <c r="Q148" s="96">
        <v>0</v>
      </c>
      <c r="R148" s="96">
        <v>0</v>
      </c>
      <c r="S148" s="96">
        <v>0</v>
      </c>
      <c r="T148" s="96">
        <v>0</v>
      </c>
      <c r="U148" s="96">
        <v>0</v>
      </c>
      <c r="V148" s="96">
        <v>0</v>
      </c>
      <c r="W148" s="96">
        <v>0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8.2915018849079249</v>
      </c>
      <c r="I149" s="96">
        <v>8.3114014894317059</v>
      </c>
      <c r="J149" s="96">
        <v>7.7387350925807299</v>
      </c>
      <c r="K149" s="96">
        <v>7.4070750171844129</v>
      </c>
      <c r="L149" s="96">
        <v>7.0754149417881465</v>
      </c>
      <c r="M149" s="96">
        <v>8.0788722407461364</v>
      </c>
      <c r="N149" s="96">
        <v>7.8313493465615522</v>
      </c>
      <c r="O149" s="96">
        <v>6.0135558137541905</v>
      </c>
      <c r="P149" s="96">
        <v>5.0468272474994436</v>
      </c>
      <c r="Q149" s="96">
        <v>4.8755372895899045</v>
      </c>
      <c r="R149" s="96">
        <v>5.0443077001685142</v>
      </c>
      <c r="S149" s="96">
        <v>5.1023113809361744</v>
      </c>
      <c r="T149" s="96">
        <v>5.3980651559774593</v>
      </c>
      <c r="U149" s="96">
        <v>4.8838721656597315</v>
      </c>
      <c r="V149" s="96">
        <v>4.7999508026074649</v>
      </c>
      <c r="W149" s="96">
        <v>4.5066227831355512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2.7395941481737638</v>
      </c>
      <c r="O150" s="96">
        <v>2.9303240677375997</v>
      </c>
      <c r="P150" s="96">
        <v>3.327867587378869</v>
      </c>
      <c r="Q150" s="96">
        <v>3.7048601884996728</v>
      </c>
      <c r="R150" s="96">
        <v>3.6226215227408094</v>
      </c>
      <c r="S150" s="96">
        <v>3.4667069299488258</v>
      </c>
      <c r="T150" s="96">
        <v>3.5489465896272474</v>
      </c>
      <c r="U150" s="96">
        <v>3.177606524114541</v>
      </c>
      <c r="V150" s="96">
        <v>3.0448700990743944</v>
      </c>
      <c r="W150" s="96">
        <v>2.8694391121397969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1.5561912025524096</v>
      </c>
      <c r="J151" s="96">
        <v>1.5406292905268852</v>
      </c>
      <c r="K151" s="96">
        <v>1.5252229976216163</v>
      </c>
      <c r="L151" s="96">
        <v>1.5099707676454002</v>
      </c>
      <c r="M151" s="96">
        <v>1.5099707676454002</v>
      </c>
      <c r="N151" s="96">
        <v>1.3931622676979365</v>
      </c>
      <c r="O151" s="96">
        <v>1.4506817344306595</v>
      </c>
      <c r="P151" s="96">
        <v>1.4196251903573018</v>
      </c>
      <c r="Q151" s="96">
        <v>1.6394382344511327</v>
      </c>
      <c r="R151" s="96">
        <v>1.5135203914416484</v>
      </c>
      <c r="S151" s="96">
        <v>1.4192756060881153</v>
      </c>
      <c r="T151" s="96">
        <v>1.4858214410295041</v>
      </c>
      <c r="U151" s="96">
        <v>1.3370865396127429</v>
      </c>
      <c r="V151" s="96">
        <v>1.5193121238177127</v>
      </c>
      <c r="W151" s="96">
        <v>1.6382630531583871</v>
      </c>
      <c r="DA151" s="171" t="s">
        <v>892</v>
      </c>
    </row>
    <row r="152" spans="1:105" ht="11.45" customHeight="1" x14ac:dyDescent="0.25">
      <c r="A152" s="109" t="s">
        <v>21</v>
      </c>
      <c r="B152" s="130">
        <v>47.461654591450653</v>
      </c>
      <c r="C152" s="130">
        <v>47.252994845344205</v>
      </c>
      <c r="D152" s="130">
        <v>46.98322338048348</v>
      </c>
      <c r="E152" s="130">
        <v>47.26857220075685</v>
      </c>
      <c r="F152" s="130">
        <v>47.425700462408265</v>
      </c>
      <c r="G152" s="130">
        <v>47.285231688865842</v>
      </c>
      <c r="H152" s="130">
        <v>46.890025072292417</v>
      </c>
      <c r="I152" s="130">
        <v>47.248288680504494</v>
      </c>
      <c r="J152" s="130">
        <v>46.487888605794772</v>
      </c>
      <c r="K152" s="130">
        <v>45.889100094474195</v>
      </c>
      <c r="L152" s="130">
        <v>45.437478114774052</v>
      </c>
      <c r="M152" s="130">
        <v>45.036249694263439</v>
      </c>
      <c r="N152" s="130">
        <v>44.562840361901351</v>
      </c>
      <c r="O152" s="130">
        <v>43.972737099807397</v>
      </c>
      <c r="P152" s="130">
        <v>43.600203089397503</v>
      </c>
      <c r="Q152" s="130">
        <v>43.199999999908329</v>
      </c>
      <c r="R152" s="130">
        <v>42.679912779455044</v>
      </c>
      <c r="S152" s="130">
        <v>42.367071351835733</v>
      </c>
      <c r="T152" s="130">
        <v>42.191662343560452</v>
      </c>
      <c r="U152" s="130">
        <v>41.459304595612942</v>
      </c>
      <c r="V152" s="130">
        <v>41.320472013009621</v>
      </c>
      <c r="W152" s="130">
        <v>39.321978569571129</v>
      </c>
      <c r="DA152" s="176" t="s">
        <v>893</v>
      </c>
    </row>
    <row r="153" spans="1:105" ht="11.45" customHeight="1" x14ac:dyDescent="0.25">
      <c r="A153" s="111" t="s">
        <v>110</v>
      </c>
      <c r="B153" s="97">
        <v>15.305995574146086</v>
      </c>
      <c r="C153" s="97">
        <v>15.305995574146086</v>
      </c>
      <c r="D153" s="97">
        <v>0</v>
      </c>
      <c r="E153" s="97">
        <v>0</v>
      </c>
      <c r="F153" s="97">
        <v>15.30599557414609</v>
      </c>
      <c r="G153" s="97">
        <v>15.246181354599756</v>
      </c>
      <c r="H153" s="97">
        <v>0</v>
      </c>
      <c r="I153" s="97">
        <v>15.140851937688202</v>
      </c>
      <c r="J153" s="97">
        <v>0</v>
      </c>
      <c r="K153" s="97">
        <v>13.493443466681425</v>
      </c>
      <c r="L153" s="97">
        <v>12.889259430859868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10.394778052270844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47.499708625790653</v>
      </c>
      <c r="C154" s="97">
        <v>47.499708625790653</v>
      </c>
      <c r="D154" s="97">
        <v>47.499708625790653</v>
      </c>
      <c r="E154" s="97">
        <v>47.341902284841176</v>
      </c>
      <c r="F154" s="97">
        <v>47.498146186771343</v>
      </c>
      <c r="G154" s="97">
        <v>47.451605340351506</v>
      </c>
      <c r="H154" s="97">
        <v>47.340670369452418</v>
      </c>
      <c r="I154" s="97">
        <v>47.369023735614995</v>
      </c>
      <c r="J154" s="97">
        <v>46.508614369774172</v>
      </c>
      <c r="K154" s="97">
        <v>45.993758860145675</v>
      </c>
      <c r="L154" s="97">
        <v>45.461012618522368</v>
      </c>
      <c r="M154" s="97">
        <v>45.036249694263439</v>
      </c>
      <c r="N154" s="97">
        <v>44.623758747866937</v>
      </c>
      <c r="O154" s="97">
        <v>43.972737099807397</v>
      </c>
      <c r="P154" s="97">
        <v>43.600203089397503</v>
      </c>
      <c r="Q154" s="97">
        <v>43.199999999908329</v>
      </c>
      <c r="R154" s="97">
        <v>42.842958969712349</v>
      </c>
      <c r="S154" s="97">
        <v>42.52414574716267</v>
      </c>
      <c r="T154" s="97">
        <v>42.239242777694528</v>
      </c>
      <c r="U154" s="97">
        <v>41.984462486530013</v>
      </c>
      <c r="V154" s="97">
        <v>41.756474447611104</v>
      </c>
      <c r="W154" s="97">
        <v>41.552343930750801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39.58309052149221</v>
      </c>
      <c r="D156" s="97">
        <v>39.58309052149221</v>
      </c>
      <c r="E156" s="97">
        <v>39.451585237367645</v>
      </c>
      <c r="F156" s="97">
        <v>39.581788488976123</v>
      </c>
      <c r="G156" s="97">
        <v>39.543004450292919</v>
      </c>
      <c r="H156" s="97">
        <v>39.45055864121035</v>
      </c>
      <c r="I156" s="97">
        <v>39.474186446345833</v>
      </c>
      <c r="J156" s="97">
        <v>38.757178641478475</v>
      </c>
      <c r="K156" s="97">
        <v>38.328132383454729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35.630068074225562</v>
      </c>
      <c r="T156" s="97">
        <v>35.443177165415634</v>
      </c>
      <c r="U156" s="97">
        <v>35.275813652090584</v>
      </c>
      <c r="V156" s="97">
        <v>35.1258622983324</v>
      </c>
      <c r="W156" s="97">
        <v>34.991451148923261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29.871356279868582</v>
      </c>
      <c r="O157" s="97">
        <v>0</v>
      </c>
      <c r="P157" s="97">
        <v>0</v>
      </c>
      <c r="Q157" s="97">
        <v>0</v>
      </c>
      <c r="R157" s="97">
        <v>28.723158893430281</v>
      </c>
      <c r="S157" s="97">
        <v>28.490279400123526</v>
      </c>
      <c r="T157" s="97">
        <v>28.282302638621037</v>
      </c>
      <c r="U157" s="97">
        <v>28.096421942503934</v>
      </c>
      <c r="V157" s="97">
        <v>27.930174072870045</v>
      </c>
      <c r="W157" s="97">
        <v>27.781392216932041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7.1938287544799708</v>
      </c>
      <c r="C159" s="141">
        <v>7.3344032457255173</v>
      </c>
      <c r="D159" s="141">
        <v>7.4933650371177967</v>
      </c>
      <c r="E159" s="141">
        <v>7.6270564322618126</v>
      </c>
      <c r="F159" s="141">
        <v>7.7915515715874228</v>
      </c>
      <c r="G159" s="141">
        <v>7.9591933994440263</v>
      </c>
      <c r="H159" s="141">
        <v>8.1775706057086275</v>
      </c>
      <c r="I159" s="141">
        <v>8.3666307886881128</v>
      </c>
      <c r="J159" s="141">
        <v>8.2069206055986204</v>
      </c>
      <c r="K159" s="141">
        <v>8.3061090230383687</v>
      </c>
      <c r="L159" s="141">
        <v>8.5584076639143003</v>
      </c>
      <c r="M159" s="141">
        <v>8.7652935249909518</v>
      </c>
      <c r="N159" s="141">
        <v>8.2138361823181487</v>
      </c>
      <c r="O159" s="141">
        <v>7.650954033135144</v>
      </c>
      <c r="P159" s="141">
        <v>7.6302973393916877</v>
      </c>
      <c r="Q159" s="141">
        <v>7.2850128092100981</v>
      </c>
      <c r="R159" s="141">
        <v>7.0157626302558009</v>
      </c>
      <c r="S159" s="141">
        <v>6.7743078587876546</v>
      </c>
      <c r="T159" s="141">
        <v>6.5219945392240026</v>
      </c>
      <c r="U159" s="141">
        <v>6.5039911528955194</v>
      </c>
      <c r="V159" s="141">
        <v>6.5174501137794651</v>
      </c>
      <c r="W159" s="141">
        <v>6.2732282000989619</v>
      </c>
      <c r="DA159" s="174" t="s">
        <v>899</v>
      </c>
    </row>
    <row r="160" spans="1:105" ht="11.45" customHeight="1" x14ac:dyDescent="0.25">
      <c r="A160" s="111" t="s">
        <v>110</v>
      </c>
      <c r="B160" s="96">
        <v>7.1495902461895939</v>
      </c>
      <c r="C160" s="96">
        <v>7.1495902461895966</v>
      </c>
      <c r="D160" s="96">
        <v>7.1495902461895984</v>
      </c>
      <c r="E160" s="96">
        <v>7.0555166903186848</v>
      </c>
      <c r="F160" s="96">
        <v>7.1495902461895993</v>
      </c>
      <c r="G160" s="96">
        <v>7.1216504000959393</v>
      </c>
      <c r="H160" s="96">
        <v>7.0555166903186857</v>
      </c>
      <c r="I160" s="96">
        <v>7.0724499303754502</v>
      </c>
      <c r="J160" s="96">
        <v>6.5851489109641079</v>
      </c>
      <c r="K160" s="96">
        <v>6.3029282433513591</v>
      </c>
      <c r="L160" s="96">
        <v>6.0207075757386148</v>
      </c>
      <c r="M160" s="96">
        <v>5.8018260639181056</v>
      </c>
      <c r="N160" s="96">
        <v>5.594952651284979</v>
      </c>
      <c r="O160" s="96">
        <v>5.2315362062414819</v>
      </c>
      <c r="P160" s="96">
        <v>5.2145237412474099</v>
      </c>
      <c r="Q160" s="96">
        <v>4.7357714172629732</v>
      </c>
      <c r="R160" s="96">
        <v>4.7027357861042383</v>
      </c>
      <c r="S160" s="96">
        <v>4.8326636562191245</v>
      </c>
      <c r="T160" s="96">
        <v>5.1762892422761544</v>
      </c>
      <c r="U160" s="96">
        <v>4.6132533951393242</v>
      </c>
      <c r="V160" s="96">
        <v>4.7620802046429125</v>
      </c>
      <c r="W160" s="96">
        <v>4.7075659852128551</v>
      </c>
      <c r="DA160" s="171" t="s">
        <v>900</v>
      </c>
    </row>
    <row r="161" spans="1:105" ht="11.45" customHeight="1" x14ac:dyDescent="0.25">
      <c r="A161" s="111" t="s">
        <v>111</v>
      </c>
      <c r="B161" s="96">
        <v>7.8492146861497476</v>
      </c>
      <c r="C161" s="96">
        <v>8.0843033804954914</v>
      </c>
      <c r="D161" s="96">
        <v>8.3537801598453409</v>
      </c>
      <c r="E161" s="96">
        <v>8.3537801598453409</v>
      </c>
      <c r="F161" s="96">
        <v>8.4885185495202649</v>
      </c>
      <c r="G161" s="96">
        <v>8.6820028770934581</v>
      </c>
      <c r="H161" s="96">
        <v>8.8927337185450419</v>
      </c>
      <c r="I161" s="96">
        <v>8.8066358875427628</v>
      </c>
      <c r="J161" s="96">
        <v>8.0843033804954914</v>
      </c>
      <c r="K161" s="96">
        <v>8.0843033804954914</v>
      </c>
      <c r="L161" s="96">
        <v>7.6800882114707187</v>
      </c>
      <c r="M161" s="96">
        <v>7.4563831495066077</v>
      </c>
      <c r="N161" s="96">
        <v>7.2331204270651472</v>
      </c>
      <c r="O161" s="96">
        <v>6.798267610543129</v>
      </c>
      <c r="P161" s="96">
        <v>6.7210880644030384</v>
      </c>
      <c r="Q161" s="96">
        <v>6.5501098855396798</v>
      </c>
      <c r="R161" s="96">
        <v>6.2557994964886303</v>
      </c>
      <c r="S161" s="96">
        <v>6.0438619652288734</v>
      </c>
      <c r="T161" s="96">
        <v>6.131179797638767</v>
      </c>
      <c r="U161" s="96">
        <v>6.2252031247518449</v>
      </c>
      <c r="V161" s="96">
        <v>6.7996474848749537</v>
      </c>
      <c r="W161" s="96">
        <v>6.6991686386565181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8.6170733654012661</v>
      </c>
      <c r="D163" s="96">
        <v>0</v>
      </c>
      <c r="E163" s="96">
        <v>0</v>
      </c>
      <c r="F163" s="96">
        <v>0</v>
      </c>
      <c r="G163" s="96">
        <v>8.5833987497496338</v>
      </c>
      <c r="H163" s="96">
        <v>0</v>
      </c>
      <c r="I163" s="96">
        <v>8.5240996790903587</v>
      </c>
      <c r="J163" s="96">
        <v>7.936778099711697</v>
      </c>
      <c r="K163" s="96">
        <v>7.5966304668669098</v>
      </c>
      <c r="L163" s="96">
        <v>7.2564828340221208</v>
      </c>
      <c r="M163" s="96">
        <v>8.2856197432311003</v>
      </c>
      <c r="N163" s="96">
        <v>8.0317624574810704</v>
      </c>
      <c r="O163" s="96">
        <v>6.949573890275798</v>
      </c>
      <c r="P163" s="96">
        <v>8.5587583691478155</v>
      </c>
      <c r="Q163" s="96">
        <v>8.7978114211621001</v>
      </c>
      <c r="R163" s="96">
        <v>8.4566408659474472</v>
      </c>
      <c r="S163" s="96">
        <v>6.8665120752873312</v>
      </c>
      <c r="T163" s="96">
        <v>7.1222818583465184</v>
      </c>
      <c r="U163" s="96">
        <v>5.7824626407629056</v>
      </c>
      <c r="V163" s="96">
        <v>6.0468559189380571</v>
      </c>
      <c r="W163" s="96">
        <v>10.311671330335027</v>
      </c>
      <c r="DA163" s="171" t="s">
        <v>903</v>
      </c>
    </row>
    <row r="164" spans="1:105" ht="11.45" customHeight="1" x14ac:dyDescent="0.25">
      <c r="A164" s="111" t="s">
        <v>115</v>
      </c>
      <c r="B164" s="96">
        <v>1.4210124591044069</v>
      </c>
      <c r="C164" s="96">
        <v>1.4082169288458319</v>
      </c>
      <c r="D164" s="96">
        <v>1.3941347595573734</v>
      </c>
      <c r="E164" s="96">
        <v>1.3801934119617996</v>
      </c>
      <c r="F164" s="96">
        <v>0</v>
      </c>
      <c r="G164" s="96">
        <v>1.2757599172986653</v>
      </c>
      <c r="H164" s="96">
        <v>1.2630023181256791</v>
      </c>
      <c r="I164" s="96">
        <v>0</v>
      </c>
      <c r="J164" s="96">
        <v>1.2088555913520291</v>
      </c>
      <c r="K164" s="96">
        <v>1.1967670354385087</v>
      </c>
      <c r="L164" s="96">
        <v>1.1847993650841235</v>
      </c>
      <c r="M164" s="96">
        <v>1.1729513714332827</v>
      </c>
      <c r="N164" s="96">
        <v>1.1612218577189497</v>
      </c>
      <c r="O164" s="96">
        <v>1.1607910576096303</v>
      </c>
      <c r="P164" s="96">
        <v>1.418744625967326</v>
      </c>
      <c r="Q164" s="96">
        <v>1.418744625967326</v>
      </c>
      <c r="R164" s="96">
        <v>1.418744625967326</v>
      </c>
      <c r="S164" s="96">
        <v>1.418744625967326</v>
      </c>
      <c r="T164" s="96">
        <v>1.8894164267823095</v>
      </c>
      <c r="U164" s="96">
        <v>1.9549904094186124</v>
      </c>
      <c r="V164" s="96">
        <v>2.3138924424497902</v>
      </c>
      <c r="W164" s="96">
        <v>2.5280524505588993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27.15493563815291</v>
      </c>
      <c r="D165" s="130">
        <v>26.985507391005438</v>
      </c>
      <c r="E165" s="130">
        <v>26.774842622116601</v>
      </c>
      <c r="F165" s="130">
        <v>26.622117210608209</v>
      </c>
      <c r="G165" s="130">
        <v>26.301060407507979</v>
      </c>
      <c r="H165" s="130">
        <v>26.026208784007487</v>
      </c>
      <c r="I165" s="130">
        <v>25.661336083229077</v>
      </c>
      <c r="J165" s="130">
        <v>25.285977405024568</v>
      </c>
      <c r="K165" s="130">
        <v>24.851290132896779</v>
      </c>
      <c r="L165" s="130">
        <v>24.575038298097176</v>
      </c>
      <c r="M165" s="130">
        <v>23.949498042021784</v>
      </c>
      <c r="N165" s="130">
        <v>23.562227917114601</v>
      </c>
      <c r="O165" s="130">
        <v>22.938086045196201</v>
      </c>
      <c r="P165" s="130">
        <v>22.527852129483218</v>
      </c>
      <c r="Q165" s="130">
        <v>21.916652650426503</v>
      </c>
      <c r="R165" s="130">
        <v>20.799642128605438</v>
      </c>
      <c r="S165" s="130">
        <v>20.11864769954127</v>
      </c>
      <c r="T165" s="130">
        <v>19.428642535095861</v>
      </c>
      <c r="U165" s="130">
        <v>18.428140428792823</v>
      </c>
      <c r="V165" s="130">
        <v>17.598837967497431</v>
      </c>
      <c r="W165" s="130">
        <v>17.300255038443982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27.059149484482198</v>
      </c>
      <c r="D166" s="97">
        <v>26.907730073090388</v>
      </c>
      <c r="E166" s="97">
        <v>26.719184721341346</v>
      </c>
      <c r="F166" s="97">
        <v>26.493992526525059</v>
      </c>
      <c r="G166" s="97">
        <v>26.23272166732653</v>
      </c>
      <c r="H166" s="97">
        <v>25.936025860679266</v>
      </c>
      <c r="I166" s="97">
        <v>25.604640335159424</v>
      </c>
      <c r="J166" s="97">
        <v>25.239377366381007</v>
      </c>
      <c r="K166" s="97">
        <v>24.841121423391648</v>
      </c>
      <c r="L166" s="97">
        <v>24.410823979527976</v>
      </c>
      <c r="M166" s="97">
        <v>23.949498042021784</v>
      </c>
      <c r="N166" s="97">
        <v>23.458212456751941</v>
      </c>
      <c r="O166" s="97">
        <v>22.938086045196201</v>
      </c>
      <c r="P166" s="97">
        <v>22.390281629295732</v>
      </c>
      <c r="Q166" s="97">
        <v>21.815999999953704</v>
      </c>
      <c r="R166" s="97">
        <v>20.799642128605438</v>
      </c>
      <c r="S166" s="97">
        <v>20.088191618661654</v>
      </c>
      <c r="T166" s="97">
        <v>19.341168583220679</v>
      </c>
      <c r="U166" s="97">
        <v>18.428140428792823</v>
      </c>
      <c r="V166" s="97">
        <v>17.543972189247555</v>
      </c>
      <c r="W166" s="97">
        <v>17.117925771168302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31.067582811954381</v>
      </c>
      <c r="L167" s="98">
        <v>30.614693877473673</v>
      </c>
      <c r="M167" s="98">
        <v>0</v>
      </c>
      <c r="N167" s="98">
        <v>29.612068313049569</v>
      </c>
      <c r="O167" s="98">
        <v>0</v>
      </c>
      <c r="P167" s="98">
        <v>28.488068946000222</v>
      </c>
      <c r="Q167" s="98">
        <v>27.883636363577196</v>
      </c>
      <c r="R167" s="98">
        <v>0</v>
      </c>
      <c r="S167" s="98">
        <v>26.556973620783872</v>
      </c>
      <c r="T167" s="98">
        <v>25.983387081987935</v>
      </c>
      <c r="U167" s="98">
        <v>0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123.26314013818889</v>
      </c>
      <c r="C171" s="152">
        <v>121.62630914265839</v>
      </c>
      <c r="D171" s="152">
        <v>119.79423897964207</v>
      </c>
      <c r="E171" s="152">
        <v>117.72845641678066</v>
      </c>
      <c r="F171" s="152">
        <v>115.90316347525722</v>
      </c>
      <c r="G171" s="152">
        <v>114.16042346494223</v>
      </c>
      <c r="H171" s="152">
        <v>112.33935615341001</v>
      </c>
      <c r="I171" s="152">
        <v>110.83824465769656</v>
      </c>
      <c r="J171" s="152">
        <v>108.3483647179531</v>
      </c>
      <c r="K171" s="152">
        <v>106.15855101696529</v>
      </c>
      <c r="L171" s="152">
        <v>103.99077613166729</v>
      </c>
      <c r="M171" s="152">
        <v>101.79502771734157</v>
      </c>
      <c r="N171" s="152">
        <v>99.935838941508948</v>
      </c>
      <c r="O171" s="152">
        <v>98.659125050464723</v>
      </c>
      <c r="P171" s="152">
        <v>96.977084436412198</v>
      </c>
      <c r="Q171" s="152">
        <v>95.759274785250014</v>
      </c>
      <c r="R171" s="152">
        <v>94.284638067740801</v>
      </c>
      <c r="S171" s="152">
        <v>93.096781429444746</v>
      </c>
      <c r="T171" s="152">
        <v>91.908234696802651</v>
      </c>
      <c r="U171" s="152">
        <v>90.701491750406163</v>
      </c>
      <c r="V171" s="152">
        <v>89.392448535659057</v>
      </c>
      <c r="W171" s="152">
        <v>86.097635052832089</v>
      </c>
      <c r="DA171" s="174" t="s">
        <v>908</v>
      </c>
    </row>
    <row r="172" spans="1:105" ht="11.45" customHeight="1" x14ac:dyDescent="0.25">
      <c r="A172" s="109" t="s">
        <v>20</v>
      </c>
      <c r="B172" s="116">
        <v>198.06726619631823</v>
      </c>
      <c r="C172" s="116">
        <v>196.30585111459004</v>
      </c>
      <c r="D172" s="116">
        <v>195.58254468098218</v>
      </c>
      <c r="E172" s="116">
        <v>194.80031883967871</v>
      </c>
      <c r="F172" s="116">
        <v>193.97992119400206</v>
      </c>
      <c r="G172" s="116">
        <v>193.50414873605237</v>
      </c>
      <c r="H172" s="116">
        <v>193.46270028022781</v>
      </c>
      <c r="I172" s="116">
        <v>193.62222259787853</v>
      </c>
      <c r="J172" s="116">
        <v>194.79480271806912</v>
      </c>
      <c r="K172" s="116">
        <v>193.70264553078849</v>
      </c>
      <c r="L172" s="116">
        <v>193.10725535199541</v>
      </c>
      <c r="M172" s="116">
        <v>192.06865336499317</v>
      </c>
      <c r="N172" s="116">
        <v>190.68484308948371</v>
      </c>
      <c r="O172" s="116">
        <v>189.22482432332282</v>
      </c>
      <c r="P172" s="116">
        <v>187.5325120339497</v>
      </c>
      <c r="Q172" s="116">
        <v>185.63127968145776</v>
      </c>
      <c r="R172" s="116">
        <v>183.47322703782831</v>
      </c>
      <c r="S172" s="116">
        <v>180.64548496100025</v>
      </c>
      <c r="T172" s="116">
        <v>176.66061827040707</v>
      </c>
      <c r="U172" s="116">
        <v>172.16249688558827</v>
      </c>
      <c r="V172" s="116">
        <v>166.01163734671633</v>
      </c>
      <c r="W172" s="116">
        <v>157.3666443325115</v>
      </c>
      <c r="DA172" s="176" t="s">
        <v>909</v>
      </c>
    </row>
    <row r="173" spans="1:105" ht="11.45" customHeight="1" x14ac:dyDescent="0.25">
      <c r="A173" s="111" t="s">
        <v>110</v>
      </c>
      <c r="B173" s="87">
        <v>193.7510859800561</v>
      </c>
      <c r="C173" s="87">
        <v>192.62819161169193</v>
      </c>
      <c r="D173" s="87">
        <v>192.01441957919891</v>
      </c>
      <c r="E173" s="87">
        <v>191.29363781734452</v>
      </c>
      <c r="F173" s="87">
        <v>190.57625357259221</v>
      </c>
      <c r="G173" s="87">
        <v>189.84666778435727</v>
      </c>
      <c r="H173" s="87">
        <v>189.07340182877522</v>
      </c>
      <c r="I173" s="87">
        <v>188.33675919323477</v>
      </c>
      <c r="J173" s="87">
        <v>187.69885064332044</v>
      </c>
      <c r="K173" s="87">
        <v>187.21843835064763</v>
      </c>
      <c r="L173" s="87">
        <v>186.50423740678565</v>
      </c>
      <c r="M173" s="87">
        <v>185.48583044107471</v>
      </c>
      <c r="N173" s="87">
        <v>184.47395484978128</v>
      </c>
      <c r="O173" s="87">
        <v>183.0345372997084</v>
      </c>
      <c r="P173" s="87">
        <v>181.47444543971486</v>
      </c>
      <c r="Q173" s="87">
        <v>179.8171925813069</v>
      </c>
      <c r="R173" s="87">
        <v>177.54125767258554</v>
      </c>
      <c r="S173" s="87">
        <v>175.14869437428527</v>
      </c>
      <c r="T173" s="87">
        <v>172.13273261470633</v>
      </c>
      <c r="U173" s="87">
        <v>169.25525456183524</v>
      </c>
      <c r="V173" s="87">
        <v>166.59902643408677</v>
      </c>
      <c r="W173" s="87">
        <v>163.27386942038081</v>
      </c>
      <c r="DA173" s="171" t="s">
        <v>910</v>
      </c>
    </row>
    <row r="174" spans="1:105" ht="11.45" customHeight="1" x14ac:dyDescent="0.25">
      <c r="A174" s="111" t="s">
        <v>111</v>
      </c>
      <c r="B174" s="87">
        <v>232.4423942571859</v>
      </c>
      <c r="C174" s="87">
        <v>218.35015747922481</v>
      </c>
      <c r="D174" s="87">
        <v>214.84849866420771</v>
      </c>
      <c r="E174" s="87">
        <v>211.96312287818108</v>
      </c>
      <c r="F174" s="87">
        <v>209.5693239920528</v>
      </c>
      <c r="G174" s="87">
        <v>209.09530675842285</v>
      </c>
      <c r="H174" s="87">
        <v>209.33950750191832</v>
      </c>
      <c r="I174" s="87">
        <v>209.70627061737679</v>
      </c>
      <c r="J174" s="87">
        <v>207.86319926833721</v>
      </c>
      <c r="K174" s="87">
        <v>207.03139809625637</v>
      </c>
      <c r="L174" s="87">
        <v>205.80037521738467</v>
      </c>
      <c r="M174" s="87">
        <v>204.42439985803165</v>
      </c>
      <c r="N174" s="87">
        <v>203.05396052693524</v>
      </c>
      <c r="O174" s="87">
        <v>201.03223940191828</v>
      </c>
      <c r="P174" s="87">
        <v>198.45165928798926</v>
      </c>
      <c r="Q174" s="87">
        <v>195.73527026847799</v>
      </c>
      <c r="R174" s="87">
        <v>192.95517638620234</v>
      </c>
      <c r="S174" s="87">
        <v>190.5914424441018</v>
      </c>
      <c r="T174" s="87">
        <v>188.35859744481581</v>
      </c>
      <c r="U174" s="87">
        <v>186.2590393987013</v>
      </c>
      <c r="V174" s="87">
        <v>184.1700147198857</v>
      </c>
      <c r="W174" s="87">
        <v>181.86364141336821</v>
      </c>
      <c r="DA174" s="171" t="s">
        <v>911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0</v>
      </c>
      <c r="E175" s="87">
        <v>0</v>
      </c>
      <c r="F175" s="87">
        <v>0</v>
      </c>
      <c r="G175" s="87">
        <v>0</v>
      </c>
      <c r="H175" s="87">
        <v>0</v>
      </c>
      <c r="I175" s="87">
        <v>0</v>
      </c>
      <c r="J175" s="87">
        <v>0</v>
      </c>
      <c r="K175" s="87">
        <v>0</v>
      </c>
      <c r="L175" s="87">
        <v>0</v>
      </c>
      <c r="M175" s="87">
        <v>0</v>
      </c>
      <c r="N175" s="87">
        <v>0</v>
      </c>
      <c r="O175" s="87">
        <v>0</v>
      </c>
      <c r="P175" s="87">
        <v>0</v>
      </c>
      <c r="Q175" s="87">
        <v>0</v>
      </c>
      <c r="R175" s="87">
        <v>0</v>
      </c>
      <c r="S175" s="87">
        <v>0</v>
      </c>
      <c r="T175" s="87">
        <v>0</v>
      </c>
      <c r="U175" s="87">
        <v>0</v>
      </c>
      <c r="V175" s="87">
        <v>0</v>
      </c>
      <c r="W175" s="87">
        <v>0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194.75036511461934</v>
      </c>
      <c r="I176" s="87">
        <v>195.20500233840994</v>
      </c>
      <c r="J176" s="87">
        <v>188.42299593206965</v>
      </c>
      <c r="K176" s="87">
        <v>182.06819389634973</v>
      </c>
      <c r="L176" s="87">
        <v>177.93350528870269</v>
      </c>
      <c r="M176" s="87">
        <v>180.72003488973033</v>
      </c>
      <c r="N176" s="87">
        <v>181.61415826698467</v>
      </c>
      <c r="O176" s="87">
        <v>173.31216905157081</v>
      </c>
      <c r="P176" s="87">
        <v>161.9799982346965</v>
      </c>
      <c r="Q176" s="87">
        <v>152.84686717914519</v>
      </c>
      <c r="R176" s="87">
        <v>145.83882863248587</v>
      </c>
      <c r="S176" s="87">
        <v>133.72821515777278</v>
      </c>
      <c r="T176" s="87">
        <v>130.42010873986553</v>
      </c>
      <c r="U176" s="87">
        <v>123.63776889229065</v>
      </c>
      <c r="V176" s="87">
        <v>120.75436788156499</v>
      </c>
      <c r="W176" s="87">
        <v>119.31520857895937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53.846562098638472</v>
      </c>
      <c r="O177" s="87">
        <v>55.999344896702659</v>
      </c>
      <c r="P177" s="87">
        <v>58.677003982035714</v>
      </c>
      <c r="Q177" s="87">
        <v>63.257811226154836</v>
      </c>
      <c r="R177" s="87">
        <v>65.889739585252144</v>
      </c>
      <c r="S177" s="87">
        <v>65.537986468541675</v>
      </c>
      <c r="T177" s="87">
        <v>65.460068259064002</v>
      </c>
      <c r="U177" s="87">
        <v>58.905416255779542</v>
      </c>
      <c r="V177" s="87">
        <v>52.671302685874807</v>
      </c>
      <c r="W177" s="87">
        <v>46.709730985997766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1615.1088323632368</v>
      </c>
      <c r="C179" s="116">
        <v>1589.7975002479307</v>
      </c>
      <c r="D179" s="116">
        <v>1557.9265472663856</v>
      </c>
      <c r="E179" s="116">
        <v>1561.6476852457845</v>
      </c>
      <c r="F179" s="116">
        <v>1549.6131967119964</v>
      </c>
      <c r="G179" s="116">
        <v>1536.6452742028921</v>
      </c>
      <c r="H179" s="116">
        <v>1508.6235138782447</v>
      </c>
      <c r="I179" s="116">
        <v>1511.0425664189902</v>
      </c>
      <c r="J179" s="116">
        <v>1501.9244337784153</v>
      </c>
      <c r="K179" s="116">
        <v>1484.8677656438276</v>
      </c>
      <c r="L179" s="116">
        <v>1472.7755158205528</v>
      </c>
      <c r="M179" s="116">
        <v>1459.9410720183459</v>
      </c>
      <c r="N179" s="116">
        <v>1442.5145450391208</v>
      </c>
      <c r="O179" s="116">
        <v>1433.3790491330972</v>
      </c>
      <c r="P179" s="116">
        <v>1421.6877359776192</v>
      </c>
      <c r="Q179" s="116">
        <v>1412.8848275241014</v>
      </c>
      <c r="R179" s="116">
        <v>1394.651233747257</v>
      </c>
      <c r="S179" s="116">
        <v>1389.0560229911905</v>
      </c>
      <c r="T179" s="116">
        <v>1386.3702784767461</v>
      </c>
      <c r="U179" s="116">
        <v>1344.7625703945739</v>
      </c>
      <c r="V179" s="116">
        <v>1342.1115712794679</v>
      </c>
      <c r="W179" s="116">
        <v>1204.956637560347</v>
      </c>
      <c r="DA179" s="176" t="s">
        <v>916</v>
      </c>
    </row>
    <row r="180" spans="1:105" ht="11.45" customHeight="1" x14ac:dyDescent="0.25">
      <c r="A180" s="111" t="s">
        <v>110</v>
      </c>
      <c r="B180" s="101">
        <v>500.50322542740713</v>
      </c>
      <c r="C180" s="101">
        <v>489.85899162256078</v>
      </c>
      <c r="D180" s="101">
        <v>489.57004233973407</v>
      </c>
      <c r="E180" s="101">
        <v>489.57004233973407</v>
      </c>
      <c r="F180" s="101">
        <v>487.21560485177378</v>
      </c>
      <c r="G180" s="101">
        <v>480.99054401830421</v>
      </c>
      <c r="H180" s="101">
        <v>480.08528407285917</v>
      </c>
      <c r="I180" s="101">
        <v>478.06574651467071</v>
      </c>
      <c r="J180" s="101">
        <v>477.55989278243516</v>
      </c>
      <c r="K180" s="101">
        <v>467.77051797188983</v>
      </c>
      <c r="L180" s="101">
        <v>463.03701121860229</v>
      </c>
      <c r="M180" s="101">
        <v>462.26766740354731</v>
      </c>
      <c r="N180" s="101">
        <v>462.26766740354725</v>
      </c>
      <c r="O180" s="101">
        <v>462.26766740354719</v>
      </c>
      <c r="P180" s="101">
        <v>462.26766740354736</v>
      </c>
      <c r="Q180" s="101">
        <v>462.26766740354719</v>
      </c>
      <c r="R180" s="101">
        <v>462.26766740354731</v>
      </c>
      <c r="S180" s="101">
        <v>452.23151104455627</v>
      </c>
      <c r="T180" s="101">
        <v>452.2315110445565</v>
      </c>
      <c r="U180" s="101">
        <v>452.23151104455633</v>
      </c>
      <c r="V180" s="101">
        <v>451.28395867533374</v>
      </c>
      <c r="W180" s="101">
        <v>451.28395867533379</v>
      </c>
      <c r="DA180" s="175" t="s">
        <v>917</v>
      </c>
    </row>
    <row r="181" spans="1:105" ht="11.45" customHeight="1" x14ac:dyDescent="0.25">
      <c r="A181" s="111" t="s">
        <v>111</v>
      </c>
      <c r="B181" s="101">
        <v>1621.003879386926</v>
      </c>
      <c r="C181" s="101">
        <v>1590.7962314128758</v>
      </c>
      <c r="D181" s="101">
        <v>1574.629965798468</v>
      </c>
      <c r="E181" s="101">
        <v>1557.1870122722901</v>
      </c>
      <c r="F181" s="101">
        <v>1542.6569723167725</v>
      </c>
      <c r="G181" s="101">
        <v>1530.9983452821878</v>
      </c>
      <c r="H181" s="101">
        <v>1520.1245921054222</v>
      </c>
      <c r="I181" s="101">
        <v>1510.0348104590475</v>
      </c>
      <c r="J181" s="101">
        <v>1496.9587548438844</v>
      </c>
      <c r="K181" s="101">
        <v>1483.193115953399</v>
      </c>
      <c r="L181" s="101">
        <v>1469.8189217671386</v>
      </c>
      <c r="M181" s="101">
        <v>1457.3534649901426</v>
      </c>
      <c r="N181" s="101">
        <v>1444.609247137859</v>
      </c>
      <c r="O181" s="101">
        <v>1431.6828276382228</v>
      </c>
      <c r="P181" s="101">
        <v>1419.6708386750213</v>
      </c>
      <c r="Q181" s="101">
        <v>1409.8393932626093</v>
      </c>
      <c r="R181" s="101">
        <v>1401.5199016208433</v>
      </c>
      <c r="S181" s="101">
        <v>1392.4705605585336</v>
      </c>
      <c r="T181" s="101">
        <v>1383.7900032433477</v>
      </c>
      <c r="U181" s="101">
        <v>1373.7175978447392</v>
      </c>
      <c r="V181" s="101">
        <v>1365.6346699380395</v>
      </c>
      <c r="W181" s="101">
        <v>1359.6758732163519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1022.6981290329123</v>
      </c>
      <c r="C183" s="101">
        <v>1014.9184105069686</v>
      </c>
      <c r="D183" s="101">
        <v>973.3550079857888</v>
      </c>
      <c r="E183" s="101">
        <v>968.08000344591687</v>
      </c>
      <c r="F183" s="101">
        <v>964.25479607149623</v>
      </c>
      <c r="G183" s="101">
        <v>959.9091869007591</v>
      </c>
      <c r="H183" s="101">
        <v>946.82540471257346</v>
      </c>
      <c r="I183" s="101">
        <v>943.52351174106809</v>
      </c>
      <c r="J183" s="101">
        <v>940.50503022898386</v>
      </c>
      <c r="K183" s="101">
        <v>934.61833631135687</v>
      </c>
      <c r="L183" s="101">
        <v>931.9810178119692</v>
      </c>
      <c r="M183" s="101">
        <v>928.5677059855492</v>
      </c>
      <c r="N183" s="101">
        <v>925.21809128399593</v>
      </c>
      <c r="O183" s="101">
        <v>924.95904148329373</v>
      </c>
      <c r="P183" s="101">
        <v>924.6602469532196</v>
      </c>
      <c r="Q183" s="101">
        <v>924.33776988922182</v>
      </c>
      <c r="R183" s="101">
        <v>924.3661870397458</v>
      </c>
      <c r="S183" s="101">
        <v>917.32115551105539</v>
      </c>
      <c r="T183" s="101">
        <v>912.79598694682329</v>
      </c>
      <c r="U183" s="101">
        <v>895.26910483425615</v>
      </c>
      <c r="V183" s="101">
        <v>885.20897491351263</v>
      </c>
      <c r="W183" s="101">
        <v>880.06718608716903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308.2068013903276</v>
      </c>
      <c r="C186" s="152">
        <v>303.1391562478841</v>
      </c>
      <c r="D186" s="152">
        <v>302.61380965029639</v>
      </c>
      <c r="E186" s="152">
        <v>294.89829235905938</v>
      </c>
      <c r="F186" s="152">
        <v>288.29979642670975</v>
      </c>
      <c r="G186" s="152">
        <v>282.89260522330829</v>
      </c>
      <c r="H186" s="152">
        <v>279.54118808080563</v>
      </c>
      <c r="I186" s="152">
        <v>269.38250960160707</v>
      </c>
      <c r="J186" s="152">
        <v>249.61341706041517</v>
      </c>
      <c r="K186" s="152">
        <v>244.54325967262449</v>
      </c>
      <c r="L186" s="152">
        <v>225.76631665157271</v>
      </c>
      <c r="M186" s="152">
        <v>214.78580365305967</v>
      </c>
      <c r="N186" s="152">
        <v>221.03882230346142</v>
      </c>
      <c r="O186" s="152">
        <v>221.90775733407511</v>
      </c>
      <c r="P186" s="152">
        <v>218.34321449946748</v>
      </c>
      <c r="Q186" s="152">
        <v>220.20567789829553</v>
      </c>
      <c r="R186" s="152">
        <v>216.61319031094772</v>
      </c>
      <c r="S186" s="152">
        <v>213.84361824227224</v>
      </c>
      <c r="T186" s="152">
        <v>222.07801281349472</v>
      </c>
      <c r="U186" s="152">
        <v>221.09282777541551</v>
      </c>
      <c r="V186" s="152">
        <v>236.13019962980005</v>
      </c>
      <c r="W186" s="152">
        <v>236.69500065976928</v>
      </c>
      <c r="DA186" s="174" t="s">
        <v>922</v>
      </c>
    </row>
    <row r="187" spans="1:105" ht="11.45" customHeight="1" x14ac:dyDescent="0.25">
      <c r="A187" s="111" t="s">
        <v>110</v>
      </c>
      <c r="B187" s="87">
        <v>239.906245719624</v>
      </c>
      <c r="C187" s="87">
        <v>239.159285963651</v>
      </c>
      <c r="D187" s="87">
        <v>238.38871116678115</v>
      </c>
      <c r="E187" s="87">
        <v>237.91232842736179</v>
      </c>
      <c r="F187" s="87">
        <v>236.71952186560861</v>
      </c>
      <c r="G187" s="87">
        <v>234.48641216698093</v>
      </c>
      <c r="H187" s="87">
        <v>231.96165172685781</v>
      </c>
      <c r="I187" s="87">
        <v>228.97718046024869</v>
      </c>
      <c r="J187" s="87">
        <v>224.54720375570776</v>
      </c>
      <c r="K187" s="87">
        <v>220.84440633292323</v>
      </c>
      <c r="L187" s="87">
        <v>217.5653410080528</v>
      </c>
      <c r="M187" s="87">
        <v>214.41096730562361</v>
      </c>
      <c r="N187" s="87">
        <v>211.66415786143574</v>
      </c>
      <c r="O187" s="87">
        <v>208.24116318992165</v>
      </c>
      <c r="P187" s="87">
        <v>204.34008880528793</v>
      </c>
      <c r="Q187" s="87">
        <v>201.31230566394473</v>
      </c>
      <c r="R187" s="87">
        <v>196.77009604889247</v>
      </c>
      <c r="S187" s="87">
        <v>192.52648604589609</v>
      </c>
      <c r="T187" s="87">
        <v>188.30503992407063</v>
      </c>
      <c r="U187" s="87">
        <v>183.8339780586999</v>
      </c>
      <c r="V187" s="87">
        <v>178.41980211779318</v>
      </c>
      <c r="W187" s="87">
        <v>173.14133043678302</v>
      </c>
      <c r="DA187" s="171" t="s">
        <v>923</v>
      </c>
    </row>
    <row r="188" spans="1:105" ht="11.45" customHeight="1" x14ac:dyDescent="0.25">
      <c r="A188" s="111" t="s">
        <v>111</v>
      </c>
      <c r="B188" s="87">
        <v>290.06009069354678</v>
      </c>
      <c r="C188" s="87">
        <v>278.26438081503858</v>
      </c>
      <c r="D188" s="87">
        <v>273.09839743180822</v>
      </c>
      <c r="E188" s="87">
        <v>268.33094532644952</v>
      </c>
      <c r="F188" s="87">
        <v>262.84579668809891</v>
      </c>
      <c r="G188" s="87">
        <v>259.80858822620479</v>
      </c>
      <c r="H188" s="87">
        <v>258.20312409094782</v>
      </c>
      <c r="I188" s="87">
        <v>257.78397710504765</v>
      </c>
      <c r="J188" s="87">
        <v>256.9964631205824</v>
      </c>
      <c r="K188" s="87">
        <v>256.8086483868621</v>
      </c>
      <c r="L188" s="87">
        <v>257.94285451918302</v>
      </c>
      <c r="M188" s="87">
        <v>259.58766014040236</v>
      </c>
      <c r="N188" s="87">
        <v>258.73295620316441</v>
      </c>
      <c r="O188" s="87">
        <v>255.99614738129193</v>
      </c>
      <c r="P188" s="87">
        <v>254.29191659882497</v>
      </c>
      <c r="Q188" s="87">
        <v>251.32213816410757</v>
      </c>
      <c r="R188" s="87">
        <v>248.0187697353432</v>
      </c>
      <c r="S188" s="87">
        <v>243.17135634440552</v>
      </c>
      <c r="T188" s="87">
        <v>238.33341390132378</v>
      </c>
      <c r="U188" s="87">
        <v>233.77444160386867</v>
      </c>
      <c r="V188" s="87">
        <v>229.73221009100038</v>
      </c>
      <c r="W188" s="87">
        <v>225.62473819967607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0</v>
      </c>
      <c r="T189" s="87">
        <v>0</v>
      </c>
      <c r="U189" s="87">
        <v>0</v>
      </c>
      <c r="V189" s="87">
        <v>0</v>
      </c>
      <c r="W189" s="87">
        <v>0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202.39737111872995</v>
      </c>
      <c r="D190" s="87">
        <v>202.39737111872992</v>
      </c>
      <c r="E190" s="87">
        <v>202.39737111873001</v>
      </c>
      <c r="F190" s="87">
        <v>202.39737111872992</v>
      </c>
      <c r="G190" s="87">
        <v>202.17702410293967</v>
      </c>
      <c r="H190" s="87">
        <v>202.17702410293961</v>
      </c>
      <c r="I190" s="87">
        <v>200.84718053811534</v>
      </c>
      <c r="J190" s="87">
        <v>191.84957753711427</v>
      </c>
      <c r="K190" s="87">
        <v>185.50045416059018</v>
      </c>
      <c r="L190" s="87">
        <v>180.94912350727904</v>
      </c>
      <c r="M190" s="87">
        <v>185.63833482408302</v>
      </c>
      <c r="N190" s="87">
        <v>186.25404676355598</v>
      </c>
      <c r="O190" s="87">
        <v>178.17368305885205</v>
      </c>
      <c r="P190" s="87">
        <v>182.244081588504</v>
      </c>
      <c r="Q190" s="87">
        <v>186.30030950503371</v>
      </c>
      <c r="R190" s="87">
        <v>188.76735405989476</v>
      </c>
      <c r="S190" s="87">
        <v>178.35655083499975</v>
      </c>
      <c r="T190" s="87">
        <v>174.49198351411937</v>
      </c>
      <c r="U190" s="87">
        <v>162.84707138861361</v>
      </c>
      <c r="V190" s="87">
        <v>158.16789651759206</v>
      </c>
      <c r="W190" s="87">
        <v>164.34130858534112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908.80059190723398</v>
      </c>
      <c r="C192" s="116">
        <v>903.71122092567532</v>
      </c>
      <c r="D192" s="116">
        <v>897.74504424970678</v>
      </c>
      <c r="E192" s="116">
        <v>890.94105160013328</v>
      </c>
      <c r="F192" s="116">
        <v>883.17127682774765</v>
      </c>
      <c r="G192" s="116">
        <v>875.85289192774212</v>
      </c>
      <c r="H192" s="116">
        <v>868.24001680124161</v>
      </c>
      <c r="I192" s="116">
        <v>858.67084667782797</v>
      </c>
      <c r="J192" s="116">
        <v>847.08210594281547</v>
      </c>
      <c r="K192" s="116">
        <v>837.33324239674391</v>
      </c>
      <c r="L192" s="116">
        <v>826.95960825494615</v>
      </c>
      <c r="M192" s="116">
        <v>815.74299359053464</v>
      </c>
      <c r="N192" s="116">
        <v>803.14887143764622</v>
      </c>
      <c r="O192" s="116">
        <v>790.58264148868466</v>
      </c>
      <c r="P192" s="116">
        <v>777.86636060991498</v>
      </c>
      <c r="Q192" s="116">
        <v>768.85353235336913</v>
      </c>
      <c r="R192" s="116">
        <v>752.35209094802588</v>
      </c>
      <c r="S192" s="116">
        <v>736.21181234054268</v>
      </c>
      <c r="T192" s="116">
        <v>720.5381625321703</v>
      </c>
      <c r="U192" s="116">
        <v>703.13688381222551</v>
      </c>
      <c r="V192" s="116">
        <v>687.37483878088085</v>
      </c>
      <c r="W192" s="116">
        <v>670.42375300378353</v>
      </c>
      <c r="DA192" s="176" t="s">
        <v>928</v>
      </c>
    </row>
    <row r="193" spans="1:105" ht="11.45" customHeight="1" x14ac:dyDescent="0.25">
      <c r="A193" s="128" t="s">
        <v>27</v>
      </c>
      <c r="B193" s="101">
        <v>848.0309924374302</v>
      </c>
      <c r="C193" s="101">
        <v>843.30737742049882</v>
      </c>
      <c r="D193" s="101">
        <v>837.78393126124456</v>
      </c>
      <c r="E193" s="101">
        <v>831.51888554522486</v>
      </c>
      <c r="F193" s="101">
        <v>824.18890944564885</v>
      </c>
      <c r="G193" s="101">
        <v>817.43032800441006</v>
      </c>
      <c r="H193" s="101">
        <v>810.34821726280416</v>
      </c>
      <c r="I193" s="101">
        <v>801.4912202643892</v>
      </c>
      <c r="J193" s="101">
        <v>790.76777449213671</v>
      </c>
      <c r="K193" s="101">
        <v>781.81367672268686</v>
      </c>
      <c r="L193" s="101">
        <v>771.98130622795145</v>
      </c>
      <c r="M193" s="101">
        <v>762.06045043416088</v>
      </c>
      <c r="N193" s="101">
        <v>750.14987180541175</v>
      </c>
      <c r="O193" s="101">
        <v>738.51641295202603</v>
      </c>
      <c r="P193" s="101">
        <v>726.484298992341</v>
      </c>
      <c r="Q193" s="101">
        <v>717.9932314987359</v>
      </c>
      <c r="R193" s="101">
        <v>702.7039212560594</v>
      </c>
      <c r="S193" s="101">
        <v>687.61061144214216</v>
      </c>
      <c r="T193" s="101">
        <v>672.90236545517166</v>
      </c>
      <c r="U193" s="101">
        <v>656.76689981102425</v>
      </c>
      <c r="V193" s="101">
        <v>642.02504908724904</v>
      </c>
      <c r="W193" s="101">
        <v>626.06310213053689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1053.2908865694098</v>
      </c>
      <c r="D194" s="88">
        <v>1041.8716449505885</v>
      </c>
      <c r="E194" s="88">
        <v>1032.3279977890861</v>
      </c>
      <c r="F194" s="88">
        <v>1011.8900153947002</v>
      </c>
      <c r="G194" s="88">
        <v>1001.5523650730339</v>
      </c>
      <c r="H194" s="88">
        <v>988.64313844821936</v>
      </c>
      <c r="I194" s="88">
        <v>977.4127253993031</v>
      </c>
      <c r="J194" s="88">
        <v>964.95629074027693</v>
      </c>
      <c r="K194" s="88">
        <v>958.20241542221311</v>
      </c>
      <c r="L194" s="88">
        <v>931.04491431968256</v>
      </c>
      <c r="M194" s="88">
        <v>917.04767652861506</v>
      </c>
      <c r="N194" s="88">
        <v>901.34750673988799</v>
      </c>
      <c r="O194" s="88">
        <v>897.54834308563693</v>
      </c>
      <c r="P194" s="88">
        <v>875.92698426332902</v>
      </c>
      <c r="Q194" s="88">
        <v>861.53471755577391</v>
      </c>
      <c r="R194" s="88">
        <v>855.03318798931218</v>
      </c>
      <c r="S194" s="88">
        <v>846.25567626503084</v>
      </c>
      <c r="T194" s="88">
        <v>826.44952501908972</v>
      </c>
      <c r="U194" s="88">
        <v>819.83877565516866</v>
      </c>
      <c r="V194" s="88">
        <v>806.01453203338383</v>
      </c>
      <c r="W194" s="88">
        <v>776.72224169563901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1.1000000000067303</v>
      </c>
      <c r="C198" s="150">
        <f>IF(TrRoad_act!C59=0,0,TrRoad_emi!C56/TrRoad_tech!C171)</f>
        <v>1.1003338613867673</v>
      </c>
      <c r="D198" s="150">
        <f>IF(TrRoad_act!D59=0,0,TrRoad_emi!D56/TrRoad_tech!D171)</f>
        <v>1.100849039212872</v>
      </c>
      <c r="E198" s="150">
        <f>IF(TrRoad_act!E59=0,0,TrRoad_emi!E56/TrRoad_tech!E171)</f>
        <v>1.1005348981045679</v>
      </c>
      <c r="F198" s="150">
        <f>IF(TrRoad_act!F59=0,0,TrRoad_emi!F56/TrRoad_tech!F171)</f>
        <v>1.1029684519688392</v>
      </c>
      <c r="G198" s="150">
        <f>IF(TrRoad_act!G59=0,0,TrRoad_emi!G56/TrRoad_tech!G171)</f>
        <v>1.1096878607700496</v>
      </c>
      <c r="H198" s="150">
        <f>IF(TrRoad_act!H59=0,0,TrRoad_emi!H56/TrRoad_tech!H171)</f>
        <v>1.1146055766693481</v>
      </c>
      <c r="I198" s="150">
        <f>IF(TrRoad_act!I59=0,0,TrRoad_emi!I56/TrRoad_tech!I171)</f>
        <v>1.1204550910445048</v>
      </c>
      <c r="J198" s="150">
        <f>IF(TrRoad_act!J59=0,0,TrRoad_emi!J56/TrRoad_tech!J171)</f>
        <v>1.0879008169385609</v>
      </c>
      <c r="K198" s="150">
        <f>IF(TrRoad_act!K59=0,0,TrRoad_emi!K56/TrRoad_tech!K171)</f>
        <v>1.0848503186028142</v>
      </c>
      <c r="L198" s="150">
        <f>IF(TrRoad_act!L59=0,0,TrRoad_emi!L56/TrRoad_tech!L171)</f>
        <v>1.0873897927644547</v>
      </c>
      <c r="M198" s="150">
        <f>IF(TrRoad_act!M59=0,0,TrRoad_emi!M56/TrRoad_tech!M171)</f>
        <v>1.0835783921810798</v>
      </c>
      <c r="N198" s="150">
        <f>IF(TrRoad_act!N59=0,0,TrRoad_emi!N56/TrRoad_tech!N171)</f>
        <v>1.084718077455876</v>
      </c>
      <c r="O198" s="150">
        <f>IF(TrRoad_act!O59=0,0,TrRoad_emi!O56/TrRoad_tech!O171)</f>
        <v>1.1093232913361573</v>
      </c>
      <c r="P198" s="150">
        <f>IF(TrRoad_act!P59=0,0,TrRoad_emi!P56/TrRoad_tech!P171)</f>
        <v>1.1109852425416122</v>
      </c>
      <c r="Q198" s="150">
        <f>IF(TrRoad_act!Q59=0,0,TrRoad_emi!Q56/TrRoad_tech!Q171)</f>
        <v>1.1187785140410043</v>
      </c>
      <c r="R198" s="150">
        <f>IF(TrRoad_act!R59=0,0,TrRoad_emi!R56/TrRoad_tech!R171)</f>
        <v>1.1229477154903382</v>
      </c>
      <c r="S198" s="150">
        <f>IF(TrRoad_act!S59=0,0,TrRoad_emi!S56/TrRoad_tech!S171)</f>
        <v>1.1155912458505337</v>
      </c>
      <c r="T198" s="150">
        <f>IF(TrRoad_act!T59=0,0,TrRoad_emi!T56/TrRoad_tech!T171)</f>
        <v>1.1173889993029411</v>
      </c>
      <c r="U198" s="150">
        <f>IF(TrRoad_act!U59=0,0,TrRoad_emi!U56/TrRoad_tech!U171)</f>
        <v>1.1182478240453468</v>
      </c>
      <c r="V198" s="150">
        <f>IF(TrRoad_act!V59=0,0,TrRoad_emi!V56/TrRoad_tech!V171)</f>
        <v>1.1164655950269411</v>
      </c>
      <c r="W198" s="150">
        <f>IF(TrRoad_act!W59=0,0,TrRoad_emi!W56/TrRoad_tech!W171)</f>
        <v>1.1004069912056074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0.94180655664235036</v>
      </c>
      <c r="C199" s="151">
        <f>IF(TrRoad_act!C60=0,0,TrRoad_emi!C57/TrRoad_tech!C172)</f>
        <v>0.93990356405881215</v>
      </c>
      <c r="D199" s="151">
        <f>IF(TrRoad_act!D60=0,0,TrRoad_emi!D57/TrRoad_tech!D172)</f>
        <v>0.94062785585114794</v>
      </c>
      <c r="E199" s="151">
        <f>IF(TrRoad_act!E60=0,0,TrRoad_emi!E57/TrRoad_tech!E172)</f>
        <v>0.93852684683456011</v>
      </c>
      <c r="F199" s="151">
        <f>IF(TrRoad_act!F60=0,0,TrRoad_emi!F57/TrRoad_tech!F172)</f>
        <v>0.93951051290404364</v>
      </c>
      <c r="G199" s="151">
        <f>IF(TrRoad_act!G60=0,0,TrRoad_emi!G57/TrRoad_tech!G172)</f>
        <v>0.93506332545147519</v>
      </c>
      <c r="H199" s="151">
        <f>IF(TrRoad_act!H60=0,0,TrRoad_emi!H57/TrRoad_tech!H172)</f>
        <v>0.94653789169349489</v>
      </c>
      <c r="I199" s="151">
        <f>IF(TrRoad_act!I60=0,0,TrRoad_emi!I57/TrRoad_tech!I172)</f>
        <v>0.9544299314214254</v>
      </c>
      <c r="J199" s="151">
        <f>IF(TrRoad_act!J60=0,0,TrRoad_emi!J57/TrRoad_tech!J172)</f>
        <v>0.9063010364405385</v>
      </c>
      <c r="K199" s="151">
        <f>IF(TrRoad_act!K60=0,0,TrRoad_emi!K57/TrRoad_tech!K172)</f>
        <v>0.88825722083076475</v>
      </c>
      <c r="L199" s="151">
        <f>IF(TrRoad_act!L60=0,0,TrRoad_emi!L57/TrRoad_tech!L172)</f>
        <v>0.8970671235214227</v>
      </c>
      <c r="M199" s="151">
        <f>IF(TrRoad_act!M60=0,0,TrRoad_emi!M57/TrRoad_tech!M172)</f>
        <v>0.89217492642892748</v>
      </c>
      <c r="N199" s="151">
        <f>IF(TrRoad_act!N60=0,0,TrRoad_emi!N57/TrRoad_tech!N172)</f>
        <v>0.89500242086722048</v>
      </c>
      <c r="O199" s="151">
        <f>IF(TrRoad_act!O60=0,0,TrRoad_emi!O57/TrRoad_tech!O172)</f>
        <v>0.9056370691638409</v>
      </c>
      <c r="P199" s="151">
        <f>IF(TrRoad_act!P60=0,0,TrRoad_emi!P57/TrRoad_tech!P172)</f>
        <v>0.84634133078466411</v>
      </c>
      <c r="Q199" s="151">
        <f>IF(TrRoad_act!Q60=0,0,TrRoad_emi!Q57/TrRoad_tech!Q172)</f>
        <v>0.85231972545227741</v>
      </c>
      <c r="R199" s="151">
        <f>IF(TrRoad_act!R60=0,0,TrRoad_emi!R57/TrRoad_tech!R172)</f>
        <v>0.95386531020537058</v>
      </c>
      <c r="S199" s="151">
        <f>IF(TrRoad_act!S60=0,0,TrRoad_emi!S57/TrRoad_tech!S172)</f>
        <v>0.88042124485087736</v>
      </c>
      <c r="T199" s="151">
        <f>IF(TrRoad_act!T60=0,0,TrRoad_emi!T57/TrRoad_tech!T172)</f>
        <v>0.90817970883208499</v>
      </c>
      <c r="U199" s="151">
        <f>IF(TrRoad_act!U60=0,0,TrRoad_emi!U57/TrRoad_tech!U172)</f>
        <v>0.90006389094383832</v>
      </c>
      <c r="V199" s="151">
        <f>IF(TrRoad_act!V60=0,0,TrRoad_emi!V57/TrRoad_tech!V172)</f>
        <v>0.90639861498622887</v>
      </c>
      <c r="W199" s="151">
        <f>IF(TrRoad_act!W60=0,0,TrRoad_emi!W57/TrRoad_tech!W172)</f>
        <v>0.92848559236653039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0.88961685286593406</v>
      </c>
      <c r="C200" s="91">
        <f>IF(TrRoad_act!C61=0,0,TrRoad_emi!C58/TrRoad_tech!C173)</f>
        <v>0.89246590627867328</v>
      </c>
      <c r="D200" s="91">
        <f>IF(TrRoad_act!D61=0,0,TrRoad_emi!D58/TrRoad_tech!D173)</f>
        <v>0.89353806003177871</v>
      </c>
      <c r="E200" s="91">
        <f>IF(TrRoad_act!E61=0,0,TrRoad_emi!E58/TrRoad_tech!E173)</f>
        <v>0.88797893313802856</v>
      </c>
      <c r="F200" s="91">
        <f>IF(TrRoad_act!F61=0,0,TrRoad_emi!F58/TrRoad_tech!F173)</f>
        <v>0.88627873470034579</v>
      </c>
      <c r="G200" s="91">
        <f>IF(TrRoad_act!G61=0,0,TrRoad_emi!G58/TrRoad_tech!G173)</f>
        <v>0.88437747806192302</v>
      </c>
      <c r="H200" s="91">
        <f>IF(TrRoad_act!H61=0,0,TrRoad_emi!H58/TrRoad_tech!H173)</f>
        <v>0.88815214283802779</v>
      </c>
      <c r="I200" s="91">
        <f>IF(TrRoad_act!I61=0,0,TrRoad_emi!I58/TrRoad_tech!I173)</f>
        <v>0.88826324688605862</v>
      </c>
      <c r="J200" s="91">
        <f>IF(TrRoad_act!J61=0,0,TrRoad_emi!J58/TrRoad_tech!J173)</f>
        <v>0.84513540235522588</v>
      </c>
      <c r="K200" s="91">
        <f>IF(TrRoad_act!K61=0,0,TrRoad_emi!K58/TrRoad_tech!K173)</f>
        <v>0.82573950978980304</v>
      </c>
      <c r="L200" s="91">
        <f>IF(TrRoad_act!L61=0,0,TrRoad_emi!L58/TrRoad_tech!L173)</f>
        <v>0.82722022161670172</v>
      </c>
      <c r="M200" s="91">
        <f>IF(TrRoad_act!M61=0,0,TrRoad_emi!M58/TrRoad_tech!M173)</f>
        <v>0.81897919639931649</v>
      </c>
      <c r="N200" s="91">
        <f>IF(TrRoad_act!N61=0,0,TrRoad_emi!N58/TrRoad_tech!N173)</f>
        <v>0.81778015299576989</v>
      </c>
      <c r="O200" s="91">
        <f>IF(TrRoad_act!O61=0,0,TrRoad_emi!O58/TrRoad_tech!O173)</f>
        <v>0.85025342268446491</v>
      </c>
      <c r="P200" s="91">
        <f>IF(TrRoad_act!P61=0,0,TrRoad_emi!P58/TrRoad_tech!P173)</f>
        <v>0.83795900297160597</v>
      </c>
      <c r="Q200" s="91">
        <f>IF(TrRoad_act!Q61=0,0,TrRoad_emi!Q58/TrRoad_tech!Q173)</f>
        <v>0.84625967562342741</v>
      </c>
      <c r="R200" s="91">
        <f>IF(TrRoad_act!R61=0,0,TrRoad_emi!R58/TrRoad_tech!R173)</f>
        <v>0.91171480324708587</v>
      </c>
      <c r="S200" s="91">
        <f>IF(TrRoad_act!S61=0,0,TrRoad_emi!S58/TrRoad_tech!S173)</f>
        <v>0.85867462383413617</v>
      </c>
      <c r="T200" s="91">
        <f>IF(TrRoad_act!T61=0,0,TrRoad_emi!T58/TrRoad_tech!T173)</f>
        <v>0.87137713347740386</v>
      </c>
      <c r="U200" s="91">
        <f>IF(TrRoad_act!U61=0,0,TrRoad_emi!U58/TrRoad_tech!U173)</f>
        <v>0.86929000546630142</v>
      </c>
      <c r="V200" s="91">
        <f>IF(TrRoad_act!V61=0,0,TrRoad_emi!V58/TrRoad_tech!V173)</f>
        <v>0.84635487366713225</v>
      </c>
      <c r="W200" s="91">
        <f>IF(TrRoad_act!W61=0,0,TrRoad_emi!W58/TrRoad_tech!W173)</f>
        <v>0.88759843400321836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1.1064501810793366</v>
      </c>
      <c r="C201" s="91">
        <f>IF(TrRoad_act!C62=0,0,TrRoad_emi!C59/TrRoad_tech!C174)</f>
        <v>1.1204197301467047</v>
      </c>
      <c r="D201" s="91">
        <f>IF(TrRoad_act!D62=0,0,TrRoad_emi!D59/TrRoad_tech!D174)</f>
        <v>1.1211214101129878</v>
      </c>
      <c r="E201" s="91">
        <f>IF(TrRoad_act!E62=0,0,TrRoad_emi!E59/TrRoad_tech!E174)</f>
        <v>1.1277925947436247</v>
      </c>
      <c r="F201" s="91">
        <f>IF(TrRoad_act!F62=0,0,TrRoad_emi!F59/TrRoad_tech!F174)</f>
        <v>1.1447254336929851</v>
      </c>
      <c r="G201" s="91">
        <f>IF(TrRoad_act!G62=0,0,TrRoad_emi!G59/TrRoad_tech!G174)</f>
        <v>1.1155819900184631</v>
      </c>
      <c r="H201" s="91">
        <f>IF(TrRoad_act!H62=0,0,TrRoad_emi!H59/TrRoad_tech!H174)</f>
        <v>1.1412934151431735</v>
      </c>
      <c r="I201" s="91">
        <f>IF(TrRoad_act!I62=0,0,TrRoad_emi!I59/TrRoad_tech!I174)</f>
        <v>1.1579433646520338</v>
      </c>
      <c r="J201" s="91">
        <f>IF(TrRoad_act!J62=0,0,TrRoad_emi!J59/TrRoad_tech!J174)</f>
        <v>1.0824922194192275</v>
      </c>
      <c r="K201" s="91">
        <f>IF(TrRoad_act!K62=0,0,TrRoad_emi!K59/TrRoad_tech!K174)</f>
        <v>1.0372923977566424</v>
      </c>
      <c r="L201" s="91">
        <f>IF(TrRoad_act!L62=0,0,TrRoad_emi!L59/TrRoad_tech!L174)</f>
        <v>1.0408692534359423</v>
      </c>
      <c r="M201" s="91">
        <f>IF(TrRoad_act!M62=0,0,TrRoad_emi!M59/TrRoad_tech!M174)</f>
        <v>1.0127959751023741</v>
      </c>
      <c r="N201" s="91">
        <f>IF(TrRoad_act!N62=0,0,TrRoad_emi!N59/TrRoad_tech!N174)</f>
        <v>1.005088880552127</v>
      </c>
      <c r="O201" s="91">
        <f>IF(TrRoad_act!O62=0,0,TrRoad_emi!O59/TrRoad_tech!O174)</f>
        <v>0.98319665282566671</v>
      </c>
      <c r="P201" s="91">
        <f>IF(TrRoad_act!P62=0,0,TrRoad_emi!P59/TrRoad_tech!P174)</f>
        <v>0.85278775725544487</v>
      </c>
      <c r="Q201" s="91">
        <f>IF(TrRoad_act!Q62=0,0,TrRoad_emi!Q59/TrRoad_tech!Q174)</f>
        <v>0.85523749011876016</v>
      </c>
      <c r="R201" s="91">
        <f>IF(TrRoad_act!R62=0,0,TrRoad_emi!R59/TrRoad_tech!R174)</f>
        <v>1.0070996347000631</v>
      </c>
      <c r="S201" s="91">
        <f>IF(TrRoad_act!S62=0,0,TrRoad_emi!S59/TrRoad_tech!S174)</f>
        <v>0.89910712691170569</v>
      </c>
      <c r="T201" s="91">
        <f>IF(TrRoad_act!T62=0,0,TrRoad_emi!T59/TrRoad_tech!T174)</f>
        <v>0.93068969260550938</v>
      </c>
      <c r="U201" s="91">
        <f>IF(TrRoad_act!U62=0,0,TrRoad_emi!U59/TrRoad_tech!U174)</f>
        <v>0.89626923187448659</v>
      </c>
      <c r="V201" s="91">
        <f>IF(TrRoad_act!V62=0,0,TrRoad_emi!V59/TrRoad_tech!V174)</f>
        <v>0.90237152118361152</v>
      </c>
      <c r="W201" s="91">
        <f>IF(TrRoad_act!W62=0,0,TrRoad_emi!W59/TrRoad_tech!W174)</f>
        <v>0.8448516043222507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0</v>
      </c>
      <c r="E202" s="91">
        <f>IF(TrRoad_act!E63=0,0,TrRoad_emi!E60/TrRoad_tech!E175)</f>
        <v>0</v>
      </c>
      <c r="F202" s="91">
        <f>IF(TrRoad_act!F63=0,0,TrRoad_emi!F60/TrRoad_tech!F175)</f>
        <v>0</v>
      </c>
      <c r="G202" s="91">
        <f>IF(TrRoad_act!G63=0,0,TrRoad_emi!G60/TrRoad_tech!G175)</f>
        <v>0</v>
      </c>
      <c r="H202" s="91">
        <f>IF(TrRoad_act!H63=0,0,TrRoad_emi!H60/TrRoad_tech!H175)</f>
        <v>0</v>
      </c>
      <c r="I202" s="91">
        <f>IF(TrRoad_act!I63=0,0,TrRoad_emi!I60/TrRoad_tech!I175)</f>
        <v>0</v>
      </c>
      <c r="J202" s="91">
        <f>IF(TrRoad_act!J63=0,0,TrRoad_emi!J60/TrRoad_tech!J175)</f>
        <v>0</v>
      </c>
      <c r="K202" s="91">
        <f>IF(TrRoad_act!K63=0,0,TrRoad_emi!K60/TrRoad_tech!K175)</f>
        <v>0</v>
      </c>
      <c r="L202" s="91">
        <f>IF(TrRoad_act!L63=0,0,TrRoad_emi!L60/TrRoad_tech!L175)</f>
        <v>0</v>
      </c>
      <c r="M202" s="91">
        <f>IF(TrRoad_act!M63=0,0,TrRoad_emi!M60/TrRoad_tech!M175)</f>
        <v>0</v>
      </c>
      <c r="N202" s="91">
        <f>IF(TrRoad_act!N63=0,0,TrRoad_emi!N60/TrRoad_tech!N175)</f>
        <v>0</v>
      </c>
      <c r="O202" s="91">
        <f>IF(TrRoad_act!O63=0,0,TrRoad_emi!O60/TrRoad_tech!O175)</f>
        <v>0</v>
      </c>
      <c r="P202" s="91">
        <f>IF(TrRoad_act!P63=0,0,TrRoad_emi!P60/TrRoad_tech!P175)</f>
        <v>0</v>
      </c>
      <c r="Q202" s="91">
        <f>IF(TrRoad_act!Q63=0,0,TrRoad_emi!Q60/TrRoad_tech!Q175)</f>
        <v>0</v>
      </c>
      <c r="R202" s="91">
        <f>IF(TrRoad_act!R63=0,0,TrRoad_emi!R60/TrRoad_tech!R175)</f>
        <v>0</v>
      </c>
      <c r="S202" s="91">
        <f>IF(TrRoad_act!S63=0,0,TrRoad_emi!S60/TrRoad_tech!S175)</f>
        <v>0</v>
      </c>
      <c r="T202" s="91">
        <f>IF(TrRoad_act!T63=0,0,TrRoad_emi!T60/TrRoad_tech!T175)</f>
        <v>0</v>
      </c>
      <c r="U202" s="91">
        <f>IF(TrRoad_act!U63=0,0,TrRoad_emi!U60/TrRoad_tech!U175)</f>
        <v>0</v>
      </c>
      <c r="V202" s="91">
        <f>IF(TrRoad_act!V63=0,0,TrRoad_emi!V60/TrRoad_tech!V175)</f>
        <v>0</v>
      </c>
      <c r="W202" s="91">
        <f>IF(TrRoad_act!W63=0,0,TrRoad_emi!W60/TrRoad_tech!W175)</f>
        <v>0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1.0400000000040797</v>
      </c>
      <c r="I203" s="91">
        <f>IF(TrRoad_act!I64=0,0,TrRoad_emi!I61/TrRoad_tech!I176)</f>
        <v>1.043242519603899</v>
      </c>
      <c r="J203" s="91">
        <f>IF(TrRoad_act!J64=0,0,TrRoad_emi!J61/TrRoad_tech!J176)</f>
        <v>1.2102903314803066</v>
      </c>
      <c r="K203" s="91">
        <f>IF(TrRoad_act!K64=0,0,TrRoad_emi!K61/TrRoad_tech!K176)</f>
        <v>1.3890020816740194</v>
      </c>
      <c r="L203" s="91">
        <f>IF(TrRoad_act!L64=0,0,TrRoad_emi!L61/TrRoad_tech!L176)</f>
        <v>1.4125073692988823</v>
      </c>
      <c r="M203" s="91">
        <f>IF(TrRoad_act!M64=0,0,TrRoad_emi!M61/TrRoad_tech!M176)</f>
        <v>1.0307975378390219</v>
      </c>
      <c r="N203" s="91">
        <f>IF(TrRoad_act!N64=0,0,TrRoad_emi!N61/TrRoad_tech!N176)</f>
        <v>1.4994614802893751</v>
      </c>
      <c r="O203" s="91">
        <f>IF(TrRoad_act!O64=0,0,TrRoad_emi!O61/TrRoad_tech!O176)</f>
        <v>1.0299261157829007</v>
      </c>
      <c r="P203" s="91">
        <f>IF(TrRoad_act!P64=0,0,TrRoad_emi!P61/TrRoad_tech!P176)</f>
        <v>1.0272791223012927</v>
      </c>
      <c r="Q203" s="91">
        <f>IF(TrRoad_act!Q64=0,0,TrRoad_emi!Q61/TrRoad_tech!Q176)</f>
        <v>1.0163544136803631</v>
      </c>
      <c r="R203" s="91">
        <f>IF(TrRoad_act!R64=0,0,TrRoad_emi!R61/TrRoad_tech!R176)</f>
        <v>1.1507796452048873</v>
      </c>
      <c r="S203" s="91">
        <f>IF(TrRoad_act!S64=0,0,TrRoad_emi!S61/TrRoad_tech!S176)</f>
        <v>1.1694349501336374</v>
      </c>
      <c r="T203" s="91">
        <f>IF(TrRoad_act!T64=0,0,TrRoad_emi!T61/TrRoad_tech!T176)</f>
        <v>1.2557758514237851</v>
      </c>
      <c r="U203" s="91">
        <f>IF(TrRoad_act!U64=0,0,TrRoad_emi!U61/TrRoad_tech!U176)</f>
        <v>1.506030521530265</v>
      </c>
      <c r="V203" s="91">
        <f>IF(TrRoad_act!V64=0,0,TrRoad_emi!V61/TrRoad_tech!V176)</f>
        <v>1.7134292659610348</v>
      </c>
      <c r="W203" s="91">
        <f>IF(TrRoad_act!W64=0,0,TrRoad_emi!W61/TrRoad_tech!W176)</f>
        <v>1.976486298169847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0.84112462955032885</v>
      </c>
      <c r="O204" s="91">
        <f>IF(TrRoad_act!O65=0,0,TrRoad_emi!O62/TrRoad_tech!O177)</f>
        <v>0.87564158256907998</v>
      </c>
      <c r="P204" s="91">
        <f>IF(TrRoad_act!P65=0,0,TrRoad_emi!P62/TrRoad_tech!P177)</f>
        <v>0.86488032869558984</v>
      </c>
      <c r="Q204" s="91">
        <f>IF(TrRoad_act!Q65=0,0,TrRoad_emi!Q62/TrRoad_tech!Q177)</f>
        <v>0.87557887653544419</v>
      </c>
      <c r="R204" s="91">
        <f>IF(TrRoad_act!R65=0,0,TrRoad_emi!R62/TrRoad_tech!R177)</f>
        <v>0.9461376818451066</v>
      </c>
      <c r="S204" s="91">
        <f>IF(TrRoad_act!S65=0,0,TrRoad_emi!S62/TrRoad_tech!S177)</f>
        <v>0.89207442851723617</v>
      </c>
      <c r="T204" s="91">
        <f>IF(TrRoad_act!T65=0,0,TrRoad_emi!T62/TrRoad_tech!T177)</f>
        <v>0.90494886746867276</v>
      </c>
      <c r="U204" s="91">
        <f>IF(TrRoad_act!U65=0,0,TrRoad_emi!U62/TrRoad_tech!U177)</f>
        <v>0.90128926842647006</v>
      </c>
      <c r="V204" s="91">
        <f>IF(TrRoad_act!V65=0,0,TrRoad_emi!V62/TrRoad_tech!V177)</f>
        <v>0.87635878060468431</v>
      </c>
      <c r="W204" s="91">
        <f>IF(TrRoad_act!W65=0,0,TrRoad_emi!W62/TrRoad_tech!W177)</f>
        <v>0.91682011468141045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1.1725978458605029</v>
      </c>
      <c r="C206" s="151">
        <f>IF(TrRoad_act!C67=0,0,TrRoad_emi!C64/TrRoad_tech!C179)</f>
        <v>1.183031612779941</v>
      </c>
      <c r="D206" s="151">
        <f>IF(TrRoad_act!D67=0,0,TrRoad_emi!D64/TrRoad_tech!D179)</f>
        <v>1.1938636193168486</v>
      </c>
      <c r="E206" s="151">
        <f>IF(TrRoad_act!E67=0,0,TrRoad_emi!E64/TrRoad_tech!E179)</f>
        <v>1.1863029404821603</v>
      </c>
      <c r="F206" s="151">
        <f>IF(TrRoad_act!F67=0,0,TrRoad_emi!F64/TrRoad_tech!F179)</f>
        <v>1.2033565223978284</v>
      </c>
      <c r="G206" s="151">
        <f>IF(TrRoad_act!G67=0,0,TrRoad_emi!G64/TrRoad_tech!G179)</f>
        <v>1.179922229433588</v>
      </c>
      <c r="H206" s="151">
        <f>IF(TrRoad_act!H67=0,0,TrRoad_emi!H64/TrRoad_tech!H179)</f>
        <v>1.219460817116645</v>
      </c>
      <c r="I206" s="151">
        <f>IF(TrRoad_act!I67=0,0,TrRoad_emi!I64/TrRoad_tech!I179)</f>
        <v>1.2294749925558004</v>
      </c>
      <c r="J206" s="151">
        <f>IF(TrRoad_act!J67=0,0,TrRoad_emi!J64/TrRoad_tech!J179)</f>
        <v>1.1637376830740735</v>
      </c>
      <c r="K206" s="151">
        <f>IF(TrRoad_act!K67=0,0,TrRoad_emi!K64/TrRoad_tech!K179)</f>
        <v>1.1294991906956706</v>
      </c>
      <c r="L206" s="151">
        <f>IF(TrRoad_act!L67=0,0,TrRoad_emi!L64/TrRoad_tech!L179)</f>
        <v>1.1395987923339892</v>
      </c>
      <c r="M206" s="151">
        <f>IF(TrRoad_act!M67=0,0,TrRoad_emi!M64/TrRoad_tech!M179)</f>
        <v>1.1130657830476172</v>
      </c>
      <c r="N206" s="151">
        <f>IF(TrRoad_act!N67=0,0,TrRoad_emi!N64/TrRoad_tech!N179)</f>
        <v>1.1230321161479011</v>
      </c>
      <c r="O206" s="151">
        <f>IF(TrRoad_act!O67=0,0,TrRoad_emi!O64/TrRoad_tech!O179)</f>
        <v>1.100623906342967</v>
      </c>
      <c r="P206" s="151">
        <f>IF(TrRoad_act!P67=0,0,TrRoad_emi!P64/TrRoad_tech!P179)</f>
        <v>0.96664051241970239</v>
      </c>
      <c r="Q206" s="151">
        <f>IF(TrRoad_act!Q67=0,0,TrRoad_emi!Q64/TrRoad_tech!Q179)</f>
        <v>0.97700232667376785</v>
      </c>
      <c r="R206" s="151">
        <f>IF(TrRoad_act!R67=0,0,TrRoad_emi!R64/TrRoad_tech!R179)</f>
        <v>1.1641953475889166</v>
      </c>
      <c r="S206" s="151">
        <f>IF(TrRoad_act!S67=0,0,TrRoad_emi!S64/TrRoad_tech!S179)</f>
        <v>1.0487209980268235</v>
      </c>
      <c r="T206" s="151">
        <f>IF(TrRoad_act!T67=0,0,TrRoad_emi!T64/TrRoad_tech!T179)</f>
        <v>1.0867499040269706</v>
      </c>
      <c r="U206" s="151">
        <f>IF(TrRoad_act!U67=0,0,TrRoad_emi!U64/TrRoad_tech!U179)</f>
        <v>1.0801489320806994</v>
      </c>
      <c r="V206" s="151">
        <f>IF(TrRoad_act!V67=0,0,TrRoad_emi!V64/TrRoad_tech!V179)</f>
        <v>1.0893604918024893</v>
      </c>
      <c r="W206" s="151">
        <f>IF(TrRoad_act!W67=0,0,TrRoad_emi!W64/TrRoad_tech!W179)</f>
        <v>1.1135108648757093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1.1005179012980639</v>
      </c>
      <c r="D207" s="93">
        <f>IF(TrRoad_act!D68=0,0,TrRoad_emi!D65/TrRoad_tech!D180)</f>
        <v>1.1001201264401137</v>
      </c>
      <c r="E207" s="93">
        <f>IF(TrRoad_act!E68=0,0,TrRoad_emi!E65/TrRoad_tech!E180)</f>
        <v>1.0980711356580135</v>
      </c>
      <c r="F207" s="93">
        <f>IF(TrRoad_act!F68=0,0,TrRoad_emi!F65/TrRoad_tech!F180)</f>
        <v>1.0988179237901854</v>
      </c>
      <c r="G207" s="93">
        <f>IF(TrRoad_act!G68=0,0,TrRoad_emi!G65/TrRoad_tech!G180)</f>
        <v>1.1056850359339971</v>
      </c>
      <c r="H207" s="93">
        <f>IF(TrRoad_act!H68=0,0,TrRoad_emi!H65/TrRoad_tech!H180)</f>
        <v>1.1055280929788636</v>
      </c>
      <c r="I207" s="93">
        <f>IF(TrRoad_act!I68=0,0,TrRoad_emi!I65/TrRoad_tech!I180)</f>
        <v>1.1073696243373421</v>
      </c>
      <c r="J207" s="93">
        <f>IF(TrRoad_act!J68=0,0,TrRoad_emi!J65/TrRoad_tech!J180)</f>
        <v>1.0681544732933714</v>
      </c>
      <c r="K207" s="93">
        <f>IF(TrRoad_act!K68=0,0,TrRoad_emi!K65/TrRoad_tech!K180)</f>
        <v>1.0654391918104367</v>
      </c>
      <c r="L207" s="93">
        <f>IF(TrRoad_act!L68=0,0,TrRoad_emi!L65/TrRoad_tech!L180)</f>
        <v>1.0649243136111528</v>
      </c>
      <c r="M207" s="93">
        <f>IF(TrRoad_act!M68=0,0,TrRoad_emi!M65/TrRoad_tech!M180)</f>
        <v>1.0548421399577372</v>
      </c>
      <c r="N207" s="93">
        <f>IF(TrRoad_act!N68=0,0,TrRoad_emi!N65/TrRoad_tech!N180)</f>
        <v>1.0499059791052745</v>
      </c>
      <c r="O207" s="93">
        <f>IF(TrRoad_act!O68=0,0,TrRoad_emi!O65/TrRoad_tech!O180)</f>
        <v>1.0690612688149079</v>
      </c>
      <c r="P207" s="93">
        <f>IF(TrRoad_act!P68=0,0,TrRoad_emi!P65/TrRoad_tech!P180)</f>
        <v>1.0649042465415219</v>
      </c>
      <c r="Q207" s="93">
        <f>IF(TrRoad_act!Q68=0,0,TrRoad_emi!Q65/TrRoad_tech!Q180)</f>
        <v>1.0674904791747342</v>
      </c>
      <c r="R207" s="93">
        <f>IF(TrRoad_act!R68=0,0,TrRoad_emi!R65/TrRoad_tech!R180)</f>
        <v>1.0657781554115693</v>
      </c>
      <c r="S207" s="93">
        <f>IF(TrRoad_act!S68=0,0,TrRoad_emi!S65/TrRoad_tech!S180)</f>
        <v>1.0621159521857715</v>
      </c>
      <c r="T207" s="93">
        <f>IF(TrRoad_act!T68=0,0,TrRoad_emi!T65/TrRoad_tech!T180)</f>
        <v>1.0582575607214466</v>
      </c>
      <c r="U207" s="93">
        <f>IF(TrRoad_act!U68=0,0,TrRoad_emi!U65/TrRoad_tech!U180)</f>
        <v>1.0529322053335197</v>
      </c>
      <c r="V207" s="93">
        <f>IF(TrRoad_act!V68=0,0,TrRoad_emi!V65/TrRoad_tech!V180)</f>
        <v>1.0445449746630078</v>
      </c>
      <c r="W207" s="93">
        <f>IF(TrRoad_act!W68=0,0,TrRoad_emi!W65/TrRoad_tech!W180)</f>
        <v>1.0296018218404752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1.1757195022691211</v>
      </c>
      <c r="C208" s="93">
        <f>IF(TrRoad_act!C69=0,0,TrRoad_emi!C66/TrRoad_tech!C181)</f>
        <v>1.1897048707817806</v>
      </c>
      <c r="D208" s="93">
        <f>IF(TrRoad_act!D69=0,0,TrRoad_emi!D66/TrRoad_tech!D181)</f>
        <v>1.1915361082089955</v>
      </c>
      <c r="E208" s="93">
        <f>IF(TrRoad_act!E69=0,0,TrRoad_emi!E66/TrRoad_tech!E181)</f>
        <v>1.1999905452040998</v>
      </c>
      <c r="F208" s="93">
        <f>IF(TrRoad_act!F69=0,0,TrRoad_emi!F66/TrRoad_tech!F181)</f>
        <v>1.2186518088864753</v>
      </c>
      <c r="G208" s="93">
        <f>IF(TrRoad_act!G69=0,0,TrRoad_emi!G66/TrRoad_tech!G181)</f>
        <v>1.193498662553836</v>
      </c>
      <c r="H208" s="93">
        <f>IF(TrRoad_act!H69=0,0,TrRoad_emi!H66/TrRoad_tech!H181)</f>
        <v>1.2220309637168585</v>
      </c>
      <c r="I208" s="93">
        <f>IF(TrRoad_act!I69=0,0,TrRoad_emi!I66/TrRoad_tech!I181)</f>
        <v>1.2430964915913376</v>
      </c>
      <c r="J208" s="93">
        <f>IF(TrRoad_act!J69=0,0,TrRoad_emi!J66/TrRoad_tech!J181)</f>
        <v>1.1749954387137671</v>
      </c>
      <c r="K208" s="93">
        <f>IF(TrRoad_act!K69=0,0,TrRoad_emi!K66/TrRoad_tech!K181)</f>
        <v>1.1349443542254616</v>
      </c>
      <c r="L208" s="93">
        <f>IF(TrRoad_act!L69=0,0,TrRoad_emi!L66/TrRoad_tech!L181)</f>
        <v>1.1456038721131463</v>
      </c>
      <c r="M208" s="93">
        <f>IF(TrRoad_act!M69=0,0,TrRoad_emi!M66/TrRoad_tech!M181)</f>
        <v>1.1226438111460684</v>
      </c>
      <c r="N208" s="93">
        <f>IF(TrRoad_act!N69=0,0,TrRoad_emi!N66/TrRoad_tech!N181)</f>
        <v>1.1239251307318465</v>
      </c>
      <c r="O208" s="93">
        <f>IF(TrRoad_act!O69=0,0,TrRoad_emi!O66/TrRoad_tech!O181)</f>
        <v>1.10837592806894</v>
      </c>
      <c r="P208" s="93">
        <f>IF(TrRoad_act!P69=0,0,TrRoad_emi!P66/TrRoad_tech!P181)</f>
        <v>0.97157068426659021</v>
      </c>
      <c r="Q208" s="93">
        <f>IF(TrRoad_act!Q69=0,0,TrRoad_emi!Q66/TrRoad_tech!Q181)</f>
        <v>0.98273447389332935</v>
      </c>
      <c r="R208" s="93">
        <f>IF(TrRoad_act!R69=0,0,TrRoad_emi!R66/TrRoad_tech!R181)</f>
        <v>1.1631741887635452</v>
      </c>
      <c r="S208" s="93">
        <f>IF(TrRoad_act!S69=0,0,TrRoad_emi!S66/TrRoad_tech!S181)</f>
        <v>1.0498979989216561</v>
      </c>
      <c r="T208" s="93">
        <f>IF(TrRoad_act!T69=0,0,TrRoad_emi!T66/TrRoad_tech!T181)</f>
        <v>1.0923952448880945</v>
      </c>
      <c r="U208" s="93">
        <f>IF(TrRoad_act!U69=0,0,TrRoad_emi!U66/TrRoad_tech!U181)</f>
        <v>1.0622964579573995</v>
      </c>
      <c r="V208" s="93">
        <f>IF(TrRoad_act!V69=0,0,TrRoad_emi!V66/TrRoad_tech!V181)</f>
        <v>1.0767267432565206</v>
      </c>
      <c r="W208" s="93">
        <f>IF(TrRoad_act!W69=0,0,TrRoad_emi!W66/TrRoad_tech!W181)</f>
        <v>1.0056223928889729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0.98279342761690491</v>
      </c>
      <c r="C210" s="93">
        <f>IF(TrRoad_act!C71=0,0,TrRoad_emi!C68/TrRoad_tech!C183)</f>
        <v>1.0072695677790307</v>
      </c>
      <c r="D210" s="93">
        <f>IF(TrRoad_act!D71=0,0,TrRoad_emi!D68/TrRoad_tech!D183)</f>
        <v>1.0412709619610185</v>
      </c>
      <c r="E210" s="93">
        <f>IF(TrRoad_act!E71=0,0,TrRoad_emi!E68/TrRoad_tech!E183)</f>
        <v>1.0338865251018521</v>
      </c>
      <c r="F210" s="93">
        <f>IF(TrRoad_act!F71=0,0,TrRoad_emi!F68/TrRoad_tech!F183)</f>
        <v>1.0583684545266567</v>
      </c>
      <c r="G210" s="93">
        <f>IF(TrRoad_act!G71=0,0,TrRoad_emi!G68/TrRoad_tech!G183)</f>
        <v>1.0696048867975032</v>
      </c>
      <c r="H210" s="93">
        <f>IF(TrRoad_act!H71=0,0,TrRoad_emi!H68/TrRoad_tech!H183)</f>
        <v>1.0966951990286717</v>
      </c>
      <c r="I210" s="93">
        <f>IF(TrRoad_act!I71=0,0,TrRoad_emi!I68/TrRoad_tech!I183)</f>
        <v>1.0398613380722441</v>
      </c>
      <c r="J210" s="93">
        <f>IF(TrRoad_act!J71=0,0,TrRoad_emi!J68/TrRoad_tech!J183)</f>
        <v>1.3036307273549135</v>
      </c>
      <c r="K210" s="93">
        <f>IF(TrRoad_act!K71=0,0,TrRoad_emi!K68/TrRoad_tech!K183)</f>
        <v>1.4992294661733099</v>
      </c>
      <c r="L210" s="93">
        <f>IF(TrRoad_act!L71=0,0,TrRoad_emi!L68/TrRoad_tech!L183)</f>
        <v>1.5234635011612427</v>
      </c>
      <c r="M210" s="93">
        <f>IF(TrRoad_act!M71=0,0,TrRoad_emi!M68/TrRoad_tech!M183)</f>
        <v>1.004181051270697</v>
      </c>
      <c r="N210" s="93">
        <f>IF(TrRoad_act!N71=0,0,TrRoad_emi!N68/TrRoad_tech!N183)</f>
        <v>1.6120675452101139</v>
      </c>
      <c r="O210" s="93">
        <f>IF(TrRoad_act!O71=0,0,TrRoad_emi!O68/TrRoad_tech!O183)</f>
        <v>0.9977344246039459</v>
      </c>
      <c r="P210" s="93">
        <f>IF(TrRoad_act!P71=0,0,TrRoad_emi!P68/TrRoad_tech!P183)</f>
        <v>1.1018780874124288</v>
      </c>
      <c r="Q210" s="93">
        <f>IF(TrRoad_act!Q71=0,0,TrRoad_emi!Q68/TrRoad_tech!Q183)</f>
        <v>1.0514271275024445</v>
      </c>
      <c r="R210" s="93">
        <f>IF(TrRoad_act!R71=0,0,TrRoad_emi!R68/TrRoad_tech!R183)</f>
        <v>1.2277583680433366</v>
      </c>
      <c r="S210" s="93">
        <f>IF(TrRoad_act!S71=0,0,TrRoad_emi!S68/TrRoad_tech!S183)</f>
        <v>1.2525861420742641</v>
      </c>
      <c r="T210" s="93">
        <f>IF(TrRoad_act!T71=0,0,TrRoad_emi!T68/TrRoad_tech!T183)</f>
        <v>1.3465482903608375</v>
      </c>
      <c r="U210" s="93">
        <f>IF(TrRoad_act!U71=0,0,TrRoad_emi!U68/TrRoad_tech!U183)</f>
        <v>1.6591665882540843</v>
      </c>
      <c r="V210" s="93">
        <f>IF(TrRoad_act!V71=0,0,TrRoad_emi!V68/TrRoad_tech!V183)</f>
        <v>1.9176460346424711</v>
      </c>
      <c r="W210" s="93">
        <f>IF(TrRoad_act!W71=0,0,TrRoad_emi!W68/TrRoad_tech!W183)</f>
        <v>2.2306703518661473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1.0743318494964325</v>
      </c>
      <c r="C213" s="150">
        <f>IF(TrRoad_act!C74=0,0,TrRoad_emi!C71/TrRoad_tech!C186)</f>
        <v>1.0639047416588581</v>
      </c>
      <c r="D213" s="150">
        <f>IF(TrRoad_act!D74=0,0,TrRoad_emi!D71/TrRoad_tech!D186)</f>
        <v>1.0495025976246177</v>
      </c>
      <c r="E213" s="150">
        <f>IF(TrRoad_act!E74=0,0,TrRoad_emi!E71/TrRoad_tech!E186)</f>
        <v>1.0660464918950672</v>
      </c>
      <c r="F213" s="150">
        <f>IF(TrRoad_act!F74=0,0,TrRoad_emi!F71/TrRoad_tech!F186)</f>
        <v>1.0843614527199417</v>
      </c>
      <c r="G213" s="150">
        <f>IF(TrRoad_act!G74=0,0,TrRoad_emi!G71/TrRoad_tech!G186)</f>
        <v>1.0714566980307294</v>
      </c>
      <c r="H213" s="150">
        <f>IF(TrRoad_act!H74=0,0,TrRoad_emi!H71/TrRoad_tech!H186)</f>
        <v>1.0989311596128477</v>
      </c>
      <c r="I213" s="150">
        <f>IF(TrRoad_act!I74=0,0,TrRoad_emi!I71/TrRoad_tech!I186)</f>
        <v>1.1539056232053828</v>
      </c>
      <c r="J213" s="150">
        <f>IF(TrRoad_act!J74=0,0,TrRoad_emi!J71/TrRoad_tech!J186)</f>
        <v>1.1738116486197145</v>
      </c>
      <c r="K213" s="150">
        <f>IF(TrRoad_act!K74=0,0,TrRoad_emi!K71/TrRoad_tech!K186)</f>
        <v>1.1546001152046959</v>
      </c>
      <c r="L213" s="150">
        <f>IF(TrRoad_act!L74=0,0,TrRoad_emi!L71/TrRoad_tech!L186)</f>
        <v>1.2609888811000725</v>
      </c>
      <c r="M213" s="150">
        <f>IF(TrRoad_act!M74=0,0,TrRoad_emi!M71/TrRoad_tech!M186)</f>
        <v>1.3029160193531657</v>
      </c>
      <c r="N213" s="150">
        <f>IF(TrRoad_act!N74=0,0,TrRoad_emi!N71/TrRoad_tech!N186)</f>
        <v>1.2608773536782252</v>
      </c>
      <c r="O213" s="150">
        <f>IF(TrRoad_act!O74=0,0,TrRoad_emi!O71/TrRoad_tech!O186)</f>
        <v>1.2241341249676638</v>
      </c>
      <c r="P213" s="150">
        <f>IF(TrRoad_act!P74=0,0,TrRoad_emi!P71/TrRoad_tech!P186)</f>
        <v>1.0853109100313933</v>
      </c>
      <c r="Q213" s="150">
        <f>IF(TrRoad_act!Q74=0,0,TrRoad_emi!Q71/TrRoad_tech!Q186)</f>
        <v>1.0729670517412557</v>
      </c>
      <c r="R213" s="150">
        <f>IF(TrRoad_act!R74=0,0,TrRoad_emi!R71/TrRoad_tech!R186)</f>
        <v>1.2673800604392631</v>
      </c>
      <c r="S213" s="150">
        <f>IF(TrRoad_act!S74=0,0,TrRoad_emi!S71/TrRoad_tech!S186)</f>
        <v>1.1415356571445339</v>
      </c>
      <c r="T213" s="150">
        <f>IF(TrRoad_act!T74=0,0,TrRoad_emi!T71/TrRoad_tech!T186)</f>
        <v>1.1209343353856065</v>
      </c>
      <c r="U213" s="150">
        <f>IF(TrRoad_act!U74=0,0,TrRoad_emi!U71/TrRoad_tech!U186)</f>
        <v>1.0772600666343686</v>
      </c>
      <c r="V213" s="150">
        <f>IF(TrRoad_act!V74=0,0,TrRoad_emi!V71/TrRoad_tech!V186)</f>
        <v>1.0082902640632772</v>
      </c>
      <c r="W213" s="150">
        <f>IF(TrRoad_act!W74=0,0,TrRoad_emi!W71/TrRoad_tech!W186)</f>
        <v>0.92526640329119147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1.1000011114943682</v>
      </c>
      <c r="D214" s="91">
        <f>IF(TrRoad_act!D75=0,0,TrRoad_emi!D72/TrRoad_tech!D187)</f>
        <v>1.0995924708259734</v>
      </c>
      <c r="E214" s="91">
        <f>IF(TrRoad_act!E75=0,0,TrRoad_emi!E72/TrRoad_tech!E187)</f>
        <v>1.0975476373861395</v>
      </c>
      <c r="F214" s="91">
        <f>IF(TrRoad_act!F75=0,0,TrRoad_emi!F72/TrRoad_tech!F187)</f>
        <v>1.097203266882891</v>
      </c>
      <c r="G214" s="91">
        <f>IF(TrRoad_act!G75=0,0,TrRoad_emi!G72/TrRoad_tech!G187)</f>
        <v>1.1000566466962085</v>
      </c>
      <c r="H214" s="91">
        <f>IF(TrRoad_act!H75=0,0,TrRoad_emi!H72/TrRoad_tech!H187)</f>
        <v>1.0999499786714204</v>
      </c>
      <c r="I214" s="91">
        <f>IF(TrRoad_act!I75=0,0,TrRoad_emi!I72/TrRoad_tech!I187)</f>
        <v>1.100393878355937</v>
      </c>
      <c r="J214" s="91">
        <f>IF(TrRoad_act!J75=0,0,TrRoad_emi!J72/TrRoad_tech!J187)</f>
        <v>1.0633927586411929</v>
      </c>
      <c r="K214" s="91">
        <f>IF(TrRoad_act!K75=0,0,TrRoad_emi!K72/TrRoad_tech!K187)</f>
        <v>1.0571915301181691</v>
      </c>
      <c r="L214" s="91">
        <f>IF(TrRoad_act!L75=0,0,TrRoad_emi!L72/TrRoad_tech!L187)</f>
        <v>1.057180750213697</v>
      </c>
      <c r="M214" s="91">
        <f>IF(TrRoad_act!M75=0,0,TrRoad_emi!M72/TrRoad_tech!M187)</f>
        <v>1.0514013215426283</v>
      </c>
      <c r="N214" s="91">
        <f>IF(TrRoad_act!N75=0,0,TrRoad_emi!N72/TrRoad_tech!N187)</f>
        <v>1.0519690396083954</v>
      </c>
      <c r="O214" s="91">
        <f>IF(TrRoad_act!O75=0,0,TrRoad_emi!O72/TrRoad_tech!O187)</f>
        <v>1.0761957831234072</v>
      </c>
      <c r="P214" s="91">
        <f>IF(TrRoad_act!P75=0,0,TrRoad_emi!P72/TrRoad_tech!P187)</f>
        <v>1.0783264712189886</v>
      </c>
      <c r="Q214" s="91">
        <f>IF(TrRoad_act!Q75=0,0,TrRoad_emi!Q72/TrRoad_tech!Q187)</f>
        <v>1.0874838336076298</v>
      </c>
      <c r="R214" s="91">
        <f>IF(TrRoad_act!R75=0,0,TrRoad_emi!R72/TrRoad_tech!R187)</f>
        <v>1.0938596718622775</v>
      </c>
      <c r="S214" s="91">
        <f>IF(TrRoad_act!S75=0,0,TrRoad_emi!S72/TrRoad_tech!S187)</f>
        <v>1.0902603770765693</v>
      </c>
      <c r="T214" s="91">
        <f>IF(TrRoad_act!T75=0,0,TrRoad_emi!T72/TrRoad_tech!T187)</f>
        <v>1.0945488036628119</v>
      </c>
      <c r="U214" s="91">
        <f>IF(TrRoad_act!U75=0,0,TrRoad_emi!U72/TrRoad_tech!U187)</f>
        <v>1.0999436627394321</v>
      </c>
      <c r="V214" s="91">
        <f>IF(TrRoad_act!V75=0,0,TrRoad_emi!V72/TrRoad_tech!V187)</f>
        <v>1.1020921347957437</v>
      </c>
      <c r="W214" s="91">
        <f>IF(TrRoad_act!W75=0,0,TrRoad_emi!W72/TrRoad_tech!W187)</f>
        <v>1.0987395280308228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1.1709870333777215</v>
      </c>
      <c r="C215" s="91">
        <f>IF(TrRoad_act!C76=0,0,TrRoad_emi!C73/TrRoad_tech!C188)</f>
        <v>1.183848243636282</v>
      </c>
      <c r="D215" s="91">
        <f>IF(TrRoad_act!D76=0,0,TrRoad_emi!D73/TrRoad_tech!D188)</f>
        <v>1.1846714120117749</v>
      </c>
      <c r="E215" s="91">
        <f>IF(TrRoad_act!E76=0,0,TrRoad_emi!E73/TrRoad_tech!E188)</f>
        <v>1.1908597577993634</v>
      </c>
      <c r="F215" s="91">
        <f>IF(TrRoad_act!F76=0,0,TrRoad_emi!F73/TrRoad_tech!F188)</f>
        <v>1.2062035752302684</v>
      </c>
      <c r="G215" s="91">
        <f>IF(TrRoad_act!G76=0,0,TrRoad_emi!G73/TrRoad_tech!G188)</f>
        <v>1.1802091886977002</v>
      </c>
      <c r="H215" s="91">
        <f>IF(TrRoad_act!H76=0,0,TrRoad_emi!H73/TrRoad_tech!H188)</f>
        <v>1.2040012217684075</v>
      </c>
      <c r="I215" s="91">
        <f>IF(TrRoad_act!I76=0,0,TrRoad_emi!I73/TrRoad_tech!I188)</f>
        <v>1.2203805023415697</v>
      </c>
      <c r="J215" s="91">
        <f>IF(TrRoad_act!J76=0,0,TrRoad_emi!J73/TrRoad_tech!J188)</f>
        <v>1.1525880952245493</v>
      </c>
      <c r="K215" s="91">
        <f>IF(TrRoad_act!K76=0,0,TrRoad_emi!K73/TrRoad_tech!K188)</f>
        <v>1.1101470610046011</v>
      </c>
      <c r="L215" s="91">
        <f>IF(TrRoad_act!L76=0,0,TrRoad_emi!L73/TrRoad_tech!L188)</f>
        <v>1.1149711953853578</v>
      </c>
      <c r="M215" s="91">
        <f>IF(TrRoad_act!M76=0,0,TrRoad_emi!M73/TrRoad_tech!M188)</f>
        <v>1.0886010219008804</v>
      </c>
      <c r="N215" s="91">
        <f>IF(TrRoad_act!N76=0,0,TrRoad_emi!N73/TrRoad_tech!N188)</f>
        <v>1.0875529556307886</v>
      </c>
      <c r="O215" s="91">
        <f>IF(TrRoad_act!O76=0,0,TrRoad_emi!O73/TrRoad_tech!O188)</f>
        <v>1.0695422109020427</v>
      </c>
      <c r="P215" s="91">
        <f>IF(TrRoad_act!P76=0,0,TrRoad_emi!P73/TrRoad_tech!P188)</f>
        <v>0.93487110387008909</v>
      </c>
      <c r="Q215" s="91">
        <f>IF(TrRoad_act!Q76=0,0,TrRoad_emi!Q73/TrRoad_tech!Q188)</f>
        <v>0.94319100993750449</v>
      </c>
      <c r="R215" s="91">
        <f>IF(TrRoad_act!R76=0,0,TrRoad_emi!R73/TrRoad_tech!R188)</f>
        <v>1.1165464151138258</v>
      </c>
      <c r="S215" s="91">
        <f>IF(TrRoad_act!S76=0,0,TrRoad_emi!S73/TrRoad_tech!S188)</f>
        <v>1.0094483225400463</v>
      </c>
      <c r="T215" s="91">
        <f>IF(TrRoad_act!T76=0,0,TrRoad_emi!T73/TrRoad_tech!T188)</f>
        <v>1.0512742230028012</v>
      </c>
      <c r="U215" s="91">
        <f>IF(TrRoad_act!U76=0,0,TrRoad_emi!U73/TrRoad_tech!U188)</f>
        <v>1.0243477243634826</v>
      </c>
      <c r="V215" s="91">
        <f>IF(TrRoad_act!V76=0,0,TrRoad_emi!V73/TrRoad_tech!V188)</f>
        <v>1.0424794187476094</v>
      </c>
      <c r="W215" s="91">
        <f>IF(TrRoad_act!W76=0,0,TrRoad_emi!W73/TrRoad_tech!W188)</f>
        <v>0.97477984453153865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0</v>
      </c>
      <c r="T216" s="91">
        <f>IF(TrRoad_act!T77=0,0,TrRoad_emi!T74/TrRoad_tech!T189)</f>
        <v>0</v>
      </c>
      <c r="U216" s="91">
        <f>IF(TrRoad_act!U77=0,0,TrRoad_emi!U74/TrRoad_tech!U189)</f>
        <v>0</v>
      </c>
      <c r="V216" s="91">
        <f>IF(TrRoad_act!V77=0,0,TrRoad_emi!V74/TrRoad_tech!V189)</f>
        <v>0</v>
      </c>
      <c r="W216" s="91">
        <f>IF(TrRoad_act!W77=0,0,TrRoad_emi!W74/TrRoad_tech!W189)</f>
        <v>0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1.1040000000061807</v>
      </c>
      <c r="D217" s="91">
        <f>IF(TrRoad_act!D78=0,0,TrRoad_emi!D75/TrRoad_tech!D190)</f>
        <v>1.1040000000061809</v>
      </c>
      <c r="E217" s="91">
        <f>IF(TrRoad_act!E78=0,0,TrRoad_emi!E75/TrRoad_tech!E190)</f>
        <v>1.1040000000061809</v>
      </c>
      <c r="F217" s="91">
        <f>IF(TrRoad_act!F78=0,0,TrRoad_emi!F75/TrRoad_tech!F190)</f>
        <v>1.1040000000061814</v>
      </c>
      <c r="G217" s="91">
        <f>IF(TrRoad_act!G78=0,0,TrRoad_emi!G75/TrRoad_tech!G190)</f>
        <v>1.112148795746289</v>
      </c>
      <c r="H217" s="91">
        <f>IF(TrRoad_act!H78=0,0,TrRoad_emi!H75/TrRoad_tech!H190)</f>
        <v>1.1121487957462892</v>
      </c>
      <c r="I217" s="91">
        <f>IF(TrRoad_act!I78=0,0,TrRoad_emi!I75/TrRoad_tech!I190)</f>
        <v>1.1417560431963776</v>
      </c>
      <c r="J217" s="91">
        <f>IF(TrRoad_act!J78=0,0,TrRoad_emi!J75/TrRoad_tech!J190)</f>
        <v>1.3466407429031102</v>
      </c>
      <c r="K217" s="91">
        <f>IF(TrRoad_act!K78=0,0,TrRoad_emi!K75/TrRoad_tech!K190)</f>
        <v>1.5545257716707437</v>
      </c>
      <c r="L217" s="91">
        <f>IF(TrRoad_act!L78=0,0,TrRoad_emi!L75/TrRoad_tech!L190)</f>
        <v>1.5884793274450593</v>
      </c>
      <c r="M217" s="91">
        <f>IF(TrRoad_act!M78=0,0,TrRoad_emi!M75/TrRoad_tech!M190)</f>
        <v>1.1692751774753571</v>
      </c>
      <c r="N217" s="91">
        <f>IF(TrRoad_act!N78=0,0,TrRoad_emi!N75/TrRoad_tech!N190)</f>
        <v>1.7108547971415453</v>
      </c>
      <c r="O217" s="91">
        <f>IF(TrRoad_act!O78=0,0,TrRoad_emi!O75/TrRoad_tech!O190)</f>
        <v>1.1884445467926497</v>
      </c>
      <c r="P217" s="91">
        <f>IF(TrRoad_act!P78=0,0,TrRoad_emi!P75/TrRoad_tech!P190)</f>
        <v>1.1934812713619434</v>
      </c>
      <c r="Q217" s="91">
        <f>IF(TrRoad_act!Q78=0,0,TrRoad_emi!Q75/TrRoad_tech!Q190)</f>
        <v>1.1895698604233793</v>
      </c>
      <c r="R217" s="91">
        <f>IF(TrRoad_act!R78=0,0,TrRoad_emi!R75/TrRoad_tech!R190)</f>
        <v>1.3587377485725654</v>
      </c>
      <c r="S217" s="91">
        <f>IF(TrRoad_act!S78=0,0,TrRoad_emi!S75/TrRoad_tech!S190)</f>
        <v>1.3942520832785488</v>
      </c>
      <c r="T217" s="91">
        <f>IF(TrRoad_act!T78=0,0,TrRoad_emi!T75/TrRoad_tech!T190)</f>
        <v>1.5083275880244977</v>
      </c>
      <c r="U217" s="91">
        <f>IF(TrRoad_act!U78=0,0,TrRoad_emi!U75/TrRoad_tech!U190)</f>
        <v>1.8174926811305598</v>
      </c>
      <c r="V217" s="91">
        <f>IF(TrRoad_act!V78=0,0,TrRoad_emi!V75/TrRoad_tech!V190)</f>
        <v>2.0765771087870522</v>
      </c>
      <c r="W217" s="91">
        <f>IF(TrRoad_act!W78=0,0,TrRoad_emi!W75/TrRoad_tech!W190)</f>
        <v>2.4016117045532437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1.2220441948372529</v>
      </c>
      <c r="C219" s="151">
        <f>IF(TrRoad_act!C80=0,0,TrRoad_emi!C77/TrRoad_tech!C192)</f>
        <v>1.2428618075189213</v>
      </c>
      <c r="D219" s="151">
        <f>IF(TrRoad_act!D80=0,0,TrRoad_emi!D77/TrRoad_tech!D192)</f>
        <v>1.2449352900751562</v>
      </c>
      <c r="E219" s="151">
        <f>IF(TrRoad_act!E80=0,0,TrRoad_emi!E77/TrRoad_tech!E192)</f>
        <v>1.2569811222912715</v>
      </c>
      <c r="F219" s="151">
        <f>IF(TrRoad_act!F80=0,0,TrRoad_emi!F77/TrRoad_tech!F192)</f>
        <v>1.2853729786426302</v>
      </c>
      <c r="G219" s="151">
        <f>IF(TrRoad_act!G80=0,0,TrRoad_emi!G77/TrRoad_tech!G192)</f>
        <v>1.2440278446383648</v>
      </c>
      <c r="H219" s="151">
        <f>IF(TrRoad_act!H80=0,0,TrRoad_emi!H77/TrRoad_tech!H192)</f>
        <v>1.2892328447936869</v>
      </c>
      <c r="I219" s="151">
        <f>IF(TrRoad_act!I80=0,0,TrRoad_emi!I77/TrRoad_tech!I192)</f>
        <v>1.3222944732850335</v>
      </c>
      <c r="J219" s="151">
        <f>IF(TrRoad_act!J80=0,0,TrRoad_emi!J77/TrRoad_tech!J192)</f>
        <v>1.2103490583834802</v>
      </c>
      <c r="K219" s="151">
        <f>IF(TrRoad_act!K80=0,0,TrRoad_emi!K77/TrRoad_tech!K192)</f>
        <v>1.1556779550120402</v>
      </c>
      <c r="L219" s="151">
        <f>IF(TrRoad_act!L80=0,0,TrRoad_emi!L77/TrRoad_tech!L192)</f>
        <v>1.1671129568644805</v>
      </c>
      <c r="M219" s="151">
        <f>IF(TrRoad_act!M80=0,0,TrRoad_emi!M77/TrRoad_tech!M192)</f>
        <v>1.1345863434062422</v>
      </c>
      <c r="N219" s="151">
        <f>IF(TrRoad_act!N80=0,0,TrRoad_emi!N77/TrRoad_tech!N192)</f>
        <v>1.1288590818589639</v>
      </c>
      <c r="O219" s="151">
        <f>IF(TrRoad_act!O80=0,0,TrRoad_emi!O77/TrRoad_tech!O192)</f>
        <v>1.1105087554256043</v>
      </c>
      <c r="P219" s="151">
        <f>IF(TrRoad_act!P80=0,0,TrRoad_emi!P77/TrRoad_tech!P192)</f>
        <v>0.96197660399264329</v>
      </c>
      <c r="Q219" s="151">
        <f>IF(TrRoad_act!Q80=0,0,TrRoad_emi!Q77/TrRoad_tech!Q192)</f>
        <v>0.9735088420837742</v>
      </c>
      <c r="R219" s="151">
        <f>IF(TrRoad_act!R80=0,0,TrRoad_emi!R77/TrRoad_tech!R192)</f>
        <v>1.162459669716075</v>
      </c>
      <c r="S219" s="151">
        <f>IF(TrRoad_act!S80=0,0,TrRoad_emi!S77/TrRoad_tech!S192)</f>
        <v>1.0239360056191822</v>
      </c>
      <c r="T219" s="151">
        <f>IF(TrRoad_act!T80=0,0,TrRoad_emi!T77/TrRoad_tech!T192)</f>
        <v>1.0861527917266007</v>
      </c>
      <c r="U219" s="151">
        <f>IF(TrRoad_act!U80=0,0,TrRoad_emi!U77/TrRoad_tech!U192)</f>
        <v>1.0455732390720769</v>
      </c>
      <c r="V219" s="151">
        <f>IF(TrRoad_act!V80=0,0,TrRoad_emi!V77/TrRoad_tech!V192)</f>
        <v>1.0606978569649037</v>
      </c>
      <c r="W219" s="151">
        <f>IF(TrRoad_act!W80=0,0,TrRoad_emi!W77/TrRoad_tech!W192)</f>
        <v>1.0440164416181399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1.2894017353303708</v>
      </c>
      <c r="C220" s="93">
        <f>IF(TrRoad_act!C81=0,0,TrRoad_emi!C78/TrRoad_tech!C193)</f>
        <v>1.3093183579337415</v>
      </c>
      <c r="D220" s="93">
        <f>IF(TrRoad_act!D81=0,0,TrRoad_emi!D78/TrRoad_tech!D193)</f>
        <v>1.3112814629613072</v>
      </c>
      <c r="E220" s="93">
        <f>IF(TrRoad_act!E81=0,0,TrRoad_emi!E78/TrRoad_tech!E193)</f>
        <v>1.322827200659964</v>
      </c>
      <c r="F220" s="93">
        <f>IF(TrRoad_act!F81=0,0,TrRoad_emi!F78/TrRoad_tech!F193)</f>
        <v>1.3495657018261651</v>
      </c>
      <c r="G220" s="93">
        <f>IF(TrRoad_act!G81=0,0,TrRoad_emi!G78/TrRoad_tech!G193)</f>
        <v>1.3102003808290283</v>
      </c>
      <c r="H220" s="93">
        <f>IF(TrRoad_act!H81=0,0,TrRoad_emi!H78/TrRoad_tech!H193)</f>
        <v>1.3531040427252146</v>
      </c>
      <c r="I220" s="93">
        <f>IF(TrRoad_act!I81=0,0,TrRoad_emi!I78/TrRoad_tech!I193)</f>
        <v>1.3849976432394671</v>
      </c>
      <c r="J220" s="93">
        <f>IF(TrRoad_act!J81=0,0,TrRoad_emi!J78/TrRoad_tech!J193)</f>
        <v>1.2779778820211845</v>
      </c>
      <c r="K220" s="93">
        <f>IF(TrRoad_act!K81=0,0,TrRoad_emi!K78/TrRoad_tech!K193)</f>
        <v>1.222970654766899</v>
      </c>
      <c r="L220" s="93">
        <f>IF(TrRoad_act!L81=0,0,TrRoad_emi!L78/TrRoad_tech!L193)</f>
        <v>1.2337351473983833</v>
      </c>
      <c r="M220" s="93">
        <f>IF(TrRoad_act!M81=0,0,TrRoad_emi!M78/TrRoad_tech!M193)</f>
        <v>1.2033741029504901</v>
      </c>
      <c r="N220" s="93">
        <f>IF(TrRoad_act!N81=0,0,TrRoad_emi!N78/TrRoad_tech!N193)</f>
        <v>1.196724806953726</v>
      </c>
      <c r="O220" s="93">
        <f>IF(TrRoad_act!O81=0,0,TrRoad_emi!O78/TrRoad_tech!O193)</f>
        <v>1.1784894723658872</v>
      </c>
      <c r="P220" s="93">
        <f>IF(TrRoad_act!P81=0,0,TrRoad_emi!P78/TrRoad_tech!P193)</f>
        <v>1.0208877050487373</v>
      </c>
      <c r="Q220" s="93">
        <f>IF(TrRoad_act!Q81=0,0,TrRoad_emi!Q78/TrRoad_tech!Q193)</f>
        <v>1.0301809941346076</v>
      </c>
      <c r="R220" s="93">
        <f>IF(TrRoad_act!R81=0,0,TrRoad_emi!R78/TrRoad_tech!R193)</f>
        <v>1.2314680216037104</v>
      </c>
      <c r="S220" s="93">
        <f>IF(TrRoad_act!S81=0,0,TrRoad_emi!S78/TrRoad_tech!S193)</f>
        <v>1.0908037295897386</v>
      </c>
      <c r="T220" s="93">
        <f>IF(TrRoad_act!T81=0,0,TrRoad_emi!T78/TrRoad_tech!T193)</f>
        <v>1.1513012261401507</v>
      </c>
      <c r="U220" s="93">
        <f>IF(TrRoad_act!U81=0,0,TrRoad_emi!U78/TrRoad_tech!U193)</f>
        <v>1.1121979501731176</v>
      </c>
      <c r="V220" s="93">
        <f>IF(TrRoad_act!V81=0,0,TrRoad_emi!V78/TrRoad_tech!V193)</f>
        <v>1.1278219152369315</v>
      </c>
      <c r="W220" s="93">
        <f>IF(TrRoad_act!W81=0,0,TrRoad_emi!W78/TrRoad_tech!W193)</f>
        <v>1.0972064127340437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1.7306993500569274</v>
      </c>
      <c r="C221" s="94">
        <f>IF(TrRoad_act!C82=0,0,TrRoad_emi!C79/TrRoad_tech!C194)</f>
        <v>1.8119177148256156</v>
      </c>
      <c r="D221" s="94">
        <f>IF(TrRoad_act!D82=0,0,TrRoad_emi!D79/TrRoad_tech!D194)</f>
        <v>1.8075710786417767</v>
      </c>
      <c r="E221" s="94">
        <f>IF(TrRoad_act!E82=0,0,TrRoad_emi!E79/TrRoad_tech!E194)</f>
        <v>1.8509560027913994</v>
      </c>
      <c r="F221" s="94">
        <f>IF(TrRoad_act!F82=0,0,TrRoad_emi!F79/TrRoad_tech!F194)</f>
        <v>1.8875782302110089</v>
      </c>
      <c r="G221" s="94">
        <f>IF(TrRoad_act!G82=0,0,TrRoad_emi!G79/TrRoad_tech!G194)</f>
        <v>1.7147179838013107</v>
      </c>
      <c r="H221" s="94">
        <f>IF(TrRoad_act!H82=0,0,TrRoad_emi!H79/TrRoad_tech!H194)</f>
        <v>1.8356127080004707</v>
      </c>
      <c r="I221" s="94">
        <f>IF(TrRoad_act!I82=0,0,TrRoad_emi!I79/TrRoad_tech!I194)</f>
        <v>1.9316457858120712</v>
      </c>
      <c r="J221" s="94">
        <f>IF(TrRoad_act!J82=0,0,TrRoad_emi!J79/TrRoad_tech!J194)</f>
        <v>1.5198959264032257</v>
      </c>
      <c r="K221" s="94">
        <f>IF(TrRoad_act!K82=0,0,TrRoad_emi!K79/TrRoad_tech!K194)</f>
        <v>1.3505582506597533</v>
      </c>
      <c r="L221" s="94">
        <f>IF(TrRoad_act!L82=0,0,TrRoad_emi!L79/TrRoad_tech!L194)</f>
        <v>1.3652072533408282</v>
      </c>
      <c r="M221" s="94">
        <f>IF(TrRoad_act!M82=0,0,TrRoad_emi!M79/TrRoad_tech!M194)</f>
        <v>1.3322959577011335</v>
      </c>
      <c r="N221" s="94">
        <f>IF(TrRoad_act!N82=0,0,TrRoad_emi!N79/TrRoad_tech!N194)</f>
        <v>1.2563877671430388</v>
      </c>
      <c r="O221" s="94">
        <f>IF(TrRoad_act!O82=0,0,TrRoad_emi!O79/TrRoad_tech!O194)</f>
        <v>1.2285443783306116</v>
      </c>
      <c r="P221" s="94">
        <f>IF(TrRoad_act!P82=0,0,TrRoad_emi!P79/TrRoad_tech!P194)</f>
        <v>1.015668716448846</v>
      </c>
      <c r="Q221" s="94">
        <f>IF(TrRoad_act!Q82=0,0,TrRoad_emi!Q79/TrRoad_tech!Q194)</f>
        <v>1.0408806799677579</v>
      </c>
      <c r="R221" s="94">
        <f>IF(TrRoad_act!R82=0,0,TrRoad_emi!R79/TrRoad_tech!R194)</f>
        <v>1.2728945012186228</v>
      </c>
      <c r="S221" s="94">
        <f>IF(TrRoad_act!S82=0,0,TrRoad_emi!S79/TrRoad_tech!S194)</f>
        <v>0.99937248352998675</v>
      </c>
      <c r="T221" s="94">
        <f>IF(TrRoad_act!T82=0,0,TrRoad_emi!T79/TrRoad_tech!T194)</f>
        <v>1.1458614589192835</v>
      </c>
      <c r="U221" s="94">
        <f>IF(TrRoad_act!U82=0,0,TrRoad_emi!U79/TrRoad_tech!U194)</f>
        <v>1.0406596705474578</v>
      </c>
      <c r="V221" s="94">
        <f>IF(TrRoad_act!V82=0,0,TrRoad_emi!V79/TrRoad_tech!V194)</f>
        <v>1.0502660717439922</v>
      </c>
      <c r="W221" s="94">
        <f>IF(TrRoad_act!W82=0,0,TrRoad_emi!W79/TrRoad_tech!W194)</f>
        <v>1.2176290208086085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106.58308222318931</v>
      </c>
      <c r="C225" s="152">
        <v>106.58308222318931</v>
      </c>
      <c r="D225" s="152">
        <v>106.58308222318931</v>
      </c>
      <c r="E225" s="152">
        <v>105.18067324656842</v>
      </c>
      <c r="F225" s="152">
        <v>106.58308222318932</v>
      </c>
      <c r="G225" s="152">
        <v>106.1665667571329</v>
      </c>
      <c r="H225" s="152">
        <v>105.18067324656843</v>
      </c>
      <c r="I225" s="152">
        <v>105.43310686236019</v>
      </c>
      <c r="J225" s="152">
        <v>98.168628363463867</v>
      </c>
      <c r="K225" s="152">
        <v>93.961401433601125</v>
      </c>
      <c r="L225" s="152">
        <v>89.754174503738398</v>
      </c>
      <c r="M225" s="152">
        <v>86.491181049822004</v>
      </c>
      <c r="N225" s="152">
        <v>83.407199284542571</v>
      </c>
      <c r="O225" s="152">
        <v>78.743945070620995</v>
      </c>
      <c r="P225" s="152">
        <v>76.141631739829194</v>
      </c>
      <c r="Q225" s="152">
        <v>73.420956407639395</v>
      </c>
      <c r="R225" s="152">
        <v>71.494859181125733</v>
      </c>
      <c r="S225" s="152">
        <v>69.953981399914824</v>
      </c>
      <c r="T225" s="152">
        <v>68.721279174946076</v>
      </c>
      <c r="U225" s="152">
        <v>67.735117394971098</v>
      </c>
      <c r="V225" s="152">
        <v>66.94618797099109</v>
      </c>
      <c r="W225" s="152">
        <v>66.31504443180711</v>
      </c>
      <c r="DA225" s="174" t="s">
        <v>931</v>
      </c>
    </row>
    <row r="226" spans="1:105" ht="11.45" customHeight="1" x14ac:dyDescent="0.25">
      <c r="A226" s="109" t="s">
        <v>20</v>
      </c>
      <c r="B226" s="116">
        <v>188.31069522256522</v>
      </c>
      <c r="C226" s="116">
        <v>188.42084725078422</v>
      </c>
      <c r="D226" s="116">
        <v>188.50255461323226</v>
      </c>
      <c r="E226" s="116">
        <v>187.73827254827549</v>
      </c>
      <c r="F226" s="116">
        <v>187.4680248781541</v>
      </c>
      <c r="G226" s="116">
        <v>187.53273613375205</v>
      </c>
      <c r="H226" s="116">
        <v>188.96752645207204</v>
      </c>
      <c r="I226" s="116">
        <v>189.87346591555195</v>
      </c>
      <c r="J226" s="116">
        <v>188.1368641104674</v>
      </c>
      <c r="K226" s="116">
        <v>186.50637682860037</v>
      </c>
      <c r="L226" s="116">
        <v>182.74155329081509</v>
      </c>
      <c r="M226" s="116">
        <v>176.44472962638903</v>
      </c>
      <c r="N226" s="116">
        <v>170.11062490696625</v>
      </c>
      <c r="O226" s="116">
        <v>161.04329807777719</v>
      </c>
      <c r="P226" s="116">
        <v>155.86292173970457</v>
      </c>
      <c r="Q226" s="116">
        <v>150.34148424743114</v>
      </c>
      <c r="R226" s="116">
        <v>147.14357772806278</v>
      </c>
      <c r="S226" s="116">
        <v>145.18192312828242</v>
      </c>
      <c r="T226" s="116">
        <v>144.24199480936622</v>
      </c>
      <c r="U226" s="116">
        <v>142.2049982391903</v>
      </c>
      <c r="V226" s="116">
        <v>130.74330104656931</v>
      </c>
      <c r="W226" s="116">
        <v>116.20262313049062</v>
      </c>
      <c r="DA226" s="176" t="s">
        <v>932</v>
      </c>
    </row>
    <row r="227" spans="1:105" ht="11.45" customHeight="1" x14ac:dyDescent="0.25">
      <c r="A227" s="111" t="s">
        <v>110</v>
      </c>
      <c r="B227" s="87">
        <v>187.18056297242271</v>
      </c>
      <c r="C227" s="87">
        <v>186.34223217930193</v>
      </c>
      <c r="D227" s="87">
        <v>185.4151563973154</v>
      </c>
      <c r="E227" s="87">
        <v>184.49269293265218</v>
      </c>
      <c r="F227" s="87">
        <v>183.57481883845986</v>
      </c>
      <c r="G227" s="87">
        <v>182.66151128204967</v>
      </c>
      <c r="H227" s="87">
        <v>181.75274754432803</v>
      </c>
      <c r="I227" s="87">
        <v>180.84850501923188</v>
      </c>
      <c r="J227" s="87">
        <v>179.94876121316608</v>
      </c>
      <c r="K227" s="87">
        <v>179.0534937444439</v>
      </c>
      <c r="L227" s="87">
        <v>178.16268034273023</v>
      </c>
      <c r="M227" s="87">
        <v>171.56500590177515</v>
      </c>
      <c r="N227" s="87">
        <v>165.65682648702585</v>
      </c>
      <c r="O227" s="87">
        <v>156.53223691611996</v>
      </c>
      <c r="P227" s="87">
        <v>151.59280776378307</v>
      </c>
      <c r="Q227" s="87">
        <v>146.39960679528531</v>
      </c>
      <c r="R227" s="87">
        <v>143.19151213987476</v>
      </c>
      <c r="S227" s="87">
        <v>141.30372804047491</v>
      </c>
      <c r="T227" s="87">
        <v>141.1705568348336</v>
      </c>
      <c r="U227" s="87">
        <v>143.80767921316439</v>
      </c>
      <c r="V227" s="87">
        <v>138.09376655482961</v>
      </c>
      <c r="W227" s="87">
        <v>129.9097125289326</v>
      </c>
      <c r="DA227" s="171" t="s">
        <v>933</v>
      </c>
    </row>
    <row r="228" spans="1:105" ht="11.45" customHeight="1" x14ac:dyDescent="0.25">
      <c r="A228" s="111" t="s">
        <v>111</v>
      </c>
      <c r="B228" s="87">
        <v>195.14345641362044</v>
      </c>
      <c r="C228" s="87">
        <v>200.98812014276319</v>
      </c>
      <c r="D228" s="87">
        <v>207.68772414752198</v>
      </c>
      <c r="E228" s="87">
        <v>207.68772414752198</v>
      </c>
      <c r="F228" s="87">
        <v>211.03752614990137</v>
      </c>
      <c r="G228" s="87">
        <v>215.8478418253182</v>
      </c>
      <c r="H228" s="87">
        <v>221.08693215703954</v>
      </c>
      <c r="I228" s="87">
        <v>218.94640867751914</v>
      </c>
      <c r="J228" s="87">
        <v>200.98812014276322</v>
      </c>
      <c r="K228" s="87">
        <v>200.98812014276322</v>
      </c>
      <c r="L228" s="87">
        <v>190.93871413562636</v>
      </c>
      <c r="M228" s="87">
        <v>185.37706488096401</v>
      </c>
      <c r="N228" s="87">
        <v>179.8322760143526</v>
      </c>
      <c r="O228" s="87">
        <v>171.53336507171051</v>
      </c>
      <c r="P228" s="87">
        <v>166.2713594331025</v>
      </c>
      <c r="Q228" s="87">
        <v>161.21368082859138</v>
      </c>
      <c r="R228" s="87">
        <v>158.35103089005764</v>
      </c>
      <c r="S228" s="87">
        <v>160.6120937741868</v>
      </c>
      <c r="T228" s="87">
        <v>164.77655986509271</v>
      </c>
      <c r="U228" s="87">
        <v>163.10849377123441</v>
      </c>
      <c r="V228" s="87">
        <v>157.29908273064029</v>
      </c>
      <c r="W228" s="87">
        <v>152.87715487986969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0</v>
      </c>
      <c r="L229" s="87">
        <v>0</v>
      </c>
      <c r="M229" s="87">
        <v>0</v>
      </c>
      <c r="N229" s="87">
        <v>0</v>
      </c>
      <c r="O229" s="87">
        <v>0</v>
      </c>
      <c r="P229" s="87">
        <v>0</v>
      </c>
      <c r="Q229" s="87">
        <v>0</v>
      </c>
      <c r="R229" s="87">
        <v>0</v>
      </c>
      <c r="S229" s="87">
        <v>0</v>
      </c>
      <c r="T229" s="87">
        <v>0</v>
      </c>
      <c r="U229" s="87">
        <v>0</v>
      </c>
      <c r="V229" s="87">
        <v>0</v>
      </c>
      <c r="W229" s="87">
        <v>0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194.75036511461934</v>
      </c>
      <c r="I230" s="87">
        <v>195.21776599089449</v>
      </c>
      <c r="J230" s="87">
        <v>181.76700744031137</v>
      </c>
      <c r="K230" s="87">
        <v>173.97699283572661</v>
      </c>
      <c r="L230" s="87">
        <v>166.18697823114303</v>
      </c>
      <c r="M230" s="87">
        <v>189.75613108928874</v>
      </c>
      <c r="N230" s="87">
        <v>183.94232622187172</v>
      </c>
      <c r="O230" s="87">
        <v>141.24608624855614</v>
      </c>
      <c r="P230" s="87">
        <v>118.53961595425007</v>
      </c>
      <c r="Q230" s="87">
        <v>114.51636632994862</v>
      </c>
      <c r="R230" s="87">
        <v>118.48043695755766</v>
      </c>
      <c r="S230" s="87">
        <v>119.84282439523707</v>
      </c>
      <c r="T230" s="87">
        <v>126.78947368421049</v>
      </c>
      <c r="U230" s="87">
        <v>114.7121354656632</v>
      </c>
      <c r="V230" s="87">
        <v>112.7409948542024</v>
      </c>
      <c r="W230" s="87">
        <v>105.85132158590309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53.846562098638479</v>
      </c>
      <c r="O231" s="87">
        <v>57.662317991150211</v>
      </c>
      <c r="P231" s="87">
        <v>60.868190023435432</v>
      </c>
      <c r="Q231" s="87">
        <v>68.38624485586827</v>
      </c>
      <c r="R231" s="87">
        <v>67.612996062708646</v>
      </c>
      <c r="S231" s="87">
        <v>65.301038006792879</v>
      </c>
      <c r="T231" s="87">
        <v>65.358280254777071</v>
      </c>
      <c r="U231" s="87">
        <v>52.134557654953213</v>
      </c>
      <c r="V231" s="87">
        <v>45.946125681835163</v>
      </c>
      <c r="W231" s="87">
        <v>38.87702481033422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1472.4229356065716</v>
      </c>
      <c r="C233" s="116">
        <v>1462.7629775875603</v>
      </c>
      <c r="D233" s="116">
        <v>1438.1545711766464</v>
      </c>
      <c r="E233" s="116">
        <v>1463.705904883456</v>
      </c>
      <c r="F233" s="116">
        <v>1469.6888044007294</v>
      </c>
      <c r="G233" s="116">
        <v>1464.4094725022142</v>
      </c>
      <c r="H233" s="116">
        <v>1437.7440975961681</v>
      </c>
      <c r="I233" s="116">
        <v>1462.3503025354521</v>
      </c>
      <c r="J233" s="116">
        <v>1441.4680241715744</v>
      </c>
      <c r="K233" s="116">
        <v>1421.3251120632092</v>
      </c>
      <c r="L233" s="116">
        <v>1409.6421471798899</v>
      </c>
      <c r="M233" s="116">
        <v>1397.2130773297715</v>
      </c>
      <c r="N233" s="116">
        <v>1378.6990910637976</v>
      </c>
      <c r="O233" s="116">
        <v>1364.2184626589994</v>
      </c>
      <c r="P233" s="116">
        <v>1352.660897483649</v>
      </c>
      <c r="Q233" s="116">
        <v>1340.2449215971562</v>
      </c>
      <c r="R233" s="116">
        <v>1313.819653119009</v>
      </c>
      <c r="S233" s="116">
        <v>1306.8670522458106</v>
      </c>
      <c r="T233" s="116">
        <v>1306.523978131652</v>
      </c>
      <c r="U233" s="116">
        <v>1254.8738395631242</v>
      </c>
      <c r="V233" s="116">
        <v>1256.0595953634875</v>
      </c>
      <c r="W233" s="116">
        <v>1080.9538202793362</v>
      </c>
      <c r="DA233" s="176" t="s">
        <v>939</v>
      </c>
    </row>
    <row r="234" spans="1:105" ht="11.45" customHeight="1" x14ac:dyDescent="0.25">
      <c r="A234" s="111" t="s">
        <v>110</v>
      </c>
      <c r="B234" s="101">
        <v>444.09617592995545</v>
      </c>
      <c r="C234" s="101">
        <v>444.09617592995545</v>
      </c>
      <c r="D234" s="101">
        <v>0</v>
      </c>
      <c r="E234" s="101">
        <v>0</v>
      </c>
      <c r="F234" s="101">
        <v>444.09617592995556</v>
      </c>
      <c r="G234" s="101">
        <v>442.3606948213872</v>
      </c>
      <c r="H234" s="101">
        <v>0</v>
      </c>
      <c r="I234" s="101">
        <v>439.30461192650085</v>
      </c>
      <c r="J234" s="101">
        <v>0</v>
      </c>
      <c r="K234" s="101">
        <v>391.50583930667148</v>
      </c>
      <c r="L234" s="101">
        <v>373.97572709891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301.59953727228566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1473.6398903517509</v>
      </c>
      <c r="C235" s="101">
        <v>1473.6398903517509</v>
      </c>
      <c r="D235" s="101">
        <v>1473.6398903517509</v>
      </c>
      <c r="E235" s="101">
        <v>1468.7440767625424</v>
      </c>
      <c r="F235" s="101">
        <v>1473.5914169498772</v>
      </c>
      <c r="G235" s="101">
        <v>1472.1475249808691</v>
      </c>
      <c r="H235" s="101">
        <v>1468.7058575879214</v>
      </c>
      <c r="I235" s="101">
        <v>1469.585497750182</v>
      </c>
      <c r="J235" s="101">
        <v>1442.8919958273757</v>
      </c>
      <c r="K235" s="101">
        <v>1426.9190217038251</v>
      </c>
      <c r="L235" s="101">
        <v>1410.3910021474105</v>
      </c>
      <c r="M235" s="101">
        <v>1397.2130773297715</v>
      </c>
      <c r="N235" s="101">
        <v>1384.4158806604685</v>
      </c>
      <c r="O235" s="101">
        <v>1364.2184626589994</v>
      </c>
      <c r="P235" s="101">
        <v>1352.660897483649</v>
      </c>
      <c r="Q235" s="101">
        <v>1340.2449215971562</v>
      </c>
      <c r="R235" s="101">
        <v>1329.1680135526422</v>
      </c>
      <c r="S235" s="101">
        <v>1319.2770921993754</v>
      </c>
      <c r="T235" s="101">
        <v>1310.4382089128374</v>
      </c>
      <c r="U235" s="101">
        <v>1302.5338572610547</v>
      </c>
      <c r="V235" s="101">
        <v>1295.4607134798832</v>
      </c>
      <c r="W235" s="101">
        <v>1289.1277299482717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929.72557184810205</v>
      </c>
      <c r="D237" s="101">
        <v>929.72557184810205</v>
      </c>
      <c r="E237" s="101">
        <v>926.63678257285903</v>
      </c>
      <c r="F237" s="101">
        <v>929.69498977606986</v>
      </c>
      <c r="G237" s="101">
        <v>928.78403229224875</v>
      </c>
      <c r="H237" s="101">
        <v>926.61266993569961</v>
      </c>
      <c r="I237" s="101">
        <v>927.16763859407581</v>
      </c>
      <c r="J237" s="101">
        <v>910.32659655775717</v>
      </c>
      <c r="K237" s="101">
        <v>900.24918035970097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836.87718616387031</v>
      </c>
      <c r="T237" s="101">
        <v>832.48750221606997</v>
      </c>
      <c r="U237" s="101">
        <v>828.55647671799397</v>
      </c>
      <c r="V237" s="101">
        <v>825.03442711839205</v>
      </c>
      <c r="W237" s="101">
        <v>821.87738503044989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242.16864230174994</v>
      </c>
      <c r="C240" s="152">
        <v>249.19530777620534</v>
      </c>
      <c r="D240" s="152">
        <v>257.27110218675733</v>
      </c>
      <c r="E240" s="152">
        <v>258.29090763356191</v>
      </c>
      <c r="F240" s="152">
        <v>262.05088361214558</v>
      </c>
      <c r="G240" s="152">
        <v>265.64277285463368</v>
      </c>
      <c r="H240" s="152">
        <v>271.79947190455999</v>
      </c>
      <c r="I240" s="152">
        <v>269.2740650410239</v>
      </c>
      <c r="J240" s="152">
        <v>246.28997533762055</v>
      </c>
      <c r="K240" s="152">
        <v>245.25325501863941</v>
      </c>
      <c r="L240" s="152">
        <v>233.24100028849824</v>
      </c>
      <c r="M240" s="152">
        <v>226.94983635653892</v>
      </c>
      <c r="N240" s="152">
        <v>220.04813238382408</v>
      </c>
      <c r="O240" s="152">
        <v>207.97921217594055</v>
      </c>
      <c r="P240" s="152">
        <v>205.23026532670696</v>
      </c>
      <c r="Q240" s="152">
        <v>199.58459999399463</v>
      </c>
      <c r="R240" s="152">
        <v>191.04598435815799</v>
      </c>
      <c r="S240" s="152">
        <v>185.20042684349187</v>
      </c>
      <c r="T240" s="152">
        <v>188.26350045915612</v>
      </c>
      <c r="U240" s="152">
        <v>190.11773913392216</v>
      </c>
      <c r="V240" s="152">
        <v>206.87545431363614</v>
      </c>
      <c r="W240" s="152">
        <v>202.99075325065951</v>
      </c>
      <c r="DA240" s="174" t="s">
        <v>945</v>
      </c>
    </row>
    <row r="241" spans="1:105" ht="11.45" customHeight="1" x14ac:dyDescent="0.25">
      <c r="A241" s="111" t="s">
        <v>110</v>
      </c>
      <c r="B241" s="87">
        <v>207.44195778823391</v>
      </c>
      <c r="C241" s="87">
        <v>207.44195778823396</v>
      </c>
      <c r="D241" s="87">
        <v>207.44195778823399</v>
      </c>
      <c r="E241" s="87">
        <v>204.71245834365203</v>
      </c>
      <c r="F241" s="87">
        <v>207.44195778823405</v>
      </c>
      <c r="G241" s="87">
        <v>206.63129645319324</v>
      </c>
      <c r="H241" s="87">
        <v>204.71245834365209</v>
      </c>
      <c r="I241" s="87">
        <v>205.20376824367685</v>
      </c>
      <c r="J241" s="87">
        <v>191.06496112074197</v>
      </c>
      <c r="K241" s="87">
        <v>182.87646278699586</v>
      </c>
      <c r="L241" s="87">
        <v>174.68796445324986</v>
      </c>
      <c r="M241" s="87">
        <v>168.33722157537741</v>
      </c>
      <c r="N241" s="87">
        <v>162.33488797957165</v>
      </c>
      <c r="O241" s="87">
        <v>151.79053281286241</v>
      </c>
      <c r="P241" s="87">
        <v>151.29692423899277</v>
      </c>
      <c r="Q241" s="87">
        <v>137.40615344469055</v>
      </c>
      <c r="R241" s="87">
        <v>136.44764033158029</v>
      </c>
      <c r="S241" s="87">
        <v>140.21743563729754</v>
      </c>
      <c r="T241" s="87">
        <v>150.18756845096328</v>
      </c>
      <c r="U241" s="87">
        <v>133.85135135135141</v>
      </c>
      <c r="V241" s="87">
        <v>138.16949038753671</v>
      </c>
      <c r="W241" s="87">
        <v>136.58778625954201</v>
      </c>
      <c r="DA241" s="171" t="s">
        <v>946</v>
      </c>
    </row>
    <row r="242" spans="1:105" ht="11.45" customHeight="1" x14ac:dyDescent="0.25">
      <c r="A242" s="111" t="s">
        <v>111</v>
      </c>
      <c r="B242" s="87">
        <v>243.51551207547075</v>
      </c>
      <c r="C242" s="87">
        <v>250.80894792552769</v>
      </c>
      <c r="D242" s="87">
        <v>259.16924618971194</v>
      </c>
      <c r="E242" s="87">
        <v>259.16924618971194</v>
      </c>
      <c r="F242" s="87">
        <v>263.34939532180402</v>
      </c>
      <c r="G242" s="87">
        <v>269.35208947548836</v>
      </c>
      <c r="H242" s="87">
        <v>275.88984271808044</v>
      </c>
      <c r="I242" s="87">
        <v>273.21872742267357</v>
      </c>
      <c r="J242" s="87">
        <v>250.80894792552766</v>
      </c>
      <c r="K242" s="87">
        <v>250.80894792552766</v>
      </c>
      <c r="L242" s="87">
        <v>238.2685005292513</v>
      </c>
      <c r="M242" s="87">
        <v>231.32823263032515</v>
      </c>
      <c r="N242" s="87">
        <v>224.40168795590941</v>
      </c>
      <c r="O242" s="87">
        <v>210.91073242380082</v>
      </c>
      <c r="P242" s="87">
        <v>208.51629967459598</v>
      </c>
      <c r="Q242" s="87">
        <v>203.21184050964149</v>
      </c>
      <c r="R242" s="87">
        <v>194.0810996693686</v>
      </c>
      <c r="S242" s="87">
        <v>187.50590985531005</v>
      </c>
      <c r="T242" s="87">
        <v>190.21487470374709</v>
      </c>
      <c r="U242" s="87">
        <v>193.13187208048871</v>
      </c>
      <c r="V242" s="87">
        <v>210.95354190448774</v>
      </c>
      <c r="W242" s="87">
        <v>207.8362672893839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87">
        <v>0</v>
      </c>
      <c r="W243" s="87">
        <v>0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202.39737111872998</v>
      </c>
      <c r="D244" s="87">
        <v>0</v>
      </c>
      <c r="E244" s="87">
        <v>0</v>
      </c>
      <c r="F244" s="87">
        <v>0</v>
      </c>
      <c r="G244" s="87">
        <v>201.60642349738447</v>
      </c>
      <c r="H244" s="87">
        <v>0</v>
      </c>
      <c r="I244" s="87">
        <v>200.21361000929107</v>
      </c>
      <c r="J244" s="87">
        <v>186.41863129356716</v>
      </c>
      <c r="K244" s="87">
        <v>178.42926138098571</v>
      </c>
      <c r="L244" s="87">
        <v>170.43989146840423</v>
      </c>
      <c r="M244" s="87">
        <v>194.61220567678546</v>
      </c>
      <c r="N244" s="87">
        <v>188.64961894966763</v>
      </c>
      <c r="O244" s="87">
        <v>163.23123015695566</v>
      </c>
      <c r="P244" s="87">
        <v>201.02767151910874</v>
      </c>
      <c r="Q244" s="87">
        <v>206.64253717406152</v>
      </c>
      <c r="R244" s="87">
        <v>198.62914091404863</v>
      </c>
      <c r="S244" s="87">
        <v>161.28027856572092</v>
      </c>
      <c r="T244" s="87">
        <v>167.2877859301864</v>
      </c>
      <c r="U244" s="87">
        <v>135.81818181818181</v>
      </c>
      <c r="V244" s="87">
        <v>142.02823738750931</v>
      </c>
      <c r="W244" s="87">
        <v>242.2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842.4598283659559</v>
      </c>
      <c r="D246" s="116">
        <v>837.20345457394228</v>
      </c>
      <c r="E246" s="116">
        <v>830.66775117895838</v>
      </c>
      <c r="F246" s="116">
        <v>825.92956929994477</v>
      </c>
      <c r="G246" s="116">
        <v>815.96904268188416</v>
      </c>
      <c r="H246" s="116">
        <v>807.44199424229976</v>
      </c>
      <c r="I246" s="116">
        <v>796.12211497728254</v>
      </c>
      <c r="J246" s="116">
        <v>784.47691677723446</v>
      </c>
      <c r="K246" s="116">
        <v>770.99109712553468</v>
      </c>
      <c r="L246" s="116">
        <v>762.4206082673669</v>
      </c>
      <c r="M246" s="116">
        <v>743.01372976131574</v>
      </c>
      <c r="N246" s="116">
        <v>730.99898859941186</v>
      </c>
      <c r="O246" s="116">
        <v>711.63549382634335</v>
      </c>
      <c r="P246" s="116">
        <v>698.90831970128772</v>
      </c>
      <c r="Q246" s="116">
        <v>679.9463521575301</v>
      </c>
      <c r="R246" s="116">
        <v>645.29200773057528</v>
      </c>
      <c r="S246" s="116">
        <v>624.16470853633587</v>
      </c>
      <c r="T246" s="116">
        <v>602.75785859361065</v>
      </c>
      <c r="U246" s="116">
        <v>571.71809315326914</v>
      </c>
      <c r="V246" s="116">
        <v>545.98965768517826</v>
      </c>
      <c r="W246" s="116">
        <v>536.72636476063337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785.10834213709643</v>
      </c>
      <c r="D247" s="101">
        <v>780.71497999120288</v>
      </c>
      <c r="E247" s="101">
        <v>775.24442635779178</v>
      </c>
      <c r="F247" s="101">
        <v>768.71058201668211</v>
      </c>
      <c r="G247" s="101">
        <v>761.12993240196556</v>
      </c>
      <c r="H247" s="101">
        <v>752.52144479929927</v>
      </c>
      <c r="I247" s="101">
        <v>742.90645151585124</v>
      </c>
      <c r="J247" s="101">
        <v>732.30852034191855</v>
      </c>
      <c r="K247" s="101">
        <v>720.7533137259112</v>
      </c>
      <c r="L247" s="101">
        <v>708.26843821379009</v>
      </c>
      <c r="M247" s="101">
        <v>694.8832857281941</v>
      </c>
      <c r="N247" s="101">
        <v>680.6288683235282</v>
      </c>
      <c r="O247" s="101">
        <v>665.53764807241021</v>
      </c>
      <c r="P247" s="101">
        <v>649.64336369996022</v>
      </c>
      <c r="Q247" s="101">
        <v>632.98085558265666</v>
      </c>
      <c r="R247" s="101">
        <v>603.49171573183355</v>
      </c>
      <c r="S247" s="101">
        <v>582.84931783625746</v>
      </c>
      <c r="T247" s="101">
        <v>561.17480004590232</v>
      </c>
      <c r="U247" s="101">
        <v>534.68372274657975</v>
      </c>
      <c r="V247" s="101">
        <v>509.03000214025576</v>
      </c>
      <c r="W247" s="101">
        <v>496.66846811778123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901.41112711943799</v>
      </c>
      <c r="L248" s="88">
        <v>888.27077026061306</v>
      </c>
      <c r="M248" s="88">
        <v>0</v>
      </c>
      <c r="N248" s="88">
        <v>859.18006675861636</v>
      </c>
      <c r="O248" s="88">
        <v>0</v>
      </c>
      <c r="P248" s="88">
        <v>826.56776014737818</v>
      </c>
      <c r="Q248" s="88">
        <v>809.03043647828326</v>
      </c>
      <c r="R248" s="88">
        <v>0</v>
      </c>
      <c r="S248" s="88">
        <v>770.5379484876006</v>
      </c>
      <c r="T248" s="88">
        <v>753.89560809162901</v>
      </c>
      <c r="U248" s="88">
        <v>0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3902</v>
      </c>
      <c r="C4" s="28">
        <f t="shared" ref="C4:V4" si="1">SUM(C5,C6,C9)</f>
        <v>3786.6</v>
      </c>
      <c r="D4" s="28">
        <f t="shared" si="1"/>
        <v>3835.5</v>
      </c>
      <c r="E4" s="28">
        <f t="shared" si="1"/>
        <v>3860.3</v>
      </c>
      <c r="F4" s="28">
        <f t="shared" si="1"/>
        <v>3875</v>
      </c>
      <c r="G4" s="28">
        <f t="shared" si="1"/>
        <v>4004</v>
      </c>
      <c r="H4" s="28">
        <f t="shared" si="1"/>
        <v>4064</v>
      </c>
      <c r="I4" s="28">
        <f t="shared" si="1"/>
        <v>4298</v>
      </c>
      <c r="J4" s="28">
        <f t="shared" si="1"/>
        <v>4584</v>
      </c>
      <c r="K4" s="28">
        <f t="shared" si="1"/>
        <v>4408</v>
      </c>
      <c r="L4" s="28">
        <f t="shared" si="1"/>
        <v>4489</v>
      </c>
      <c r="M4" s="28">
        <f t="shared" si="1"/>
        <v>4397</v>
      </c>
      <c r="N4" s="28">
        <f t="shared" si="1"/>
        <v>4561</v>
      </c>
      <c r="O4" s="28">
        <f t="shared" si="1"/>
        <v>4578</v>
      </c>
      <c r="P4" s="28">
        <f t="shared" si="1"/>
        <v>4387.6439267886853</v>
      </c>
      <c r="Q4" s="28">
        <f t="shared" si="1"/>
        <v>4629.8277870216307</v>
      </c>
      <c r="R4" s="28">
        <f t="shared" si="1"/>
        <v>4395.1838602329453</v>
      </c>
      <c r="S4" s="28">
        <f t="shared" si="1"/>
        <v>4828.7579034941764</v>
      </c>
      <c r="T4" s="28">
        <f t="shared" si="1"/>
        <v>5189.7212978369389</v>
      </c>
      <c r="U4" s="28">
        <f t="shared" si="1"/>
        <v>5576.5374376039936</v>
      </c>
      <c r="V4" s="28">
        <f t="shared" si="1"/>
        <v>3381.6777943933107</v>
      </c>
      <c r="W4" s="28">
        <f t="shared" ref="W4" si="2">SUM(W5,W6,W9)</f>
        <v>3398.5980538764506</v>
      </c>
      <c r="DA4" s="173" t="s">
        <v>375</v>
      </c>
    </row>
    <row r="5" spans="1:105" ht="11.45" customHeight="1" x14ac:dyDescent="0.25">
      <c r="A5" s="107" t="s">
        <v>23</v>
      </c>
      <c r="B5" s="108">
        <v>497</v>
      </c>
      <c r="C5" s="108">
        <v>504.59999999999991</v>
      </c>
      <c r="D5" s="108">
        <v>517.5</v>
      </c>
      <c r="E5" s="108">
        <v>522.29999999999995</v>
      </c>
      <c r="F5" s="108">
        <v>523</v>
      </c>
      <c r="G5" s="108">
        <v>526</v>
      </c>
      <c r="H5" s="108">
        <v>524</v>
      </c>
      <c r="I5" s="108">
        <v>520</v>
      </c>
      <c r="J5" s="108">
        <v>532</v>
      </c>
      <c r="K5" s="108">
        <v>532</v>
      </c>
      <c r="L5" s="108">
        <v>530</v>
      </c>
      <c r="M5" s="108">
        <v>515</v>
      </c>
      <c r="N5" s="108">
        <v>526</v>
      </c>
      <c r="O5" s="108">
        <v>525</v>
      </c>
      <c r="P5" s="108">
        <v>513.64392678868558</v>
      </c>
      <c r="Q5" s="108">
        <v>515.82778702163057</v>
      </c>
      <c r="R5" s="108">
        <v>527.18386023294511</v>
      </c>
      <c r="S5" s="108">
        <v>557.75790349417639</v>
      </c>
      <c r="T5" s="108">
        <v>654.72129783693856</v>
      </c>
      <c r="U5" s="108">
        <v>652.53743760399334</v>
      </c>
      <c r="V5" s="108">
        <v>561.67779439331071</v>
      </c>
      <c r="W5" s="108">
        <v>495.59805387645059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3334</v>
      </c>
      <c r="C6" s="110">
        <f t="shared" ref="C6:V6" si="4">SUM(C7:C8)</f>
        <v>3222</v>
      </c>
      <c r="D6" s="110">
        <f t="shared" si="4"/>
        <v>3183</v>
      </c>
      <c r="E6" s="110">
        <f t="shared" si="4"/>
        <v>3138</v>
      </c>
      <c r="F6" s="110">
        <f t="shared" si="4"/>
        <v>3190</v>
      </c>
      <c r="G6" s="110">
        <f t="shared" si="4"/>
        <v>3167</v>
      </c>
      <c r="H6" s="110">
        <f t="shared" si="4"/>
        <v>3105</v>
      </c>
      <c r="I6" s="110">
        <f t="shared" si="4"/>
        <v>3198</v>
      </c>
      <c r="J6" s="110">
        <f t="shared" si="4"/>
        <v>3429.9999999999995</v>
      </c>
      <c r="K6" s="110">
        <f t="shared" si="4"/>
        <v>3272</v>
      </c>
      <c r="L6" s="110">
        <f t="shared" si="4"/>
        <v>3308</v>
      </c>
      <c r="M6" s="110">
        <f t="shared" si="4"/>
        <v>3173</v>
      </c>
      <c r="N6" s="110">
        <f t="shared" si="4"/>
        <v>3327</v>
      </c>
      <c r="O6" s="110">
        <f t="shared" si="4"/>
        <v>3296</v>
      </c>
      <c r="P6" s="110">
        <f t="shared" si="4"/>
        <v>3223</v>
      </c>
      <c r="Q6" s="110">
        <f t="shared" si="4"/>
        <v>3543</v>
      </c>
      <c r="R6" s="110">
        <f t="shared" si="4"/>
        <v>3255</v>
      </c>
      <c r="S6" s="110">
        <f t="shared" si="4"/>
        <v>3593</v>
      </c>
      <c r="T6" s="110">
        <f t="shared" si="4"/>
        <v>3740</v>
      </c>
      <c r="U6" s="110">
        <f t="shared" si="4"/>
        <v>4110</v>
      </c>
      <c r="V6" s="110">
        <f t="shared" si="4"/>
        <v>2495</v>
      </c>
      <c r="W6" s="110">
        <f t="shared" ref="W6" si="5">SUM(W7:W8)</f>
        <v>2563</v>
      </c>
      <c r="DA6" s="176" t="s">
        <v>377</v>
      </c>
    </row>
    <row r="7" spans="1:105" ht="11.45" customHeight="1" x14ac:dyDescent="0.25">
      <c r="A7" s="111" t="s">
        <v>90</v>
      </c>
      <c r="B7" s="84">
        <v>621.14532942617984</v>
      </c>
      <c r="C7" s="84">
        <v>548.68526863576437</v>
      </c>
      <c r="D7" s="84">
        <v>553.30693454076584</v>
      </c>
      <c r="E7" s="84">
        <v>585.14894042292235</v>
      </c>
      <c r="F7" s="84">
        <v>575.17487266553462</v>
      </c>
      <c r="G7" s="84">
        <v>527.93826126395629</v>
      </c>
      <c r="H7" s="84">
        <v>542.07401965200484</v>
      </c>
      <c r="I7" s="84">
        <v>464.88852632866985</v>
      </c>
      <c r="J7" s="84">
        <v>464.1196945143605</v>
      </c>
      <c r="K7" s="84">
        <v>348.48178940511002</v>
      </c>
      <c r="L7" s="84">
        <v>445.55133044420995</v>
      </c>
      <c r="M7" s="84">
        <v>488.67403252944467</v>
      </c>
      <c r="N7" s="84">
        <v>429.46348585130812</v>
      </c>
      <c r="O7" s="84">
        <v>325.56413418983243</v>
      </c>
      <c r="P7" s="84">
        <v>453.06420979830352</v>
      </c>
      <c r="Q7" s="84">
        <v>471.10532138709522</v>
      </c>
      <c r="R7" s="84">
        <v>400.84103075469721</v>
      </c>
      <c r="S7" s="84">
        <v>435.19001718871067</v>
      </c>
      <c r="T7" s="84">
        <v>311.16676152532722</v>
      </c>
      <c r="U7" s="84">
        <v>223.42837515702698</v>
      </c>
      <c r="V7" s="84">
        <v>130.21709894046552</v>
      </c>
      <c r="W7" s="84">
        <v>142.58827268539847</v>
      </c>
      <c r="DA7" s="171" t="s">
        <v>1029</v>
      </c>
    </row>
    <row r="8" spans="1:105" ht="11.45" customHeight="1" x14ac:dyDescent="0.25">
      <c r="A8" s="111" t="s">
        <v>93</v>
      </c>
      <c r="B8" s="84">
        <v>2712.8546705738199</v>
      </c>
      <c r="C8" s="84">
        <v>2673.3147313642357</v>
      </c>
      <c r="D8" s="84">
        <v>2629.6930654592343</v>
      </c>
      <c r="E8" s="84">
        <v>2552.8510595770776</v>
      </c>
      <c r="F8" s="84">
        <v>2614.8251273344654</v>
      </c>
      <c r="G8" s="84">
        <v>2639.0617387360435</v>
      </c>
      <c r="H8" s="84">
        <v>2562.9259803479954</v>
      </c>
      <c r="I8" s="84">
        <v>2733.1114736713303</v>
      </c>
      <c r="J8" s="84">
        <v>2965.8803054856389</v>
      </c>
      <c r="K8" s="84">
        <v>2923.5182105948898</v>
      </c>
      <c r="L8" s="84">
        <v>2862.4486695557898</v>
      </c>
      <c r="M8" s="84">
        <v>2684.3259674705555</v>
      </c>
      <c r="N8" s="84">
        <v>2897.5365141486918</v>
      </c>
      <c r="O8" s="84">
        <v>2970.4358658101673</v>
      </c>
      <c r="P8" s="84">
        <v>2769.9357902016964</v>
      </c>
      <c r="Q8" s="84">
        <v>3071.894678612905</v>
      </c>
      <c r="R8" s="84">
        <v>2854.1589692453026</v>
      </c>
      <c r="S8" s="84">
        <v>3157.8099828112895</v>
      </c>
      <c r="T8" s="84">
        <v>3428.8332384746727</v>
      </c>
      <c r="U8" s="84">
        <v>3886.5716248429731</v>
      </c>
      <c r="V8" s="84">
        <v>2364.7829010595347</v>
      </c>
      <c r="W8" s="84">
        <v>2420.4117273146016</v>
      </c>
      <c r="DA8" s="171" t="s">
        <v>1030</v>
      </c>
    </row>
    <row r="9" spans="1:105" ht="11.45" customHeight="1" x14ac:dyDescent="0.25">
      <c r="A9" s="112" t="s">
        <v>25</v>
      </c>
      <c r="B9" s="113">
        <v>71</v>
      </c>
      <c r="C9" s="113">
        <v>60</v>
      </c>
      <c r="D9" s="113">
        <v>135</v>
      </c>
      <c r="E9" s="113">
        <v>200</v>
      </c>
      <c r="F9" s="113">
        <v>162</v>
      </c>
      <c r="G9" s="113">
        <v>311</v>
      </c>
      <c r="H9" s="113">
        <v>435</v>
      </c>
      <c r="I9" s="113">
        <v>580</v>
      </c>
      <c r="J9" s="113">
        <v>622</v>
      </c>
      <c r="K9" s="113">
        <v>604</v>
      </c>
      <c r="L9" s="113">
        <v>651</v>
      </c>
      <c r="M9" s="113">
        <v>709</v>
      </c>
      <c r="N9" s="113">
        <v>708</v>
      </c>
      <c r="O9" s="113">
        <v>757</v>
      </c>
      <c r="P9" s="113">
        <v>651</v>
      </c>
      <c r="Q9" s="113">
        <v>571</v>
      </c>
      <c r="R9" s="113">
        <v>613</v>
      </c>
      <c r="S9" s="113">
        <v>678</v>
      </c>
      <c r="T9" s="113">
        <v>795</v>
      </c>
      <c r="U9" s="113">
        <v>814</v>
      </c>
      <c r="V9" s="113">
        <v>325</v>
      </c>
      <c r="W9" s="113">
        <v>340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10107</v>
      </c>
      <c r="C10" s="28">
        <f t="shared" ref="C10:V10" si="7">SUM(C11:C12)</f>
        <v>9857</v>
      </c>
      <c r="D10" s="28">
        <f t="shared" si="7"/>
        <v>9664</v>
      </c>
      <c r="E10" s="28">
        <f t="shared" si="7"/>
        <v>10047</v>
      </c>
      <c r="F10" s="28">
        <f t="shared" si="7"/>
        <v>10105</v>
      </c>
      <c r="G10" s="28">
        <f t="shared" si="7"/>
        <v>9706</v>
      </c>
      <c r="H10" s="28">
        <f t="shared" si="7"/>
        <v>11060</v>
      </c>
      <c r="I10" s="28">
        <f t="shared" si="7"/>
        <v>10434</v>
      </c>
      <c r="J10" s="28">
        <f t="shared" si="7"/>
        <v>10777</v>
      </c>
      <c r="K10" s="28">
        <f t="shared" si="7"/>
        <v>8872</v>
      </c>
      <c r="L10" s="28">
        <f t="shared" si="7"/>
        <v>9750</v>
      </c>
      <c r="M10" s="28">
        <f t="shared" si="7"/>
        <v>9395</v>
      </c>
      <c r="N10" s="28">
        <f t="shared" si="7"/>
        <v>9275</v>
      </c>
      <c r="O10" s="28">
        <f t="shared" si="7"/>
        <v>9470</v>
      </c>
      <c r="P10" s="28">
        <f t="shared" si="7"/>
        <v>9597</v>
      </c>
      <c r="Q10" s="28">
        <f t="shared" si="7"/>
        <v>8468</v>
      </c>
      <c r="R10" s="28">
        <f t="shared" si="7"/>
        <v>9456</v>
      </c>
      <c r="S10" s="28">
        <f t="shared" si="7"/>
        <v>10362</v>
      </c>
      <c r="T10" s="28">
        <f t="shared" si="7"/>
        <v>11175</v>
      </c>
      <c r="U10" s="28">
        <f t="shared" si="7"/>
        <v>10271</v>
      </c>
      <c r="V10" s="28">
        <f t="shared" si="7"/>
        <v>10137</v>
      </c>
      <c r="W10" s="28">
        <f t="shared" ref="W10" si="8">SUM(W11:W12)</f>
        <v>10750</v>
      </c>
      <c r="DA10" s="173" t="s">
        <v>383</v>
      </c>
    </row>
    <row r="11" spans="1:105" ht="11.45" customHeight="1" x14ac:dyDescent="0.25">
      <c r="A11" s="83" t="s">
        <v>90</v>
      </c>
      <c r="B11" s="84">
        <v>3442.2990457977007</v>
      </c>
      <c r="C11" s="84">
        <v>3415.3165047143893</v>
      </c>
      <c r="D11" s="84">
        <v>3191.2136830102627</v>
      </c>
      <c r="E11" s="84">
        <v>3359.8371728440452</v>
      </c>
      <c r="F11" s="84">
        <v>3480.685116237642</v>
      </c>
      <c r="G11" s="84">
        <v>3519.5954431555056</v>
      </c>
      <c r="H11" s="84">
        <v>3889.5684435237094</v>
      </c>
      <c r="I11" s="84">
        <v>3146.012495289368</v>
      </c>
      <c r="J11" s="84">
        <v>3356.2598200612565</v>
      </c>
      <c r="K11" s="84">
        <v>2877.2912263635658</v>
      </c>
      <c r="L11" s="84">
        <v>3050.9332268302614</v>
      </c>
      <c r="M11" s="84">
        <v>3097.6938810478196</v>
      </c>
      <c r="N11" s="84">
        <v>3333.2618123865136</v>
      </c>
      <c r="O11" s="84">
        <v>3156.3065396363054</v>
      </c>
      <c r="P11" s="84">
        <v>3053.2882005162792</v>
      </c>
      <c r="Q11" s="84">
        <v>2330.832952332571</v>
      </c>
      <c r="R11" s="84">
        <v>2490.9748165558781</v>
      </c>
      <c r="S11" s="84">
        <v>2514.0089985965496</v>
      </c>
      <c r="T11" s="84">
        <v>2827.9982613297047</v>
      </c>
      <c r="U11" s="84">
        <v>2624.6391159149907</v>
      </c>
      <c r="V11" s="84">
        <v>2479.1874275110181</v>
      </c>
      <c r="W11" s="84">
        <v>3067.7495047793786</v>
      </c>
      <c r="DA11" s="171" t="s">
        <v>1031</v>
      </c>
    </row>
    <row r="12" spans="1:105" ht="11.45" customHeight="1" x14ac:dyDescent="0.25">
      <c r="A12" s="85" t="s">
        <v>93</v>
      </c>
      <c r="B12" s="86">
        <v>6664.7009542022988</v>
      </c>
      <c r="C12" s="86">
        <v>6441.6834952856107</v>
      </c>
      <c r="D12" s="86">
        <v>6472.7863169897373</v>
      </c>
      <c r="E12" s="86">
        <v>6687.1628271559548</v>
      </c>
      <c r="F12" s="86">
        <v>6624.3148837623576</v>
      </c>
      <c r="G12" s="86">
        <v>6186.4045568444944</v>
      </c>
      <c r="H12" s="86">
        <v>7170.431556476291</v>
      </c>
      <c r="I12" s="86">
        <v>7287.9875047106325</v>
      </c>
      <c r="J12" s="86">
        <v>7420.7401799387435</v>
      </c>
      <c r="K12" s="86">
        <v>5994.7087736364338</v>
      </c>
      <c r="L12" s="86">
        <v>6699.0667731697386</v>
      </c>
      <c r="M12" s="86">
        <v>6297.3061189521804</v>
      </c>
      <c r="N12" s="86">
        <v>5941.7381876134859</v>
      </c>
      <c r="O12" s="86">
        <v>6313.6934603636946</v>
      </c>
      <c r="P12" s="86">
        <v>6543.7117994837208</v>
      </c>
      <c r="Q12" s="86">
        <v>6137.167047667429</v>
      </c>
      <c r="R12" s="86">
        <v>6965.0251834441224</v>
      </c>
      <c r="S12" s="86">
        <v>7847.9910014034504</v>
      </c>
      <c r="T12" s="86">
        <v>8347.0017386702948</v>
      </c>
      <c r="U12" s="86">
        <v>7646.3608840850093</v>
      </c>
      <c r="V12" s="86">
        <v>7657.8125724889815</v>
      </c>
      <c r="W12" s="86">
        <v>7682.2504952206218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43.067311829326442</v>
      </c>
      <c r="C14" s="62">
        <f t="shared" ref="C14:V14" si="10">C15+C21</f>
        <v>44.798936188892412</v>
      </c>
      <c r="D14" s="62">
        <f t="shared" si="10"/>
        <v>46.356152695868445</v>
      </c>
      <c r="E14" s="62">
        <f t="shared" si="10"/>
        <v>49.323339891462879</v>
      </c>
      <c r="F14" s="62">
        <f t="shared" si="10"/>
        <v>49.953236129250243</v>
      </c>
      <c r="G14" s="62">
        <f t="shared" si="10"/>
        <v>50.361815285243708</v>
      </c>
      <c r="H14" s="62">
        <f t="shared" si="10"/>
        <v>52.21430666804806</v>
      </c>
      <c r="I14" s="62">
        <f t="shared" si="10"/>
        <v>52.799059498644226</v>
      </c>
      <c r="J14" s="62">
        <f t="shared" si="10"/>
        <v>54.063957600804677</v>
      </c>
      <c r="K14" s="62">
        <f t="shared" si="10"/>
        <v>52.859753027840739</v>
      </c>
      <c r="L14" s="62">
        <f t="shared" si="10"/>
        <v>55.049190816810011</v>
      </c>
      <c r="M14" s="62">
        <f t="shared" si="10"/>
        <v>54.879489849995672</v>
      </c>
      <c r="N14" s="62">
        <f t="shared" si="10"/>
        <v>56.001597481815999</v>
      </c>
      <c r="O14" s="62">
        <f t="shared" si="10"/>
        <v>55.634969226516915</v>
      </c>
      <c r="P14" s="62">
        <f t="shared" si="10"/>
        <v>55.122853129342815</v>
      </c>
      <c r="Q14" s="62">
        <f t="shared" si="10"/>
        <v>54.288186107559319</v>
      </c>
      <c r="R14" s="62">
        <f t="shared" si="10"/>
        <v>53.753177190026804</v>
      </c>
      <c r="S14" s="62">
        <f t="shared" si="10"/>
        <v>57.103734623845327</v>
      </c>
      <c r="T14" s="62">
        <f t="shared" si="10"/>
        <v>61.214512779354578</v>
      </c>
      <c r="U14" s="62">
        <f t="shared" si="10"/>
        <v>60.544318980617689</v>
      </c>
      <c r="V14" s="62">
        <f t="shared" si="10"/>
        <v>53.742701362324553</v>
      </c>
      <c r="W14" s="62">
        <f t="shared" ref="W14" si="11">W15+W21</f>
        <v>54.402940681160324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26.504793704259551</v>
      </c>
      <c r="C15" s="29">
        <f t="shared" ref="C15:V15" si="13">SUM(C16,C17,C20)</f>
        <v>28.321465014236932</v>
      </c>
      <c r="D15" s="29">
        <f t="shared" si="13"/>
        <v>29.970874087724081</v>
      </c>
      <c r="E15" s="29">
        <f t="shared" si="13"/>
        <v>32.538334237518114</v>
      </c>
      <c r="F15" s="29">
        <f t="shared" si="13"/>
        <v>32.454225244692047</v>
      </c>
      <c r="G15" s="29">
        <f t="shared" si="13"/>
        <v>33.199613085148137</v>
      </c>
      <c r="H15" s="29">
        <f t="shared" si="13"/>
        <v>33.107006915260122</v>
      </c>
      <c r="I15" s="29">
        <f t="shared" si="13"/>
        <v>34.456221499329061</v>
      </c>
      <c r="J15" s="29">
        <f t="shared" si="13"/>
        <v>35.512834456913957</v>
      </c>
      <c r="K15" s="29">
        <f t="shared" si="13"/>
        <v>37.656523301860155</v>
      </c>
      <c r="L15" s="29">
        <f t="shared" si="13"/>
        <v>38.603853939324814</v>
      </c>
      <c r="M15" s="29">
        <f t="shared" si="13"/>
        <v>38.753842185501554</v>
      </c>
      <c r="N15" s="29">
        <f t="shared" si="13"/>
        <v>39.894057403761416</v>
      </c>
      <c r="O15" s="29">
        <f t="shared" si="13"/>
        <v>40.245515822462266</v>
      </c>
      <c r="P15" s="29">
        <f t="shared" si="13"/>
        <v>38.95089198983424</v>
      </c>
      <c r="Q15" s="29">
        <f t="shared" si="13"/>
        <v>41.027030307403315</v>
      </c>
      <c r="R15" s="29">
        <f t="shared" si="13"/>
        <v>39.247310306179649</v>
      </c>
      <c r="S15" s="29">
        <f t="shared" si="13"/>
        <v>40.948137868685222</v>
      </c>
      <c r="T15" s="29">
        <f t="shared" si="13"/>
        <v>44.339064369163097</v>
      </c>
      <c r="U15" s="29">
        <f t="shared" si="13"/>
        <v>45.606960497313906</v>
      </c>
      <c r="V15" s="29">
        <f t="shared" si="13"/>
        <v>37.758893112852959</v>
      </c>
      <c r="W15" s="29">
        <f t="shared" ref="W15" si="14">SUM(W16,W17,W20)</f>
        <v>38.15866350656669</v>
      </c>
      <c r="DA15" s="173" t="s">
        <v>1034</v>
      </c>
    </row>
    <row r="16" spans="1:105" ht="11.45" customHeight="1" x14ac:dyDescent="0.25">
      <c r="A16" s="107" t="s">
        <v>23</v>
      </c>
      <c r="B16" s="115">
        <v>6.3108661996847184</v>
      </c>
      <c r="C16" s="115">
        <v>6.5289282922042595</v>
      </c>
      <c r="D16" s="115">
        <v>6.7808113886152466</v>
      </c>
      <c r="E16" s="115">
        <v>6.8782943157742853</v>
      </c>
      <c r="F16" s="115">
        <v>6.885254408102897</v>
      </c>
      <c r="G16" s="115">
        <v>6.863512087988993</v>
      </c>
      <c r="H16" s="115">
        <v>6.8676448930437637</v>
      </c>
      <c r="I16" s="115">
        <v>6.8091515524498973</v>
      </c>
      <c r="J16" s="115">
        <v>6.8689294659575149</v>
      </c>
      <c r="K16" s="115">
        <v>6.9476398834881801</v>
      </c>
      <c r="L16" s="115">
        <v>6.8814235089355735</v>
      </c>
      <c r="M16" s="115">
        <v>6.7448409272011931</v>
      </c>
      <c r="N16" s="115">
        <v>6.8465924084122998</v>
      </c>
      <c r="O16" s="115">
        <v>6.8268273579225944</v>
      </c>
      <c r="P16" s="115">
        <v>6.7351810531498453</v>
      </c>
      <c r="Q16" s="115">
        <v>6.6728130597106761</v>
      </c>
      <c r="R16" s="115">
        <v>6.8088245857671961</v>
      </c>
      <c r="S16" s="115">
        <v>7.0459341863945584</v>
      </c>
      <c r="T16" s="115">
        <v>8.2143167458911996</v>
      </c>
      <c r="U16" s="115">
        <v>8.1189492515858355</v>
      </c>
      <c r="V16" s="115">
        <v>8.0154323546401027</v>
      </c>
      <c r="W16" s="115">
        <v>7.846617265065662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19.745208134356407</v>
      </c>
      <c r="C17" s="116">
        <f t="shared" ref="C17:V17" si="16">SUM(C18:C19)</f>
        <v>21.418496430674971</v>
      </c>
      <c r="D17" s="116">
        <f t="shared" si="16"/>
        <v>22.354158466902348</v>
      </c>
      <c r="E17" s="116">
        <f t="shared" si="16"/>
        <v>24.429974534057436</v>
      </c>
      <c r="F17" s="116">
        <f t="shared" si="16"/>
        <v>24.598666316067117</v>
      </c>
      <c r="G17" s="116">
        <f t="shared" si="16"/>
        <v>24.497391319739787</v>
      </c>
      <c r="H17" s="116">
        <f t="shared" si="16"/>
        <v>23.718979856611263</v>
      </c>
      <c r="I17" s="116">
        <f t="shared" si="16"/>
        <v>24.332037267140599</v>
      </c>
      <c r="J17" s="116">
        <f t="shared" si="16"/>
        <v>25.050849435400885</v>
      </c>
      <c r="K17" s="116">
        <f t="shared" si="16"/>
        <v>27.190952383889218</v>
      </c>
      <c r="L17" s="116">
        <f t="shared" si="16"/>
        <v>27.981253959801005</v>
      </c>
      <c r="M17" s="116">
        <f t="shared" si="16"/>
        <v>27.807486106785205</v>
      </c>
      <c r="N17" s="116">
        <f t="shared" si="16"/>
        <v>29.009586207470324</v>
      </c>
      <c r="O17" s="116">
        <f t="shared" si="16"/>
        <v>29.385611541462744</v>
      </c>
      <c r="P17" s="116">
        <f t="shared" si="16"/>
        <v>28.360674912378279</v>
      </c>
      <c r="Q17" s="116">
        <f t="shared" si="16"/>
        <v>30.706568435341222</v>
      </c>
      <c r="R17" s="116">
        <f t="shared" si="16"/>
        <v>28.677749563940999</v>
      </c>
      <c r="S17" s="116">
        <f t="shared" si="16"/>
        <v>29.48220368229066</v>
      </c>
      <c r="T17" s="116">
        <f t="shared" si="16"/>
        <v>31.493319051843322</v>
      </c>
      <c r="U17" s="116">
        <f t="shared" si="16"/>
        <v>32.645154102870926</v>
      </c>
      <c r="V17" s="116">
        <f t="shared" si="16"/>
        <v>26.450127424879518</v>
      </c>
      <c r="W17" s="116">
        <f t="shared" ref="W17" si="17">SUM(W18:W19)</f>
        <v>26.619828059682845</v>
      </c>
      <c r="DA17" s="176" t="s">
        <v>1036</v>
      </c>
    </row>
    <row r="18" spans="1:105" ht="11.45" customHeight="1" x14ac:dyDescent="0.25">
      <c r="A18" s="111" t="s">
        <v>92</v>
      </c>
      <c r="B18" s="87">
        <v>5.3865714885476219</v>
      </c>
      <c r="C18" s="87">
        <v>4.9117893724278652</v>
      </c>
      <c r="D18" s="87">
        <v>5.0978106089312627</v>
      </c>
      <c r="E18" s="87">
        <v>5.5658910566405222</v>
      </c>
      <c r="F18" s="87">
        <v>5.4645727572794707</v>
      </c>
      <c r="G18" s="87">
        <v>4.9437633356607007</v>
      </c>
      <c r="H18" s="87">
        <v>5.1262050743038703</v>
      </c>
      <c r="I18" s="87">
        <v>4.2378351755905816</v>
      </c>
      <c r="J18" s="87">
        <v>4.4607250651768542</v>
      </c>
      <c r="K18" s="87">
        <v>3.8305731795303841</v>
      </c>
      <c r="L18" s="87">
        <v>4.3475259306396401</v>
      </c>
      <c r="M18" s="87">
        <v>4.8565953415559902</v>
      </c>
      <c r="N18" s="87">
        <v>4.3079694011966474</v>
      </c>
      <c r="O18" s="87">
        <v>3.6836093612324921</v>
      </c>
      <c r="P18" s="87">
        <v>4.27848300007836</v>
      </c>
      <c r="Q18" s="87">
        <v>4.4655424478561123</v>
      </c>
      <c r="R18" s="87">
        <v>3.9036966135444482</v>
      </c>
      <c r="S18" s="87">
        <v>4.2347233061900829</v>
      </c>
      <c r="T18" s="87">
        <v>3.2289307905725337</v>
      </c>
      <c r="U18" s="87">
        <v>2.2839054031588182</v>
      </c>
      <c r="V18" s="87">
        <v>2.0766603279756097</v>
      </c>
      <c r="W18" s="87">
        <v>2.0570981598945033</v>
      </c>
      <c r="DA18" s="171" t="s">
        <v>1037</v>
      </c>
    </row>
    <row r="19" spans="1:105" ht="11.45" customHeight="1" x14ac:dyDescent="0.25">
      <c r="A19" s="111" t="s">
        <v>93</v>
      </c>
      <c r="B19" s="87">
        <v>14.358636645808785</v>
      </c>
      <c r="C19" s="87">
        <v>16.506707058247105</v>
      </c>
      <c r="D19" s="87">
        <v>17.256347857971086</v>
      </c>
      <c r="E19" s="87">
        <v>18.864083477416912</v>
      </c>
      <c r="F19" s="87">
        <v>19.134093558787647</v>
      </c>
      <c r="G19" s="87">
        <v>19.553627984079085</v>
      </c>
      <c r="H19" s="87">
        <v>18.592774782307394</v>
      </c>
      <c r="I19" s="87">
        <v>20.094202091550017</v>
      </c>
      <c r="J19" s="87">
        <v>20.590124370224032</v>
      </c>
      <c r="K19" s="87">
        <v>23.360379204358836</v>
      </c>
      <c r="L19" s="87">
        <v>23.633728029161365</v>
      </c>
      <c r="M19" s="87">
        <v>22.950890765229214</v>
      </c>
      <c r="N19" s="87">
        <v>24.701616806273677</v>
      </c>
      <c r="O19" s="87">
        <v>25.702002180230252</v>
      </c>
      <c r="P19" s="87">
        <v>24.082191912299919</v>
      </c>
      <c r="Q19" s="87">
        <v>26.241025987485109</v>
      </c>
      <c r="R19" s="87">
        <v>24.774052950396552</v>
      </c>
      <c r="S19" s="87">
        <v>25.247480376100576</v>
      </c>
      <c r="T19" s="87">
        <v>28.264388261270788</v>
      </c>
      <c r="U19" s="87">
        <v>30.361248699712107</v>
      </c>
      <c r="V19" s="87">
        <v>24.373467096903909</v>
      </c>
      <c r="W19" s="87">
        <v>24.562729899788341</v>
      </c>
      <c r="DA19" s="171" t="s">
        <v>1038</v>
      </c>
    </row>
    <row r="20" spans="1:105" ht="11.45" customHeight="1" x14ac:dyDescent="0.25">
      <c r="A20" s="112" t="s">
        <v>25</v>
      </c>
      <c r="B20" s="117">
        <v>0.44871937021842773</v>
      </c>
      <c r="C20" s="117">
        <v>0.37404029135770056</v>
      </c>
      <c r="D20" s="117">
        <v>0.83590423220648313</v>
      </c>
      <c r="E20" s="117">
        <v>1.2300653876863983</v>
      </c>
      <c r="F20" s="117">
        <v>0.97030452052203531</v>
      </c>
      <c r="G20" s="117">
        <v>1.8387096774193548</v>
      </c>
      <c r="H20" s="117">
        <v>2.5203821656050951</v>
      </c>
      <c r="I20" s="117">
        <v>3.3150326797385623</v>
      </c>
      <c r="J20" s="117">
        <v>3.5930555555555563</v>
      </c>
      <c r="K20" s="117">
        <v>3.5179310344827588</v>
      </c>
      <c r="L20" s="117">
        <v>3.7411764705882353</v>
      </c>
      <c r="M20" s="117">
        <v>4.2015151515151521</v>
      </c>
      <c r="N20" s="117">
        <v>4.0378787878787872</v>
      </c>
      <c r="O20" s="117">
        <v>4.0330769230769237</v>
      </c>
      <c r="P20" s="117">
        <v>3.8550360243061181</v>
      </c>
      <c r="Q20" s="117">
        <v>3.6476488123514215</v>
      </c>
      <c r="R20" s="117">
        <v>3.7607361564714501</v>
      </c>
      <c r="S20" s="117">
        <v>4.42</v>
      </c>
      <c r="T20" s="117">
        <v>4.6314285714285717</v>
      </c>
      <c r="U20" s="117">
        <v>4.8428571428571425</v>
      </c>
      <c r="V20" s="117">
        <v>3.293333333333333</v>
      </c>
      <c r="W20" s="117">
        <v>3.6922181818181818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16.562518125066887</v>
      </c>
      <c r="C21" s="29">
        <f t="shared" ref="C21:V21" si="19">SUM(C22:C23)</f>
        <v>16.477471174655484</v>
      </c>
      <c r="D21" s="29">
        <f t="shared" si="19"/>
        <v>16.385278608144361</v>
      </c>
      <c r="E21" s="29">
        <f t="shared" si="19"/>
        <v>16.785005653944769</v>
      </c>
      <c r="F21" s="29">
        <f t="shared" si="19"/>
        <v>17.499010884558192</v>
      </c>
      <c r="G21" s="29">
        <f t="shared" si="19"/>
        <v>17.162202200095571</v>
      </c>
      <c r="H21" s="29">
        <f t="shared" si="19"/>
        <v>19.107299752787938</v>
      </c>
      <c r="I21" s="29">
        <f t="shared" si="19"/>
        <v>18.342837999315169</v>
      </c>
      <c r="J21" s="29">
        <f t="shared" si="19"/>
        <v>18.55112314389072</v>
      </c>
      <c r="K21" s="29">
        <f t="shared" si="19"/>
        <v>15.203229725980584</v>
      </c>
      <c r="L21" s="29">
        <f t="shared" si="19"/>
        <v>16.4453368774852</v>
      </c>
      <c r="M21" s="29">
        <f t="shared" si="19"/>
        <v>16.125647664494117</v>
      </c>
      <c r="N21" s="29">
        <f t="shared" si="19"/>
        <v>16.107540078054583</v>
      </c>
      <c r="O21" s="29">
        <f t="shared" si="19"/>
        <v>15.389453404054645</v>
      </c>
      <c r="P21" s="29">
        <f t="shared" si="19"/>
        <v>16.171961139508575</v>
      </c>
      <c r="Q21" s="29">
        <f t="shared" si="19"/>
        <v>13.261155800156002</v>
      </c>
      <c r="R21" s="29">
        <f t="shared" si="19"/>
        <v>14.505866883847155</v>
      </c>
      <c r="S21" s="29">
        <f t="shared" si="19"/>
        <v>16.155596755160108</v>
      </c>
      <c r="T21" s="29">
        <f t="shared" si="19"/>
        <v>16.875448410191481</v>
      </c>
      <c r="U21" s="29">
        <f t="shared" si="19"/>
        <v>14.937358483303779</v>
      </c>
      <c r="V21" s="29">
        <f t="shared" si="19"/>
        <v>15.98380824947159</v>
      </c>
      <c r="W21" s="29">
        <f t="shared" ref="W21" si="20">SUM(W22:W23)</f>
        <v>16.244277174593634</v>
      </c>
      <c r="DA21" s="173" t="s">
        <v>1040</v>
      </c>
    </row>
    <row r="22" spans="1:105" ht="11.45" customHeight="1" x14ac:dyDescent="0.25">
      <c r="A22" s="83" t="s">
        <v>92</v>
      </c>
      <c r="B22" s="87">
        <v>5.5613094586790295</v>
      </c>
      <c r="C22" s="87">
        <v>5.5055178250523715</v>
      </c>
      <c r="D22" s="87">
        <v>5.2127916577275926</v>
      </c>
      <c r="E22" s="87">
        <v>5.3000471455084099</v>
      </c>
      <c r="F22" s="87">
        <v>5.6502707521214592</v>
      </c>
      <c r="G22" s="87">
        <v>5.7516501208729194</v>
      </c>
      <c r="H22" s="87">
        <v>6.2163541868563037</v>
      </c>
      <c r="I22" s="87">
        <v>5.0914527830717935</v>
      </c>
      <c r="J22" s="87">
        <v>5.3618801421012154</v>
      </c>
      <c r="K22" s="87">
        <v>4.5640486247278096</v>
      </c>
      <c r="L22" s="87">
        <v>4.6784707098444329</v>
      </c>
      <c r="M22" s="87">
        <v>4.6461313840754226</v>
      </c>
      <c r="N22" s="87">
        <v>5.0215540368081593</v>
      </c>
      <c r="O22" s="87">
        <v>4.8846138112981956</v>
      </c>
      <c r="P22" s="87">
        <v>4.2280228365695116</v>
      </c>
      <c r="Q22" s="87">
        <v>3.0695988276905157</v>
      </c>
      <c r="R22" s="87">
        <v>3.182661642713442</v>
      </c>
      <c r="S22" s="87">
        <v>3.0573327581497183</v>
      </c>
      <c r="T22" s="87">
        <v>4.085111238444382</v>
      </c>
      <c r="U22" s="87">
        <v>4.3404320802804017</v>
      </c>
      <c r="V22" s="87">
        <v>3.9690964301859859</v>
      </c>
      <c r="W22" s="87">
        <v>4.7504566982664942</v>
      </c>
      <c r="DA22" s="171" t="s">
        <v>1041</v>
      </c>
    </row>
    <row r="23" spans="1:105" ht="11.45" customHeight="1" x14ac:dyDescent="0.25">
      <c r="A23" s="85" t="s">
        <v>93</v>
      </c>
      <c r="B23" s="88">
        <v>11.001208666387857</v>
      </c>
      <c r="C23" s="88">
        <v>10.971953349603114</v>
      </c>
      <c r="D23" s="88">
        <v>11.172486950416769</v>
      </c>
      <c r="E23" s="88">
        <v>11.484958508436359</v>
      </c>
      <c r="F23" s="88">
        <v>11.848740132436733</v>
      </c>
      <c r="G23" s="88">
        <v>11.410552079222652</v>
      </c>
      <c r="H23" s="88">
        <v>12.890945565931634</v>
      </c>
      <c r="I23" s="88">
        <v>13.251385216243376</v>
      </c>
      <c r="J23" s="88">
        <v>13.189243001789507</v>
      </c>
      <c r="K23" s="88">
        <v>10.639181101252774</v>
      </c>
      <c r="L23" s="88">
        <v>11.766866167640767</v>
      </c>
      <c r="M23" s="88">
        <v>11.479516280418695</v>
      </c>
      <c r="N23" s="88">
        <v>11.085986041246425</v>
      </c>
      <c r="O23" s="88">
        <v>10.504839592756449</v>
      </c>
      <c r="P23" s="88">
        <v>11.943938302939063</v>
      </c>
      <c r="Q23" s="88">
        <v>10.191556972465486</v>
      </c>
      <c r="R23" s="88">
        <v>11.323205241133712</v>
      </c>
      <c r="S23" s="88">
        <v>13.09826399701039</v>
      </c>
      <c r="T23" s="88">
        <v>12.790337171747097</v>
      </c>
      <c r="U23" s="88">
        <v>10.596926403023378</v>
      </c>
      <c r="V23" s="88">
        <v>12.014711819285605</v>
      </c>
      <c r="W23" s="88">
        <v>11.493820476327141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272.81597999999997</v>
      </c>
      <c r="C25" s="62">
        <f t="shared" ref="C25:V25" si="22">C26+C32</f>
        <v>285.42866799999996</v>
      </c>
      <c r="D25" s="62">
        <f t="shared" si="22"/>
        <v>294.45542399999999</v>
      </c>
      <c r="E25" s="62">
        <f t="shared" si="22"/>
        <v>312.05495499999995</v>
      </c>
      <c r="F25" s="62">
        <f t="shared" si="22"/>
        <v>316.71315099999998</v>
      </c>
      <c r="G25" s="62">
        <f t="shared" si="22"/>
        <v>315.608542</v>
      </c>
      <c r="H25" s="62">
        <f t="shared" si="22"/>
        <v>321.69701800000001</v>
      </c>
      <c r="I25" s="62">
        <f t="shared" si="22"/>
        <v>328.37116399999996</v>
      </c>
      <c r="J25" s="62">
        <f t="shared" si="22"/>
        <v>330.19066299999997</v>
      </c>
      <c r="K25" s="62">
        <f t="shared" si="22"/>
        <v>337.402558</v>
      </c>
      <c r="L25" s="62">
        <f t="shared" si="22"/>
        <v>339.64050099999997</v>
      </c>
      <c r="M25" s="62">
        <f t="shared" si="22"/>
        <v>336.664918</v>
      </c>
      <c r="N25" s="62">
        <f t="shared" si="22"/>
        <v>345.48014000000001</v>
      </c>
      <c r="O25" s="62">
        <f t="shared" si="22"/>
        <v>344.68849699999998</v>
      </c>
      <c r="P25" s="62">
        <f t="shared" si="22"/>
        <v>341.926062</v>
      </c>
      <c r="Q25" s="62">
        <f t="shared" si="22"/>
        <v>347.39108499999998</v>
      </c>
      <c r="R25" s="62">
        <f t="shared" si="22"/>
        <v>334.98065300000002</v>
      </c>
      <c r="S25" s="62">
        <f t="shared" si="22"/>
        <v>351.20218</v>
      </c>
      <c r="T25" s="62">
        <f t="shared" si="22"/>
        <v>382.41461200000003</v>
      </c>
      <c r="U25" s="62">
        <f t="shared" si="22"/>
        <v>388.18149800000003</v>
      </c>
      <c r="V25" s="62">
        <f t="shared" si="22"/>
        <v>373.74304899999998</v>
      </c>
      <c r="W25" s="62">
        <f t="shared" ref="W25" si="23">W26+W32</f>
        <v>360.247525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190.003388</v>
      </c>
      <c r="C26" s="29">
        <f t="shared" ref="C26:V26" si="25">SUM(C27,C28,C31)</f>
        <v>203.04131099999998</v>
      </c>
      <c r="D26" s="29">
        <f t="shared" si="25"/>
        <v>212.52903000000001</v>
      </c>
      <c r="E26" s="29">
        <f t="shared" si="25"/>
        <v>228.12992599999995</v>
      </c>
      <c r="F26" s="29">
        <f t="shared" si="25"/>
        <v>229.218096</v>
      </c>
      <c r="G26" s="29">
        <f t="shared" si="25"/>
        <v>229.79752999999999</v>
      </c>
      <c r="H26" s="29">
        <f t="shared" si="25"/>
        <v>226.16051899999999</v>
      </c>
      <c r="I26" s="29">
        <f t="shared" si="25"/>
        <v>233.81311999999997</v>
      </c>
      <c r="J26" s="29">
        <f t="shared" si="25"/>
        <v>237.435046</v>
      </c>
      <c r="K26" s="29">
        <f t="shared" si="25"/>
        <v>252.92819899999998</v>
      </c>
      <c r="L26" s="29">
        <f t="shared" si="25"/>
        <v>257.413816</v>
      </c>
      <c r="M26" s="29">
        <f t="shared" si="25"/>
        <v>256.03667899999999</v>
      </c>
      <c r="N26" s="29">
        <f t="shared" si="25"/>
        <v>264.94243799999998</v>
      </c>
      <c r="O26" s="29">
        <f t="shared" si="25"/>
        <v>267.74122899999998</v>
      </c>
      <c r="P26" s="29">
        <f t="shared" si="25"/>
        <v>260.56395400000002</v>
      </c>
      <c r="Q26" s="29">
        <f t="shared" si="25"/>
        <v>274.31023499999998</v>
      </c>
      <c r="R26" s="29">
        <f t="shared" si="25"/>
        <v>262.28351800000002</v>
      </c>
      <c r="S26" s="29">
        <f t="shared" si="25"/>
        <v>270.42419599999999</v>
      </c>
      <c r="T26" s="29">
        <f t="shared" si="25"/>
        <v>298.03736900000001</v>
      </c>
      <c r="U26" s="29">
        <f t="shared" si="25"/>
        <v>308.028255</v>
      </c>
      <c r="V26" s="29">
        <f t="shared" si="25"/>
        <v>293.824006</v>
      </c>
      <c r="W26" s="29">
        <f t="shared" ref="W26" si="26">SUM(W27,W28,W31)</f>
        <v>279.026138</v>
      </c>
      <c r="DA26" s="173" t="s">
        <v>1044</v>
      </c>
    </row>
    <row r="27" spans="1:105" ht="11.45" customHeight="1" x14ac:dyDescent="0.25">
      <c r="A27" s="107" t="s">
        <v>23</v>
      </c>
      <c r="B27" s="115">
        <v>57.371510999999998</v>
      </c>
      <c r="C27" s="115">
        <v>59.353893999999997</v>
      </c>
      <c r="D27" s="115">
        <v>61.643739999999994</v>
      </c>
      <c r="E27" s="115">
        <v>62.529948999999995</v>
      </c>
      <c r="F27" s="115">
        <v>62.593221999999997</v>
      </c>
      <c r="G27" s="115">
        <v>62.395564999999998</v>
      </c>
      <c r="H27" s="115">
        <v>62.433135999999998</v>
      </c>
      <c r="I27" s="115">
        <v>61.901377999999994</v>
      </c>
      <c r="J27" s="115">
        <v>62.444814000000001</v>
      </c>
      <c r="K27" s="115">
        <v>63.160362999999997</v>
      </c>
      <c r="L27" s="115">
        <v>62.558395999999995</v>
      </c>
      <c r="M27" s="115">
        <v>61.316735999999999</v>
      </c>
      <c r="N27" s="115">
        <v>62.241749999999996</v>
      </c>
      <c r="O27" s="115">
        <v>62.062066999999999</v>
      </c>
      <c r="P27" s="115">
        <v>61.228918999999998</v>
      </c>
      <c r="Q27" s="115">
        <v>60.661936999999995</v>
      </c>
      <c r="R27" s="115">
        <v>61.898405999999994</v>
      </c>
      <c r="S27" s="115">
        <v>64.053947999999991</v>
      </c>
      <c r="T27" s="115">
        <v>74.675606999999999</v>
      </c>
      <c r="U27" s="115">
        <v>73.808629999999994</v>
      </c>
      <c r="V27" s="115">
        <v>72.867566999999994</v>
      </c>
      <c r="W27" s="115">
        <v>71.332885000000005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131.63472200000001</v>
      </c>
      <c r="C28" s="116">
        <f t="shared" ref="C28:V28" si="28">SUM(C29:C30)</f>
        <v>142.78997699999999</v>
      </c>
      <c r="D28" s="116">
        <f t="shared" si="28"/>
        <v>149.027725</v>
      </c>
      <c r="E28" s="116">
        <f t="shared" si="28"/>
        <v>162.86649799999998</v>
      </c>
      <c r="F28" s="116">
        <f t="shared" si="28"/>
        <v>163.99110999999999</v>
      </c>
      <c r="G28" s="116">
        <f t="shared" si="28"/>
        <v>163.315943</v>
      </c>
      <c r="H28" s="116">
        <f t="shared" si="28"/>
        <v>158.12653299999999</v>
      </c>
      <c r="I28" s="116">
        <f t="shared" si="28"/>
        <v>164.54500199999998</v>
      </c>
      <c r="J28" s="116">
        <f t="shared" si="28"/>
        <v>167.005664</v>
      </c>
      <c r="K28" s="116">
        <f t="shared" si="28"/>
        <v>181.882983</v>
      </c>
      <c r="L28" s="116">
        <f t="shared" si="28"/>
        <v>186.54169400000001</v>
      </c>
      <c r="M28" s="116">
        <f t="shared" si="28"/>
        <v>185.383242</v>
      </c>
      <c r="N28" s="116">
        <f t="shared" si="28"/>
        <v>193.46370200000001</v>
      </c>
      <c r="O28" s="116">
        <f t="shared" si="28"/>
        <v>196.54189099999999</v>
      </c>
      <c r="P28" s="116">
        <f t="shared" si="28"/>
        <v>190.29747900000001</v>
      </c>
      <c r="Q28" s="116">
        <f t="shared" si="28"/>
        <v>204.71045699999999</v>
      </c>
      <c r="R28" s="116">
        <f t="shared" si="28"/>
        <v>191.546986</v>
      </c>
      <c r="S28" s="116">
        <f t="shared" si="28"/>
        <v>196.548025</v>
      </c>
      <c r="T28" s="116">
        <f t="shared" si="28"/>
        <v>213.06969800000002</v>
      </c>
      <c r="U28" s="116">
        <f t="shared" si="28"/>
        <v>223.45771999999999</v>
      </c>
      <c r="V28" s="116">
        <f t="shared" si="28"/>
        <v>210.29424900000001</v>
      </c>
      <c r="W28" s="116">
        <f t="shared" ref="W28" si="29">SUM(W29:W30)</f>
        <v>197.13077799999999</v>
      </c>
      <c r="DA28" s="176" t="s">
        <v>1046</v>
      </c>
    </row>
    <row r="29" spans="1:105" ht="11.45" customHeight="1" x14ac:dyDescent="0.25">
      <c r="A29" s="111" t="s">
        <v>92</v>
      </c>
      <c r="B29" s="87">
        <v>35.910477</v>
      </c>
      <c r="C29" s="87">
        <v>32.745262999999994</v>
      </c>
      <c r="D29" s="87">
        <v>33.985405</v>
      </c>
      <c r="E29" s="87">
        <v>37.105940999999994</v>
      </c>
      <c r="F29" s="87">
        <v>36.430485999999995</v>
      </c>
      <c r="G29" s="87">
        <v>32.958422999999996</v>
      </c>
      <c r="H29" s="87">
        <v>34.174700999999999</v>
      </c>
      <c r="I29" s="87">
        <v>30.583654000000003</v>
      </c>
      <c r="J29" s="87">
        <v>29.738168000000002</v>
      </c>
      <c r="K29" s="87">
        <v>26.147121000000002</v>
      </c>
      <c r="L29" s="87">
        <v>28.983506999999999</v>
      </c>
      <c r="M29" s="87">
        <v>32.377302999999998</v>
      </c>
      <c r="N29" s="87">
        <v>28.786256000000002</v>
      </c>
      <c r="O29" s="87">
        <v>25.195209000000002</v>
      </c>
      <c r="P29" s="87">
        <v>28.523220999999999</v>
      </c>
      <c r="Q29" s="87">
        <v>29.770283000000003</v>
      </c>
      <c r="R29" s="87">
        <v>26.179236</v>
      </c>
      <c r="S29" s="87">
        <v>28.231489</v>
      </c>
      <c r="T29" s="87">
        <v>24.640442</v>
      </c>
      <c r="U29" s="87">
        <v>21.049395000000001</v>
      </c>
      <c r="V29" s="87">
        <v>17.458348000000001</v>
      </c>
      <c r="W29" s="87">
        <v>13.867300999999999</v>
      </c>
      <c r="DA29" s="171" t="s">
        <v>1047</v>
      </c>
    </row>
    <row r="30" spans="1:105" ht="11.45" customHeight="1" x14ac:dyDescent="0.25">
      <c r="A30" s="111" t="s">
        <v>93</v>
      </c>
      <c r="B30" s="87">
        <v>95.724244999999996</v>
      </c>
      <c r="C30" s="87">
        <v>110.044714</v>
      </c>
      <c r="D30" s="87">
        <v>115.04232</v>
      </c>
      <c r="E30" s="87">
        <v>125.76055699999999</v>
      </c>
      <c r="F30" s="87">
        <v>127.560624</v>
      </c>
      <c r="G30" s="87">
        <v>130.35751999999999</v>
      </c>
      <c r="H30" s="87">
        <v>123.951832</v>
      </c>
      <c r="I30" s="87">
        <v>133.96134799999999</v>
      </c>
      <c r="J30" s="87">
        <v>137.26749599999999</v>
      </c>
      <c r="K30" s="87">
        <v>155.735862</v>
      </c>
      <c r="L30" s="87">
        <v>157.558187</v>
      </c>
      <c r="M30" s="87">
        <v>153.00593899999998</v>
      </c>
      <c r="N30" s="87">
        <v>164.677446</v>
      </c>
      <c r="O30" s="87">
        <v>171.34668199999999</v>
      </c>
      <c r="P30" s="87">
        <v>161.774258</v>
      </c>
      <c r="Q30" s="87">
        <v>174.94017399999998</v>
      </c>
      <c r="R30" s="87">
        <v>165.36775</v>
      </c>
      <c r="S30" s="87">
        <v>168.31653599999999</v>
      </c>
      <c r="T30" s="87">
        <v>188.42925600000001</v>
      </c>
      <c r="U30" s="87">
        <v>202.40832499999999</v>
      </c>
      <c r="V30" s="87">
        <v>192.83590100000001</v>
      </c>
      <c r="W30" s="87">
        <v>183.26347699999999</v>
      </c>
      <c r="DA30" s="171" t="s">
        <v>1048</v>
      </c>
    </row>
    <row r="31" spans="1:105" ht="11.45" customHeight="1" x14ac:dyDescent="0.25">
      <c r="A31" s="112" t="s">
        <v>25</v>
      </c>
      <c r="B31" s="117">
        <v>0.99715500000000001</v>
      </c>
      <c r="C31" s="117">
        <v>0.89744000000000002</v>
      </c>
      <c r="D31" s="117">
        <v>1.8575649999999999</v>
      </c>
      <c r="E31" s="117">
        <v>2.733479</v>
      </c>
      <c r="F31" s="117">
        <v>2.6337640000000002</v>
      </c>
      <c r="G31" s="117">
        <v>4.0860219999999998</v>
      </c>
      <c r="H31" s="117">
        <v>5.6008500000000003</v>
      </c>
      <c r="I31" s="117">
        <v>7.3667400000000001</v>
      </c>
      <c r="J31" s="117">
        <v>7.9845680000000003</v>
      </c>
      <c r="K31" s="117">
        <v>7.8848530000000006</v>
      </c>
      <c r="L31" s="117">
        <v>8.3137259999999991</v>
      </c>
      <c r="M31" s="117">
        <v>9.3367009999999997</v>
      </c>
      <c r="N31" s="117">
        <v>9.2369859999999999</v>
      </c>
      <c r="O31" s="117">
        <v>9.1372709999999984</v>
      </c>
      <c r="P31" s="117">
        <v>9.0375559999999986</v>
      </c>
      <c r="Q31" s="117">
        <v>8.9378409999999988</v>
      </c>
      <c r="R31" s="117">
        <v>8.838125999999999</v>
      </c>
      <c r="S31" s="117">
        <v>9.8222229999999993</v>
      </c>
      <c r="T31" s="117">
        <v>10.292064</v>
      </c>
      <c r="U31" s="117">
        <v>10.761904999999999</v>
      </c>
      <c r="V31" s="117">
        <v>10.662189999999999</v>
      </c>
      <c r="W31" s="117">
        <v>10.562474999999999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82.812591999999995</v>
      </c>
      <c r="C32" s="29">
        <f t="shared" ref="C32:V32" si="31">SUM(C33:C34)</f>
        <v>82.387356999999994</v>
      </c>
      <c r="D32" s="29">
        <f t="shared" si="31"/>
        <v>81.926394000000002</v>
      </c>
      <c r="E32" s="29">
        <f t="shared" si="31"/>
        <v>83.925028999999995</v>
      </c>
      <c r="F32" s="29">
        <f t="shared" si="31"/>
        <v>87.495054999999994</v>
      </c>
      <c r="G32" s="29">
        <f t="shared" si="31"/>
        <v>85.811012000000005</v>
      </c>
      <c r="H32" s="29">
        <f t="shared" si="31"/>
        <v>95.536499000000006</v>
      </c>
      <c r="I32" s="29">
        <f t="shared" si="31"/>
        <v>94.55804400000001</v>
      </c>
      <c r="J32" s="29">
        <f t="shared" si="31"/>
        <v>92.755617000000001</v>
      </c>
      <c r="K32" s="29">
        <f t="shared" si="31"/>
        <v>84.474358999999993</v>
      </c>
      <c r="L32" s="29">
        <f t="shared" si="31"/>
        <v>82.226685000000003</v>
      </c>
      <c r="M32" s="29">
        <f t="shared" si="31"/>
        <v>80.628239000000008</v>
      </c>
      <c r="N32" s="29">
        <f t="shared" si="31"/>
        <v>80.537701999999996</v>
      </c>
      <c r="O32" s="29">
        <f t="shared" si="31"/>
        <v>76.947268000000008</v>
      </c>
      <c r="P32" s="29">
        <f t="shared" si="31"/>
        <v>81.362107999999992</v>
      </c>
      <c r="Q32" s="29">
        <f t="shared" si="31"/>
        <v>73.080849999999998</v>
      </c>
      <c r="R32" s="29">
        <f t="shared" si="31"/>
        <v>72.697135000000003</v>
      </c>
      <c r="S32" s="29">
        <f t="shared" si="31"/>
        <v>80.777984000000004</v>
      </c>
      <c r="T32" s="29">
        <f t="shared" si="31"/>
        <v>84.377242999999993</v>
      </c>
      <c r="U32" s="29">
        <f t="shared" si="31"/>
        <v>80.153243000000003</v>
      </c>
      <c r="V32" s="29">
        <f t="shared" si="31"/>
        <v>79.919043000000002</v>
      </c>
      <c r="W32" s="29">
        <f t="shared" ref="W32" si="32">SUM(W33:W34)</f>
        <v>81.221386999999993</v>
      </c>
      <c r="DA32" s="173" t="s">
        <v>1050</v>
      </c>
    </row>
    <row r="33" spans="1:105" ht="11.45" customHeight="1" x14ac:dyDescent="0.25">
      <c r="A33" s="83" t="s">
        <v>92</v>
      </c>
      <c r="B33" s="87">
        <v>27.806547999999999</v>
      </c>
      <c r="C33" s="87">
        <v>27.52759</v>
      </c>
      <c r="D33" s="87">
        <v>26.063959000000001</v>
      </c>
      <c r="E33" s="87">
        <v>26.500236000000001</v>
      </c>
      <c r="F33" s="87">
        <v>28.251354000000003</v>
      </c>
      <c r="G33" s="87">
        <v>28.758251000000001</v>
      </c>
      <c r="H33" s="87">
        <v>31.081771</v>
      </c>
      <c r="I33" s="87">
        <v>28.301117000000001</v>
      </c>
      <c r="J33" s="87">
        <v>26.809401000000001</v>
      </c>
      <c r="K33" s="87">
        <v>24.028747000000003</v>
      </c>
      <c r="L33" s="87">
        <v>23.392354000000001</v>
      </c>
      <c r="M33" s="87">
        <v>23.230657000000001</v>
      </c>
      <c r="N33" s="87">
        <v>25.107771</v>
      </c>
      <c r="O33" s="87">
        <v>24.423070000000003</v>
      </c>
      <c r="P33" s="87">
        <v>21.642416000000001</v>
      </c>
      <c r="Q33" s="87">
        <v>18.861762000000002</v>
      </c>
      <c r="R33" s="87">
        <v>16.081108</v>
      </c>
      <c r="S33" s="87">
        <v>15.286664</v>
      </c>
      <c r="T33" s="87">
        <v>20.425557000000001</v>
      </c>
      <c r="U33" s="87">
        <v>21.702161</v>
      </c>
      <c r="V33" s="87">
        <v>19.845483000000002</v>
      </c>
      <c r="W33" s="87">
        <v>23.752284</v>
      </c>
      <c r="DA33" s="171" t="s">
        <v>1051</v>
      </c>
    </row>
    <row r="34" spans="1:105" ht="11.45" customHeight="1" x14ac:dyDescent="0.25">
      <c r="A34" s="85" t="s">
        <v>93</v>
      </c>
      <c r="B34" s="88">
        <v>55.006043999999996</v>
      </c>
      <c r="C34" s="88">
        <v>54.859766999999998</v>
      </c>
      <c r="D34" s="88">
        <v>55.862434999999998</v>
      </c>
      <c r="E34" s="88">
        <v>57.424792999999994</v>
      </c>
      <c r="F34" s="88">
        <v>59.243700999999994</v>
      </c>
      <c r="G34" s="88">
        <v>57.052760999999997</v>
      </c>
      <c r="H34" s="88">
        <v>64.454728000000003</v>
      </c>
      <c r="I34" s="88">
        <v>66.256927000000005</v>
      </c>
      <c r="J34" s="88">
        <v>65.946215999999993</v>
      </c>
      <c r="K34" s="88">
        <v>60.445611999999997</v>
      </c>
      <c r="L34" s="88">
        <v>58.834330999999999</v>
      </c>
      <c r="M34" s="88">
        <v>57.397582</v>
      </c>
      <c r="N34" s="88">
        <v>55.429930999999996</v>
      </c>
      <c r="O34" s="88">
        <v>52.524197999999998</v>
      </c>
      <c r="P34" s="88">
        <v>59.719691999999995</v>
      </c>
      <c r="Q34" s="88">
        <v>54.219087999999999</v>
      </c>
      <c r="R34" s="88">
        <v>56.616026999999995</v>
      </c>
      <c r="S34" s="88">
        <v>65.491320000000002</v>
      </c>
      <c r="T34" s="88">
        <v>63.951685999999995</v>
      </c>
      <c r="U34" s="88">
        <v>58.451082</v>
      </c>
      <c r="V34" s="88">
        <v>60.073560000000001</v>
      </c>
      <c r="W34" s="88">
        <v>57.469102999999997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23.929979000000014</v>
      </c>
      <c r="D36" s="54">
        <f t="shared" ref="D36:V36" si="34">D37+D43</f>
        <v>18.558796000000019</v>
      </c>
      <c r="E36" s="54">
        <f t="shared" si="34"/>
        <v>26.769043999999969</v>
      </c>
      <c r="F36" s="54">
        <f t="shared" si="34"/>
        <v>13.901782000000015</v>
      </c>
      <c r="G36" s="54">
        <f t="shared" si="34"/>
        <v>10.807738999999989</v>
      </c>
      <c r="H36" s="54">
        <f t="shared" si="34"/>
        <v>18.519542000000008</v>
      </c>
      <c r="I36" s="54">
        <f t="shared" si="34"/>
        <v>20.022746999999999</v>
      </c>
      <c r="J36" s="54">
        <f t="shared" si="34"/>
        <v>11.379624000000003</v>
      </c>
      <c r="K36" s="54">
        <f t="shared" si="34"/>
        <v>24.306514</v>
      </c>
      <c r="L36" s="54">
        <f t="shared" si="34"/>
        <v>11.407456</v>
      </c>
      <c r="M36" s="54">
        <f t="shared" si="34"/>
        <v>7.602043000000009</v>
      </c>
      <c r="N36" s="54">
        <f t="shared" si="34"/>
        <v>20.697338000000023</v>
      </c>
      <c r="O36" s="54">
        <f t="shared" si="34"/>
        <v>12.028554999999997</v>
      </c>
      <c r="P36" s="54">
        <f t="shared" si="34"/>
        <v>14.588989999999995</v>
      </c>
      <c r="Q36" s="54">
        <f t="shared" si="34"/>
        <v>20.060103999999988</v>
      </c>
      <c r="R36" s="54">
        <f t="shared" si="34"/>
        <v>7.440531</v>
      </c>
      <c r="S36" s="54">
        <f t="shared" si="34"/>
        <v>25.391039999999997</v>
      </c>
      <c r="T36" s="54">
        <f t="shared" si="34"/>
        <v>42.881483000000038</v>
      </c>
      <c r="U36" s="54">
        <f t="shared" si="34"/>
        <v>21.107881999999982</v>
      </c>
      <c r="V36" s="54">
        <f t="shared" si="34"/>
        <v>4.4885380000000055</v>
      </c>
      <c r="W36" s="54">
        <f t="shared" ref="W36" si="35">W37+W43</f>
        <v>5.4516870000000104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21.42545100000001</v>
      </c>
      <c r="D37" s="28">
        <f t="shared" ref="D37:V37" si="37">SUM(D38,D39,D42)</f>
        <v>15.727469000000017</v>
      </c>
      <c r="E37" s="28">
        <f t="shared" si="37"/>
        <v>21.840645999999971</v>
      </c>
      <c r="F37" s="28">
        <f t="shared" si="37"/>
        <v>7.4019930000000116</v>
      </c>
      <c r="G37" s="28">
        <f t="shared" si="37"/>
        <v>9.1997379999999911</v>
      </c>
      <c r="H37" s="28">
        <f t="shared" si="37"/>
        <v>5.8642920000000007</v>
      </c>
      <c r="I37" s="28">
        <f t="shared" si="37"/>
        <v>16.391888999999995</v>
      </c>
      <c r="J37" s="28">
        <f t="shared" si="37"/>
        <v>9.8616760000000134</v>
      </c>
      <c r="K37" s="28">
        <f t="shared" si="37"/>
        <v>24.306514</v>
      </c>
      <c r="L37" s="28">
        <f t="shared" si="37"/>
        <v>10.725366999999999</v>
      </c>
      <c r="M37" s="28">
        <f t="shared" si="37"/>
        <v>6.2707260000000069</v>
      </c>
      <c r="N37" s="28">
        <f t="shared" si="37"/>
        <v>17.719120000000025</v>
      </c>
      <c r="O37" s="28">
        <f t="shared" si="37"/>
        <v>11.612151999999995</v>
      </c>
      <c r="P37" s="28">
        <f t="shared" si="37"/>
        <v>5.5648369999999971</v>
      </c>
      <c r="Q37" s="28">
        <f t="shared" si="37"/>
        <v>20.060103999999988</v>
      </c>
      <c r="R37" s="28">
        <f t="shared" si="37"/>
        <v>3.214933000000002</v>
      </c>
      <c r="S37" s="28">
        <f t="shared" si="37"/>
        <v>14.380427999999988</v>
      </c>
      <c r="T37" s="28">
        <f t="shared" si="37"/>
        <v>36.352461000000041</v>
      </c>
      <c r="U37" s="28">
        <f t="shared" si="37"/>
        <v>18.730173999999984</v>
      </c>
      <c r="V37" s="28">
        <f t="shared" si="37"/>
        <v>1.0374010000000027</v>
      </c>
      <c r="W37" s="28">
        <f t="shared" ref="W37" si="38">SUM(W38,W39,W42)</f>
        <v>0.443782000000013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3.9608470000000011</v>
      </c>
      <c r="D38" s="108">
        <v>4.2683099999999996</v>
      </c>
      <c r="E38" s="108">
        <v>2.8646729999999963</v>
      </c>
      <c r="F38" s="108">
        <v>2.0417370000000048</v>
      </c>
      <c r="G38" s="108">
        <v>1.7808069999999958</v>
      </c>
      <c r="H38" s="108">
        <v>2.0160349999999951</v>
      </c>
      <c r="I38" s="108">
        <v>1.4467059999999989</v>
      </c>
      <c r="J38" s="108">
        <v>2.5219000000000023</v>
      </c>
      <c r="K38" s="108">
        <v>2.6940129999999911</v>
      </c>
      <c r="L38" s="108">
        <v>1.3764969999999934</v>
      </c>
      <c r="M38" s="108">
        <v>0.73680400000000645</v>
      </c>
      <c r="N38" s="108">
        <v>2.9034779999999998</v>
      </c>
      <c r="O38" s="108">
        <v>1.7987810000000053</v>
      </c>
      <c r="P38" s="108">
        <v>1.1453160000000011</v>
      </c>
      <c r="Q38" s="108">
        <v>1.4114819999999995</v>
      </c>
      <c r="R38" s="108">
        <v>3.214933000000002</v>
      </c>
      <c r="S38" s="108">
        <v>4.1340059999999994</v>
      </c>
      <c r="T38" s="108">
        <v>12.600123000000011</v>
      </c>
      <c r="U38" s="108">
        <v>1.1114869999999968</v>
      </c>
      <c r="V38" s="108">
        <v>1.0374010000000027</v>
      </c>
      <c r="W38" s="108">
        <v>0.443782000000013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17.464604000000008</v>
      </c>
      <c r="D39" s="110">
        <f t="shared" ref="D39:V39" si="40">SUM(D40:D41)</f>
        <v>10.473392000000018</v>
      </c>
      <c r="E39" s="110">
        <f t="shared" si="40"/>
        <v>18.074416999999976</v>
      </c>
      <c r="F39" s="110">
        <f t="shared" si="40"/>
        <v>5.3602560000000068</v>
      </c>
      <c r="G39" s="110">
        <f t="shared" si="40"/>
        <v>5.9410309999999953</v>
      </c>
      <c r="H39" s="110">
        <f t="shared" si="40"/>
        <v>2.3077870000000047</v>
      </c>
      <c r="I39" s="110">
        <f t="shared" si="40"/>
        <v>13.153650999999996</v>
      </c>
      <c r="J39" s="110">
        <f t="shared" si="40"/>
        <v>6.6963060000000105</v>
      </c>
      <c r="K39" s="110">
        <f t="shared" si="40"/>
        <v>21.612501000000009</v>
      </c>
      <c r="L39" s="110">
        <f t="shared" si="40"/>
        <v>8.894355000000008</v>
      </c>
      <c r="M39" s="110">
        <f t="shared" si="40"/>
        <v>4.4853050000000003</v>
      </c>
      <c r="N39" s="110">
        <f t="shared" si="40"/>
        <v>14.815642000000025</v>
      </c>
      <c r="O39" s="110">
        <f t="shared" si="40"/>
        <v>9.8133709999999894</v>
      </c>
      <c r="P39" s="110">
        <f t="shared" si="40"/>
        <v>4.419520999999996</v>
      </c>
      <c r="Q39" s="110">
        <f t="shared" si="40"/>
        <v>18.648621999999989</v>
      </c>
      <c r="R39" s="110">
        <f t="shared" si="40"/>
        <v>0</v>
      </c>
      <c r="S39" s="110">
        <f t="shared" si="40"/>
        <v>9.2366829999999887</v>
      </c>
      <c r="T39" s="110">
        <f t="shared" si="40"/>
        <v>23.25685500000003</v>
      </c>
      <c r="U39" s="110">
        <f t="shared" si="40"/>
        <v>17.123203999999987</v>
      </c>
      <c r="V39" s="110">
        <f t="shared" si="40"/>
        <v>0</v>
      </c>
      <c r="W39" s="110">
        <f t="shared" ref="W39" si="41">SUM(W40:W41)</f>
        <v>0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2.3316510000000079</v>
      </c>
      <c r="E40" s="84">
        <v>4.2120449999999963</v>
      </c>
      <c r="F40" s="84">
        <v>0.41605400000000259</v>
      </c>
      <c r="G40" s="84">
        <v>0</v>
      </c>
      <c r="H40" s="84">
        <v>2.3077870000000047</v>
      </c>
      <c r="I40" s="84">
        <v>0</v>
      </c>
      <c r="J40" s="84">
        <v>0.24602299999999744</v>
      </c>
      <c r="K40" s="84">
        <v>0</v>
      </c>
      <c r="L40" s="84">
        <v>3.9278949999999959</v>
      </c>
      <c r="M40" s="84">
        <v>4.4853050000000003</v>
      </c>
      <c r="N40" s="84">
        <v>0</v>
      </c>
      <c r="O40" s="84">
        <v>0</v>
      </c>
      <c r="P40" s="84">
        <v>4.419520999999996</v>
      </c>
      <c r="Q40" s="84">
        <v>2.3385710000000017</v>
      </c>
      <c r="R40" s="84">
        <v>0</v>
      </c>
      <c r="S40" s="84">
        <v>3.1437619999999988</v>
      </c>
      <c r="T40" s="84">
        <v>0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17.464604000000008</v>
      </c>
      <c r="D41" s="84">
        <v>8.1417410000000103</v>
      </c>
      <c r="E41" s="84">
        <v>13.862371999999979</v>
      </c>
      <c r="F41" s="84">
        <v>4.9442020000000042</v>
      </c>
      <c r="G41" s="84">
        <v>5.9410309999999953</v>
      </c>
      <c r="H41" s="84">
        <v>0</v>
      </c>
      <c r="I41" s="84">
        <v>13.153650999999996</v>
      </c>
      <c r="J41" s="84">
        <v>6.4502830000000131</v>
      </c>
      <c r="K41" s="84">
        <v>21.612501000000009</v>
      </c>
      <c r="L41" s="84">
        <v>4.9664600000000121</v>
      </c>
      <c r="M41" s="84">
        <v>0</v>
      </c>
      <c r="N41" s="84">
        <v>14.815642000000025</v>
      </c>
      <c r="O41" s="84">
        <v>9.8133709999999894</v>
      </c>
      <c r="P41" s="84">
        <v>0</v>
      </c>
      <c r="Q41" s="84">
        <v>16.310050999999987</v>
      </c>
      <c r="R41" s="84">
        <v>0</v>
      </c>
      <c r="S41" s="84">
        <v>6.0929209999999898</v>
      </c>
      <c r="T41" s="84">
        <v>23.25685500000003</v>
      </c>
      <c r="U41" s="84">
        <v>17.123203999999987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0.98576699999999984</v>
      </c>
      <c r="E42" s="113">
        <v>0.90155600000000002</v>
      </c>
      <c r="F42" s="113">
        <v>0</v>
      </c>
      <c r="G42" s="113">
        <v>1.4779</v>
      </c>
      <c r="H42" s="113">
        <v>1.5404700000000009</v>
      </c>
      <c r="I42" s="113">
        <v>1.7915320000000001</v>
      </c>
      <c r="J42" s="113">
        <v>0.64347000000000065</v>
      </c>
      <c r="K42" s="113">
        <v>0</v>
      </c>
      <c r="L42" s="113">
        <v>0.454514999999998</v>
      </c>
      <c r="M42" s="113">
        <v>1.0486170000000001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1.0097389999999997</v>
      </c>
      <c r="T42" s="113">
        <v>0.49548300000000012</v>
      </c>
      <c r="U42" s="113">
        <v>0.49548299999999834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2.5045280000000041</v>
      </c>
      <c r="D43" s="28">
        <f t="shared" ref="D43:V43" si="43">SUM(D44:D45)</f>
        <v>2.8313270000000017</v>
      </c>
      <c r="E43" s="28">
        <f t="shared" si="43"/>
        <v>4.9283979999999978</v>
      </c>
      <c r="F43" s="28">
        <f t="shared" si="43"/>
        <v>6.4997890000000034</v>
      </c>
      <c r="G43" s="28">
        <f t="shared" si="43"/>
        <v>1.608000999999998</v>
      </c>
      <c r="H43" s="28">
        <f t="shared" si="43"/>
        <v>12.655250000000009</v>
      </c>
      <c r="I43" s="28">
        <f t="shared" si="43"/>
        <v>3.6308580000000035</v>
      </c>
      <c r="J43" s="28">
        <f t="shared" si="43"/>
        <v>1.5179479999999899</v>
      </c>
      <c r="K43" s="28">
        <f t="shared" si="43"/>
        <v>0</v>
      </c>
      <c r="L43" s="28">
        <f t="shared" si="43"/>
        <v>0.68208900000000128</v>
      </c>
      <c r="M43" s="28">
        <f t="shared" si="43"/>
        <v>1.3313170000000021</v>
      </c>
      <c r="N43" s="28">
        <f t="shared" si="43"/>
        <v>2.9782179999999983</v>
      </c>
      <c r="O43" s="28">
        <f t="shared" si="43"/>
        <v>0.41640300000000252</v>
      </c>
      <c r="P43" s="28">
        <f t="shared" si="43"/>
        <v>9.0241529999999983</v>
      </c>
      <c r="Q43" s="28">
        <f t="shared" si="43"/>
        <v>0</v>
      </c>
      <c r="R43" s="28">
        <f t="shared" si="43"/>
        <v>4.225597999999998</v>
      </c>
      <c r="S43" s="28">
        <f t="shared" si="43"/>
        <v>11.010612000000009</v>
      </c>
      <c r="T43" s="28">
        <f t="shared" si="43"/>
        <v>6.5290219999999959</v>
      </c>
      <c r="U43" s="28">
        <f t="shared" si="43"/>
        <v>2.3777079999999984</v>
      </c>
      <c r="V43" s="28">
        <f t="shared" si="43"/>
        <v>3.4511370000000028</v>
      </c>
      <c r="W43" s="28">
        <f t="shared" ref="W43" si="44">SUM(W44:W45)</f>
        <v>5.0079049999999974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0.82214600000000004</v>
      </c>
      <c r="D44" s="84">
        <v>0</v>
      </c>
      <c r="E44" s="84">
        <v>1.5373809999999999</v>
      </c>
      <c r="F44" s="84">
        <v>2.8522220000000011</v>
      </c>
      <c r="G44" s="84">
        <v>1.608000999999998</v>
      </c>
      <c r="H44" s="84">
        <v>3.4246240000000014</v>
      </c>
      <c r="I44" s="84">
        <v>0</v>
      </c>
      <c r="J44" s="84">
        <v>0</v>
      </c>
      <c r="K44" s="84">
        <v>0</v>
      </c>
      <c r="L44" s="84">
        <v>0.46471099999999765</v>
      </c>
      <c r="M44" s="84">
        <v>0.93940699999999921</v>
      </c>
      <c r="N44" s="84">
        <v>2.9782179999999983</v>
      </c>
      <c r="O44" s="84">
        <v>0.41640300000000252</v>
      </c>
      <c r="P44" s="84">
        <v>0</v>
      </c>
      <c r="Q44" s="84">
        <v>0</v>
      </c>
      <c r="R44" s="84">
        <v>0</v>
      </c>
      <c r="S44" s="84">
        <v>0.30666000000000082</v>
      </c>
      <c r="T44" s="84">
        <v>6.2399970000000007</v>
      </c>
      <c r="U44" s="84">
        <v>2.3777079999999984</v>
      </c>
      <c r="V44" s="84">
        <v>0</v>
      </c>
      <c r="W44" s="84">
        <v>5.0079049999999974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1.682382000000004</v>
      </c>
      <c r="D45" s="86">
        <v>2.8313270000000017</v>
      </c>
      <c r="E45" s="86">
        <v>3.3910169999999979</v>
      </c>
      <c r="F45" s="86">
        <v>3.6475670000000022</v>
      </c>
      <c r="G45" s="86">
        <v>0</v>
      </c>
      <c r="H45" s="86">
        <v>9.230626000000008</v>
      </c>
      <c r="I45" s="86">
        <v>3.6308580000000035</v>
      </c>
      <c r="J45" s="86">
        <v>1.5179479999999899</v>
      </c>
      <c r="K45" s="86">
        <v>0</v>
      </c>
      <c r="L45" s="86">
        <v>0.21737800000000362</v>
      </c>
      <c r="M45" s="86">
        <v>0.39191000000000287</v>
      </c>
      <c r="N45" s="86">
        <v>0</v>
      </c>
      <c r="O45" s="86">
        <v>0</v>
      </c>
      <c r="P45" s="86">
        <v>9.0241529999999983</v>
      </c>
      <c r="Q45" s="86">
        <v>0</v>
      </c>
      <c r="R45" s="86">
        <v>4.225597999999998</v>
      </c>
      <c r="S45" s="86">
        <v>10.703952000000008</v>
      </c>
      <c r="T45" s="86">
        <v>0.2890249999999952</v>
      </c>
      <c r="U45" s="86">
        <v>0</v>
      </c>
      <c r="V45" s="86">
        <v>3.4511370000000028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147.21865197437529</v>
      </c>
      <c r="C50" s="29">
        <f t="shared" si="45"/>
        <v>133.700710683452</v>
      </c>
      <c r="D50" s="29">
        <f t="shared" si="45"/>
        <v>127.97424555498705</v>
      </c>
      <c r="E50" s="29">
        <f t="shared" si="45"/>
        <v>118.63852561785129</v>
      </c>
      <c r="F50" s="29">
        <f t="shared" si="45"/>
        <v>119.39893714251471</v>
      </c>
      <c r="G50" s="29">
        <f t="shared" si="45"/>
        <v>120.60381516286982</v>
      </c>
      <c r="H50" s="29">
        <f t="shared" si="45"/>
        <v>122.75347059920318</v>
      </c>
      <c r="I50" s="29">
        <f t="shared" si="45"/>
        <v>124.73799543236892</v>
      </c>
      <c r="J50" s="29">
        <f t="shared" si="45"/>
        <v>129.08009372108978</v>
      </c>
      <c r="K50" s="29">
        <f t="shared" ref="K50:V50" si="46">IF(K4=0,0,K4/K15)</f>
        <v>117.05807157673141</v>
      </c>
      <c r="L50" s="29">
        <f t="shared" si="46"/>
        <v>116.28372667287408</v>
      </c>
      <c r="M50" s="29">
        <f t="shared" si="46"/>
        <v>113.45971785076293</v>
      </c>
      <c r="N50" s="29">
        <f t="shared" si="46"/>
        <v>114.32780461106886</v>
      </c>
      <c r="O50" s="29">
        <f t="shared" si="46"/>
        <v>113.75180331133629</v>
      </c>
      <c r="P50" s="29">
        <f t="shared" si="46"/>
        <v>112.64553140230556</v>
      </c>
      <c r="Q50" s="29">
        <f t="shared" si="46"/>
        <v>112.84823084516989</v>
      </c>
      <c r="R50" s="29">
        <f t="shared" si="46"/>
        <v>111.98688078099725</v>
      </c>
      <c r="S50" s="29">
        <f t="shared" si="46"/>
        <v>117.92374830277527</v>
      </c>
      <c r="T50" s="29">
        <f t="shared" si="46"/>
        <v>117.04625191519114</v>
      </c>
      <c r="U50" s="29">
        <f t="shared" si="46"/>
        <v>122.27382348649243</v>
      </c>
      <c r="V50" s="29">
        <f t="shared" si="46"/>
        <v>89.559770311227751</v>
      </c>
      <c r="W50" s="29">
        <f t="shared" ref="W50" si="47">IF(W4=0,0,W4/W15)</f>
        <v>89.064913221910643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78.753056121650843</v>
      </c>
      <c r="C51" s="115">
        <f t="shared" si="48"/>
        <v>77.286803808598691</v>
      </c>
      <c r="D51" s="115">
        <f t="shared" si="48"/>
        <v>76.318300324481086</v>
      </c>
      <c r="E51" s="115">
        <f t="shared" si="48"/>
        <v>75.9345233021197</v>
      </c>
      <c r="F51" s="115">
        <f t="shared" si="48"/>
        <v>75.959429964491733</v>
      </c>
      <c r="G51" s="115">
        <f t="shared" si="48"/>
        <v>76.637149211187278</v>
      </c>
      <c r="H51" s="115">
        <f t="shared" si="48"/>
        <v>76.299809929130078</v>
      </c>
      <c r="I51" s="115">
        <f t="shared" si="48"/>
        <v>76.367811172143277</v>
      </c>
      <c r="J51" s="115">
        <f t="shared" si="48"/>
        <v>77.450205688760889</v>
      </c>
      <c r="K51" s="115">
        <f t="shared" ref="K51:V51" si="49">IF(K5=0,0,K5/K16)</f>
        <v>76.572765560914533</v>
      </c>
      <c r="L51" s="115">
        <f t="shared" si="49"/>
        <v>77.018948087091502</v>
      </c>
      <c r="M51" s="115">
        <f t="shared" si="49"/>
        <v>76.354654699573757</v>
      </c>
      <c r="N51" s="115">
        <f t="shared" si="49"/>
        <v>76.826539192505763</v>
      </c>
      <c r="O51" s="115">
        <f t="shared" si="49"/>
        <v>76.902486685961492</v>
      </c>
      <c r="P51" s="115">
        <f t="shared" si="49"/>
        <v>76.262823929353686</v>
      </c>
      <c r="Q51" s="115">
        <f t="shared" si="49"/>
        <v>77.302897954104552</v>
      </c>
      <c r="R51" s="115">
        <f t="shared" si="49"/>
        <v>77.426559252964481</v>
      </c>
      <c r="S51" s="115">
        <f t="shared" si="49"/>
        <v>79.160248838427492</v>
      </c>
      <c r="T51" s="115">
        <f t="shared" si="49"/>
        <v>79.704900369763564</v>
      </c>
      <c r="U51" s="115">
        <f t="shared" si="49"/>
        <v>80.372153758263281</v>
      </c>
      <c r="V51" s="115">
        <f t="shared" si="49"/>
        <v>70.074547390841317</v>
      </c>
      <c r="W51" s="115">
        <f t="shared" ref="W51" si="50">IF(W5=0,0,W5/W16)</f>
        <v>63.160727372663985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168.85109426620241</v>
      </c>
      <c r="C52" s="116">
        <f t="shared" si="51"/>
        <v>150.43072749894534</v>
      </c>
      <c r="D52" s="116">
        <f t="shared" si="51"/>
        <v>142.38961420590991</v>
      </c>
      <c r="E52" s="116">
        <f t="shared" si="51"/>
        <v>128.44876263073317</v>
      </c>
      <c r="F52" s="116">
        <f t="shared" si="51"/>
        <v>129.68182742152922</v>
      </c>
      <c r="G52" s="116">
        <f t="shared" si="51"/>
        <v>129.27907133720228</v>
      </c>
      <c r="H52" s="116">
        <f t="shared" si="51"/>
        <v>130.90782229129192</v>
      </c>
      <c r="I52" s="116">
        <f t="shared" si="51"/>
        <v>131.43165797788603</v>
      </c>
      <c r="J52" s="116">
        <f t="shared" si="51"/>
        <v>136.92150475156572</v>
      </c>
      <c r="K52" s="116">
        <f t="shared" ref="K52:V52" si="52">IF(K6=0,0,K6/K17)</f>
        <v>120.33414474804042</v>
      </c>
      <c r="L52" s="116">
        <f t="shared" si="52"/>
        <v>118.22200694623643</v>
      </c>
      <c r="M52" s="116">
        <f t="shared" si="52"/>
        <v>114.10596368960398</v>
      </c>
      <c r="N52" s="116">
        <f t="shared" si="52"/>
        <v>114.68622738035666</v>
      </c>
      <c r="O52" s="116">
        <f t="shared" si="52"/>
        <v>112.16373684615628</v>
      </c>
      <c r="P52" s="116">
        <f t="shared" si="52"/>
        <v>113.64327576680101</v>
      </c>
      <c r="Q52" s="116">
        <f t="shared" si="52"/>
        <v>115.38247940210219</v>
      </c>
      <c r="R52" s="116">
        <f t="shared" si="52"/>
        <v>113.50263007013602</v>
      </c>
      <c r="S52" s="116">
        <f t="shared" si="52"/>
        <v>121.87013015442396</v>
      </c>
      <c r="T52" s="116">
        <f t="shared" si="52"/>
        <v>118.75534597808914</v>
      </c>
      <c r="U52" s="116">
        <f t="shared" si="52"/>
        <v>125.89923720527185</v>
      </c>
      <c r="V52" s="116">
        <f t="shared" si="52"/>
        <v>94.328468060730515</v>
      </c>
      <c r="W52" s="116">
        <f t="shared" ref="W52" si="53">IF(W6=0,0,W6/W17)</f>
        <v>96.281613624762684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115.31367043894166</v>
      </c>
      <c r="C53" s="87">
        <f t="shared" si="54"/>
        <v>111.70781705660821</v>
      </c>
      <c r="D53" s="87">
        <f t="shared" si="54"/>
        <v>108.53815039173544</v>
      </c>
      <c r="E53" s="87">
        <f t="shared" si="54"/>
        <v>105.13122417744705</v>
      </c>
      <c r="F53" s="87">
        <f t="shared" si="54"/>
        <v>105.25523187505048</v>
      </c>
      <c r="G53" s="87">
        <f t="shared" si="54"/>
        <v>106.78874076673432</v>
      </c>
      <c r="H53" s="87">
        <f t="shared" si="54"/>
        <v>105.7456757571521</v>
      </c>
      <c r="I53" s="87">
        <f t="shared" si="54"/>
        <v>109.69952984636392</v>
      </c>
      <c r="J53" s="87">
        <f t="shared" si="54"/>
        <v>104.04579697985928</v>
      </c>
      <c r="K53" s="87">
        <f t="shared" ref="K53:V53" si="55">IF(K7=0,0,K7/K18)</f>
        <v>90.973797672710887</v>
      </c>
      <c r="L53" s="87">
        <f t="shared" si="55"/>
        <v>102.48388107455339</v>
      </c>
      <c r="M53" s="87">
        <f t="shared" si="55"/>
        <v>100.62070198602954</v>
      </c>
      <c r="N53" s="87">
        <f t="shared" si="55"/>
        <v>99.690468027004499</v>
      </c>
      <c r="O53" s="87">
        <f t="shared" si="55"/>
        <v>88.38182941334</v>
      </c>
      <c r="P53" s="87">
        <f t="shared" si="55"/>
        <v>105.89365665120224</v>
      </c>
      <c r="Q53" s="87">
        <f t="shared" si="55"/>
        <v>105.49789345598334</v>
      </c>
      <c r="R53" s="87">
        <f t="shared" si="55"/>
        <v>102.68242397831851</v>
      </c>
      <c r="S53" s="87">
        <f t="shared" si="55"/>
        <v>102.76704892444192</v>
      </c>
      <c r="T53" s="87">
        <f t="shared" si="55"/>
        <v>96.368358973142648</v>
      </c>
      <c r="U53" s="87">
        <f t="shared" si="55"/>
        <v>97.827333324755145</v>
      </c>
      <c r="V53" s="87">
        <f t="shared" si="55"/>
        <v>62.705054450288948</v>
      </c>
      <c r="W53" s="87">
        <f t="shared" ref="W53" si="56">IF(W7=0,0,W7/W18)</f>
        <v>69.315249736410735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188.93539390215636</v>
      </c>
      <c r="C54" s="87">
        <f t="shared" si="57"/>
        <v>161.95324251717366</v>
      </c>
      <c r="D54" s="87">
        <f t="shared" si="57"/>
        <v>152.38989658200018</v>
      </c>
      <c r="E54" s="87">
        <f t="shared" si="57"/>
        <v>135.32865578299717</v>
      </c>
      <c r="F54" s="87">
        <f t="shared" si="57"/>
        <v>136.65790434758085</v>
      </c>
      <c r="G54" s="87">
        <f t="shared" si="57"/>
        <v>134.96532412730849</v>
      </c>
      <c r="H54" s="87">
        <f t="shared" si="57"/>
        <v>137.84526572046886</v>
      </c>
      <c r="I54" s="87">
        <f t="shared" si="57"/>
        <v>136.01492914320067</v>
      </c>
      <c r="J54" s="87">
        <f t="shared" si="57"/>
        <v>144.04382664995862</v>
      </c>
      <c r="K54" s="87">
        <f t="shared" ref="K54:V54" si="58">IF(K8=0,0,K8/K19)</f>
        <v>125.14857678549103</v>
      </c>
      <c r="L54" s="87">
        <f t="shared" si="58"/>
        <v>121.11710289734441</v>
      </c>
      <c r="M54" s="87">
        <f t="shared" si="58"/>
        <v>116.95955485690041</v>
      </c>
      <c r="N54" s="87">
        <f t="shared" si="58"/>
        <v>117.30149232226694</v>
      </c>
      <c r="O54" s="87">
        <f t="shared" si="58"/>
        <v>115.57215834706449</v>
      </c>
      <c r="P54" s="87">
        <f t="shared" si="58"/>
        <v>115.02008622342049</v>
      </c>
      <c r="Q54" s="87">
        <f t="shared" si="58"/>
        <v>117.06457971871814</v>
      </c>
      <c r="R54" s="87">
        <f t="shared" si="58"/>
        <v>115.20759138442129</v>
      </c>
      <c r="S54" s="87">
        <f t="shared" si="58"/>
        <v>125.07426229353533</v>
      </c>
      <c r="T54" s="87">
        <f t="shared" si="58"/>
        <v>121.31284097781176</v>
      </c>
      <c r="U54" s="87">
        <f t="shared" si="58"/>
        <v>128.0109281170582</v>
      </c>
      <c r="V54" s="87">
        <f t="shared" si="58"/>
        <v>97.022836006779116</v>
      </c>
      <c r="W54" s="87">
        <f t="shared" ref="W54" si="59">IF(W8=0,0,W8/W19)</f>
        <v>98.540013149574975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158.2280701754386</v>
      </c>
      <c r="C55" s="117">
        <f t="shared" si="60"/>
        <v>160.4105263157895</v>
      </c>
      <c r="D55" s="117">
        <f t="shared" si="60"/>
        <v>161.50175438596489</v>
      </c>
      <c r="E55" s="117">
        <f t="shared" si="60"/>
        <v>162.59298245614033</v>
      </c>
      <c r="F55" s="117">
        <f t="shared" si="60"/>
        <v>166.95789473684209</v>
      </c>
      <c r="G55" s="117">
        <f t="shared" si="60"/>
        <v>169.14035087719299</v>
      </c>
      <c r="H55" s="117">
        <f t="shared" si="60"/>
        <v>172.59287338893103</v>
      </c>
      <c r="I55" s="117">
        <f t="shared" si="60"/>
        <v>174.96056782334384</v>
      </c>
      <c r="J55" s="117">
        <f t="shared" si="60"/>
        <v>173.11171240819479</v>
      </c>
      <c r="K55" s="117">
        <f t="shared" ref="K55:V55" si="61">IF(K9=0,0,K9/K20)</f>
        <v>171.69182513232698</v>
      </c>
      <c r="L55" s="117">
        <f t="shared" si="61"/>
        <v>174.00943396226415</v>
      </c>
      <c r="M55" s="117">
        <f t="shared" si="61"/>
        <v>168.74864767399924</v>
      </c>
      <c r="N55" s="117">
        <f t="shared" si="61"/>
        <v>175.33958724202628</v>
      </c>
      <c r="O55" s="117">
        <f t="shared" si="61"/>
        <v>187.69788289147431</v>
      </c>
      <c r="P55" s="117">
        <f t="shared" si="61"/>
        <v>168.87001726972858</v>
      </c>
      <c r="Q55" s="117">
        <f t="shared" si="61"/>
        <v>156.53919260717163</v>
      </c>
      <c r="R55" s="117">
        <f t="shared" si="61"/>
        <v>163.00000172709633</v>
      </c>
      <c r="S55" s="117">
        <f t="shared" si="61"/>
        <v>153.39366515837105</v>
      </c>
      <c r="T55" s="117">
        <f t="shared" si="61"/>
        <v>171.65330043183221</v>
      </c>
      <c r="U55" s="117">
        <f t="shared" si="61"/>
        <v>168.08259587020649</v>
      </c>
      <c r="V55" s="117">
        <f t="shared" si="61"/>
        <v>98.684210526315795</v>
      </c>
      <c r="W55" s="117">
        <f t="shared" ref="W55" si="62">IF(W9=0,0,W9/W20)</f>
        <v>92.085565710683895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610.23329445921331</v>
      </c>
      <c r="C56" s="29">
        <f t="shared" si="63"/>
        <v>598.21072636202587</v>
      </c>
      <c r="D56" s="29">
        <f t="shared" si="63"/>
        <v>589.79772215752712</v>
      </c>
      <c r="E56" s="29">
        <f t="shared" si="63"/>
        <v>598.56995029601194</v>
      </c>
      <c r="F56" s="29">
        <f t="shared" si="63"/>
        <v>577.46121004570864</v>
      </c>
      <c r="G56" s="29">
        <f t="shared" si="63"/>
        <v>565.54513732194289</v>
      </c>
      <c r="H56" s="29">
        <f t="shared" si="63"/>
        <v>578.83636846102445</v>
      </c>
      <c r="I56" s="29">
        <f t="shared" si="63"/>
        <v>568.83236936342973</v>
      </c>
      <c r="J56" s="29">
        <f t="shared" si="63"/>
        <v>580.93517661485066</v>
      </c>
      <c r="K56" s="29">
        <f t="shared" ref="K56:V56" si="64">IF(K10=0,0,K10/K21)</f>
        <v>583.56021450092044</v>
      </c>
      <c r="L56" s="29">
        <f t="shared" si="64"/>
        <v>592.8732304260925</v>
      </c>
      <c r="M56" s="29">
        <f t="shared" si="64"/>
        <v>582.61225815358489</v>
      </c>
      <c r="N56" s="29">
        <f t="shared" si="64"/>
        <v>575.81728526235679</v>
      </c>
      <c r="O56" s="29">
        <f t="shared" si="64"/>
        <v>615.35648806766244</v>
      </c>
      <c r="P56" s="29">
        <f t="shared" si="64"/>
        <v>593.43452022984695</v>
      </c>
      <c r="Q56" s="29">
        <f t="shared" si="64"/>
        <v>638.55670860155215</v>
      </c>
      <c r="R56" s="29">
        <f t="shared" si="64"/>
        <v>651.87417447830182</v>
      </c>
      <c r="S56" s="29">
        <f t="shared" si="64"/>
        <v>641.38763532150995</v>
      </c>
      <c r="T56" s="29">
        <f t="shared" si="64"/>
        <v>662.20462581907771</v>
      </c>
      <c r="U56" s="29">
        <f t="shared" si="64"/>
        <v>687.60484067383152</v>
      </c>
      <c r="V56" s="29">
        <f t="shared" si="64"/>
        <v>634.20430486802923</v>
      </c>
      <c r="W56" s="29">
        <f t="shared" ref="W56" si="65">IF(W10=0,0,W10/W21)</f>
        <v>661.77152017654623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618.97275657365515</v>
      </c>
      <c r="C57" s="87">
        <f t="shared" si="66"/>
        <v>620.34428245301353</v>
      </c>
      <c r="D57" s="87">
        <f t="shared" si="66"/>
        <v>612.18899440945722</v>
      </c>
      <c r="E57" s="87">
        <f t="shared" si="66"/>
        <v>633.92590303491556</v>
      </c>
      <c r="F57" s="87">
        <f t="shared" si="66"/>
        <v>616.02094287796365</v>
      </c>
      <c r="G57" s="87">
        <f t="shared" si="66"/>
        <v>611.92794575295579</v>
      </c>
      <c r="H57" s="87">
        <f t="shared" si="66"/>
        <v>625.69929682380564</v>
      </c>
      <c r="I57" s="87">
        <f t="shared" si="66"/>
        <v>617.9007504006164</v>
      </c>
      <c r="J57" s="87">
        <f t="shared" si="66"/>
        <v>625.94831124777886</v>
      </c>
      <c r="K57" s="87">
        <f t="shared" ref="K57:V57" si="67">IF(K11=0,0,K11/K22)</f>
        <v>630.42519108462864</v>
      </c>
      <c r="L57" s="87">
        <f t="shared" si="67"/>
        <v>652.12190393978335</v>
      </c>
      <c r="M57" s="87">
        <f t="shared" si="67"/>
        <v>666.72541626031932</v>
      </c>
      <c r="N57" s="87">
        <f t="shared" si="67"/>
        <v>663.79088783145471</v>
      </c>
      <c r="O57" s="87">
        <f t="shared" si="67"/>
        <v>646.1732004965703</v>
      </c>
      <c r="P57" s="87">
        <f t="shared" si="67"/>
        <v>722.15508726855023</v>
      </c>
      <c r="Q57" s="87">
        <f t="shared" si="67"/>
        <v>759.32819992840155</v>
      </c>
      <c r="R57" s="87">
        <f t="shared" si="67"/>
        <v>782.67032320537464</v>
      </c>
      <c r="S57" s="87">
        <f t="shared" si="67"/>
        <v>822.28831385629564</v>
      </c>
      <c r="T57" s="87">
        <f t="shared" si="67"/>
        <v>692.26958490525999</v>
      </c>
      <c r="U57" s="87">
        <f t="shared" si="67"/>
        <v>604.69535460290695</v>
      </c>
      <c r="V57" s="87">
        <f t="shared" si="67"/>
        <v>624.62262409554182</v>
      </c>
      <c r="W57" s="87">
        <f t="shared" ref="W57" si="68">IF(W11=0,0,W11/W22)</f>
        <v>645.77991120282013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605.81533868774352</v>
      </c>
      <c r="C58" s="88">
        <f t="shared" si="69"/>
        <v>587.10452824871197</v>
      </c>
      <c r="D58" s="88">
        <f t="shared" si="69"/>
        <v>579.35053723632075</v>
      </c>
      <c r="E58" s="88">
        <f t="shared" si="69"/>
        <v>582.25398221890407</v>
      </c>
      <c r="F58" s="88">
        <f t="shared" si="69"/>
        <v>559.0733537676166</v>
      </c>
      <c r="G58" s="88">
        <f t="shared" si="69"/>
        <v>542.16522687883344</v>
      </c>
      <c r="H58" s="88">
        <f t="shared" si="69"/>
        <v>556.23782753581747</v>
      </c>
      <c r="I58" s="88">
        <f t="shared" si="69"/>
        <v>549.97929543072314</v>
      </c>
      <c r="J58" s="88">
        <f t="shared" si="69"/>
        <v>562.63579182913702</v>
      </c>
      <c r="K58" s="88">
        <f t="shared" ref="K58:V58" si="70">IF(K12=0,0,K12/K23)</f>
        <v>563.45584463550028</v>
      </c>
      <c r="L58" s="88">
        <f t="shared" si="70"/>
        <v>569.31613547134339</v>
      </c>
      <c r="M58" s="88">
        <f t="shared" si="70"/>
        <v>548.56894359685487</v>
      </c>
      <c r="N58" s="88">
        <f t="shared" si="70"/>
        <v>535.96839879706738</v>
      </c>
      <c r="O58" s="88">
        <f t="shared" si="70"/>
        <v>601.02711751231925</v>
      </c>
      <c r="P58" s="88">
        <f t="shared" si="70"/>
        <v>547.86885477075009</v>
      </c>
      <c r="Q58" s="88">
        <f t="shared" si="70"/>
        <v>602.18149829787581</v>
      </c>
      <c r="R58" s="88">
        <f t="shared" si="70"/>
        <v>615.11074250799004</v>
      </c>
      <c r="S58" s="88">
        <f t="shared" si="70"/>
        <v>599.1626831765426</v>
      </c>
      <c r="T58" s="88">
        <f t="shared" si="70"/>
        <v>652.60216572774959</v>
      </c>
      <c r="U58" s="88">
        <f t="shared" si="70"/>
        <v>721.56402651842973</v>
      </c>
      <c r="V58" s="88">
        <f t="shared" si="70"/>
        <v>637.36964212465944</v>
      </c>
      <c r="W58" s="88">
        <f t="shared" ref="W58" si="71">IF(W12=0,0,W12/W23)</f>
        <v>668.38093661225264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345.41553669558778</v>
      </c>
      <c r="C61" s="29">
        <f t="shared" ref="C61" si="73">IF(C26=0,0,(C62*C27+C64*C29+C65*C30+C66*C31)/(C27+C29+C30+C31))</f>
        <v>344.44673497995689</v>
      </c>
      <c r="D61" s="29">
        <f t="shared" ref="D61" si="74">IF(D26=0,0,(D62*D27+D64*D29+D65*D30+D66*D31)/(D27+D29+D30+D31))</f>
        <v>345.30155433354201</v>
      </c>
      <c r="E61" s="29">
        <f t="shared" ref="E61" si="75">IF(E26=0,0,(E62*E27+E64*E29+E65*E30+E66*E31)/(E27+E29+E30+E31))</f>
        <v>344.80354497638342</v>
      </c>
      <c r="F61" s="29">
        <f t="shared" ref="F61" si="76">IF(F26=0,0,(F62*F27+F64*F29+F65*F30+F66*F31)/(F27+F29+F30+F31))</f>
        <v>344.60347249372489</v>
      </c>
      <c r="G61" s="29">
        <f t="shared" ref="G61" si="77">IF(G26=0,0,(G62*G27+G64*G29+G65*G30+G66*G31)/(G27+G29+G30+G31))</f>
        <v>345.98935889345717</v>
      </c>
      <c r="H61" s="29">
        <f t="shared" ref="H61" si="78">IF(H26=0,0,(H62*H27+H64*H29+H65*H30+H66*H31)/(H27+H29+H30+H31))</f>
        <v>348.02812315795927</v>
      </c>
      <c r="I61" s="29">
        <f t="shared" ref="I61" si="79">IF(I26=0,0,(I62*I27+I64*I29+I65*I30+I66*I31)/(I27+I29+I30+I31))</f>
        <v>348.74144889730741</v>
      </c>
      <c r="J61" s="29">
        <f t="shared" ref="J61" si="80">IF(J26=0,0,(J62*J27+J64*J29+J65*J30+J66*J31)/(J27+J29+J30+J31))</f>
        <v>349.11062017356949</v>
      </c>
      <c r="K61" s="29">
        <f t="shared" ref="K61" si="81">IF(K26=0,0,(K62*K27+K64*K29+K65*K30+K66*K31)/(K27+K29+K30+K31))</f>
        <v>347.45915159898806</v>
      </c>
      <c r="L61" s="29">
        <f t="shared" ref="L61" si="82">IF(L26=0,0,(L62*L27+L64*L29+L65*L30+L66*L31)/(L27+L29+L30+L31))</f>
        <v>347.19343518065091</v>
      </c>
      <c r="M61" s="29">
        <f t="shared" ref="M61" si="83">IF(M26=0,0,(M62*M27+M64*M29+M65*M30+M66*M31)/(M27+M29+M30+M31))</f>
        <v>347.91063822539269</v>
      </c>
      <c r="N61" s="29">
        <f t="shared" ref="N61" si="84">IF(N26=0,0,(N62*N27+N64*N29+N65*N30+N66*N31)/(N27+N29+N30+N31))</f>
        <v>347.16143436409385</v>
      </c>
      <c r="O61" s="29">
        <f t="shared" ref="O61" si="85">IF(O26=0,0,(O62*O27+O64*O29+O65*O30+O66*O31)/(O27+O29+O30+O31))</f>
        <v>346.73443468805471</v>
      </c>
      <c r="P61" s="29">
        <f t="shared" ref="P61" si="86">IF(P26=0,0,(P62*P27+P64*P29+P65*P30+P66*P31)/(P27+P29+P30+P31))</f>
        <v>347.12319509858213</v>
      </c>
      <c r="Q61" s="29">
        <f t="shared" ref="Q61" si="87">IF(Q26=0,0,(Q62*Q27+Q64*Q29+Q65*Q30+Q66*Q31)/(Q27+Q29+Q30+Q31))</f>
        <v>345.51139515446806</v>
      </c>
      <c r="R61" s="29">
        <f t="shared" ref="R61" si="88">IF(R26=0,0,(R62*R27+R64*R29+R65*R30+R66*R31)/(R27+R29+R30+R31))</f>
        <v>346.96708803486456</v>
      </c>
      <c r="S61" s="29">
        <f t="shared" ref="S61" si="89">IF(S26=0,0,(S62*S27+S64*S29+S65*S30+S66*S31)/(S27+S29+S30+S31))</f>
        <v>347.66634595078909</v>
      </c>
      <c r="T61" s="29">
        <f t="shared" ref="T61" si="90">IF(T26=0,0,(T62*T27+T64*T29+T65*T30+T66*T31)/(T27+T29+T30+T31))</f>
        <v>348.33250054626535</v>
      </c>
      <c r="U61" s="29">
        <f t="shared" ref="U61" si="91">IF(U26=0,0,(U62*U27+U64*U29+U65*U30+U66*U31)/(U27+U29+U30+U31))</f>
        <v>347.55444496479709</v>
      </c>
      <c r="V61" s="29">
        <f t="shared" ref="V61" si="92">IF(V26=0,0,(V62*V27+V64*V29+V65*V30+V66*V31)/(V27+V29+V30+V31))</f>
        <v>348.54882783131075</v>
      </c>
      <c r="W61" s="29">
        <f t="shared" ref="W61" si="93">IF(W26=0,0,(W62*W27+W64*W29+W65*W30+W66*W31)/(W27+W29+W30+W31))</f>
        <v>349.53710666346245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320.00000000000006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320.00000000000006</v>
      </c>
      <c r="J63" s="116">
        <f t="shared" ref="J63" si="102">IF(J28=0,0,(J64*J29+J65*J30)/(J29+J30))</f>
        <v>319.99999999999994</v>
      </c>
      <c r="K63" s="116">
        <f t="shared" ref="K63" si="103">IF(K28=0,0,(K64*K29+K65*K30)/(K29+K30))</f>
        <v>320.00000000000006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319.99999999999994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319.99999999999994</v>
      </c>
      <c r="V63" s="116">
        <f t="shared" ref="V63" si="114">IF(V28=0,0,(V64*V29+V65*V30)/(V29+V30))</f>
        <v>320.00000000000006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2099.9999999999995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2100.0000000000005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2099.9999999999995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2099.9999999999995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0.42620738309208722</v>
      </c>
      <c r="C72" s="30">
        <f t="shared" ref="C72:J72" si="138">IF(C50=0,0,C50/C61)</f>
        <v>0.38816077235056956</v>
      </c>
      <c r="D72" s="30">
        <f t="shared" si="138"/>
        <v>0.37061589775344911</v>
      </c>
      <c r="E72" s="30">
        <f t="shared" si="138"/>
        <v>0.3440757131020134</v>
      </c>
      <c r="F72" s="30">
        <f t="shared" si="138"/>
        <v>0.34648210674861646</v>
      </c>
      <c r="G72" s="30">
        <f t="shared" si="138"/>
        <v>0.34857666012788607</v>
      </c>
      <c r="H72" s="30">
        <f t="shared" si="138"/>
        <v>0.3527113541438982</v>
      </c>
      <c r="I72" s="30">
        <f t="shared" si="138"/>
        <v>0.35768044156145046</v>
      </c>
      <c r="J72" s="30">
        <f t="shared" si="138"/>
        <v>0.36973980813563972</v>
      </c>
      <c r="K72" s="30">
        <f t="shared" ref="K72:V72" si="139">IF(K50=0,0,K50/K61)</f>
        <v>0.33689736200078929</v>
      </c>
      <c r="L72" s="30">
        <f t="shared" si="139"/>
        <v>0.33492490032932104</v>
      </c>
      <c r="M72" s="30">
        <f t="shared" si="139"/>
        <v>0.32611741460247745</v>
      </c>
      <c r="N72" s="30">
        <f t="shared" si="139"/>
        <v>0.32932173131640202</v>
      </c>
      <c r="O72" s="30">
        <f t="shared" si="139"/>
        <v>0.32806606996987464</v>
      </c>
      <c r="P72" s="30">
        <f t="shared" si="139"/>
        <v>0.32451168055858243</v>
      </c>
      <c r="Q72" s="30">
        <f t="shared" si="139"/>
        <v>0.32661218248596041</v>
      </c>
      <c r="R72" s="30">
        <f t="shared" si="139"/>
        <v>0.32275937586836589</v>
      </c>
      <c r="S72" s="30">
        <f t="shared" si="139"/>
        <v>0.33918654962211081</v>
      </c>
      <c r="T72" s="30">
        <f t="shared" si="139"/>
        <v>0.33601875142754617</v>
      </c>
      <c r="U72" s="30">
        <f t="shared" si="139"/>
        <v>0.35181199739475993</v>
      </c>
      <c r="V72" s="30">
        <f t="shared" si="139"/>
        <v>0.25695042748665481</v>
      </c>
      <c r="W72" s="30">
        <f t="shared" ref="W72" si="140">IF(W50=0,0,W50/W61)</f>
        <v>0.25480817779859682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0.19688264030412711</v>
      </c>
      <c r="C73" s="118">
        <f t="shared" si="141"/>
        <v>0.19321700952149673</v>
      </c>
      <c r="D73" s="118">
        <f t="shared" si="141"/>
        <v>0.1907957508112027</v>
      </c>
      <c r="E73" s="118">
        <f t="shared" si="141"/>
        <v>0.18983630825529926</v>
      </c>
      <c r="F73" s="118">
        <f t="shared" si="141"/>
        <v>0.18989857491122933</v>
      </c>
      <c r="G73" s="118">
        <f t="shared" si="141"/>
        <v>0.19159287302796821</v>
      </c>
      <c r="H73" s="118">
        <f t="shared" si="141"/>
        <v>0.1907495248228252</v>
      </c>
      <c r="I73" s="118">
        <f t="shared" si="141"/>
        <v>0.19091952793035818</v>
      </c>
      <c r="J73" s="118">
        <f t="shared" si="141"/>
        <v>0.19362551422190222</v>
      </c>
      <c r="K73" s="118">
        <f t="shared" ref="K73:V73" si="142">IF(K51=0,0,K51/K62)</f>
        <v>0.19143191390228634</v>
      </c>
      <c r="L73" s="118">
        <f t="shared" si="142"/>
        <v>0.19254737021772875</v>
      </c>
      <c r="M73" s="118">
        <f t="shared" si="142"/>
        <v>0.19088663674893439</v>
      </c>
      <c r="N73" s="118">
        <f t="shared" si="142"/>
        <v>0.1920663479812644</v>
      </c>
      <c r="O73" s="118">
        <f t="shared" si="142"/>
        <v>0.19225621671490373</v>
      </c>
      <c r="P73" s="118">
        <f t="shared" si="142"/>
        <v>0.19065705982338421</v>
      </c>
      <c r="Q73" s="118">
        <f t="shared" si="142"/>
        <v>0.19325724488526139</v>
      </c>
      <c r="R73" s="118">
        <f t="shared" si="142"/>
        <v>0.19356639813241119</v>
      </c>
      <c r="S73" s="118">
        <f t="shared" si="142"/>
        <v>0.19790062209606873</v>
      </c>
      <c r="T73" s="118">
        <f t="shared" si="142"/>
        <v>0.19926225092440891</v>
      </c>
      <c r="U73" s="118">
        <f t="shared" si="142"/>
        <v>0.20093038439565819</v>
      </c>
      <c r="V73" s="118">
        <f t="shared" si="142"/>
        <v>0.17518636847710328</v>
      </c>
      <c r="W73" s="118">
        <f t="shared" ref="W73" si="143">IF(W51=0,0,W51/W62)</f>
        <v>0.15790181843165996</v>
      </c>
      <c r="DA73" s="203"/>
    </row>
    <row r="74" spans="1:105" ht="11.45" customHeight="1" x14ac:dyDescent="0.25">
      <c r="A74" s="109" t="s">
        <v>24</v>
      </c>
      <c r="B74" s="119">
        <f t="shared" si="141"/>
        <v>0.52765966958188248</v>
      </c>
      <c r="C74" s="119">
        <f t="shared" si="141"/>
        <v>0.4700960234342042</v>
      </c>
      <c r="D74" s="119">
        <f t="shared" si="141"/>
        <v>0.44496754439346847</v>
      </c>
      <c r="E74" s="119">
        <f t="shared" si="141"/>
        <v>0.4014023832210411</v>
      </c>
      <c r="F74" s="119">
        <f t="shared" si="141"/>
        <v>0.40525571069227884</v>
      </c>
      <c r="G74" s="119">
        <f t="shared" si="141"/>
        <v>0.40399709792875715</v>
      </c>
      <c r="H74" s="119">
        <f t="shared" si="141"/>
        <v>0.40908694466028728</v>
      </c>
      <c r="I74" s="119">
        <f t="shared" si="141"/>
        <v>0.41072393118089379</v>
      </c>
      <c r="J74" s="119">
        <f t="shared" si="141"/>
        <v>0.42787970234864298</v>
      </c>
      <c r="K74" s="119">
        <f t="shared" ref="K74:V74" si="144">IF(K52=0,0,K52/K63)</f>
        <v>0.37604420233762625</v>
      </c>
      <c r="L74" s="119">
        <f t="shared" si="144"/>
        <v>0.36944377170698883</v>
      </c>
      <c r="M74" s="119">
        <f t="shared" si="144"/>
        <v>0.3565811365300125</v>
      </c>
      <c r="N74" s="119">
        <f t="shared" si="144"/>
        <v>0.35839446056361457</v>
      </c>
      <c r="O74" s="119">
        <f t="shared" si="144"/>
        <v>0.35051167764423841</v>
      </c>
      <c r="P74" s="119">
        <f t="shared" si="144"/>
        <v>0.35513523677125314</v>
      </c>
      <c r="Q74" s="119">
        <f t="shared" si="144"/>
        <v>0.36057024813156935</v>
      </c>
      <c r="R74" s="119">
        <f t="shared" si="144"/>
        <v>0.35469571896917507</v>
      </c>
      <c r="S74" s="119">
        <f t="shared" si="144"/>
        <v>0.38084415673257488</v>
      </c>
      <c r="T74" s="119">
        <f t="shared" si="144"/>
        <v>0.37111045618152855</v>
      </c>
      <c r="U74" s="119">
        <f t="shared" si="144"/>
        <v>0.39343511626647459</v>
      </c>
      <c r="V74" s="119">
        <f t="shared" si="144"/>
        <v>0.2947764626897828</v>
      </c>
      <c r="W74" s="119">
        <f t="shared" ref="W74" si="145">IF(W52=0,0,W52/W63)</f>
        <v>0.30088004257738338</v>
      </c>
      <c r="DA74" s="176"/>
    </row>
    <row r="75" spans="1:105" ht="11.45" customHeight="1" x14ac:dyDescent="0.25">
      <c r="A75" s="111" t="s">
        <v>92</v>
      </c>
      <c r="B75" s="120">
        <f t="shared" si="141"/>
        <v>0.36035522012169269</v>
      </c>
      <c r="C75" s="120">
        <f t="shared" si="141"/>
        <v>0.34908692830190063</v>
      </c>
      <c r="D75" s="120">
        <f t="shared" si="141"/>
        <v>0.33918171997417323</v>
      </c>
      <c r="E75" s="120">
        <f t="shared" si="141"/>
        <v>0.32853507555452205</v>
      </c>
      <c r="F75" s="120">
        <f t="shared" si="141"/>
        <v>0.32892259960953274</v>
      </c>
      <c r="G75" s="120">
        <f t="shared" si="141"/>
        <v>0.33371481489604476</v>
      </c>
      <c r="H75" s="120">
        <f t="shared" si="141"/>
        <v>0.33045523674110033</v>
      </c>
      <c r="I75" s="120">
        <f t="shared" si="141"/>
        <v>0.34281103076988723</v>
      </c>
      <c r="J75" s="120">
        <f t="shared" si="141"/>
        <v>0.32514311556206021</v>
      </c>
      <c r="K75" s="120">
        <f t="shared" ref="K75:V75" si="146">IF(K53=0,0,K53/K64)</f>
        <v>0.28429311772722154</v>
      </c>
      <c r="L75" s="120">
        <f t="shared" si="146"/>
        <v>0.32026212835797935</v>
      </c>
      <c r="M75" s="120">
        <f t="shared" si="146"/>
        <v>0.31443969370634234</v>
      </c>
      <c r="N75" s="120">
        <f t="shared" si="146"/>
        <v>0.31153271258438908</v>
      </c>
      <c r="O75" s="120">
        <f t="shared" si="146"/>
        <v>0.27619321691668752</v>
      </c>
      <c r="P75" s="120">
        <f t="shared" si="146"/>
        <v>0.33091767703500696</v>
      </c>
      <c r="Q75" s="120">
        <f t="shared" si="146"/>
        <v>0.32968091704994795</v>
      </c>
      <c r="R75" s="120">
        <f t="shared" si="146"/>
        <v>0.32088257493224537</v>
      </c>
      <c r="S75" s="120">
        <f t="shared" si="146"/>
        <v>0.321147027888881</v>
      </c>
      <c r="T75" s="120">
        <f t="shared" si="146"/>
        <v>0.30115112179107079</v>
      </c>
      <c r="U75" s="120">
        <f t="shared" si="146"/>
        <v>0.30571041663985982</v>
      </c>
      <c r="V75" s="120">
        <f t="shared" si="146"/>
        <v>0.19595329515715296</v>
      </c>
      <c r="W75" s="120">
        <f t="shared" ref="W75" si="147">IF(W53=0,0,W53/W64)</f>
        <v>0.21661015542628353</v>
      </c>
      <c r="DA75" s="171"/>
    </row>
    <row r="76" spans="1:105" ht="11.45" customHeight="1" x14ac:dyDescent="0.25">
      <c r="A76" s="111" t="s">
        <v>93</v>
      </c>
      <c r="B76" s="120">
        <f t="shared" si="141"/>
        <v>0.59042310594423864</v>
      </c>
      <c r="C76" s="120">
        <f t="shared" si="141"/>
        <v>0.5061038828661677</v>
      </c>
      <c r="D76" s="120">
        <f t="shared" si="141"/>
        <v>0.47621842681875054</v>
      </c>
      <c r="E76" s="120">
        <f t="shared" si="141"/>
        <v>0.42290204932186615</v>
      </c>
      <c r="F76" s="120">
        <f t="shared" si="141"/>
        <v>0.42705595108619016</v>
      </c>
      <c r="G76" s="120">
        <f t="shared" si="141"/>
        <v>0.42176663789783903</v>
      </c>
      <c r="H76" s="120">
        <f t="shared" si="141"/>
        <v>0.43076645537646518</v>
      </c>
      <c r="I76" s="120">
        <f t="shared" si="141"/>
        <v>0.4250466535725021</v>
      </c>
      <c r="J76" s="120">
        <f t="shared" si="141"/>
        <v>0.45013695828112066</v>
      </c>
      <c r="K76" s="120">
        <f t="shared" ref="K76:V76" si="148">IF(K54=0,0,K54/K65)</f>
        <v>0.39108930245465945</v>
      </c>
      <c r="L76" s="120">
        <f t="shared" si="148"/>
        <v>0.37849094655420129</v>
      </c>
      <c r="M76" s="120">
        <f t="shared" si="148"/>
        <v>0.36549860892781377</v>
      </c>
      <c r="N76" s="120">
        <f t="shared" si="148"/>
        <v>0.36656716350708418</v>
      </c>
      <c r="O76" s="120">
        <f t="shared" si="148"/>
        <v>0.36116299483457653</v>
      </c>
      <c r="P76" s="120">
        <f t="shared" si="148"/>
        <v>0.35943776944818906</v>
      </c>
      <c r="Q76" s="120">
        <f t="shared" si="148"/>
        <v>0.36582681162099417</v>
      </c>
      <c r="R76" s="120">
        <f t="shared" si="148"/>
        <v>0.36002372307631653</v>
      </c>
      <c r="S76" s="120">
        <f t="shared" si="148"/>
        <v>0.39085706966729789</v>
      </c>
      <c r="T76" s="120">
        <f t="shared" si="148"/>
        <v>0.37910262805566175</v>
      </c>
      <c r="U76" s="120">
        <f t="shared" si="148"/>
        <v>0.40003415036580686</v>
      </c>
      <c r="V76" s="120">
        <f t="shared" si="148"/>
        <v>0.30319636252118476</v>
      </c>
      <c r="W76" s="120">
        <f t="shared" ref="W76" si="149">IF(W54=0,0,W54/W65)</f>
        <v>0.30793754109242177</v>
      </c>
      <c r="DA76" s="171"/>
    </row>
    <row r="77" spans="1:105" ht="11.45" customHeight="1" x14ac:dyDescent="0.25">
      <c r="A77" s="112" t="s">
        <v>25</v>
      </c>
      <c r="B77" s="121">
        <f t="shared" si="141"/>
        <v>0.28255012531328322</v>
      </c>
      <c r="C77" s="121">
        <f t="shared" si="141"/>
        <v>0.28644736842105267</v>
      </c>
      <c r="D77" s="121">
        <f t="shared" si="141"/>
        <v>0.28839598997493732</v>
      </c>
      <c r="E77" s="121">
        <f t="shared" si="141"/>
        <v>0.29034461152882202</v>
      </c>
      <c r="F77" s="121">
        <f t="shared" si="141"/>
        <v>0.29813909774436087</v>
      </c>
      <c r="G77" s="121">
        <f t="shared" si="141"/>
        <v>0.30203634085213033</v>
      </c>
      <c r="H77" s="121">
        <f t="shared" si="141"/>
        <v>0.30820155962309109</v>
      </c>
      <c r="I77" s="121">
        <f t="shared" si="141"/>
        <v>0.31242958539882826</v>
      </c>
      <c r="J77" s="121">
        <f t="shared" si="141"/>
        <v>0.30912805787177638</v>
      </c>
      <c r="K77" s="121">
        <f t="shared" ref="K77:V77" si="150">IF(K55=0,0,K55/K66)</f>
        <v>0.30659254487915533</v>
      </c>
      <c r="L77" s="121">
        <f t="shared" si="150"/>
        <v>0.31073113207547171</v>
      </c>
      <c r="M77" s="121">
        <f t="shared" si="150"/>
        <v>0.30133687084642724</v>
      </c>
      <c r="N77" s="121">
        <f t="shared" si="150"/>
        <v>0.31310640578933263</v>
      </c>
      <c r="O77" s="121">
        <f t="shared" si="150"/>
        <v>0.33517479087763269</v>
      </c>
      <c r="P77" s="121">
        <f t="shared" si="150"/>
        <v>0.30155360226737243</v>
      </c>
      <c r="Q77" s="121">
        <f t="shared" si="150"/>
        <v>0.27953427251280649</v>
      </c>
      <c r="R77" s="121">
        <f t="shared" si="150"/>
        <v>0.29107143165552918</v>
      </c>
      <c r="S77" s="121">
        <f t="shared" si="150"/>
        <v>0.27391725921137688</v>
      </c>
      <c r="T77" s="121">
        <f t="shared" si="150"/>
        <v>0.30652375077112892</v>
      </c>
      <c r="U77" s="121">
        <f t="shared" si="150"/>
        <v>0.30014749262536872</v>
      </c>
      <c r="V77" s="121">
        <f t="shared" si="150"/>
        <v>0.1762218045112782</v>
      </c>
      <c r="W77" s="121">
        <f t="shared" ref="W77" si="151">IF(W55=0,0,W55/W66)</f>
        <v>0.16443851019764982</v>
      </c>
      <c r="DA77" s="204"/>
    </row>
    <row r="78" spans="1:105" ht="11.45" customHeight="1" x14ac:dyDescent="0.25">
      <c r="A78" s="27" t="s">
        <v>34</v>
      </c>
      <c r="B78" s="30">
        <f t="shared" si="141"/>
        <v>0.29058728307581588</v>
      </c>
      <c r="C78" s="30">
        <f t="shared" si="141"/>
        <v>0.28486225064858373</v>
      </c>
      <c r="D78" s="30">
        <f t="shared" si="141"/>
        <v>0.280856058170251</v>
      </c>
      <c r="E78" s="30">
        <f t="shared" si="141"/>
        <v>0.28503330966476759</v>
      </c>
      <c r="F78" s="30">
        <f t="shared" si="141"/>
        <v>0.27498152859319458</v>
      </c>
      <c r="G78" s="30">
        <f t="shared" si="141"/>
        <v>0.26930720824854421</v>
      </c>
      <c r="H78" s="30">
        <f t="shared" si="141"/>
        <v>0.27563636593382124</v>
      </c>
      <c r="I78" s="30">
        <f t="shared" si="141"/>
        <v>0.27087255683972844</v>
      </c>
      <c r="J78" s="30">
        <f t="shared" si="141"/>
        <v>0.2766357983880241</v>
      </c>
      <c r="K78" s="30">
        <f t="shared" ref="K78:V78" si="152">IF(K56=0,0,K56/K67)</f>
        <v>0.27788581642900967</v>
      </c>
      <c r="L78" s="30">
        <f t="shared" si="152"/>
        <v>0.28232058591718689</v>
      </c>
      <c r="M78" s="30">
        <f t="shared" si="152"/>
        <v>0.27743440864456426</v>
      </c>
      <c r="N78" s="30">
        <f t="shared" si="152"/>
        <v>0.27419870726778894</v>
      </c>
      <c r="O78" s="30">
        <f t="shared" si="152"/>
        <v>0.29302689907983931</v>
      </c>
      <c r="P78" s="30">
        <f t="shared" si="152"/>
        <v>0.28258786677611758</v>
      </c>
      <c r="Q78" s="30">
        <f t="shared" si="152"/>
        <v>0.30407462314359623</v>
      </c>
      <c r="R78" s="30">
        <f t="shared" si="152"/>
        <v>0.31041627356109613</v>
      </c>
      <c r="S78" s="30">
        <f t="shared" si="152"/>
        <v>0.30542268348643331</v>
      </c>
      <c r="T78" s="30">
        <f t="shared" si="152"/>
        <v>0.31533553610432274</v>
      </c>
      <c r="U78" s="30">
        <f t="shared" si="152"/>
        <v>0.32743087651134839</v>
      </c>
      <c r="V78" s="30">
        <f t="shared" si="152"/>
        <v>0.30200204993715679</v>
      </c>
      <c r="W78" s="30">
        <f t="shared" ref="W78" si="153">IF(W56=0,0,W56/W67)</f>
        <v>0.31512929532216488</v>
      </c>
      <c r="DA78" s="173"/>
    </row>
    <row r="79" spans="1:105" ht="11.45" customHeight="1" x14ac:dyDescent="0.25">
      <c r="A79" s="83" t="s">
        <v>92</v>
      </c>
      <c r="B79" s="120">
        <f t="shared" si="141"/>
        <v>0.29474893170174055</v>
      </c>
      <c r="C79" s="120">
        <f t="shared" si="141"/>
        <v>0.2954020392633398</v>
      </c>
      <c r="D79" s="120">
        <f t="shared" si="141"/>
        <v>0.29151856876640819</v>
      </c>
      <c r="E79" s="120">
        <f t="shared" si="141"/>
        <v>0.30186947763567407</v>
      </c>
      <c r="F79" s="120">
        <f t="shared" si="141"/>
        <v>0.29334330613236365</v>
      </c>
      <c r="G79" s="120">
        <f t="shared" si="141"/>
        <v>0.2913942598823599</v>
      </c>
      <c r="H79" s="120">
        <f t="shared" si="141"/>
        <v>0.29795204610657411</v>
      </c>
      <c r="I79" s="120">
        <f t="shared" si="141"/>
        <v>0.2942384525717221</v>
      </c>
      <c r="J79" s="120">
        <f t="shared" si="141"/>
        <v>0.29807062440370424</v>
      </c>
      <c r="K79" s="120">
        <f t="shared" ref="K79:V79" si="154">IF(K57=0,0,K57/K68)</f>
        <v>0.30020247194506128</v>
      </c>
      <c r="L79" s="120">
        <f t="shared" si="154"/>
        <v>0.3105342399713254</v>
      </c>
      <c r="M79" s="120">
        <f t="shared" si="154"/>
        <v>0.3174882934572949</v>
      </c>
      <c r="N79" s="120">
        <f t="shared" si="154"/>
        <v>0.31609089896735937</v>
      </c>
      <c r="O79" s="120">
        <f t="shared" si="154"/>
        <v>0.30770152404598589</v>
      </c>
      <c r="P79" s="120">
        <f t="shared" si="154"/>
        <v>0.34388337488978582</v>
      </c>
      <c r="Q79" s="120">
        <f t="shared" si="154"/>
        <v>0.36158485710876265</v>
      </c>
      <c r="R79" s="120">
        <f t="shared" si="154"/>
        <v>0.37270015390732125</v>
      </c>
      <c r="S79" s="120">
        <f t="shared" si="154"/>
        <v>0.39156586374109315</v>
      </c>
      <c r="T79" s="120">
        <f t="shared" si="154"/>
        <v>0.32965218328821905</v>
      </c>
      <c r="U79" s="120">
        <f t="shared" si="154"/>
        <v>0.28795016885852714</v>
      </c>
      <c r="V79" s="120">
        <f t="shared" si="154"/>
        <v>0.29743934480740086</v>
      </c>
      <c r="W79" s="120">
        <f t="shared" ref="W79" si="155">IF(W57=0,0,W57/W68)</f>
        <v>0.30751424342991435</v>
      </c>
      <c r="DA79" s="171"/>
    </row>
    <row r="80" spans="1:105" ht="11.45" customHeight="1" x14ac:dyDescent="0.25">
      <c r="A80" s="85" t="s">
        <v>93</v>
      </c>
      <c r="B80" s="122">
        <f t="shared" si="141"/>
        <v>0.28848349461321121</v>
      </c>
      <c r="C80" s="122">
        <f t="shared" si="141"/>
        <v>0.27957358488033901</v>
      </c>
      <c r="D80" s="122">
        <f t="shared" si="141"/>
        <v>0.27588120820777179</v>
      </c>
      <c r="E80" s="122">
        <f t="shared" si="141"/>
        <v>0.27726380105662096</v>
      </c>
      <c r="F80" s="122">
        <f t="shared" si="141"/>
        <v>0.2662254065560079</v>
      </c>
      <c r="G80" s="122">
        <f t="shared" si="141"/>
        <v>0.25817391756134928</v>
      </c>
      <c r="H80" s="122">
        <f t="shared" si="141"/>
        <v>0.26487515596943689</v>
      </c>
      <c r="I80" s="122">
        <f t="shared" si="141"/>
        <v>0.26189490258605863</v>
      </c>
      <c r="J80" s="122">
        <f t="shared" si="141"/>
        <v>0.26792180563292239</v>
      </c>
      <c r="K80" s="122">
        <f t="shared" ref="K80:V80" si="156">IF(K58=0,0,K58/K69)</f>
        <v>0.26831230696928587</v>
      </c>
      <c r="L80" s="122">
        <f t="shared" si="156"/>
        <v>0.27110292165302063</v>
      </c>
      <c r="M80" s="122">
        <f t="shared" si="156"/>
        <v>0.26122330647469277</v>
      </c>
      <c r="N80" s="122">
        <f t="shared" si="156"/>
        <v>0.25522304704622256</v>
      </c>
      <c r="O80" s="122">
        <f t="shared" si="156"/>
        <v>0.28620338929158062</v>
      </c>
      <c r="P80" s="122">
        <f t="shared" si="156"/>
        <v>0.26088993084321432</v>
      </c>
      <c r="Q80" s="122">
        <f t="shared" si="156"/>
        <v>0.28675309442755992</v>
      </c>
      <c r="R80" s="122">
        <f t="shared" si="156"/>
        <v>0.29290987738475716</v>
      </c>
      <c r="S80" s="122">
        <f t="shared" si="156"/>
        <v>0.28531556341740122</v>
      </c>
      <c r="T80" s="122">
        <f t="shared" si="156"/>
        <v>0.31076293606083316</v>
      </c>
      <c r="U80" s="122">
        <f t="shared" si="156"/>
        <v>0.34360191738972845</v>
      </c>
      <c r="V80" s="122">
        <f t="shared" si="156"/>
        <v>0.30350935339269497</v>
      </c>
      <c r="W80" s="122">
        <f t="shared" ref="W80" si="157">IF(W58=0,0,W58/W69)</f>
        <v>0.31827663648202509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157862.13047097329</v>
      </c>
      <c r="C82" s="54">
        <f t="shared" si="158"/>
        <v>156953.17678773747</v>
      </c>
      <c r="D82" s="54">
        <f t="shared" si="158"/>
        <v>157430.11986720422</v>
      </c>
      <c r="E82" s="54">
        <f t="shared" si="158"/>
        <v>158059.78755076294</v>
      </c>
      <c r="F82" s="54">
        <f t="shared" si="158"/>
        <v>157723.90875316144</v>
      </c>
      <c r="G82" s="54">
        <f t="shared" si="158"/>
        <v>159570.50771218893</v>
      </c>
      <c r="H82" s="54">
        <f t="shared" si="158"/>
        <v>162308.95453326227</v>
      </c>
      <c r="I82" s="54">
        <f t="shared" si="158"/>
        <v>160790.7919059672</v>
      </c>
      <c r="J82" s="54">
        <f t="shared" si="158"/>
        <v>163735.57359132438</v>
      </c>
      <c r="K82" s="54">
        <f t="shared" ref="K82:V82" si="159">IF(K14=0,0,K14/K25*1000000)</f>
        <v>156666.72280487197</v>
      </c>
      <c r="L82" s="54">
        <f t="shared" si="159"/>
        <v>162080.760847806</v>
      </c>
      <c r="M82" s="54">
        <f t="shared" si="159"/>
        <v>163009.23237269311</v>
      </c>
      <c r="N82" s="54">
        <f t="shared" si="159"/>
        <v>162097.87770091792</v>
      </c>
      <c r="O82" s="54">
        <f t="shared" si="159"/>
        <v>161406.51547915427</v>
      </c>
      <c r="P82" s="54">
        <f t="shared" si="159"/>
        <v>161212.786199792</v>
      </c>
      <c r="Q82" s="54">
        <f t="shared" si="159"/>
        <v>156273.97607960872</v>
      </c>
      <c r="R82" s="54">
        <f t="shared" si="159"/>
        <v>160466.51264372215</v>
      </c>
      <c r="S82" s="54">
        <f t="shared" si="159"/>
        <v>162595.0460325882</v>
      </c>
      <c r="T82" s="54">
        <f t="shared" si="159"/>
        <v>160073.67621024526</v>
      </c>
      <c r="U82" s="54">
        <f t="shared" si="159"/>
        <v>155969.10025994512</v>
      </c>
      <c r="V82" s="54">
        <f t="shared" si="159"/>
        <v>143795.8552168941</v>
      </c>
      <c r="W82" s="54">
        <f t="shared" ref="W82" si="160">IF(W14=0,0,W14/W25*1000000)</f>
        <v>151015.44606353735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139496.4267913978</v>
      </c>
      <c r="C83" s="28">
        <f t="shared" si="161"/>
        <v>139486.22019209154</v>
      </c>
      <c r="D83" s="28">
        <f t="shared" si="161"/>
        <v>141020.14246112204</v>
      </c>
      <c r="E83" s="28">
        <f t="shared" si="161"/>
        <v>142630.71403231035</v>
      </c>
      <c r="F83" s="28">
        <f t="shared" si="161"/>
        <v>141586.66270699695</v>
      </c>
      <c r="G83" s="28">
        <f t="shared" si="161"/>
        <v>144473.32434403509</v>
      </c>
      <c r="H83" s="28">
        <f t="shared" si="161"/>
        <v>146387.20790723036</v>
      </c>
      <c r="I83" s="28">
        <f t="shared" si="161"/>
        <v>147366.50150055336</v>
      </c>
      <c r="J83" s="28">
        <f t="shared" si="161"/>
        <v>149568.62963234988</v>
      </c>
      <c r="K83" s="28">
        <f t="shared" ref="K83:V83" si="162">IF(K15=0,0,K15/K26*1000000)</f>
        <v>148882.26560242166</v>
      </c>
      <c r="L83" s="28">
        <f t="shared" si="162"/>
        <v>149968.07296203874</v>
      </c>
      <c r="M83" s="28">
        <f t="shared" si="162"/>
        <v>151360.50950536487</v>
      </c>
      <c r="N83" s="28">
        <f t="shared" si="162"/>
        <v>150576.3202940007</v>
      </c>
      <c r="O83" s="28">
        <f t="shared" si="162"/>
        <v>150314.9738005508</v>
      </c>
      <c r="P83" s="28">
        <f t="shared" si="162"/>
        <v>149486.87795025646</v>
      </c>
      <c r="Q83" s="28">
        <f t="shared" si="162"/>
        <v>149564.34384376259</v>
      </c>
      <c r="R83" s="28">
        <f t="shared" si="162"/>
        <v>149636.96768082716</v>
      </c>
      <c r="S83" s="28">
        <f t="shared" si="162"/>
        <v>151421.87154246072</v>
      </c>
      <c r="T83" s="28">
        <f t="shared" si="162"/>
        <v>148770.15093084885</v>
      </c>
      <c r="U83" s="28">
        <f t="shared" si="162"/>
        <v>148060.96439858709</v>
      </c>
      <c r="V83" s="28">
        <f t="shared" si="162"/>
        <v>128508.53688535224</v>
      </c>
      <c r="W83" s="28">
        <f t="shared" ref="W83" si="163">IF(W15=0,0,W15/W26*1000000)</f>
        <v>136756.59126445957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109999.99982020204</v>
      </c>
      <c r="C84" s="108">
        <f t="shared" si="161"/>
        <v>109999.99919473287</v>
      </c>
      <c r="D84" s="108">
        <f t="shared" si="161"/>
        <v>109999.99981531373</v>
      </c>
      <c r="E84" s="108">
        <f t="shared" si="161"/>
        <v>109999.99881295739</v>
      </c>
      <c r="F84" s="108">
        <f t="shared" si="161"/>
        <v>109999.99980992985</v>
      </c>
      <c r="G84" s="108">
        <f t="shared" si="161"/>
        <v>109999.99900616324</v>
      </c>
      <c r="H84" s="108">
        <f t="shared" si="161"/>
        <v>109999.99892755289</v>
      </c>
      <c r="I84" s="108">
        <f t="shared" si="161"/>
        <v>109999.99955493555</v>
      </c>
      <c r="J84" s="108">
        <f t="shared" si="161"/>
        <v>109999.99881427326</v>
      </c>
      <c r="K84" s="108">
        <f t="shared" ref="K84:V84" si="164">IF(K16=0,0,K16/K27*1000000)</f>
        <v>109999.99926359164</v>
      </c>
      <c r="L84" s="108">
        <f t="shared" si="164"/>
        <v>109999.99918373185</v>
      </c>
      <c r="M84" s="108">
        <f t="shared" si="164"/>
        <v>109999.99946509209</v>
      </c>
      <c r="N84" s="108">
        <f t="shared" si="164"/>
        <v>109999.99852851663</v>
      </c>
      <c r="O84" s="108">
        <f t="shared" si="164"/>
        <v>109999.99980539795</v>
      </c>
      <c r="P84" s="108">
        <f t="shared" si="164"/>
        <v>109999.99939815768</v>
      </c>
      <c r="Q84" s="108">
        <f t="shared" si="164"/>
        <v>109999.99983038254</v>
      </c>
      <c r="R84" s="108">
        <f t="shared" si="164"/>
        <v>109999.99880073158</v>
      </c>
      <c r="S84" s="108">
        <f t="shared" si="164"/>
        <v>109999.99853864682</v>
      </c>
      <c r="T84" s="108">
        <f t="shared" si="164"/>
        <v>109999.99967715293</v>
      </c>
      <c r="U84" s="108">
        <f t="shared" si="164"/>
        <v>109999.99934405823</v>
      </c>
      <c r="V84" s="108">
        <f t="shared" si="164"/>
        <v>109999.99978920804</v>
      </c>
      <c r="W84" s="108">
        <f t="shared" ref="W84" si="165">IF(W16=0,0,W16/W27*1000000)</f>
        <v>109999.99880932421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149999.99874164208</v>
      </c>
      <c r="C85" s="110">
        <f t="shared" si="161"/>
        <v>149999.99916433191</v>
      </c>
      <c r="D85" s="110">
        <f t="shared" si="161"/>
        <v>149999.99810036924</v>
      </c>
      <c r="E85" s="110">
        <f t="shared" si="161"/>
        <v>149999.99898111299</v>
      </c>
      <c r="F85" s="110">
        <f t="shared" si="161"/>
        <v>149999.99887839725</v>
      </c>
      <c r="G85" s="110">
        <f t="shared" si="161"/>
        <v>149999.99920240356</v>
      </c>
      <c r="H85" s="110">
        <f t="shared" si="161"/>
        <v>149999.99940940502</v>
      </c>
      <c r="I85" s="110">
        <f t="shared" si="161"/>
        <v>147874.66633073791</v>
      </c>
      <c r="J85" s="110">
        <f t="shared" si="161"/>
        <v>149999.99901440999</v>
      </c>
      <c r="K85" s="110">
        <f t="shared" ref="K85:V85" si="166">IF(K17=0,0,K17/K28*1000000)</f>
        <v>149496.95642439084</v>
      </c>
      <c r="L85" s="110">
        <f t="shared" si="166"/>
        <v>149999.99924843077</v>
      </c>
      <c r="M85" s="110">
        <f t="shared" si="166"/>
        <v>149999.99895775478</v>
      </c>
      <c r="N85" s="110">
        <f t="shared" si="166"/>
        <v>149948.47047571914</v>
      </c>
      <c r="O85" s="110">
        <f t="shared" si="166"/>
        <v>149513.22281448258</v>
      </c>
      <c r="P85" s="110">
        <f t="shared" si="166"/>
        <v>149033.37165269686</v>
      </c>
      <c r="Q85" s="110">
        <f t="shared" si="166"/>
        <v>149999.9994398978</v>
      </c>
      <c r="R85" s="110">
        <f t="shared" si="166"/>
        <v>149716.52732735247</v>
      </c>
      <c r="S85" s="110">
        <f t="shared" si="166"/>
        <v>149999.99965550739</v>
      </c>
      <c r="T85" s="110">
        <f t="shared" si="166"/>
        <v>147807.59229237432</v>
      </c>
      <c r="U85" s="110">
        <f t="shared" si="166"/>
        <v>146090.96567740387</v>
      </c>
      <c r="V85" s="110">
        <f t="shared" si="166"/>
        <v>125776.75115061998</v>
      </c>
      <c r="W85" s="110">
        <f t="shared" ref="W85" si="167">IF(W17=0,0,W17/W28*1000000)</f>
        <v>135036.38716265225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149999.998288734</v>
      </c>
      <c r="C86" s="84">
        <f t="shared" si="161"/>
        <v>149999.99763104258</v>
      </c>
      <c r="D86" s="84">
        <f t="shared" si="161"/>
        <v>149999.99584913766</v>
      </c>
      <c r="E86" s="84">
        <f t="shared" si="161"/>
        <v>149999.99748397493</v>
      </c>
      <c r="F86" s="84">
        <f t="shared" si="161"/>
        <v>149999.99608238746</v>
      </c>
      <c r="G86" s="84">
        <f t="shared" si="161"/>
        <v>149999.9965308019</v>
      </c>
      <c r="H86" s="84">
        <f t="shared" si="161"/>
        <v>149999.99778502437</v>
      </c>
      <c r="I86" s="84">
        <f t="shared" si="161"/>
        <v>138565.36487074374</v>
      </c>
      <c r="J86" s="84">
        <f t="shared" si="161"/>
        <v>149999.99546632645</v>
      </c>
      <c r="K86" s="84">
        <f t="shared" ref="K86:V86" si="168">IF(K18=0,0,K18/K29*1000000)</f>
        <v>146500.76310620905</v>
      </c>
      <c r="L86" s="84">
        <f t="shared" si="168"/>
        <v>149999.9958817834</v>
      </c>
      <c r="M86" s="84">
        <f t="shared" si="168"/>
        <v>149999.99665061635</v>
      </c>
      <c r="N86" s="84">
        <f t="shared" si="168"/>
        <v>149653.6889408837</v>
      </c>
      <c r="O86" s="84">
        <f t="shared" si="168"/>
        <v>146202.77058358563</v>
      </c>
      <c r="P86" s="84">
        <f t="shared" si="168"/>
        <v>149999.99474387412</v>
      </c>
      <c r="Q86" s="84">
        <f t="shared" si="168"/>
        <v>149999.99992798563</v>
      </c>
      <c r="R86" s="84">
        <f t="shared" si="168"/>
        <v>149114.22982490584</v>
      </c>
      <c r="S86" s="84">
        <f t="shared" si="168"/>
        <v>149999.99844818964</v>
      </c>
      <c r="T86" s="84">
        <f t="shared" si="168"/>
        <v>131041.91842713428</v>
      </c>
      <c r="U86" s="84">
        <f t="shared" si="168"/>
        <v>108502.18750509543</v>
      </c>
      <c r="V86" s="84">
        <f t="shared" si="168"/>
        <v>118949.41766400862</v>
      </c>
      <c r="W86" s="84">
        <f t="shared" ref="W86" si="169">IF(W18=0,0,W18/W29*1000000)</f>
        <v>148341.63907558532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149999.99891154832</v>
      </c>
      <c r="C87" s="84">
        <f t="shared" si="161"/>
        <v>149999.99962058247</v>
      </c>
      <c r="D87" s="84">
        <f t="shared" si="161"/>
        <v>149999.99876542029</v>
      </c>
      <c r="E87" s="84">
        <f t="shared" si="161"/>
        <v>149999.99942284697</v>
      </c>
      <c r="F87" s="84">
        <f t="shared" si="161"/>
        <v>149999.99967691948</v>
      </c>
      <c r="G87" s="84">
        <f t="shared" si="161"/>
        <v>149999.99987786732</v>
      </c>
      <c r="H87" s="84">
        <f t="shared" si="161"/>
        <v>149999.99985726224</v>
      </c>
      <c r="I87" s="84">
        <f t="shared" si="161"/>
        <v>149999.99919043828</v>
      </c>
      <c r="J87" s="84">
        <f t="shared" si="161"/>
        <v>149999.99978308071</v>
      </c>
      <c r="K87" s="84">
        <f t="shared" ref="K87:V87" si="170">IF(K19=0,0,K19/K30*1000000)</f>
        <v>149999.9993858758</v>
      </c>
      <c r="L87" s="84">
        <f t="shared" si="170"/>
        <v>149999.99986774006</v>
      </c>
      <c r="M87" s="84">
        <f t="shared" si="170"/>
        <v>149999.99944596409</v>
      </c>
      <c r="N87" s="84">
        <f t="shared" si="170"/>
        <v>149999.99943084904</v>
      </c>
      <c r="O87" s="84">
        <f t="shared" si="170"/>
        <v>149999.99930100923</v>
      </c>
      <c r="P87" s="84">
        <f t="shared" si="170"/>
        <v>148862.94154599009</v>
      </c>
      <c r="Q87" s="84">
        <f t="shared" si="170"/>
        <v>149999.99935683791</v>
      </c>
      <c r="R87" s="84">
        <f t="shared" si="170"/>
        <v>149811.87656236812</v>
      </c>
      <c r="S87" s="84">
        <f t="shared" si="170"/>
        <v>149999.99985800908</v>
      </c>
      <c r="T87" s="84">
        <f t="shared" si="170"/>
        <v>149999.9992637597</v>
      </c>
      <c r="U87" s="84">
        <f t="shared" si="170"/>
        <v>149999.99975155227</v>
      </c>
      <c r="V87" s="84">
        <f t="shared" si="170"/>
        <v>126394.86200706946</v>
      </c>
      <c r="W87" s="84">
        <f t="shared" ref="W87" si="171">IF(W19=0,0,W19/W30*1000000)</f>
        <v>134029.59663254858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449999.6191348664</v>
      </c>
      <c r="C88" s="113">
        <f t="shared" si="161"/>
        <v>416785.84792041866</v>
      </c>
      <c r="D88" s="113">
        <f t="shared" si="161"/>
        <v>449999.99042105291</v>
      </c>
      <c r="E88" s="113">
        <f t="shared" si="161"/>
        <v>449999.94062013947</v>
      </c>
      <c r="F88" s="113">
        <f t="shared" si="161"/>
        <v>368409.81975683291</v>
      </c>
      <c r="G88" s="113">
        <f t="shared" si="161"/>
        <v>449999.94552632241</v>
      </c>
      <c r="H88" s="113">
        <f t="shared" si="161"/>
        <v>449999.94029568636</v>
      </c>
      <c r="I88" s="113">
        <f t="shared" si="161"/>
        <v>449999.95652602945</v>
      </c>
      <c r="J88" s="113">
        <f t="shared" si="161"/>
        <v>449999.99443370715</v>
      </c>
      <c r="K88" s="113">
        <f t="shared" ref="K88:V88" si="172">IF(K20=0,0,K20/K31*1000000)</f>
        <v>446163.17317301396</v>
      </c>
      <c r="L88" s="113">
        <f t="shared" si="172"/>
        <v>449999.97240566212</v>
      </c>
      <c r="M88" s="113">
        <f t="shared" si="172"/>
        <v>449999.96803101571</v>
      </c>
      <c r="N88" s="113">
        <f t="shared" si="172"/>
        <v>437142.46052541246</v>
      </c>
      <c r="O88" s="113">
        <f t="shared" si="172"/>
        <v>441387.46930860693</v>
      </c>
      <c r="P88" s="113">
        <f t="shared" si="172"/>
        <v>426557.35956779897</v>
      </c>
      <c r="Q88" s="113">
        <f t="shared" si="172"/>
        <v>408112.96736554411</v>
      </c>
      <c r="R88" s="113">
        <f t="shared" si="172"/>
        <v>425512.84700755012</v>
      </c>
      <c r="S88" s="113">
        <f t="shared" si="172"/>
        <v>449999.96436651866</v>
      </c>
      <c r="T88" s="113">
        <f t="shared" si="172"/>
        <v>449999.97779148788</v>
      </c>
      <c r="U88" s="113">
        <f t="shared" si="172"/>
        <v>449999.990044248</v>
      </c>
      <c r="V88" s="113">
        <f t="shared" si="172"/>
        <v>308879.63292094151</v>
      </c>
      <c r="W88" s="113">
        <f t="shared" ref="W88" si="173">IF(W20=0,0,W20/W31*1000000)</f>
        <v>349559.94516608864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199999.99668005671</v>
      </c>
      <c r="C89" s="28">
        <f t="shared" si="161"/>
        <v>199999.9972648168</v>
      </c>
      <c r="D89" s="28">
        <f t="shared" si="161"/>
        <v>199999.997658195</v>
      </c>
      <c r="E89" s="28">
        <f t="shared" si="161"/>
        <v>199999.998259694</v>
      </c>
      <c r="F89" s="28">
        <f t="shared" si="161"/>
        <v>199999.99868059051</v>
      </c>
      <c r="G89" s="28">
        <f t="shared" si="161"/>
        <v>199999.99767041052</v>
      </c>
      <c r="H89" s="28">
        <f t="shared" si="161"/>
        <v>199999.9995058217</v>
      </c>
      <c r="I89" s="28">
        <f t="shared" si="161"/>
        <v>193984.95594214243</v>
      </c>
      <c r="J89" s="28">
        <f t="shared" si="161"/>
        <v>199999.99723888119</v>
      </c>
      <c r="K89" s="28">
        <f t="shared" ref="K89:V89" si="174">IF(K21=0,0,K21/K32*1000000)</f>
        <v>179974.49055494563</v>
      </c>
      <c r="L89" s="28">
        <f t="shared" si="174"/>
        <v>199999.99851003601</v>
      </c>
      <c r="M89" s="28">
        <f t="shared" si="174"/>
        <v>199999.99831937437</v>
      </c>
      <c r="N89" s="28">
        <f t="shared" si="174"/>
        <v>199999.99600255024</v>
      </c>
      <c r="O89" s="28">
        <f t="shared" si="174"/>
        <v>199999.9974535112</v>
      </c>
      <c r="P89" s="28">
        <f t="shared" si="174"/>
        <v>198765.26723605263</v>
      </c>
      <c r="Q89" s="28">
        <f t="shared" si="174"/>
        <v>181458.69677427126</v>
      </c>
      <c r="R89" s="28">
        <f t="shared" si="174"/>
        <v>199538.3571009663</v>
      </c>
      <c r="S89" s="28">
        <f t="shared" si="174"/>
        <v>199999.99944489959</v>
      </c>
      <c r="T89" s="28">
        <f t="shared" si="174"/>
        <v>199999.99775047737</v>
      </c>
      <c r="U89" s="28">
        <f t="shared" si="174"/>
        <v>186360.00146998142</v>
      </c>
      <c r="V89" s="28">
        <f t="shared" si="174"/>
        <v>199999.99561395636</v>
      </c>
      <c r="W89" s="28">
        <f t="shared" ref="W89" si="175">IF(W21=0,0,W21/W32*1000000)</f>
        <v>199999.99722479051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199999.99491770894</v>
      </c>
      <c r="C90" s="84">
        <f t="shared" si="161"/>
        <v>199999.99364464422</v>
      </c>
      <c r="D90" s="84">
        <f t="shared" si="161"/>
        <v>199999.99454141225</v>
      </c>
      <c r="E90" s="84">
        <f t="shared" si="161"/>
        <v>199999.99794373187</v>
      </c>
      <c r="F90" s="84">
        <f t="shared" si="161"/>
        <v>199999.99830526562</v>
      </c>
      <c r="G90" s="84">
        <f t="shared" si="161"/>
        <v>199999.99724854337</v>
      </c>
      <c r="H90" s="84">
        <f t="shared" si="161"/>
        <v>199999.99957712524</v>
      </c>
      <c r="I90" s="84">
        <f t="shared" si="161"/>
        <v>179902.89157391893</v>
      </c>
      <c r="J90" s="84">
        <f t="shared" si="161"/>
        <v>199999.99784035515</v>
      </c>
      <c r="K90" s="84">
        <f t="shared" ref="K90:V90" si="176">IF(K22=0,0,K22/K33*1000000)</f>
        <v>189941.18273115985</v>
      </c>
      <c r="L90" s="84">
        <f t="shared" si="176"/>
        <v>199999.99614593867</v>
      </c>
      <c r="M90" s="84">
        <f t="shared" si="176"/>
        <v>199999.99931450162</v>
      </c>
      <c r="N90" s="84">
        <f t="shared" si="176"/>
        <v>199999.99350034533</v>
      </c>
      <c r="O90" s="84">
        <f t="shared" si="176"/>
        <v>199999.9922736247</v>
      </c>
      <c r="P90" s="84">
        <f t="shared" si="176"/>
        <v>195358.17242259422</v>
      </c>
      <c r="Q90" s="84">
        <f t="shared" si="176"/>
        <v>162741.89164779594</v>
      </c>
      <c r="R90" s="84">
        <f t="shared" si="176"/>
        <v>197913.08177977797</v>
      </c>
      <c r="S90" s="84">
        <f t="shared" si="176"/>
        <v>199999.99726230119</v>
      </c>
      <c r="T90" s="84">
        <f t="shared" si="176"/>
        <v>199999.99209051588</v>
      </c>
      <c r="U90" s="84">
        <f t="shared" si="176"/>
        <v>199999.99448351719</v>
      </c>
      <c r="V90" s="84">
        <f t="shared" si="176"/>
        <v>199999.99144319067</v>
      </c>
      <c r="W90" s="84">
        <f t="shared" ref="W90" si="177">IF(W22=0,0,W22/W33*1000000)</f>
        <v>199999.99571689585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199999.99757095528</v>
      </c>
      <c r="C91" s="86">
        <f t="shared" si="161"/>
        <v>199999.99908135072</v>
      </c>
      <c r="D91" s="86">
        <f t="shared" si="161"/>
        <v>199999.99911240477</v>
      </c>
      <c r="E91" s="86">
        <f t="shared" si="161"/>
        <v>199999.99840550334</v>
      </c>
      <c r="F91" s="86">
        <f t="shared" si="161"/>
        <v>199999.99885957048</v>
      </c>
      <c r="G91" s="86">
        <f t="shared" si="161"/>
        <v>199999.99788305871</v>
      </c>
      <c r="H91" s="86">
        <f t="shared" si="161"/>
        <v>199999.9994714373</v>
      </c>
      <c r="I91" s="86">
        <f t="shared" si="161"/>
        <v>199999.99722660508</v>
      </c>
      <c r="J91" s="86">
        <f t="shared" si="161"/>
        <v>199999.9969943614</v>
      </c>
      <c r="K91" s="86">
        <f t="shared" ref="K91:V91" si="178">IF(K23=0,0,K23/K34*1000000)</f>
        <v>176012.46391967664</v>
      </c>
      <c r="L91" s="86">
        <f t="shared" si="178"/>
        <v>199999.99944999407</v>
      </c>
      <c r="M91" s="86">
        <f t="shared" si="178"/>
        <v>199999.99791661423</v>
      </c>
      <c r="N91" s="86">
        <f t="shared" si="178"/>
        <v>199999.99713595936</v>
      </c>
      <c r="O91" s="86">
        <f t="shared" si="178"/>
        <v>199999.99986209115</v>
      </c>
      <c r="P91" s="86">
        <f t="shared" si="178"/>
        <v>199999.99837472479</v>
      </c>
      <c r="Q91" s="86">
        <f t="shared" si="178"/>
        <v>187969.90780194398</v>
      </c>
      <c r="R91" s="86">
        <f t="shared" si="178"/>
        <v>199999.9971939697</v>
      </c>
      <c r="S91" s="86">
        <f t="shared" si="178"/>
        <v>199999.99995435105</v>
      </c>
      <c r="T91" s="86">
        <f t="shared" si="178"/>
        <v>199999.99955821491</v>
      </c>
      <c r="U91" s="86">
        <f t="shared" si="178"/>
        <v>181295.64142240136</v>
      </c>
      <c r="V91" s="86">
        <f t="shared" si="178"/>
        <v>199999.99699178149</v>
      </c>
      <c r="W91" s="86">
        <f t="shared" ref="W91" si="179">IF(W23=0,0,W23/W34*1000000)</f>
        <v>199999.99784801135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20536475.907471713</v>
      </c>
      <c r="C94" s="28">
        <f t="shared" si="180"/>
        <v>18649406.770231109</v>
      </c>
      <c r="D94" s="28">
        <f t="shared" si="180"/>
        <v>18046946.339518886</v>
      </c>
      <c r="E94" s="28">
        <f t="shared" si="180"/>
        <v>16921497.62061467</v>
      </c>
      <c r="F94" s="28">
        <f t="shared" si="180"/>
        <v>16905297.04077116</v>
      </c>
      <c r="G94" s="28">
        <f t="shared" si="180"/>
        <v>17424034.105153348</v>
      </c>
      <c r="H94" s="28">
        <f t="shared" si="180"/>
        <v>17969537.821939647</v>
      </c>
      <c r="I94" s="28">
        <f t="shared" si="180"/>
        <v>18382201.991060212</v>
      </c>
      <c r="J94" s="28">
        <f t="shared" si="180"/>
        <v>19306332.730678685</v>
      </c>
      <c r="K94" s="28">
        <f t="shared" ref="K94:V94" si="181">IF(K4=0,0,K4/K26*1000000)</f>
        <v>17427870.903394207</v>
      </c>
      <c r="L94" s="28">
        <f t="shared" si="181"/>
        <v>17438846.405975349</v>
      </c>
      <c r="M94" s="28">
        <f t="shared" si="181"/>
        <v>17173320.702226419</v>
      </c>
      <c r="N94" s="28">
        <f t="shared" si="181"/>
        <v>17215060.125626232</v>
      </c>
      <c r="O94" s="28">
        <f t="shared" si="181"/>
        <v>17098599.334508922</v>
      </c>
      <c r="P94" s="28">
        <f t="shared" si="181"/>
        <v>16839028.804378234</v>
      </c>
      <c r="Q94" s="28">
        <f t="shared" si="181"/>
        <v>16878071.600287285</v>
      </c>
      <c r="R94" s="28">
        <f t="shared" si="181"/>
        <v>16757377.260102728</v>
      </c>
      <c r="S94" s="28">
        <f t="shared" si="181"/>
        <v>17856234.667308308</v>
      </c>
      <c r="T94" s="28">
        <f t="shared" si="181"/>
        <v>17412988.563313141</v>
      </c>
      <c r="U94" s="28">
        <f t="shared" si="181"/>
        <v>18103980.226112679</v>
      </c>
      <c r="V94" s="28">
        <f t="shared" si="181"/>
        <v>11509195.046484089</v>
      </c>
      <c r="W94" s="28">
        <f t="shared" ref="W94" si="182">IF(W4=0,0,W4/W26*1000000)</f>
        <v>12180213.933493394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8662836.1592219528</v>
      </c>
      <c r="C95" s="108">
        <f t="shared" si="180"/>
        <v>8501548.3567093331</v>
      </c>
      <c r="D95" s="108">
        <f t="shared" si="180"/>
        <v>8395013.0215979777</v>
      </c>
      <c r="E95" s="108">
        <f t="shared" si="180"/>
        <v>8352797.4730956526</v>
      </c>
      <c r="F95" s="108">
        <f t="shared" si="180"/>
        <v>8355537.2816564701</v>
      </c>
      <c r="G95" s="108">
        <f t="shared" si="180"/>
        <v>8430086.3370657843</v>
      </c>
      <c r="H95" s="108">
        <f t="shared" si="180"/>
        <v>8392979.010376798</v>
      </c>
      <c r="I95" s="108">
        <f t="shared" si="180"/>
        <v>8400459.1949471645</v>
      </c>
      <c r="J95" s="108">
        <f t="shared" si="180"/>
        <v>8519522.5339289196</v>
      </c>
      <c r="K95" s="108">
        <f t="shared" ref="K95:V95" si="183">IF(K5=0,0,K5/K27*1000000)</f>
        <v>8423004.1553117745</v>
      </c>
      <c r="L95" s="108">
        <f t="shared" si="183"/>
        <v>8472084.2267119512</v>
      </c>
      <c r="M95" s="108">
        <f t="shared" si="183"/>
        <v>8399011.9761104044</v>
      </c>
      <c r="N95" s="108">
        <f t="shared" si="183"/>
        <v>8450919.1981266607</v>
      </c>
      <c r="O95" s="108">
        <f t="shared" si="183"/>
        <v>8459273.5204903837</v>
      </c>
      <c r="P95" s="108">
        <f t="shared" si="183"/>
        <v>8388910.5863307118</v>
      </c>
      <c r="Q95" s="108">
        <f t="shared" si="183"/>
        <v>8503318.7618395798</v>
      </c>
      <c r="R95" s="108">
        <f t="shared" si="183"/>
        <v>8516921.4249708652</v>
      </c>
      <c r="S95" s="108">
        <f t="shared" si="183"/>
        <v>8707627.2565459423</v>
      </c>
      <c r="T95" s="108">
        <f t="shared" si="183"/>
        <v>8767539.0149415005</v>
      </c>
      <c r="U95" s="108">
        <f t="shared" si="183"/>
        <v>8840936.8606895078</v>
      </c>
      <c r="V95" s="108">
        <f t="shared" si="183"/>
        <v>7708200.1982213948</v>
      </c>
      <c r="W95" s="108">
        <f t="shared" ref="W95" si="184">IF(W5=0,0,W5/W27*1000000)</f>
        <v>6947679.9357890906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25327663.927455246</v>
      </c>
      <c r="C96" s="110">
        <f t="shared" si="180"/>
        <v>22564608.999131642</v>
      </c>
      <c r="D96" s="110">
        <f t="shared" si="180"/>
        <v>21358441.860398795</v>
      </c>
      <c r="E96" s="110">
        <f t="shared" si="180"/>
        <v>19267314.263735201</v>
      </c>
      <c r="F96" s="110">
        <f t="shared" si="180"/>
        <v>19452273.967777889</v>
      </c>
      <c r="G96" s="110">
        <f t="shared" si="180"/>
        <v>19391860.597467814</v>
      </c>
      <c r="H96" s="110">
        <f t="shared" si="180"/>
        <v>19636173.266380288</v>
      </c>
      <c r="I96" s="110">
        <f t="shared" si="180"/>
        <v>19435412.568775564</v>
      </c>
      <c r="J96" s="110">
        <f t="shared" si="180"/>
        <v>20538225.57778639</v>
      </c>
      <c r="K96" s="110">
        <f t="shared" ref="K96:V96" si="185">IF(K6=0,0,K6/K28*1000000)</f>
        <v>17989588.393764138</v>
      </c>
      <c r="L96" s="110">
        <f t="shared" si="185"/>
        <v>17733300.953083444</v>
      </c>
      <c r="M96" s="110">
        <f t="shared" si="185"/>
        <v>17115894.434514206</v>
      </c>
      <c r="N96" s="110">
        <f t="shared" si="185"/>
        <v>17197024.380315021</v>
      </c>
      <c r="O96" s="110">
        <f t="shared" si="185"/>
        <v>16769961.778784353</v>
      </c>
      <c r="P96" s="110">
        <f t="shared" si="185"/>
        <v>16936640.553183574</v>
      </c>
      <c r="Q96" s="110">
        <f t="shared" si="185"/>
        <v>17307371.845689349</v>
      </c>
      <c r="R96" s="110">
        <f t="shared" si="185"/>
        <v>16993219.616621897</v>
      </c>
      <c r="S96" s="110">
        <f t="shared" si="185"/>
        <v>18280519.481180236</v>
      </c>
      <c r="T96" s="110">
        <f t="shared" si="185"/>
        <v>17552941.760869253</v>
      </c>
      <c r="U96" s="110">
        <f t="shared" si="185"/>
        <v>18392741.141366698</v>
      </c>
      <c r="V96" s="110">
        <f t="shared" si="185"/>
        <v>11864328.253693709</v>
      </c>
      <c r="W96" s="110">
        <f t="shared" ref="W96" si="186">IF(W6=0,0,W6/W28*1000000)</f>
        <v>13001521.254078345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17297050.368508883</v>
      </c>
      <c r="C97" s="84">
        <f t="shared" si="180"/>
        <v>16756172.293860167</v>
      </c>
      <c r="D97" s="84">
        <f t="shared" si="180"/>
        <v>16280722.108233398</v>
      </c>
      <c r="E97" s="84">
        <f t="shared" si="180"/>
        <v>15769683.362104263</v>
      </c>
      <c r="F97" s="84">
        <f t="shared" si="180"/>
        <v>15788284.368908355</v>
      </c>
      <c r="G97" s="84">
        <f t="shared" si="180"/>
        <v>16018310.744538851</v>
      </c>
      <c r="H97" s="84">
        <f t="shared" si="180"/>
        <v>15861851.129348719</v>
      </c>
      <c r="I97" s="84">
        <f t="shared" si="180"/>
        <v>15200555.379310459</v>
      </c>
      <c r="J97" s="84">
        <f t="shared" si="180"/>
        <v>15606869.075269213</v>
      </c>
      <c r="K97" s="84">
        <f t="shared" ref="K97:V97" si="187">IF(K7=0,0,K7/K29*1000000)</f>
        <v>13327730.781722011</v>
      </c>
      <c r="L97" s="84">
        <f t="shared" si="187"/>
        <v>15372581.739132188</v>
      </c>
      <c r="M97" s="84">
        <f t="shared" si="187"/>
        <v>15093104.960887099</v>
      </c>
      <c r="N97" s="84">
        <f t="shared" si="187"/>
        <v>14919046.292484445</v>
      </c>
      <c r="O97" s="84">
        <f t="shared" si="187"/>
        <v>12921668.329476148</v>
      </c>
      <c r="P97" s="84">
        <f t="shared" si="187"/>
        <v>15884047.941089947</v>
      </c>
      <c r="Q97" s="84">
        <f t="shared" si="187"/>
        <v>15824684.010800138</v>
      </c>
      <c r="R97" s="84">
        <f t="shared" si="187"/>
        <v>15311410.568081407</v>
      </c>
      <c r="S97" s="84">
        <f t="shared" si="187"/>
        <v>15415057.179191317</v>
      </c>
      <c r="T97" s="84">
        <f t="shared" si="187"/>
        <v>12628294.635515355</v>
      </c>
      <c r="U97" s="84">
        <f t="shared" si="187"/>
        <v>10614479.663526053</v>
      </c>
      <c r="V97" s="84">
        <f t="shared" si="187"/>
        <v>7458729.7114518229</v>
      </c>
      <c r="W97" s="84">
        <f t="shared" ref="W97" si="188">IF(W7=0,0,W7/W29*1000000)</f>
        <v>10282337.758832702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28340308.879676405</v>
      </c>
      <c r="C98" s="84">
        <f t="shared" si="180"/>
        <v>24292986.31612815</v>
      </c>
      <c r="D98" s="84">
        <f t="shared" si="180"/>
        <v>22858484.299162555</v>
      </c>
      <c r="E98" s="84">
        <f t="shared" si="180"/>
        <v>20299298.289344233</v>
      </c>
      <c r="F98" s="84">
        <f t="shared" si="180"/>
        <v>20498685.607985619</v>
      </c>
      <c r="G98" s="84">
        <f t="shared" si="180"/>
        <v>20244798.602612596</v>
      </c>
      <c r="H98" s="84">
        <f t="shared" si="180"/>
        <v>20676789.838394608</v>
      </c>
      <c r="I98" s="84">
        <f t="shared" si="180"/>
        <v>20402239.261367619</v>
      </c>
      <c r="J98" s="84">
        <f t="shared" si="180"/>
        <v>21606573.966247912</v>
      </c>
      <c r="K98" s="84">
        <f t="shared" ref="K98:V98" si="189">IF(K8=0,0,K8/K30*1000000)</f>
        <v>18772286.440966886</v>
      </c>
      <c r="L98" s="84">
        <f t="shared" si="189"/>
        <v>18167565.418582723</v>
      </c>
      <c r="M98" s="84">
        <f t="shared" si="189"/>
        <v>17543933.163735271</v>
      </c>
      <c r="N98" s="84">
        <f t="shared" si="189"/>
        <v>17595223.781577785</v>
      </c>
      <c r="O98" s="84">
        <f t="shared" si="189"/>
        <v>17335823.671275806</v>
      </c>
      <c r="P98" s="84">
        <f t="shared" si="189"/>
        <v>17122228.372091781</v>
      </c>
      <c r="Q98" s="84">
        <f t="shared" si="189"/>
        <v>17559686.88251622</v>
      </c>
      <c r="R98" s="84">
        <f t="shared" si="189"/>
        <v>17259465.459530666</v>
      </c>
      <c r="S98" s="84">
        <f t="shared" si="189"/>
        <v>18761139.326270889</v>
      </c>
      <c r="T98" s="84">
        <f t="shared" si="189"/>
        <v>18196926.057356361</v>
      </c>
      <c r="U98" s="84">
        <f t="shared" si="189"/>
        <v>19201639.185754705</v>
      </c>
      <c r="V98" s="84">
        <f t="shared" si="189"/>
        <v>12263187.968611376</v>
      </c>
      <c r="W98" s="84">
        <f t="shared" ref="W98" si="190">IF(W8=0,0,W8/W30*1000000)</f>
        <v>13207278.214603566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71202571.315392286</v>
      </c>
      <c r="C99" s="113">
        <f t="shared" si="180"/>
        <v>66856837.225886963</v>
      </c>
      <c r="D99" s="113">
        <f t="shared" si="180"/>
        <v>72675787.926667437</v>
      </c>
      <c r="E99" s="113">
        <f t="shared" si="180"/>
        <v>73166832.45051454</v>
      </c>
      <c r="F99" s="113">
        <f t="shared" si="180"/>
        <v>61508927.906980269</v>
      </c>
      <c r="G99" s="113">
        <f t="shared" si="180"/>
        <v>76113148.6810399</v>
      </c>
      <c r="H99" s="113">
        <f t="shared" si="180"/>
        <v>77666782.720479935</v>
      </c>
      <c r="I99" s="113">
        <f t="shared" si="180"/>
        <v>78732247.914274156</v>
      </c>
      <c r="J99" s="113">
        <f t="shared" si="180"/>
        <v>77900269.62009716</v>
      </c>
      <c r="K99" s="113">
        <f t="shared" ref="K99:V99" si="191">IF(K9=0,0,K9/K31*1000000)</f>
        <v>76602569.508905232</v>
      </c>
      <c r="L99" s="113">
        <f t="shared" si="191"/>
        <v>78304240.481343761</v>
      </c>
      <c r="M99" s="113">
        <f t="shared" si="191"/>
        <v>75936886.058576792</v>
      </c>
      <c r="N99" s="113">
        <f t="shared" si="191"/>
        <v>76648378.594489589</v>
      </c>
      <c r="O99" s="113">
        <f t="shared" si="191"/>
        <v>82847493.524051115</v>
      </c>
      <c r="P99" s="113">
        <f t="shared" si="191"/>
        <v>72032748.676744029</v>
      </c>
      <c r="Q99" s="113">
        <f t="shared" si="191"/>
        <v>63885674.40391925</v>
      </c>
      <c r="R99" s="113">
        <f t="shared" si="191"/>
        <v>69358594.797132343</v>
      </c>
      <c r="S99" s="113">
        <f t="shared" si="191"/>
        <v>69027143.855316669</v>
      </c>
      <c r="T99" s="113">
        <f t="shared" si="191"/>
        <v>77243981.382160082</v>
      </c>
      <c r="U99" s="113">
        <f t="shared" si="191"/>
        <v>75637166.46820429</v>
      </c>
      <c r="V99" s="113">
        <f t="shared" si="191"/>
        <v>30481542.722461335</v>
      </c>
      <c r="W99" s="113">
        <f t="shared" ref="W99" si="192">IF(W9=0,0,W9/W31*1000000)</f>
        <v>32189425.300414916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122046656.86590272</v>
      </c>
      <c r="C100" s="28">
        <f t="shared" si="180"/>
        <v>119642143.63618924</v>
      </c>
      <c r="D100" s="28">
        <f t="shared" si="180"/>
        <v>117959543.05031417</v>
      </c>
      <c r="E100" s="28">
        <f t="shared" si="180"/>
        <v>119713989.01750752</v>
      </c>
      <c r="F100" s="28">
        <f t="shared" si="180"/>
        <v>115492241.24723393</v>
      </c>
      <c r="G100" s="28">
        <f t="shared" si="180"/>
        <v>113109026.14690058</v>
      </c>
      <c r="H100" s="28">
        <f t="shared" si="180"/>
        <v>115767273.40615653</v>
      </c>
      <c r="I100" s="28">
        <f t="shared" si="180"/>
        <v>110344922.1094294</v>
      </c>
      <c r="J100" s="28">
        <f t="shared" si="180"/>
        <v>116187033.7189391</v>
      </c>
      <c r="K100" s="28">
        <f t="shared" ref="K100:V100" si="193">IF(K10=0,0,K10/K32*1000000)</f>
        <v>105025952.31293795</v>
      </c>
      <c r="L100" s="28">
        <f t="shared" si="193"/>
        <v>118574645.20185873</v>
      </c>
      <c r="M100" s="28">
        <f t="shared" si="193"/>
        <v>116522450.65156388</v>
      </c>
      <c r="N100" s="28">
        <f t="shared" si="193"/>
        <v>115163454.7506707</v>
      </c>
      <c r="O100" s="28">
        <f t="shared" si="193"/>
        <v>123071296.04653409</v>
      </c>
      <c r="P100" s="28">
        <f t="shared" si="193"/>
        <v>117954171.00058421</v>
      </c>
      <c r="Q100" s="28">
        <f t="shared" si="193"/>
        <v>115871668.15930575</v>
      </c>
      <c r="R100" s="28">
        <f t="shared" si="193"/>
        <v>130073901.81194898</v>
      </c>
      <c r="S100" s="28">
        <f t="shared" si="193"/>
        <v>128277526.70826744</v>
      </c>
      <c r="T100" s="28">
        <f t="shared" si="193"/>
        <v>132440923.67417124</v>
      </c>
      <c r="U100" s="28">
        <f t="shared" si="193"/>
        <v>128142039.11874157</v>
      </c>
      <c r="V100" s="28">
        <f t="shared" si="193"/>
        <v>126840858.19195807</v>
      </c>
      <c r="W100" s="28">
        <f t="shared" ref="W100" si="194">IF(W10=0,0,W10/W32*1000000)</f>
        <v>132354302.19875462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123794548.16893132</v>
      </c>
      <c r="C101" s="84">
        <f t="shared" si="180"/>
        <v>124068852.54809408</v>
      </c>
      <c r="D101" s="84">
        <f t="shared" si="180"/>
        <v>122437795.54020411</v>
      </c>
      <c r="E101" s="84">
        <f t="shared" si="180"/>
        <v>126785179.30346149</v>
      </c>
      <c r="F101" s="84">
        <f t="shared" si="180"/>
        <v>123204187.53160083</v>
      </c>
      <c r="G101" s="84">
        <f t="shared" si="180"/>
        <v>122385587.46689795</v>
      </c>
      <c r="H101" s="84">
        <f t="shared" si="180"/>
        <v>125139859.10016869</v>
      </c>
      <c r="I101" s="84">
        <f t="shared" si="180"/>
        <v>111162131.70276523</v>
      </c>
      <c r="J101" s="84">
        <f t="shared" si="180"/>
        <v>125189660.89772974</v>
      </c>
      <c r="K101" s="84">
        <f t="shared" ref="K101:V101" si="195">IF(K11=0,0,K11/K33*1000000)</f>
        <v>119743706.41813181</v>
      </c>
      <c r="L101" s="84">
        <f t="shared" si="195"/>
        <v>130424378.27463886</v>
      </c>
      <c r="M101" s="84">
        <f t="shared" si="195"/>
        <v>133345082.79502466</v>
      </c>
      <c r="N101" s="84">
        <f t="shared" si="195"/>
        <v>132758173.25187941</v>
      </c>
      <c r="O101" s="84">
        <f t="shared" si="195"/>
        <v>129234635.10673742</v>
      </c>
      <c r="P101" s="84">
        <f t="shared" si="195"/>
        <v>141078898.054463</v>
      </c>
      <c r="Q101" s="84">
        <f t="shared" si="195"/>
        <v>123574507.63786389</v>
      </c>
      <c r="R101" s="84">
        <f t="shared" si="195"/>
        <v>154900695.68315056</v>
      </c>
      <c r="S101" s="84">
        <f t="shared" si="195"/>
        <v>164457660.5200814</v>
      </c>
      <c r="T101" s="84">
        <f t="shared" si="195"/>
        <v>138453911.50555673</v>
      </c>
      <c r="U101" s="84">
        <f t="shared" si="195"/>
        <v>120939067.58478986</v>
      </c>
      <c r="V101" s="84">
        <f t="shared" si="195"/>
        <v>124924519.47433166</v>
      </c>
      <c r="W101" s="84">
        <f t="shared" ref="W101" si="196">IF(W11=0,0,W11/W33*1000000)</f>
        <v>129155979.4746214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121163066.26599614</v>
      </c>
      <c r="C102" s="86">
        <f t="shared" si="180"/>
        <v>117420905.11039923</v>
      </c>
      <c r="D102" s="86">
        <f t="shared" si="180"/>
        <v>115870106.93303537</v>
      </c>
      <c r="E102" s="86">
        <f t="shared" si="180"/>
        <v>116450795.51537879</v>
      </c>
      <c r="F102" s="86">
        <f t="shared" si="180"/>
        <v>111814670.11593954</v>
      </c>
      <c r="G102" s="86">
        <f t="shared" si="180"/>
        <v>108433044.22803473</v>
      </c>
      <c r="H102" s="86">
        <f t="shared" si="180"/>
        <v>111247565.21315691</v>
      </c>
      <c r="I102" s="86">
        <f t="shared" si="180"/>
        <v>109995857.56083484</v>
      </c>
      <c r="J102" s="86">
        <f t="shared" si="180"/>
        <v>112527156.67474756</v>
      </c>
      <c r="K102" s="86">
        <f t="shared" ref="K102:V102" si="197">IF(K12=0,0,K12/K34*1000000)</f>
        <v>99175251.524236932</v>
      </c>
      <c r="L102" s="86">
        <f t="shared" si="197"/>
        <v>113863226.78114142</v>
      </c>
      <c r="M102" s="86">
        <f t="shared" si="197"/>
        <v>109713787.57649025</v>
      </c>
      <c r="N102" s="86">
        <f t="shared" si="197"/>
        <v>107193678.2243782</v>
      </c>
      <c r="O102" s="86">
        <f t="shared" si="197"/>
        <v>120205423.41957691</v>
      </c>
      <c r="P102" s="86">
        <f t="shared" si="197"/>
        <v>109573770.06371234</v>
      </c>
      <c r="Q102" s="86">
        <f t="shared" si="197"/>
        <v>113192000.71508819</v>
      </c>
      <c r="R102" s="86">
        <f t="shared" si="197"/>
        <v>123022146.77557863</v>
      </c>
      <c r="S102" s="86">
        <f t="shared" si="197"/>
        <v>119832536.60795736</v>
      </c>
      <c r="T102" s="86">
        <f t="shared" si="197"/>
        <v>130520432.85723999</v>
      </c>
      <c r="U102" s="86">
        <f t="shared" si="197"/>
        <v>130816413.01498933</v>
      </c>
      <c r="V102" s="86">
        <f t="shared" si="197"/>
        <v>127473926.50758472</v>
      </c>
      <c r="W102" s="86">
        <f t="shared" ref="W102" si="198">IF(W12=0,0,W12/W34*1000000)</f>
        <v>133676185.88410233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0.1273705791901589</v>
      </c>
      <c r="C106" s="123">
        <f t="shared" si="199"/>
        <v>0.13325938836951354</v>
      </c>
      <c r="D106" s="123">
        <f t="shared" si="199"/>
        <v>0.1349237387563551</v>
      </c>
      <c r="E106" s="123">
        <f t="shared" si="199"/>
        <v>0.13530036525658626</v>
      </c>
      <c r="F106" s="123">
        <f t="shared" si="199"/>
        <v>0.13496774193548386</v>
      </c>
      <c r="G106" s="123">
        <f t="shared" si="199"/>
        <v>0.13136863136863136</v>
      </c>
      <c r="H106" s="123">
        <f t="shared" si="199"/>
        <v>0.12893700787401574</v>
      </c>
      <c r="I106" s="123">
        <f t="shared" si="199"/>
        <v>0.1209865053513262</v>
      </c>
      <c r="J106" s="123">
        <f t="shared" si="199"/>
        <v>0.11605584642233857</v>
      </c>
      <c r="K106" s="123">
        <f t="shared" ref="K106:V106" si="202">IF(K5=0,0,K5/K$4)</f>
        <v>0.1206896551724138</v>
      </c>
      <c r="L106" s="123">
        <f t="shared" si="202"/>
        <v>0.11806638449543329</v>
      </c>
      <c r="M106" s="123">
        <f t="shared" si="202"/>
        <v>0.11712531271321355</v>
      </c>
      <c r="N106" s="123">
        <f t="shared" si="202"/>
        <v>0.11532558649418988</v>
      </c>
      <c r="O106" s="123">
        <f t="shared" si="202"/>
        <v>0.11467889908256881</v>
      </c>
      <c r="P106" s="123">
        <f t="shared" si="202"/>
        <v>0.1170660006507459</v>
      </c>
      <c r="Q106" s="123">
        <f t="shared" si="202"/>
        <v>0.11141403325359164</v>
      </c>
      <c r="R106" s="123">
        <f t="shared" si="202"/>
        <v>0.11994580363357184</v>
      </c>
      <c r="S106" s="123">
        <f t="shared" si="202"/>
        <v>0.11550753105484388</v>
      </c>
      <c r="T106" s="123">
        <f t="shared" si="202"/>
        <v>0.12615731370966385</v>
      </c>
      <c r="U106" s="123">
        <f t="shared" si="202"/>
        <v>0.11701480442035041</v>
      </c>
      <c r="V106" s="123">
        <f t="shared" si="202"/>
        <v>0.16609441482702772</v>
      </c>
      <c r="W106" s="123">
        <f t="shared" ref="W106" si="203">IF(W5=0,0,W5/W$4)</f>
        <v>0.14582426224577222</v>
      </c>
      <c r="DA106" s="203"/>
    </row>
    <row r="107" spans="1:105" ht="11.45" customHeight="1" x14ac:dyDescent="0.25">
      <c r="A107" s="109" t="s">
        <v>24</v>
      </c>
      <c r="B107" s="124">
        <f t="shared" si="199"/>
        <v>0.85443362378267551</v>
      </c>
      <c r="C107" s="124">
        <f t="shared" si="199"/>
        <v>0.85089526224053247</v>
      </c>
      <c r="D107" s="124">
        <f t="shared" si="199"/>
        <v>0.82987876417676965</v>
      </c>
      <c r="E107" s="124">
        <f t="shared" si="199"/>
        <v>0.81289018988161543</v>
      </c>
      <c r="F107" s="124">
        <f t="shared" si="199"/>
        <v>0.82322580645161292</v>
      </c>
      <c r="G107" s="124">
        <f t="shared" si="199"/>
        <v>0.7909590409590409</v>
      </c>
      <c r="H107" s="124">
        <f t="shared" si="199"/>
        <v>0.76402559055118113</v>
      </c>
      <c r="I107" s="124">
        <f t="shared" si="199"/>
        <v>0.74406700791065616</v>
      </c>
      <c r="J107" s="124">
        <f t="shared" si="199"/>
        <v>0.74825479930191963</v>
      </c>
      <c r="K107" s="124">
        <f t="shared" ref="K107:V107" si="204">IF(K6=0,0,K6/K$4)</f>
        <v>0.74228675136116151</v>
      </c>
      <c r="L107" s="124">
        <f t="shared" si="204"/>
        <v>0.73691245266206284</v>
      </c>
      <c r="M107" s="124">
        <f t="shared" si="204"/>
        <v>0.72162838298840115</v>
      </c>
      <c r="N107" s="124">
        <f t="shared" si="204"/>
        <v>0.72944529708397277</v>
      </c>
      <c r="O107" s="124">
        <f t="shared" si="204"/>
        <v>0.71996505024027957</v>
      </c>
      <c r="P107" s="124">
        <f t="shared" si="204"/>
        <v>0.73456279811632574</v>
      </c>
      <c r="Q107" s="124">
        <f t="shared" si="204"/>
        <v>0.76525524554752666</v>
      </c>
      <c r="R107" s="124">
        <f t="shared" si="204"/>
        <v>0.74058335294020772</v>
      </c>
      <c r="S107" s="124">
        <f t="shared" si="204"/>
        <v>0.74408369021773491</v>
      </c>
      <c r="T107" s="124">
        <f t="shared" si="204"/>
        <v>0.72065526939930691</v>
      </c>
      <c r="U107" s="124">
        <f t="shared" si="204"/>
        <v>0.73701648128195774</v>
      </c>
      <c r="V107" s="124">
        <f t="shared" si="204"/>
        <v>0.73779944503778927</v>
      </c>
      <c r="W107" s="124">
        <f t="shared" ref="W107" si="205">IF(W6=0,0,W6/W$4)</f>
        <v>0.75413448703551011</v>
      </c>
      <c r="DA107" s="176"/>
    </row>
    <row r="108" spans="1:105" ht="11.45" customHeight="1" x14ac:dyDescent="0.25">
      <c r="A108" s="111" t="s">
        <v>92</v>
      </c>
      <c r="B108" s="125">
        <f t="shared" si="199"/>
        <v>0.15918639913536131</v>
      </c>
      <c r="C108" s="125">
        <f t="shared" si="199"/>
        <v>0.14490182977757471</v>
      </c>
      <c r="D108" s="125">
        <f t="shared" si="199"/>
        <v>0.14425940152281733</v>
      </c>
      <c r="E108" s="125">
        <f t="shared" si="199"/>
        <v>0.15158120882390547</v>
      </c>
      <c r="F108" s="125">
        <f t="shared" si="199"/>
        <v>0.14843222520400892</v>
      </c>
      <c r="G108" s="125">
        <f t="shared" si="199"/>
        <v>0.13185271260338569</v>
      </c>
      <c r="H108" s="125">
        <f t="shared" si="199"/>
        <v>0.1333843552293319</v>
      </c>
      <c r="I108" s="125">
        <f t="shared" si="199"/>
        <v>0.10816391957391108</v>
      </c>
      <c r="J108" s="125">
        <f t="shared" si="199"/>
        <v>0.10124775185740849</v>
      </c>
      <c r="K108" s="125">
        <f t="shared" ref="K108:V108" si="206">IF(K7=0,0,K7/K$4)</f>
        <v>7.9056667287910623E-2</v>
      </c>
      <c r="L108" s="125">
        <f t="shared" si="206"/>
        <v>9.9254027722033844E-2</v>
      </c>
      <c r="M108" s="125">
        <f t="shared" si="206"/>
        <v>0.11113805606764718</v>
      </c>
      <c r="N108" s="125">
        <f t="shared" si="206"/>
        <v>9.4159939892854219E-2</v>
      </c>
      <c r="O108" s="125">
        <f t="shared" si="206"/>
        <v>7.1114926646970819E-2</v>
      </c>
      <c r="P108" s="125">
        <f t="shared" si="206"/>
        <v>0.10325911066577843</v>
      </c>
      <c r="Q108" s="125">
        <f t="shared" si="206"/>
        <v>0.1017543941283737</v>
      </c>
      <c r="R108" s="125">
        <f t="shared" si="206"/>
        <v>9.1200059770298797E-2</v>
      </c>
      <c r="S108" s="125">
        <f t="shared" si="206"/>
        <v>9.012462953957566E-2</v>
      </c>
      <c r="T108" s="125">
        <f t="shared" si="206"/>
        <v>5.9958279774102827E-2</v>
      </c>
      <c r="U108" s="125">
        <f t="shared" si="206"/>
        <v>4.0065789507731674E-2</v>
      </c>
      <c r="V108" s="125">
        <f t="shared" si="206"/>
        <v>3.8506654642367279E-2</v>
      </c>
      <c r="W108" s="125">
        <f t="shared" ref="W108" si="207">IF(W7=0,0,W7/W$4)</f>
        <v>4.1955026874320095E-2</v>
      </c>
      <c r="DA108" s="171"/>
    </row>
    <row r="109" spans="1:105" ht="11.45" customHeight="1" x14ac:dyDescent="0.25">
      <c r="A109" s="111" t="s">
        <v>93</v>
      </c>
      <c r="B109" s="125">
        <f t="shared" si="199"/>
        <v>0.69524722464731414</v>
      </c>
      <c r="C109" s="125">
        <f t="shared" si="199"/>
        <v>0.70599343246295776</v>
      </c>
      <c r="D109" s="125">
        <f t="shared" si="199"/>
        <v>0.6856193626539524</v>
      </c>
      <c r="E109" s="125">
        <f t="shared" si="199"/>
        <v>0.66130898105770985</v>
      </c>
      <c r="F109" s="125">
        <f t="shared" si="199"/>
        <v>0.67479358124760402</v>
      </c>
      <c r="G109" s="125">
        <f t="shared" si="199"/>
        <v>0.65910632835565519</v>
      </c>
      <c r="H109" s="125">
        <f t="shared" si="199"/>
        <v>0.63064123532184924</v>
      </c>
      <c r="I109" s="125">
        <f t="shared" si="199"/>
        <v>0.63590308833674503</v>
      </c>
      <c r="J109" s="125">
        <f t="shared" si="199"/>
        <v>0.6470070474445111</v>
      </c>
      <c r="K109" s="125">
        <f t="shared" ref="K109:V109" si="208">IF(K8=0,0,K8/K$4)</f>
        <v>0.6632300840732509</v>
      </c>
      <c r="L109" s="125">
        <f t="shared" si="208"/>
        <v>0.63765842494002889</v>
      </c>
      <c r="M109" s="125">
        <f t="shared" si="208"/>
        <v>0.610490326920754</v>
      </c>
      <c r="N109" s="125">
        <f t="shared" si="208"/>
        <v>0.63528535719111856</v>
      </c>
      <c r="O109" s="125">
        <f t="shared" si="208"/>
        <v>0.64885012359330874</v>
      </c>
      <c r="P109" s="125">
        <f t="shared" si="208"/>
        <v>0.63130368745054732</v>
      </c>
      <c r="Q109" s="125">
        <f t="shared" si="208"/>
        <v>0.66350085141915305</v>
      </c>
      <c r="R109" s="125">
        <f t="shared" si="208"/>
        <v>0.64938329316990895</v>
      </c>
      <c r="S109" s="125">
        <f t="shared" si="208"/>
        <v>0.65395906067815934</v>
      </c>
      <c r="T109" s="125">
        <f t="shared" si="208"/>
        <v>0.66069698962520407</v>
      </c>
      <c r="U109" s="125">
        <f t="shared" si="208"/>
        <v>0.69695069177422597</v>
      </c>
      <c r="V109" s="125">
        <f t="shared" si="208"/>
        <v>0.69929279039542203</v>
      </c>
      <c r="W109" s="125">
        <f t="shared" ref="W109" si="209">IF(W8=0,0,W8/W$4)</f>
        <v>0.71217946016119005</v>
      </c>
      <c r="DA109" s="171"/>
    </row>
    <row r="110" spans="1:105" ht="11.45" customHeight="1" x14ac:dyDescent="0.25">
      <c r="A110" s="112" t="s">
        <v>25</v>
      </c>
      <c r="B110" s="126">
        <f t="shared" si="199"/>
        <v>1.8195797027165558E-2</v>
      </c>
      <c r="C110" s="126">
        <f t="shared" si="199"/>
        <v>1.584534938995405E-2</v>
      </c>
      <c r="D110" s="126">
        <f t="shared" si="199"/>
        <v>3.5197497066875243E-2</v>
      </c>
      <c r="E110" s="126">
        <f t="shared" si="199"/>
        <v>5.1809444861798302E-2</v>
      </c>
      <c r="F110" s="126">
        <f t="shared" si="199"/>
        <v>4.1806451612903223E-2</v>
      </c>
      <c r="G110" s="126">
        <f t="shared" si="199"/>
        <v>7.7672327672327679E-2</v>
      </c>
      <c r="H110" s="126">
        <f t="shared" si="199"/>
        <v>0.10703740157480315</v>
      </c>
      <c r="I110" s="126">
        <f t="shared" si="199"/>
        <v>0.13494648673801768</v>
      </c>
      <c r="J110" s="126">
        <f t="shared" si="199"/>
        <v>0.13568935427574172</v>
      </c>
      <c r="K110" s="126">
        <f t="shared" ref="K110:V110" si="210">IF(K9=0,0,K9/K$4)</f>
        <v>0.13702359346642468</v>
      </c>
      <c r="L110" s="126">
        <f t="shared" si="210"/>
        <v>0.14502116284250391</v>
      </c>
      <c r="M110" s="126">
        <f t="shared" si="210"/>
        <v>0.16124630429838527</v>
      </c>
      <c r="N110" s="126">
        <f t="shared" si="210"/>
        <v>0.15522911642183732</v>
      </c>
      <c r="O110" s="126">
        <f t="shared" si="210"/>
        <v>0.16535605067715159</v>
      </c>
      <c r="P110" s="126">
        <f t="shared" si="210"/>
        <v>0.14837120123292835</v>
      </c>
      <c r="Q110" s="126">
        <f t="shared" si="210"/>
        <v>0.12333072119888167</v>
      </c>
      <c r="R110" s="126">
        <f t="shared" si="210"/>
        <v>0.13947084342622038</v>
      </c>
      <c r="S110" s="126">
        <f t="shared" si="210"/>
        <v>0.14040877872742119</v>
      </c>
      <c r="T110" s="126">
        <f t="shared" si="210"/>
        <v>0.15318741689102916</v>
      </c>
      <c r="U110" s="126">
        <f t="shared" si="210"/>
        <v>0.14596871429769187</v>
      </c>
      <c r="V110" s="126">
        <f t="shared" si="210"/>
        <v>9.6106140135182969E-2</v>
      </c>
      <c r="W110" s="126">
        <f t="shared" ref="W110" si="211">IF(W9=0,0,W9/W$4)</f>
        <v>0.10004125071871768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0.34058563825048982</v>
      </c>
      <c r="C112" s="125">
        <f t="shared" si="212"/>
        <v>0.34648640607835945</v>
      </c>
      <c r="D112" s="125">
        <f t="shared" si="212"/>
        <v>0.33021664766248582</v>
      </c>
      <c r="E112" s="125">
        <f t="shared" si="212"/>
        <v>0.33441198097382752</v>
      </c>
      <c r="F112" s="125">
        <f t="shared" si="212"/>
        <v>0.34445176805914318</v>
      </c>
      <c r="G112" s="125">
        <f t="shared" si="212"/>
        <v>0.36262058965129873</v>
      </c>
      <c r="H112" s="125">
        <f t="shared" si="212"/>
        <v>0.35167888277791226</v>
      </c>
      <c r="I112" s="125">
        <f t="shared" si="212"/>
        <v>0.30151547779273224</v>
      </c>
      <c r="J112" s="125">
        <f t="shared" si="212"/>
        <v>0.31142802450229717</v>
      </c>
      <c r="K112" s="125">
        <f t="shared" ref="K112:V112" si="215">IF(K11=0,0,K11/K$10)</f>
        <v>0.32431145472988793</v>
      </c>
      <c r="L112" s="125">
        <f t="shared" si="215"/>
        <v>0.31291622839284733</v>
      </c>
      <c r="M112" s="125">
        <f t="shared" si="215"/>
        <v>0.32971728377305159</v>
      </c>
      <c r="N112" s="125">
        <f t="shared" si="215"/>
        <v>0.35938132748102575</v>
      </c>
      <c r="O112" s="125">
        <f t="shared" si="215"/>
        <v>0.3332953051358295</v>
      </c>
      <c r="P112" s="125">
        <f t="shared" si="215"/>
        <v>0.31815027618175257</v>
      </c>
      <c r="Q112" s="125">
        <f t="shared" si="215"/>
        <v>0.27525188383710097</v>
      </c>
      <c r="R112" s="125">
        <f t="shared" si="215"/>
        <v>0.26342796283374348</v>
      </c>
      <c r="S112" s="125">
        <f t="shared" si="215"/>
        <v>0.24261812377886022</v>
      </c>
      <c r="T112" s="125">
        <f t="shared" si="215"/>
        <v>0.25306472137178565</v>
      </c>
      <c r="U112" s="125">
        <f t="shared" si="215"/>
        <v>0.2555388098447075</v>
      </c>
      <c r="V112" s="125">
        <f t="shared" si="215"/>
        <v>0.24456815897316939</v>
      </c>
      <c r="W112" s="125">
        <f t="shared" ref="W112" si="216">IF(W11=0,0,W11/W$10)</f>
        <v>0.28537204695622126</v>
      </c>
      <c r="DA112" s="171"/>
    </row>
    <row r="113" spans="1:105" ht="11.45" customHeight="1" x14ac:dyDescent="0.25">
      <c r="A113" s="85" t="s">
        <v>93</v>
      </c>
      <c r="B113" s="127">
        <f t="shared" si="212"/>
        <v>0.65941436174951007</v>
      </c>
      <c r="C113" s="127">
        <f t="shared" si="212"/>
        <v>0.65351359392164055</v>
      </c>
      <c r="D113" s="127">
        <f t="shared" si="212"/>
        <v>0.66978335233751418</v>
      </c>
      <c r="E113" s="127">
        <f t="shared" si="212"/>
        <v>0.66558801902617248</v>
      </c>
      <c r="F113" s="127">
        <f t="shared" si="212"/>
        <v>0.65554823194085676</v>
      </c>
      <c r="G113" s="127">
        <f t="shared" si="212"/>
        <v>0.63737941034870127</v>
      </c>
      <c r="H113" s="127">
        <f t="shared" si="212"/>
        <v>0.64832111722208774</v>
      </c>
      <c r="I113" s="127">
        <f t="shared" si="212"/>
        <v>0.69848452220726787</v>
      </c>
      <c r="J113" s="127">
        <f t="shared" si="212"/>
        <v>0.68857197549770288</v>
      </c>
      <c r="K113" s="127">
        <f t="shared" ref="K113:V113" si="217">IF(K12=0,0,K12/K$10)</f>
        <v>0.67568854527011202</v>
      </c>
      <c r="L113" s="127">
        <f t="shared" si="217"/>
        <v>0.68708377160715273</v>
      </c>
      <c r="M113" s="127">
        <f t="shared" si="217"/>
        <v>0.67028271622694846</v>
      </c>
      <c r="N113" s="127">
        <f t="shared" si="217"/>
        <v>0.6406186725189742</v>
      </c>
      <c r="O113" s="127">
        <f t="shared" si="217"/>
        <v>0.6667046948641705</v>
      </c>
      <c r="P113" s="127">
        <f t="shared" si="217"/>
        <v>0.68184972381824749</v>
      </c>
      <c r="Q113" s="127">
        <f t="shared" si="217"/>
        <v>0.72474811616289903</v>
      </c>
      <c r="R113" s="127">
        <f t="shared" si="217"/>
        <v>0.73657203716625663</v>
      </c>
      <c r="S113" s="127">
        <f t="shared" si="217"/>
        <v>0.75738187622113973</v>
      </c>
      <c r="T113" s="127">
        <f t="shared" si="217"/>
        <v>0.74693527862821429</v>
      </c>
      <c r="U113" s="127">
        <f t="shared" si="217"/>
        <v>0.74446119015529255</v>
      </c>
      <c r="V113" s="127">
        <f t="shared" si="217"/>
        <v>0.75543184102683059</v>
      </c>
      <c r="W113" s="127">
        <f t="shared" ref="W113" si="218">IF(W12=0,0,W12/W$10)</f>
        <v>0.7146279530437788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0.23810282283655379</v>
      </c>
      <c r="C117" s="123">
        <f t="shared" si="219"/>
        <v>0.2305293278056848</v>
      </c>
      <c r="D117" s="123">
        <f t="shared" si="219"/>
        <v>0.22624670100604882</v>
      </c>
      <c r="E117" s="123">
        <f t="shared" si="219"/>
        <v>0.21139048685053191</v>
      </c>
      <c r="F117" s="123">
        <f t="shared" si="219"/>
        <v>0.21215278923440004</v>
      </c>
      <c r="G117" s="123">
        <f t="shared" si="219"/>
        <v>0.20673470110588091</v>
      </c>
      <c r="H117" s="123">
        <f t="shared" si="219"/>
        <v>0.20743780646260226</v>
      </c>
      <c r="I117" s="123">
        <f t="shared" si="219"/>
        <v>0.19761747679101976</v>
      </c>
      <c r="J117" s="123">
        <f t="shared" si="219"/>
        <v>0.19342104258929999</v>
      </c>
      <c r="K117" s="123">
        <f t="shared" ref="K117:V117" si="222">IF(K16=0,0,K16/K$15)</f>
        <v>0.18450030099154111</v>
      </c>
      <c r="L117" s="123">
        <f t="shared" si="222"/>
        <v>0.17825742268508671</v>
      </c>
      <c r="M117" s="123">
        <f t="shared" si="222"/>
        <v>0.17404315409336493</v>
      </c>
      <c r="N117" s="123">
        <f t="shared" si="222"/>
        <v>0.17161935521170549</v>
      </c>
      <c r="O117" s="123">
        <f t="shared" si="222"/>
        <v>0.16962951569656193</v>
      </c>
      <c r="P117" s="123">
        <f t="shared" si="222"/>
        <v>0.17291468074486341</v>
      </c>
      <c r="Q117" s="123">
        <f t="shared" si="222"/>
        <v>0.16264431058532083</v>
      </c>
      <c r="R117" s="123">
        <f t="shared" si="222"/>
        <v>0.17348512630928287</v>
      </c>
      <c r="S117" s="123">
        <f t="shared" si="222"/>
        <v>0.17206970946981409</v>
      </c>
      <c r="T117" s="123">
        <f t="shared" si="222"/>
        <v>0.18526139111776313</v>
      </c>
      <c r="U117" s="123">
        <f t="shared" si="222"/>
        <v>0.17801995930125653</v>
      </c>
      <c r="V117" s="123">
        <f t="shared" si="222"/>
        <v>0.21227932531506558</v>
      </c>
      <c r="W117" s="123">
        <f t="shared" ref="W117" si="223">IF(W16=0,0,W16/W$15)</f>
        <v>0.20563134407774383</v>
      </c>
      <c r="DA117" s="203"/>
    </row>
    <row r="118" spans="1:105" ht="11.45" customHeight="1" x14ac:dyDescent="0.25">
      <c r="A118" s="109" t="s">
        <v>24</v>
      </c>
      <c r="B118" s="124">
        <f t="shared" si="219"/>
        <v>0.744967433237678</v>
      </c>
      <c r="C118" s="124">
        <f t="shared" si="219"/>
        <v>0.75626371799298153</v>
      </c>
      <c r="D118" s="124">
        <f t="shared" si="219"/>
        <v>0.74586274666104913</v>
      </c>
      <c r="E118" s="124">
        <f t="shared" si="219"/>
        <v>0.75080593725933931</v>
      </c>
      <c r="F118" s="124">
        <f t="shared" si="219"/>
        <v>0.75794957761594628</v>
      </c>
      <c r="G118" s="124">
        <f t="shared" si="219"/>
        <v>0.73788183184275447</v>
      </c>
      <c r="H118" s="124">
        <f t="shared" si="219"/>
        <v>0.71643383279321438</v>
      </c>
      <c r="I118" s="124">
        <f t="shared" si="219"/>
        <v>0.70617253454835138</v>
      </c>
      <c r="J118" s="124">
        <f t="shared" si="219"/>
        <v>0.70540270351536982</v>
      </c>
      <c r="K118" s="124">
        <f t="shared" ref="K118:V118" si="224">IF(K17=0,0,K17/K$15)</f>
        <v>0.72207814210362964</v>
      </c>
      <c r="L118" s="124">
        <f t="shared" si="224"/>
        <v>0.72483058307546799</v>
      </c>
      <c r="M118" s="124">
        <f t="shared" si="224"/>
        <v>0.71754139818395712</v>
      </c>
      <c r="N118" s="124">
        <f t="shared" si="224"/>
        <v>0.72716560047700618</v>
      </c>
      <c r="O118" s="124">
        <f t="shared" si="224"/>
        <v>0.73015865099340393</v>
      </c>
      <c r="P118" s="124">
        <f t="shared" si="224"/>
        <v>0.72811361854768586</v>
      </c>
      <c r="Q118" s="124">
        <f t="shared" si="224"/>
        <v>0.74844726038580056</v>
      </c>
      <c r="R118" s="124">
        <f t="shared" si="224"/>
        <v>0.73069337338578255</v>
      </c>
      <c r="S118" s="124">
        <f t="shared" si="224"/>
        <v>0.7199888741421121</v>
      </c>
      <c r="T118" s="124">
        <f t="shared" si="224"/>
        <v>0.71028379826946175</v>
      </c>
      <c r="U118" s="124">
        <f t="shared" si="224"/>
        <v>0.71579324179680015</v>
      </c>
      <c r="V118" s="124">
        <f t="shared" si="224"/>
        <v>0.70050060381341028</v>
      </c>
      <c r="W118" s="124">
        <f t="shared" ref="W118" si="225">IF(W17=0,0,W17/W$15)</f>
        <v>0.69760902540787006</v>
      </c>
      <c r="DA118" s="176"/>
    </row>
    <row r="119" spans="1:105" ht="11.45" customHeight="1" x14ac:dyDescent="0.25">
      <c r="A119" s="111" t="s">
        <v>92</v>
      </c>
      <c r="B119" s="125">
        <f t="shared" si="219"/>
        <v>0.20323008541967835</v>
      </c>
      <c r="C119" s="125">
        <f t="shared" si="219"/>
        <v>0.17342991861327636</v>
      </c>
      <c r="D119" s="125">
        <f t="shared" si="219"/>
        <v>0.17009215660544583</v>
      </c>
      <c r="E119" s="125">
        <f t="shared" si="219"/>
        <v>0.17105642274160451</v>
      </c>
      <c r="F119" s="125">
        <f t="shared" si="219"/>
        <v>0.16837785268570576</v>
      </c>
      <c r="G119" s="125">
        <f t="shared" si="219"/>
        <v>0.14891026961613282</v>
      </c>
      <c r="H119" s="125">
        <f t="shared" si="219"/>
        <v>0.15483746650444052</v>
      </c>
      <c r="I119" s="125">
        <f t="shared" si="219"/>
        <v>0.12299187174870876</v>
      </c>
      <c r="J119" s="125">
        <f t="shared" si="219"/>
        <v>0.12560881533094298</v>
      </c>
      <c r="K119" s="125">
        <f t="shared" ref="K119:V119" si="226">IF(K18=0,0,K18/K$15)</f>
        <v>0.10172402664005792</v>
      </c>
      <c r="L119" s="125">
        <f t="shared" si="226"/>
        <v>0.11261896124342446</v>
      </c>
      <c r="M119" s="125">
        <f t="shared" si="226"/>
        <v>0.12531906690204053</v>
      </c>
      <c r="N119" s="125">
        <f t="shared" si="226"/>
        <v>0.10798524094945705</v>
      </c>
      <c r="O119" s="125">
        <f t="shared" si="226"/>
        <v>9.1528442012825589E-2</v>
      </c>
      <c r="P119" s="125">
        <f t="shared" si="226"/>
        <v>0.10984300439627924</v>
      </c>
      <c r="Q119" s="125">
        <f t="shared" si="226"/>
        <v>0.10884391130425802</v>
      </c>
      <c r="R119" s="125">
        <f t="shared" si="226"/>
        <v>9.9464054557894005E-2</v>
      </c>
      <c r="S119" s="125">
        <f t="shared" si="226"/>
        <v>0.10341674924926331</v>
      </c>
      <c r="T119" s="125">
        <f t="shared" si="226"/>
        <v>7.2823611334888433E-2</v>
      </c>
      <c r="U119" s="125">
        <f t="shared" si="226"/>
        <v>5.0078000775634506E-2</v>
      </c>
      <c r="V119" s="125">
        <f t="shared" si="226"/>
        <v>5.4997913253678608E-2</v>
      </c>
      <c r="W119" s="125">
        <f t="shared" ref="W119" si="227">IF(W18=0,0,W18/W$15)</f>
        <v>5.3909072563311844E-2</v>
      </c>
      <c r="DA119" s="171"/>
    </row>
    <row r="120" spans="1:105" ht="11.45" customHeight="1" x14ac:dyDescent="0.25">
      <c r="A120" s="111" t="s">
        <v>93</v>
      </c>
      <c r="B120" s="125">
        <f t="shared" si="219"/>
        <v>0.54173734781799965</v>
      </c>
      <c r="C120" s="125">
        <f t="shared" si="219"/>
        <v>0.58283379937970514</v>
      </c>
      <c r="D120" s="125">
        <f t="shared" si="219"/>
        <v>0.57577059005560338</v>
      </c>
      <c r="E120" s="125">
        <f t="shared" si="219"/>
        <v>0.57974951451773471</v>
      </c>
      <c r="F120" s="125">
        <f t="shared" si="219"/>
        <v>0.58957172493024046</v>
      </c>
      <c r="G120" s="125">
        <f t="shared" si="219"/>
        <v>0.58897156222662161</v>
      </c>
      <c r="H120" s="125">
        <f t="shared" si="219"/>
        <v>0.56159636628877396</v>
      </c>
      <c r="I120" s="125">
        <f t="shared" si="219"/>
        <v>0.58318066279964265</v>
      </c>
      <c r="J120" s="125">
        <f t="shared" si="219"/>
        <v>0.5797938881844269</v>
      </c>
      <c r="K120" s="125">
        <f t="shared" ref="K120:V120" si="228">IF(K19=0,0,K19/K$15)</f>
        <v>0.62035411546357178</v>
      </c>
      <c r="L120" s="125">
        <f t="shared" si="228"/>
        <v>0.61221162183204347</v>
      </c>
      <c r="M120" s="125">
        <f t="shared" si="228"/>
        <v>0.59222233128191659</v>
      </c>
      <c r="N120" s="125">
        <f t="shared" si="228"/>
        <v>0.61918035952754913</v>
      </c>
      <c r="O120" s="125">
        <f t="shared" si="228"/>
        <v>0.63863020898057843</v>
      </c>
      <c r="P120" s="125">
        <f t="shared" si="228"/>
        <v>0.61827061415140661</v>
      </c>
      <c r="Q120" s="125">
        <f t="shared" si="228"/>
        <v>0.63960334908154259</v>
      </c>
      <c r="R120" s="125">
        <f t="shared" si="228"/>
        <v>0.63122931882788857</v>
      </c>
      <c r="S120" s="125">
        <f t="shared" si="228"/>
        <v>0.61657212489284874</v>
      </c>
      <c r="T120" s="125">
        <f t="shared" si="228"/>
        <v>0.6374601869345734</v>
      </c>
      <c r="U120" s="125">
        <f t="shared" si="228"/>
        <v>0.66571524102116564</v>
      </c>
      <c r="V120" s="125">
        <f t="shared" si="228"/>
        <v>0.64550269055973175</v>
      </c>
      <c r="W120" s="125">
        <f t="shared" ref="W120" si="229">IF(W19=0,0,W19/W$15)</f>
        <v>0.64369995284455817</v>
      </c>
      <c r="DA120" s="171"/>
    </row>
    <row r="121" spans="1:105" ht="11.45" customHeight="1" x14ac:dyDescent="0.25">
      <c r="A121" s="112" t="s">
        <v>25</v>
      </c>
      <c r="B121" s="126">
        <f t="shared" si="219"/>
        <v>1.6929743925768213E-2</v>
      </c>
      <c r="C121" s="126">
        <f t="shared" si="219"/>
        <v>1.3206954201333655E-2</v>
      </c>
      <c r="D121" s="126">
        <f t="shared" si="219"/>
        <v>2.7890552332901938E-2</v>
      </c>
      <c r="E121" s="126">
        <f t="shared" si="219"/>
        <v>3.7803575890128983E-2</v>
      </c>
      <c r="F121" s="126">
        <f t="shared" si="219"/>
        <v>2.9897633149653775E-2</v>
      </c>
      <c r="G121" s="126">
        <f t="shared" si="219"/>
        <v>5.5383467051364599E-2</v>
      </c>
      <c r="H121" s="126">
        <f t="shared" si="219"/>
        <v>7.6128360744183346E-2</v>
      </c>
      <c r="I121" s="126">
        <f t="shared" si="219"/>
        <v>9.620998866062877E-2</v>
      </c>
      <c r="J121" s="126">
        <f t="shared" si="219"/>
        <v>0.10117625389533018</v>
      </c>
      <c r="K121" s="126">
        <f t="shared" ref="K121:V121" si="230">IF(K20=0,0,K20/K$15)</f>
        <v>9.3421556904829298E-2</v>
      </c>
      <c r="L121" s="126">
        <f t="shared" si="230"/>
        <v>9.6911994239445326E-2</v>
      </c>
      <c r="M121" s="126">
        <f t="shared" si="230"/>
        <v>0.10841544772267787</v>
      </c>
      <c r="N121" s="126">
        <f t="shared" si="230"/>
        <v>0.10121504431128821</v>
      </c>
      <c r="O121" s="126">
        <f t="shared" si="230"/>
        <v>0.10021183331003398</v>
      </c>
      <c r="P121" s="126">
        <f t="shared" si="230"/>
        <v>9.897170070745083E-2</v>
      </c>
      <c r="Q121" s="126">
        <f t="shared" si="230"/>
        <v>8.8908429028878661E-2</v>
      </c>
      <c r="R121" s="126">
        <f t="shared" si="230"/>
        <v>9.5821500304934443E-2</v>
      </c>
      <c r="S121" s="126">
        <f t="shared" si="230"/>
        <v>0.1079414163880737</v>
      </c>
      <c r="T121" s="126">
        <f t="shared" si="230"/>
        <v>0.10445481061277501</v>
      </c>
      <c r="U121" s="126">
        <f t="shared" si="230"/>
        <v>0.10618679890194327</v>
      </c>
      <c r="V121" s="126">
        <f t="shared" si="230"/>
        <v>8.7220070871523961E-2</v>
      </c>
      <c r="W121" s="126">
        <f t="shared" ref="W121" si="231">IF(W20=0,0,W20/W$15)</f>
        <v>9.6759630514386102E-2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0.33577680740841875</v>
      </c>
      <c r="C123" s="125">
        <f t="shared" si="232"/>
        <v>0.33412395425825908</v>
      </c>
      <c r="D123" s="125">
        <f t="shared" si="232"/>
        <v>0.31813872576671087</v>
      </c>
      <c r="E123" s="125">
        <f t="shared" si="232"/>
        <v>0.31576081979232495</v>
      </c>
      <c r="F123" s="125">
        <f t="shared" si="232"/>
        <v>0.3228908644835165</v>
      </c>
      <c r="G123" s="125">
        <f t="shared" si="232"/>
        <v>0.33513473701183233</v>
      </c>
      <c r="H123" s="125">
        <f t="shared" si="232"/>
        <v>0.32533922989036052</v>
      </c>
      <c r="I123" s="125">
        <f t="shared" si="232"/>
        <v>0.27757170309533796</v>
      </c>
      <c r="J123" s="125">
        <f t="shared" si="232"/>
        <v>0.28903264241804122</v>
      </c>
      <c r="K123" s="125">
        <f t="shared" ref="K123:V123" si="235">IF(K22=0,0,K22/K$21)</f>
        <v>0.30020256925595035</v>
      </c>
      <c r="L123" s="125">
        <f t="shared" si="235"/>
        <v>0.28448615827685364</v>
      </c>
      <c r="M123" s="125">
        <f t="shared" si="235"/>
        <v>0.28812060642410037</v>
      </c>
      <c r="N123" s="125">
        <f t="shared" si="235"/>
        <v>0.31175176423429679</v>
      </c>
      <c r="O123" s="125">
        <f t="shared" si="235"/>
        <v>0.31740008452874946</v>
      </c>
      <c r="P123" s="125">
        <f t="shared" si="235"/>
        <v>0.26144156544133218</v>
      </c>
      <c r="Q123" s="125">
        <f t="shared" si="235"/>
        <v>0.23147294805588556</v>
      </c>
      <c r="R123" s="125">
        <f t="shared" si="235"/>
        <v>0.21940513229564096</v>
      </c>
      <c r="S123" s="125">
        <f t="shared" si="235"/>
        <v>0.18924294809309375</v>
      </c>
      <c r="T123" s="125">
        <f t="shared" si="235"/>
        <v>0.24207423347502202</v>
      </c>
      <c r="U123" s="125">
        <f t="shared" si="235"/>
        <v>0.29057561182132147</v>
      </c>
      <c r="V123" s="125">
        <f t="shared" si="235"/>
        <v>0.24831982267537528</v>
      </c>
      <c r="W123" s="125">
        <f t="shared" ref="W123" si="236">IF(W22=0,0,W22/W$21)</f>
        <v>0.29243878611578367</v>
      </c>
      <c r="DA123" s="171"/>
    </row>
    <row r="124" spans="1:105" ht="11.45" customHeight="1" x14ac:dyDescent="0.25">
      <c r="A124" s="85" t="s">
        <v>93</v>
      </c>
      <c r="B124" s="127">
        <f t="shared" si="232"/>
        <v>0.66422319259158114</v>
      </c>
      <c r="C124" s="127">
        <f t="shared" si="232"/>
        <v>0.66587604574174097</v>
      </c>
      <c r="D124" s="127">
        <f t="shared" si="232"/>
        <v>0.68186127423328913</v>
      </c>
      <c r="E124" s="127">
        <f t="shared" si="232"/>
        <v>0.68423918020767505</v>
      </c>
      <c r="F124" s="127">
        <f t="shared" si="232"/>
        <v>0.67710913551648355</v>
      </c>
      <c r="G124" s="127">
        <f t="shared" si="232"/>
        <v>0.66486526298816773</v>
      </c>
      <c r="H124" s="127">
        <f t="shared" si="232"/>
        <v>0.67466077010963943</v>
      </c>
      <c r="I124" s="127">
        <f t="shared" si="232"/>
        <v>0.72242829690466204</v>
      </c>
      <c r="J124" s="127">
        <f t="shared" si="232"/>
        <v>0.71096735758195884</v>
      </c>
      <c r="K124" s="127">
        <f t="shared" ref="K124:V124" si="237">IF(K23=0,0,K23/K$21)</f>
        <v>0.69979743074404954</v>
      </c>
      <c r="L124" s="127">
        <f t="shared" si="237"/>
        <v>0.71551384172314636</v>
      </c>
      <c r="M124" s="127">
        <f t="shared" si="237"/>
        <v>0.71187939357589969</v>
      </c>
      <c r="N124" s="127">
        <f t="shared" si="237"/>
        <v>0.68824823576570326</v>
      </c>
      <c r="O124" s="127">
        <f t="shared" si="237"/>
        <v>0.68259991547125043</v>
      </c>
      <c r="P124" s="127">
        <f t="shared" si="237"/>
        <v>0.73855843455866788</v>
      </c>
      <c r="Q124" s="127">
        <f t="shared" si="237"/>
        <v>0.76852705194411441</v>
      </c>
      <c r="R124" s="127">
        <f t="shared" si="237"/>
        <v>0.78059486770435893</v>
      </c>
      <c r="S124" s="127">
        <f t="shared" si="237"/>
        <v>0.81075705190690628</v>
      </c>
      <c r="T124" s="127">
        <f t="shared" si="237"/>
        <v>0.7579257665249779</v>
      </c>
      <c r="U124" s="127">
        <f t="shared" si="237"/>
        <v>0.70942438817867859</v>
      </c>
      <c r="V124" s="127">
        <f t="shared" si="237"/>
        <v>0.75168017732462478</v>
      </c>
      <c r="W124" s="127">
        <f t="shared" ref="W124" si="238">IF(W23=0,0,W23/W$21)</f>
        <v>0.70756121388421644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94.530438521066202</v>
      </c>
      <c r="C4" s="146">
        <f t="shared" ref="C4:V4" si="0">SUM(C5,C8)</f>
        <v>93.770937231298362</v>
      </c>
      <c r="D4" s="146">
        <f t="shared" si="0"/>
        <v>94.1244196044712</v>
      </c>
      <c r="E4" s="146">
        <f t="shared" si="0"/>
        <v>97.047893379191748</v>
      </c>
      <c r="F4" s="146">
        <f t="shared" si="0"/>
        <v>98.127429062768698</v>
      </c>
      <c r="G4" s="146">
        <f t="shared" si="0"/>
        <v>97.630610490111778</v>
      </c>
      <c r="H4" s="146">
        <f t="shared" si="0"/>
        <v>101.96904557179707</v>
      </c>
      <c r="I4" s="146">
        <f t="shared" si="0"/>
        <v>98.011865864144454</v>
      </c>
      <c r="J4" s="146">
        <f t="shared" si="0"/>
        <v>99.894239036973346</v>
      </c>
      <c r="K4" s="146">
        <f t="shared" si="0"/>
        <v>92.219088564058467</v>
      </c>
      <c r="L4" s="146">
        <f t="shared" si="0"/>
        <v>95.308254514187439</v>
      </c>
      <c r="M4" s="146">
        <f t="shared" si="0"/>
        <v>95.465778159931205</v>
      </c>
      <c r="N4" s="146">
        <f t="shared" si="0"/>
        <v>96.067669819432496</v>
      </c>
      <c r="O4" s="146">
        <f t="shared" si="0"/>
        <v>92.949269131556321</v>
      </c>
      <c r="P4" s="146">
        <f t="shared" si="0"/>
        <v>89.853826311263973</v>
      </c>
      <c r="Q4" s="146">
        <f t="shared" si="0"/>
        <v>82.945657781599309</v>
      </c>
      <c r="R4" s="146">
        <f t="shared" si="0"/>
        <v>81.63714531384349</v>
      </c>
      <c r="S4" s="146">
        <f t="shared" si="0"/>
        <v>86.305073086844359</v>
      </c>
      <c r="T4" s="146">
        <f t="shared" si="0"/>
        <v>92.132330180567493</v>
      </c>
      <c r="U4" s="146">
        <f t="shared" si="0"/>
        <v>90.253568357695613</v>
      </c>
      <c r="V4" s="146">
        <f t="shared" si="0"/>
        <v>79.861478933791915</v>
      </c>
      <c r="W4" s="146">
        <f t="shared" ref="W4" si="1">SUM(W5,W8)</f>
        <v>83.033190025795335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48.270765262252787</v>
      </c>
      <c r="C5" s="101">
        <f t="shared" ref="C5:V5" si="2">SUM(C6:C7)</f>
        <v>45.18968185726569</v>
      </c>
      <c r="D5" s="101">
        <f t="shared" si="2"/>
        <v>43.135597592433363</v>
      </c>
      <c r="E5" s="101">
        <f t="shared" si="2"/>
        <v>43.135597592433363</v>
      </c>
      <c r="F5" s="101">
        <f t="shared" si="2"/>
        <v>43.957179707652621</v>
      </c>
      <c r="G5" s="101">
        <f t="shared" si="2"/>
        <v>41.912639724849527</v>
      </c>
      <c r="H5" s="101">
        <f t="shared" si="2"/>
        <v>43.929492691315559</v>
      </c>
      <c r="I5" s="101">
        <f t="shared" si="2"/>
        <v>35.759071367153908</v>
      </c>
      <c r="J5" s="101">
        <f t="shared" si="2"/>
        <v>36.781599312123817</v>
      </c>
      <c r="K5" s="101">
        <f t="shared" si="2"/>
        <v>30.654170249355111</v>
      </c>
      <c r="L5" s="101">
        <f t="shared" si="2"/>
        <v>31.679707652622529</v>
      </c>
      <c r="M5" s="101">
        <f t="shared" si="2"/>
        <v>32.697076526225267</v>
      </c>
      <c r="N5" s="101">
        <f t="shared" si="2"/>
        <v>32.697076526225267</v>
      </c>
      <c r="O5" s="101">
        <f t="shared" si="2"/>
        <v>29.922613929492691</v>
      </c>
      <c r="P5" s="101">
        <f t="shared" si="2"/>
        <v>27.858985382631129</v>
      </c>
      <c r="Q5" s="101">
        <f t="shared" si="2"/>
        <v>22.670507308684439</v>
      </c>
      <c r="R5" s="101">
        <f t="shared" si="2"/>
        <v>21.61994840928633</v>
      </c>
      <c r="S5" s="101">
        <f t="shared" si="2"/>
        <v>21.55872742906277</v>
      </c>
      <c r="T5" s="101">
        <f t="shared" si="2"/>
        <v>23.602665520206362</v>
      </c>
      <c r="U5" s="101">
        <f t="shared" si="2"/>
        <v>22.583748925193461</v>
      </c>
      <c r="V5" s="101">
        <f t="shared" si="2"/>
        <v>20.532158211521921</v>
      </c>
      <c r="W5" s="101">
        <f t="shared" ref="W5" si="3">SUM(W6:W7)</f>
        <v>23.617884780739459</v>
      </c>
      <c r="DA5" s="175"/>
    </row>
    <row r="6" spans="1:105" ht="11.45" customHeight="1" x14ac:dyDescent="0.25">
      <c r="A6" s="164" t="s">
        <v>182</v>
      </c>
      <c r="B6" s="165">
        <v>48.270765262252787</v>
      </c>
      <c r="C6" s="165">
        <v>45.18968185726569</v>
      </c>
      <c r="D6" s="165">
        <v>43.135597592433363</v>
      </c>
      <c r="E6" s="165">
        <v>43.135597592433363</v>
      </c>
      <c r="F6" s="165">
        <v>43.957179707652621</v>
      </c>
      <c r="G6" s="165">
        <v>41.912639724849527</v>
      </c>
      <c r="H6" s="165">
        <v>43.929492691315559</v>
      </c>
      <c r="I6" s="165">
        <v>35.759071367153908</v>
      </c>
      <c r="J6" s="165">
        <v>36.781599312123817</v>
      </c>
      <c r="K6" s="165">
        <v>30.654170249355111</v>
      </c>
      <c r="L6" s="165">
        <v>31.679707652622529</v>
      </c>
      <c r="M6" s="165">
        <v>32.697076526225267</v>
      </c>
      <c r="N6" s="165">
        <v>32.697076526225267</v>
      </c>
      <c r="O6" s="165">
        <v>29.922613929492691</v>
      </c>
      <c r="P6" s="165">
        <v>27.858985382631129</v>
      </c>
      <c r="Q6" s="165">
        <v>22.670507308684439</v>
      </c>
      <c r="R6" s="165">
        <v>21.61994840928633</v>
      </c>
      <c r="S6" s="165">
        <v>21.55872742906277</v>
      </c>
      <c r="T6" s="165">
        <v>23.602665520206362</v>
      </c>
      <c r="U6" s="165">
        <v>22.583748925193461</v>
      </c>
      <c r="V6" s="165">
        <v>20.532158211521921</v>
      </c>
      <c r="W6" s="165">
        <v>22.865692175408419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0.75219260533104026</v>
      </c>
      <c r="DA7" s="177" t="s">
        <v>1103</v>
      </c>
    </row>
    <row r="8" spans="1:105" ht="11.45" customHeight="1" x14ac:dyDescent="0.25">
      <c r="A8" s="85" t="s">
        <v>91</v>
      </c>
      <c r="B8" s="88">
        <v>46.259673258813407</v>
      </c>
      <c r="C8" s="88">
        <v>48.581255374032672</v>
      </c>
      <c r="D8" s="88">
        <v>50.988822012037829</v>
      </c>
      <c r="E8" s="88">
        <v>53.912295786758378</v>
      </c>
      <c r="F8" s="88">
        <v>54.170249355116077</v>
      </c>
      <c r="G8" s="88">
        <v>55.717970765262251</v>
      </c>
      <c r="H8" s="88">
        <v>58.039552880481509</v>
      </c>
      <c r="I8" s="88">
        <v>62.252794496990539</v>
      </c>
      <c r="J8" s="88">
        <v>63.112639724849522</v>
      </c>
      <c r="K8" s="88">
        <v>61.564918314703348</v>
      </c>
      <c r="L8" s="88">
        <v>63.628546861564907</v>
      </c>
      <c r="M8" s="88">
        <v>62.76870163370593</v>
      </c>
      <c r="N8" s="88">
        <v>63.370593293207222</v>
      </c>
      <c r="O8" s="88">
        <v>63.026655202063623</v>
      </c>
      <c r="P8" s="88">
        <v>61.99484092863284</v>
      </c>
      <c r="Q8" s="88">
        <v>60.275150472914873</v>
      </c>
      <c r="R8" s="88">
        <v>60.017196904557167</v>
      </c>
      <c r="S8" s="88">
        <v>64.746345657781589</v>
      </c>
      <c r="T8" s="88">
        <v>68.529664660361135</v>
      </c>
      <c r="U8" s="88">
        <v>67.669819432502152</v>
      </c>
      <c r="V8" s="88">
        <v>59.329320722269991</v>
      </c>
      <c r="W8" s="88">
        <v>59.415305245055883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94.530438521066202</v>
      </c>
      <c r="C10" s="62">
        <f t="shared" ref="C10:V10" si="5">SUM(C11,C17)</f>
        <v>93.770937231298362</v>
      </c>
      <c r="D10" s="62">
        <f t="shared" si="5"/>
        <v>94.124419604471186</v>
      </c>
      <c r="E10" s="62">
        <f t="shared" si="5"/>
        <v>97.047893379191734</v>
      </c>
      <c r="F10" s="62">
        <f t="shared" si="5"/>
        <v>98.127429062768698</v>
      </c>
      <c r="G10" s="62">
        <f t="shared" si="5"/>
        <v>97.630610490111778</v>
      </c>
      <c r="H10" s="62">
        <f t="shared" si="5"/>
        <v>101.96904557179707</v>
      </c>
      <c r="I10" s="62">
        <f t="shared" si="5"/>
        <v>98.01186586414444</v>
      </c>
      <c r="J10" s="62">
        <f t="shared" si="5"/>
        <v>99.894239036973346</v>
      </c>
      <c r="K10" s="62">
        <f t="shared" si="5"/>
        <v>92.219088564058453</v>
      </c>
      <c r="L10" s="62">
        <f t="shared" si="5"/>
        <v>95.308254514187425</v>
      </c>
      <c r="M10" s="62">
        <f t="shared" si="5"/>
        <v>95.465778159931205</v>
      </c>
      <c r="N10" s="62">
        <f t="shared" si="5"/>
        <v>96.067669819432481</v>
      </c>
      <c r="O10" s="62">
        <f t="shared" si="5"/>
        <v>92.949269131556306</v>
      </c>
      <c r="P10" s="62">
        <f t="shared" si="5"/>
        <v>89.853826311263958</v>
      </c>
      <c r="Q10" s="62">
        <f t="shared" si="5"/>
        <v>82.945657781599309</v>
      </c>
      <c r="R10" s="62">
        <f t="shared" si="5"/>
        <v>81.63714531384349</v>
      </c>
      <c r="S10" s="62">
        <f t="shared" si="5"/>
        <v>86.305073086844345</v>
      </c>
      <c r="T10" s="62">
        <f t="shared" si="5"/>
        <v>92.132330180567493</v>
      </c>
      <c r="U10" s="62">
        <f t="shared" si="5"/>
        <v>90.253568357695627</v>
      </c>
      <c r="V10" s="62">
        <f t="shared" si="5"/>
        <v>79.861478933791901</v>
      </c>
      <c r="W10" s="62">
        <f t="shared" ref="W10" si="6">SUM(W11,W17)</f>
        <v>83.033190025795363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40.931072245575898</v>
      </c>
      <c r="C11" s="29">
        <f t="shared" ref="C11:V11" si="8">SUM(C12,C13,C16)</f>
        <v>41.4780330104916</v>
      </c>
      <c r="D11" s="29">
        <f t="shared" si="8"/>
        <v>43.704218698474975</v>
      </c>
      <c r="E11" s="29">
        <f t="shared" si="8"/>
        <v>46.871600135365881</v>
      </c>
      <c r="F11" s="29">
        <f t="shared" si="8"/>
        <v>45.998948645406102</v>
      </c>
      <c r="G11" s="29">
        <f t="shared" si="8"/>
        <v>46.534716620221154</v>
      </c>
      <c r="H11" s="29">
        <f t="shared" si="8"/>
        <v>46.707673410767882</v>
      </c>
      <c r="I11" s="29">
        <f t="shared" si="8"/>
        <v>47.990763785013037</v>
      </c>
      <c r="J11" s="29">
        <f t="shared" si="8"/>
        <v>49.404375353034972</v>
      </c>
      <c r="K11" s="29">
        <f t="shared" si="8"/>
        <v>50.894707392328769</v>
      </c>
      <c r="L11" s="29">
        <f t="shared" si="8"/>
        <v>52.229595380323147</v>
      </c>
      <c r="M11" s="29">
        <f t="shared" si="8"/>
        <v>53.082162394065087</v>
      </c>
      <c r="N11" s="29">
        <f t="shared" si="8"/>
        <v>53.240436851788715</v>
      </c>
      <c r="O11" s="29">
        <f t="shared" si="8"/>
        <v>52.552833500888539</v>
      </c>
      <c r="P11" s="29">
        <f t="shared" si="8"/>
        <v>50.560126422096999</v>
      </c>
      <c r="Q11" s="29">
        <f t="shared" si="8"/>
        <v>52.337801332851498</v>
      </c>
      <c r="R11" s="29">
        <f t="shared" si="8"/>
        <v>49.049268198261601</v>
      </c>
      <c r="S11" s="29">
        <f t="shared" si="8"/>
        <v>51.578251685632779</v>
      </c>
      <c r="T11" s="29">
        <f t="shared" si="8"/>
        <v>53.86462301847024</v>
      </c>
      <c r="U11" s="29">
        <f t="shared" si="8"/>
        <v>54.741776535607642</v>
      </c>
      <c r="V11" s="29">
        <f t="shared" si="8"/>
        <v>43.628037271387058</v>
      </c>
      <c r="W11" s="29">
        <f t="shared" ref="W11" si="9">SUM(W12,W13,W16)</f>
        <v>44.541547696120688</v>
      </c>
      <c r="DA11" s="173" t="s">
        <v>394</v>
      </c>
    </row>
    <row r="12" spans="1:105" ht="11.45" customHeight="1" x14ac:dyDescent="0.25">
      <c r="A12" s="107" t="s">
        <v>23</v>
      </c>
      <c r="B12" s="115">
        <v>2.7432333412541614</v>
      </c>
      <c r="C12" s="115">
        <v>2.8149983596136656</v>
      </c>
      <c r="D12" s="115">
        <v>2.8998637001471681</v>
      </c>
      <c r="E12" s="115">
        <v>2.9150874897019552</v>
      </c>
      <c r="F12" s="115">
        <v>2.8935610199919237</v>
      </c>
      <c r="G12" s="115">
        <v>2.8609959553419326</v>
      </c>
      <c r="H12" s="115">
        <v>2.8377972591319609</v>
      </c>
      <c r="I12" s="115">
        <v>2.7910642901967435</v>
      </c>
      <c r="J12" s="115">
        <v>2.7927770575598361</v>
      </c>
      <c r="K12" s="115">
        <v>2.8074170960742397</v>
      </c>
      <c r="L12" s="115">
        <v>2.7657661916049356</v>
      </c>
      <c r="M12" s="115">
        <v>2.7010493295213069</v>
      </c>
      <c r="N12" s="115">
        <v>2.7289327281413409</v>
      </c>
      <c r="O12" s="115">
        <v>2.7070627419568898</v>
      </c>
      <c r="P12" s="115">
        <v>2.643684939476814</v>
      </c>
      <c r="Q12" s="115">
        <v>2.5589028680296177</v>
      </c>
      <c r="R12" s="115">
        <v>2.565844329821378</v>
      </c>
      <c r="S12" s="115">
        <v>2.620636148925342</v>
      </c>
      <c r="T12" s="115">
        <v>3.0253253078858502</v>
      </c>
      <c r="U12" s="115">
        <v>2.968245577385336</v>
      </c>
      <c r="V12" s="115">
        <v>2.9142478281776678</v>
      </c>
      <c r="W12" s="115">
        <v>2.8410680876336727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37.120511087137373</v>
      </c>
      <c r="C13" s="116">
        <f t="shared" ref="C13:V13" si="11">SUM(C14:C15)</f>
        <v>37.774915137408797</v>
      </c>
      <c r="D13" s="116">
        <f t="shared" si="11"/>
        <v>38.823231228790803</v>
      </c>
      <c r="E13" s="116">
        <f t="shared" si="11"/>
        <v>41.072230248504226</v>
      </c>
      <c r="F13" s="116">
        <f t="shared" si="11"/>
        <v>40.84052897265407</v>
      </c>
      <c r="G13" s="116">
        <f t="shared" si="11"/>
        <v>39.389879029350809</v>
      </c>
      <c r="H13" s="116">
        <f t="shared" si="11"/>
        <v>38.043226633955562</v>
      </c>
      <c r="I13" s="116">
        <f t="shared" si="11"/>
        <v>37.54234609923688</v>
      </c>
      <c r="J13" s="116">
        <f t="shared" si="11"/>
        <v>38.325237385151382</v>
      </c>
      <c r="K13" s="116">
        <f t="shared" si="11"/>
        <v>40.069177802428186</v>
      </c>
      <c r="L13" s="116">
        <f t="shared" si="11"/>
        <v>40.969501780501027</v>
      </c>
      <c r="M13" s="116">
        <f t="shared" si="11"/>
        <v>40.901898767487829</v>
      </c>
      <c r="N13" s="116">
        <f t="shared" si="11"/>
        <v>41.548241112893386</v>
      </c>
      <c r="O13" s="116">
        <f t="shared" si="11"/>
        <v>40.908180462711748</v>
      </c>
      <c r="P13" s="116">
        <f t="shared" si="11"/>
        <v>39.412519285381094</v>
      </c>
      <c r="Q13" s="116">
        <f t="shared" si="11"/>
        <v>41.813701253930105</v>
      </c>
      <c r="R13" s="116">
        <f t="shared" si="11"/>
        <v>38.333550000219546</v>
      </c>
      <c r="S13" s="116">
        <f t="shared" si="11"/>
        <v>39.42405234695245</v>
      </c>
      <c r="T13" s="116">
        <f t="shared" si="11"/>
        <v>40.884918770822267</v>
      </c>
      <c r="U13" s="116">
        <f t="shared" si="11"/>
        <v>41.392260133648975</v>
      </c>
      <c r="V13" s="116">
        <f t="shared" si="11"/>
        <v>33.668127514141233</v>
      </c>
      <c r="W13" s="116">
        <f t="shared" ref="W13" si="12">SUM(W14:W15)</f>
        <v>33.813215140954632</v>
      </c>
      <c r="DA13" s="176" t="s">
        <v>396</v>
      </c>
    </row>
    <row r="14" spans="1:105" ht="11.45" customHeight="1" x14ac:dyDescent="0.25">
      <c r="A14" s="111" t="s">
        <v>95</v>
      </c>
      <c r="B14" s="87">
        <v>16.501569819907886</v>
      </c>
      <c r="C14" s="87">
        <v>14.382814284356241</v>
      </c>
      <c r="D14" s="87">
        <v>14.487726471551612</v>
      </c>
      <c r="E14" s="87">
        <v>14.942538435325517</v>
      </c>
      <c r="F14" s="87">
        <v>14.4292014361219</v>
      </c>
      <c r="G14" s="87">
        <v>12.500201039359808</v>
      </c>
      <c r="H14" s="87">
        <v>12.827211763369927</v>
      </c>
      <c r="I14" s="87">
        <v>10.437866997846983</v>
      </c>
      <c r="J14" s="87">
        <v>10.723680968541039</v>
      </c>
      <c r="K14" s="87">
        <v>8.9282907033425705</v>
      </c>
      <c r="L14" s="87">
        <v>9.9456448394486916</v>
      </c>
      <c r="M14" s="87">
        <v>10.988698074060052</v>
      </c>
      <c r="N14" s="87">
        <v>9.6513926549327937</v>
      </c>
      <c r="O14" s="87">
        <v>8.0717980211919116</v>
      </c>
      <c r="P14" s="87">
        <v>9.242462400171501</v>
      </c>
      <c r="Q14" s="87">
        <v>9.4382328935695767</v>
      </c>
      <c r="R14" s="87">
        <v>8.1167368289638606</v>
      </c>
      <c r="S14" s="87">
        <v>8.7410421097722981</v>
      </c>
      <c r="T14" s="87">
        <v>6.6285949931741506</v>
      </c>
      <c r="U14" s="87">
        <v>4.6693807771174018</v>
      </c>
      <c r="V14" s="87">
        <v>4.2326315879806158</v>
      </c>
      <c r="W14" s="87">
        <v>4.1830965205644173</v>
      </c>
      <c r="DA14" s="171" t="s">
        <v>1106</v>
      </c>
    </row>
    <row r="15" spans="1:105" ht="11.45" customHeight="1" x14ac:dyDescent="0.25">
      <c r="A15" s="111" t="s">
        <v>93</v>
      </c>
      <c r="B15" s="87">
        <v>20.618941267229488</v>
      </c>
      <c r="C15" s="87">
        <v>23.392100853052554</v>
      </c>
      <c r="D15" s="87">
        <v>24.335504757239192</v>
      </c>
      <c r="E15" s="87">
        <v>26.129691813178706</v>
      </c>
      <c r="F15" s="87">
        <v>26.41132753653217</v>
      </c>
      <c r="G15" s="87">
        <v>26.889677989991004</v>
      </c>
      <c r="H15" s="87">
        <v>25.216014870585635</v>
      </c>
      <c r="I15" s="87">
        <v>27.104479101389899</v>
      </c>
      <c r="J15" s="87">
        <v>27.60155641661034</v>
      </c>
      <c r="K15" s="87">
        <v>31.140887099085617</v>
      </c>
      <c r="L15" s="87">
        <v>31.023856941052337</v>
      </c>
      <c r="M15" s="87">
        <v>29.913200693427775</v>
      </c>
      <c r="N15" s="87">
        <v>31.896848457960591</v>
      </c>
      <c r="O15" s="87">
        <v>32.836382441519838</v>
      </c>
      <c r="P15" s="87">
        <v>30.170056885209597</v>
      </c>
      <c r="Q15" s="87">
        <v>32.375468360360529</v>
      </c>
      <c r="R15" s="87">
        <v>30.216813171255687</v>
      </c>
      <c r="S15" s="87">
        <v>30.683010237180156</v>
      </c>
      <c r="T15" s="87">
        <v>34.25632377764812</v>
      </c>
      <c r="U15" s="87">
        <v>36.722879356531571</v>
      </c>
      <c r="V15" s="87">
        <v>29.43549592616062</v>
      </c>
      <c r="W15" s="87">
        <v>29.630118620390213</v>
      </c>
      <c r="DA15" s="171" t="s">
        <v>1107</v>
      </c>
    </row>
    <row r="16" spans="1:105" ht="11.45" customHeight="1" x14ac:dyDescent="0.25">
      <c r="A16" s="112" t="s">
        <v>25</v>
      </c>
      <c r="B16" s="117">
        <v>1.0673278171843654</v>
      </c>
      <c r="C16" s="117">
        <v>0.88811951346913653</v>
      </c>
      <c r="D16" s="117">
        <v>1.9811237695370032</v>
      </c>
      <c r="E16" s="117">
        <v>2.8842823971597031</v>
      </c>
      <c r="F16" s="117">
        <v>2.2648586527601107</v>
      </c>
      <c r="G16" s="117">
        <v>4.283841635528411</v>
      </c>
      <c r="H16" s="117">
        <v>5.8266495176803623</v>
      </c>
      <c r="I16" s="117">
        <v>7.6573533955794142</v>
      </c>
      <c r="J16" s="117">
        <v>8.2863609103237525</v>
      </c>
      <c r="K16" s="117">
        <v>8.0181124938263455</v>
      </c>
      <c r="L16" s="117">
        <v>8.4943274082171865</v>
      </c>
      <c r="M16" s="117">
        <v>9.4792142970559539</v>
      </c>
      <c r="N16" s="117">
        <v>8.9632630107539892</v>
      </c>
      <c r="O16" s="117">
        <v>8.9375902962199003</v>
      </c>
      <c r="P16" s="117">
        <v>8.5039221972390955</v>
      </c>
      <c r="Q16" s="117">
        <v>7.9651972108917732</v>
      </c>
      <c r="R16" s="117">
        <v>8.1498738682206753</v>
      </c>
      <c r="S16" s="117">
        <v>9.533563189754986</v>
      </c>
      <c r="T16" s="117">
        <v>9.954378939762119</v>
      </c>
      <c r="U16" s="117">
        <v>10.381270824573326</v>
      </c>
      <c r="V16" s="117">
        <v>7.0456619290681592</v>
      </c>
      <c r="W16" s="117">
        <v>7.8872644675323791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53.599366275490297</v>
      </c>
      <c r="C17" s="29">
        <f t="shared" si="13"/>
        <v>52.292904220806761</v>
      </c>
      <c r="D17" s="29">
        <f t="shared" si="13"/>
        <v>50.420200905996211</v>
      </c>
      <c r="E17" s="29">
        <f t="shared" si="13"/>
        <v>50.176293243825853</v>
      </c>
      <c r="F17" s="29">
        <f t="shared" si="13"/>
        <v>52.128480417362596</v>
      </c>
      <c r="G17" s="29">
        <f t="shared" si="13"/>
        <v>51.095893869890624</v>
      </c>
      <c r="H17" s="29">
        <f t="shared" si="13"/>
        <v>55.261372161029179</v>
      </c>
      <c r="I17" s="29">
        <f t="shared" si="13"/>
        <v>50.021102079131403</v>
      </c>
      <c r="J17" s="29">
        <f t="shared" si="13"/>
        <v>50.489863683938367</v>
      </c>
      <c r="K17" s="29">
        <f t="shared" si="13"/>
        <v>41.324381171729684</v>
      </c>
      <c r="L17" s="29">
        <f t="shared" si="13"/>
        <v>43.078659133864278</v>
      </c>
      <c r="M17" s="29">
        <f t="shared" si="13"/>
        <v>42.383615765866111</v>
      </c>
      <c r="N17" s="29">
        <f t="shared" si="13"/>
        <v>42.827232967643766</v>
      </c>
      <c r="O17" s="29">
        <f t="shared" si="13"/>
        <v>40.396435630667767</v>
      </c>
      <c r="P17" s="29">
        <f t="shared" si="13"/>
        <v>39.293699889166959</v>
      </c>
      <c r="Q17" s="29">
        <f t="shared" si="13"/>
        <v>30.607856448747814</v>
      </c>
      <c r="R17" s="29">
        <f t="shared" si="13"/>
        <v>32.587877115581897</v>
      </c>
      <c r="S17" s="29">
        <f t="shared" si="13"/>
        <v>34.726821401211566</v>
      </c>
      <c r="T17" s="29">
        <f t="shared" si="13"/>
        <v>38.267707162097253</v>
      </c>
      <c r="U17" s="29">
        <f t="shared" si="13"/>
        <v>35.511791822087986</v>
      </c>
      <c r="V17" s="29">
        <f t="shared" si="13"/>
        <v>36.233441662404843</v>
      </c>
      <c r="W17" s="29">
        <f t="shared" si="13"/>
        <v>38.491642329674669</v>
      </c>
      <c r="DA17" s="173" t="s">
        <v>401</v>
      </c>
    </row>
    <row r="18" spans="1:105" ht="11.45" customHeight="1" x14ac:dyDescent="0.25">
      <c r="A18" s="83" t="s">
        <v>95</v>
      </c>
      <c r="B18" s="87">
        <v>31.769195442344902</v>
      </c>
      <c r="C18" s="87">
        <v>30.806867572909447</v>
      </c>
      <c r="D18" s="87">
        <v>28.647871120881749</v>
      </c>
      <c r="E18" s="87">
        <v>28.193059157107847</v>
      </c>
      <c r="F18" s="87">
        <v>29.527978271530717</v>
      </c>
      <c r="G18" s="87">
        <v>29.412438685489718</v>
      </c>
      <c r="H18" s="87">
        <v>31.102280927945628</v>
      </c>
      <c r="I18" s="87">
        <v>25.321204369306923</v>
      </c>
      <c r="J18" s="87">
        <v>26.057918343582774</v>
      </c>
      <c r="K18" s="87">
        <v>21.725879546012539</v>
      </c>
      <c r="L18" s="87">
        <v>21.734062813173836</v>
      </c>
      <c r="M18" s="87">
        <v>21.708378452165213</v>
      </c>
      <c r="N18" s="87">
        <v>23.045683871292471</v>
      </c>
      <c r="O18" s="87">
        <v>21.850815908300781</v>
      </c>
      <c r="P18" s="87">
        <v>18.616522982459632</v>
      </c>
      <c r="Q18" s="87">
        <v>13.232274415114862</v>
      </c>
      <c r="R18" s="87">
        <v>13.503211580322469</v>
      </c>
      <c r="S18" s="87">
        <v>12.817685319290471</v>
      </c>
      <c r="T18" s="87">
        <v>16.974070527032211</v>
      </c>
      <c r="U18" s="87">
        <v>17.914368148076058</v>
      </c>
      <c r="V18" s="87">
        <v>16.299526623541304</v>
      </c>
      <c r="W18" s="87">
        <v>19.434788260175043</v>
      </c>
      <c r="DA18" s="171" t="s">
        <v>1108</v>
      </c>
    </row>
    <row r="19" spans="1:105" ht="11.45" customHeight="1" x14ac:dyDescent="0.25">
      <c r="A19" s="85" t="s">
        <v>93</v>
      </c>
      <c r="B19" s="88">
        <v>21.830170833145392</v>
      </c>
      <c r="C19" s="88">
        <v>21.486036647897315</v>
      </c>
      <c r="D19" s="88">
        <v>21.772329785114461</v>
      </c>
      <c r="E19" s="88">
        <v>21.98323408671801</v>
      </c>
      <c r="F19" s="88">
        <v>22.600502145831879</v>
      </c>
      <c r="G19" s="88">
        <v>21.683455184400906</v>
      </c>
      <c r="H19" s="88">
        <v>24.159091233083551</v>
      </c>
      <c r="I19" s="88">
        <v>24.69989770982448</v>
      </c>
      <c r="J19" s="88">
        <v>24.431945340355593</v>
      </c>
      <c r="K19" s="88">
        <v>19.598501625717144</v>
      </c>
      <c r="L19" s="88">
        <v>21.344596320690442</v>
      </c>
      <c r="M19" s="88">
        <v>20.675237313700897</v>
      </c>
      <c r="N19" s="88">
        <v>19.781549096351295</v>
      </c>
      <c r="O19" s="88">
        <v>18.54561972236699</v>
      </c>
      <c r="P19" s="88">
        <v>20.677176906707331</v>
      </c>
      <c r="Q19" s="88">
        <v>17.375582033632952</v>
      </c>
      <c r="R19" s="88">
        <v>19.084665535259429</v>
      </c>
      <c r="S19" s="88">
        <v>21.909136081921098</v>
      </c>
      <c r="T19" s="88">
        <v>21.293636635065045</v>
      </c>
      <c r="U19" s="88">
        <v>17.597423674011925</v>
      </c>
      <c r="V19" s="88">
        <v>19.933915038863539</v>
      </c>
      <c r="W19" s="88">
        <v>19.056854069499625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219.49463411063479</v>
      </c>
      <c r="C23" s="62">
        <f>IF(C10=0,0,C10/TrRail_act!C14*100)</f>
        <v>209.31509809946829</v>
      </c>
      <c r="D23" s="62">
        <f>IF(D10=0,0,D10/TrRail_act!D14*100)</f>
        <v>203.04622823640872</v>
      </c>
      <c r="E23" s="62">
        <f>IF(E10=0,0,E10/TrRail_act!E14*100)</f>
        <v>196.75856013146677</v>
      </c>
      <c r="F23" s="62">
        <f>IF(F10=0,0,F10/TrRail_act!F14*100)</f>
        <v>196.43858269536602</v>
      </c>
      <c r="G23" s="62">
        <f>IF(G10=0,0,G10/TrRail_act!G14*100)</f>
        <v>193.85840231759494</v>
      </c>
      <c r="H23" s="62">
        <f>IF(H10=0,0,H10/TrRail_act!H14*100)</f>
        <v>195.28947539237524</v>
      </c>
      <c r="I23" s="62">
        <f>IF(I10=0,0,I10/TrRail_act!I14*100)</f>
        <v>185.63184040553068</v>
      </c>
      <c r="J23" s="62">
        <f>IF(J10=0,0,J10/TrRail_act!J14*100)</f>
        <v>184.77048937957613</v>
      </c>
      <c r="K23" s="62">
        <f>IF(K10=0,0,K10/TrRail_act!K14*100)</f>
        <v>174.45993082012231</v>
      </c>
      <c r="L23" s="62">
        <f>IF(L10=0,0,L10/TrRail_act!L14*100)</f>
        <v>173.1328891488152</v>
      </c>
      <c r="M23" s="62">
        <f>IF(M10=0,0,M10/TrRail_act!M14*100)</f>
        <v>173.95529444765555</v>
      </c>
      <c r="N23" s="62">
        <f>IF(N10=0,0,N10/TrRail_act!N14*100)</f>
        <v>171.5445168338745</v>
      </c>
      <c r="O23" s="62">
        <f>IF(O10=0,0,O10/TrRail_act!O14*100)</f>
        <v>167.0698670706814</v>
      </c>
      <c r="P23" s="62">
        <f>IF(P10=0,0,P10/TrRail_act!P14*100)</f>
        <v>163.00648680217401</v>
      </c>
      <c r="Q23" s="62">
        <f>IF(Q10=0,0,Q10/TrRail_act!Q14*100)</f>
        <v>152.78767578872856</v>
      </c>
      <c r="R23" s="62">
        <f>IF(R10=0,0,R10/TrRail_act!R14*100)</f>
        <v>151.87408369414524</v>
      </c>
      <c r="S23" s="62">
        <f>IF(S10=0,0,S10/TrRail_act!S14*100)</f>
        <v>151.13735319651957</v>
      </c>
      <c r="T23" s="62">
        <f>IF(T10=0,0,T10/TrRail_act!T14*100)</f>
        <v>150.50733232600416</v>
      </c>
      <c r="U23" s="62">
        <f>IF(U10=0,0,U10/TrRail_act!U14*100)</f>
        <v>149.07025114377598</v>
      </c>
      <c r="V23" s="62">
        <f>IF(V10=0,0,V10/TrRail_act!V14*100)</f>
        <v>148.59967383362215</v>
      </c>
      <c r="W23" s="62">
        <f>IF(W10=0,0,W10/TrRail_act!W14*100)</f>
        <v>152.62629002433624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154.42894105226677</v>
      </c>
      <c r="C24" s="29">
        <f>IF(C11=0,0,C11/TrRail_act!C15*100)</f>
        <v>146.45440477616884</v>
      </c>
      <c r="D24" s="29">
        <f>IF(D11=0,0,D11/TrRail_act!D15*100)</f>
        <v>145.82230258134516</v>
      </c>
      <c r="E24" s="29">
        <f>IF(E11=0,0,E11/TrRail_act!E15*100)</f>
        <v>144.05039850294762</v>
      </c>
      <c r="F24" s="29">
        <f>IF(F11=0,0,F11/TrRail_act!F15*100)</f>
        <v>141.73485362411887</v>
      </c>
      <c r="G24" s="29">
        <f>IF(G11=0,0,G11/TrRail_act!G15*100)</f>
        <v>140.16644260543652</v>
      </c>
      <c r="H24" s="29">
        <f>IF(H11=0,0,H11/TrRail_act!H15*100)</f>
        <v>141.08093048193601</v>
      </c>
      <c r="I24" s="29">
        <f>IF(I11=0,0,I11/TrRail_act!I15*100)</f>
        <v>139.28040190346326</v>
      </c>
      <c r="J24" s="29">
        <f>IF(J11=0,0,J11/TrRail_act!J15*100)</f>
        <v>139.11695900527164</v>
      </c>
      <c r="K24" s="29">
        <f>IF(K11=0,0,K11/TrRail_act!K15*100)</f>
        <v>135.15508849382988</v>
      </c>
      <c r="L24" s="29">
        <f>IF(L11=0,0,L11/TrRail_act!L15*100)</f>
        <v>135.29632420227898</v>
      </c>
      <c r="M24" s="29">
        <f>IF(M11=0,0,M11/TrRail_act!M15*100)</f>
        <v>136.97264426060957</v>
      </c>
      <c r="N24" s="29">
        <f>IF(N11=0,0,N11/TrRail_act!N15*100)</f>
        <v>133.45455518086496</v>
      </c>
      <c r="O24" s="29">
        <f>IF(O11=0,0,O11/TrRail_act!O15*100)</f>
        <v>130.58059370568975</v>
      </c>
      <c r="P24" s="29">
        <f>IF(P11=0,0,P11/TrRail_act!P15*100)</f>
        <v>129.80479737227236</v>
      </c>
      <c r="Q24" s="29">
        <f>IF(Q11=0,0,Q11/TrRail_act!Q15*100)</f>
        <v>127.56907078260345</v>
      </c>
      <c r="R24" s="29">
        <f>IF(R11=0,0,R11/TrRail_act!R15*100)</f>
        <v>124.97485258381793</v>
      </c>
      <c r="S24" s="29">
        <f>IF(S11=0,0,S11/TrRail_act!S15*100)</f>
        <v>125.95994438388578</v>
      </c>
      <c r="T24" s="29">
        <f>IF(T11=0,0,T11/TrRail_act!T15*100)</f>
        <v>121.48344532035722</v>
      </c>
      <c r="U24" s="29">
        <f>IF(U11=0,0,U11/TrRail_act!U15*100)</f>
        <v>120.02943396947434</v>
      </c>
      <c r="V24" s="29">
        <f>IF(V11=0,0,V11/TrRail_act!V15*100)</f>
        <v>115.5437399634373</v>
      </c>
      <c r="W24" s="29">
        <f>IF(W11=0,0,W11/TrRail_act!W15*100)</f>
        <v>116.72722156124668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43.468412329692704</v>
      </c>
      <c r="C25" s="115">
        <f>IF(C12=0,0,C12/TrRail_act!C16*100)</f>
        <v>43.11578001208651</v>
      </c>
      <c r="D25" s="115">
        <f>IF(D12=0,0,D12/TrRail_act!D16*100)</f>
        <v>42.765733095244933</v>
      </c>
      <c r="E25" s="115">
        <f>IF(E12=0,0,E12/TrRail_act!E16*100)</f>
        <v>42.380964754832618</v>
      </c>
      <c r="F25" s="115">
        <f>IF(F12=0,0,F12/TrRail_act!F16*100)</f>
        <v>42.025477178978932</v>
      </c>
      <c r="G25" s="115">
        <f>IF(G12=0,0,G12/TrRail_act!G16*100)</f>
        <v>41.684139528924518</v>
      </c>
      <c r="H25" s="115">
        <f>IF(H12=0,0,H12/TrRail_act!H16*100)</f>
        <v>41.321257917781466</v>
      </c>
      <c r="I25" s="115">
        <f>IF(I12=0,0,I12/TrRail_act!I16*100)</f>
        <v>40.989898208280195</v>
      </c>
      <c r="J25" s="115">
        <f>IF(J12=0,0,J12/TrRail_act!J16*100)</f>
        <v>40.658112321590544</v>
      </c>
      <c r="K25" s="115">
        <f>IF(K12=0,0,K12/TrRail_act!K16*100)</f>
        <v>40.408212618307566</v>
      </c>
      <c r="L25" s="115">
        <f>IF(L12=0,0,L12/TrRail_act!L16*100)</f>
        <v>40.191774100425157</v>
      </c>
      <c r="M25" s="115">
        <f>IF(M12=0,0,M12/TrRail_act!M16*100)</f>
        <v>40.04615318099313</v>
      </c>
      <c r="N25" s="115">
        <f>IF(N12=0,0,N12/TrRail_act!N16*100)</f>
        <v>39.858261823624034</v>
      </c>
      <c r="O25" s="115">
        <f>IF(O12=0,0,O12/TrRail_act!O16*100)</f>
        <v>39.653305994552781</v>
      </c>
      <c r="P25" s="115">
        <f>IF(P12=0,0,P12/TrRail_act!P16*100)</f>
        <v>39.25187635810385</v>
      </c>
      <c r="Q25" s="115">
        <f>IF(Q12=0,0,Q12/TrRail_act!Q16*100)</f>
        <v>38.348187565448875</v>
      </c>
      <c r="R25" s="115">
        <f>IF(R12=0,0,R12/TrRail_act!R16*100)</f>
        <v>37.684100941370737</v>
      </c>
      <c r="S25" s="115">
        <f>IF(S12=0,0,S12/TrRail_act!S16*100)</f>
        <v>37.193593916697303</v>
      </c>
      <c r="T25" s="115">
        <f>IF(T12=0,0,T12/TrRail_act!T16*100)</f>
        <v>36.82990809185825</v>
      </c>
      <c r="U25" s="115">
        <f>IF(U12=0,0,U12/TrRail_act!U16*100)</f>
        <v>36.559479378511483</v>
      </c>
      <c r="V25" s="115">
        <f>IF(V12=0,0,V12/TrRail_act!V16*100)</f>
        <v>36.357961732290349</v>
      </c>
      <c r="W25" s="115">
        <f>IF(W12=0,0,W12/TrRail_act!W16*100)</f>
        <v>36.207552779240828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187.99756798991734</v>
      </c>
      <c r="C26" s="116">
        <f>IF(C13=0,0,C13/TrRail_act!C17*100)</f>
        <v>176.36585863846457</v>
      </c>
      <c r="D26" s="116">
        <f>IF(D13=0,0,D13/TrRail_act!D17*100)</f>
        <v>173.67341868973787</v>
      </c>
      <c r="E26" s="116">
        <f>IF(E13=0,0,E13/TrRail_act!E17*100)</f>
        <v>168.1222802391631</v>
      </c>
      <c r="F26" s="116">
        <f>IF(F13=0,0,F13/TrRail_act!F17*100)</f>
        <v>166.02741159986488</v>
      </c>
      <c r="G26" s="116">
        <f>IF(G13=0,0,G13/TrRail_act!G17*100)</f>
        <v>160.79213706975725</v>
      </c>
      <c r="H26" s="116">
        <f>IF(H13=0,0,H13/TrRail_act!H17*100)</f>
        <v>160.39149602528821</v>
      </c>
      <c r="I26" s="116">
        <f>IF(I13=0,0,I13/TrRail_act!I17*100)</f>
        <v>154.29183215141731</v>
      </c>
      <c r="J26" s="116">
        <f>IF(J13=0,0,J13/TrRail_act!J17*100)</f>
        <v>152.98977179988015</v>
      </c>
      <c r="K26" s="116">
        <f>IF(K13=0,0,K13/TrRail_act!K17*100)</f>
        <v>147.36217119842181</v>
      </c>
      <c r="L26" s="116">
        <f>IF(L13=0,0,L13/TrRail_act!L17*100)</f>
        <v>146.41767606040622</v>
      </c>
      <c r="M26" s="116">
        <f>IF(M13=0,0,M13/TrRail_act!M17*100)</f>
        <v>147.08952334065</v>
      </c>
      <c r="N26" s="116">
        <f>IF(N13=0,0,N13/TrRail_act!N17*100)</f>
        <v>143.22245348744136</v>
      </c>
      <c r="O26" s="116">
        <f>IF(O13=0,0,O13/TrRail_act!O17*100)</f>
        <v>139.21160158600341</v>
      </c>
      <c r="P26" s="116">
        <f>IF(P13=0,0,P13/TrRail_act!P17*100)</f>
        <v>138.9689046792717</v>
      </c>
      <c r="Q26" s="116">
        <f>IF(Q13=0,0,Q13/TrRail_act!Q17*100)</f>
        <v>136.17184656102864</v>
      </c>
      <c r="R26" s="116">
        <f>IF(R13=0,0,R13/TrRail_act!R17*100)</f>
        <v>133.67000752534506</v>
      </c>
      <c r="S26" s="116">
        <f>IF(S13=0,0,S13/TrRail_act!S17*100)</f>
        <v>133.721524930084</v>
      </c>
      <c r="T26" s="116">
        <f>IF(T13=0,0,T13/TrRail_act!T17*100)</f>
        <v>129.82092711002861</v>
      </c>
      <c r="U26" s="116">
        <f>IF(U13=0,0,U13/TrRail_act!U17*100)</f>
        <v>126.79450065762991</v>
      </c>
      <c r="V26" s="116">
        <f>IF(V13=0,0,V13/TrRail_act!V17*100)</f>
        <v>127.28909382293682</v>
      </c>
      <c r="W26" s="116">
        <f>IF(W13=0,0,W13/TrRail_act!W17*100)</f>
        <v>127.02266545502808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306.3464367825033</v>
      </c>
      <c r="C27" s="87">
        <f>IF(C14=0,0,C14/TrRail_act!C18*100)</f>
        <v>292.82229333964523</v>
      </c>
      <c r="D27" s="87">
        <f>IF(D14=0,0,D14/TrRail_act!D18*100)</f>
        <v>284.19507084412675</v>
      </c>
      <c r="E27" s="87">
        <f>IF(E14=0,0,E14/TrRail_act!E18*100)</f>
        <v>268.46623987542762</v>
      </c>
      <c r="F27" s="87">
        <f>IF(F14=0,0,F14/TrRail_act!F18*100)</f>
        <v>264.04994639151727</v>
      </c>
      <c r="G27" s="87">
        <f>IF(G14=0,0,G14/TrRail_act!G18*100)</f>
        <v>252.84788511603057</v>
      </c>
      <c r="H27" s="87">
        <f>IF(H14=0,0,H14/TrRail_act!H18*100)</f>
        <v>250.22822102199726</v>
      </c>
      <c r="I27" s="87">
        <f>IF(I14=0,0,I14/TrRail_act!I18*100)</f>
        <v>246.30186322412527</v>
      </c>
      <c r="J27" s="87">
        <f>IF(J14=0,0,J14/TrRail_act!J18*100)</f>
        <v>240.40219497625276</v>
      </c>
      <c r="K27" s="87">
        <f>IF(K14=0,0,K14/TrRail_act!K18*100)</f>
        <v>233.0797581691717</v>
      </c>
      <c r="L27" s="87">
        <f>IF(L14=0,0,L14/TrRail_act!L18*100)</f>
        <v>228.7656243601844</v>
      </c>
      <c r="M27" s="87">
        <f>IF(M14=0,0,M14/TrRail_act!M18*100)</f>
        <v>226.26340679516889</v>
      </c>
      <c r="N27" s="87">
        <f>IF(N14=0,0,N14/TrRail_act!N18*100)</f>
        <v>224.03577546887581</v>
      </c>
      <c r="O27" s="87">
        <f>IF(O14=0,0,O14/TrRail_act!O18*100)</f>
        <v>219.12741633632899</v>
      </c>
      <c r="P27" s="87">
        <f>IF(P14=0,0,P14/TrRail_act!P18*100)</f>
        <v>216.02194983601026</v>
      </c>
      <c r="Q27" s="87">
        <f>IF(Q14=0,0,Q14/TrRail_act!Q18*100)</f>
        <v>211.35691808507681</v>
      </c>
      <c r="R27" s="87">
        <f>IF(R14=0,0,R14/TrRail_act!R18*100)</f>
        <v>207.92437611062425</v>
      </c>
      <c r="S27" s="87">
        <f>IF(S14=0,0,S14/TrRail_act!S18*100)</f>
        <v>206.41353585003134</v>
      </c>
      <c r="T27" s="87">
        <f>IF(T14=0,0,T14/TrRail_act!T18*100)</f>
        <v>205.2876144799254</v>
      </c>
      <c r="U27" s="87">
        <f>IF(U14=0,0,U14/TrRail_act!U18*100)</f>
        <v>204.44720567932833</v>
      </c>
      <c r="V27" s="87">
        <f>IF(V14=0,0,V14/TrRail_act!V18*100)</f>
        <v>203.81915766199046</v>
      </c>
      <c r="W27" s="87">
        <f>IF(W14=0,0,W14/TrRail_act!W18*100)</f>
        <v>203.34938809040324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143.59957547395737</v>
      </c>
      <c r="C28" s="87">
        <f>IF(C15=0,0,C15/TrRail_act!C19*100)</f>
        <v>141.71270363318988</v>
      </c>
      <c r="D28" s="87">
        <f>IF(D15=0,0,D15/TrRail_act!D19*100)</f>
        <v>141.02349441222054</v>
      </c>
      <c r="E28" s="87">
        <f>IF(E15=0,0,E15/TrRail_act!E19*100)</f>
        <v>138.51556501252657</v>
      </c>
      <c r="F28" s="87">
        <f>IF(F15=0,0,F15/TrRail_act!F19*100)</f>
        <v>138.03281276631122</v>
      </c>
      <c r="G28" s="87">
        <f>IF(G15=0,0,G15/TrRail_act!G19*100)</f>
        <v>137.51759014687741</v>
      </c>
      <c r="H28" s="87">
        <f>IF(H15=0,0,H15/TrRail_act!H19*100)</f>
        <v>135.62265539074252</v>
      </c>
      <c r="I28" s="87">
        <f>IF(I15=0,0,I15/TrRail_act!I19*100)</f>
        <v>134.88706333250144</v>
      </c>
      <c r="J28" s="87">
        <f>IF(J15=0,0,J15/TrRail_act!J19*100)</f>
        <v>134.05240259998496</v>
      </c>
      <c r="K28" s="87">
        <f>IF(K15=0,0,K15/TrRail_act!K19*100)</f>
        <v>133.30642806207103</v>
      </c>
      <c r="L28" s="87">
        <f>IF(L15=0,0,L15/TrRail_act!L19*100)</f>
        <v>131.2694167537698</v>
      </c>
      <c r="M28" s="87">
        <f>IF(M15=0,0,M15/TrRail_act!M19*100)</f>
        <v>130.33568500420262</v>
      </c>
      <c r="N28" s="87">
        <f>IF(N15=0,0,N15/TrRail_act!N19*100)</f>
        <v>129.12858582544072</v>
      </c>
      <c r="O28" s="87">
        <f>IF(O15=0,0,O15/TrRail_act!O19*100)</f>
        <v>127.75807196365928</v>
      </c>
      <c r="P28" s="87">
        <f>IF(P15=0,0,P15/TrRail_act!P19*100)</f>
        <v>125.27953018180339</v>
      </c>
      <c r="Q28" s="87">
        <f>IF(Q15=0,0,Q15/TrRail_act!Q19*100)</f>
        <v>123.37729620709594</v>
      </c>
      <c r="R28" s="87">
        <f>IF(R15=0,0,R15/TrRail_act!R19*100)</f>
        <v>121.96959953123864</v>
      </c>
      <c r="S28" s="87">
        <f>IF(S15=0,0,S15/TrRail_act!S19*100)</f>
        <v>121.52899925104957</v>
      </c>
      <c r="T28" s="87">
        <f>IF(T15=0,0,T15/TrRail_act!T19*100)</f>
        <v>121.1995938528334</v>
      </c>
      <c r="U28" s="87">
        <f>IF(U15=0,0,U15/TrRail_act!U19*100)</f>
        <v>120.95312587350793</v>
      </c>
      <c r="V28" s="87">
        <f>IF(V15=0,0,V15/TrRail_act!V19*100)</f>
        <v>120.7686038639112</v>
      </c>
      <c r="W28" s="87">
        <f>IF(W15=0,0,W15/TrRail_act!W19*100)</f>
        <v>120.63039711496214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237.86087430654294</v>
      </c>
      <c r="C29" s="117">
        <f>IF(C16=0,0,C16/TrRail_act!C20*100)</f>
        <v>237.43953097817848</v>
      </c>
      <c r="D29" s="117">
        <f>IF(D16=0,0,D16/TrRail_act!D20*100)</f>
        <v>237.00367735997185</v>
      </c>
      <c r="E29" s="117">
        <f>IF(E16=0,0,E16/TrRail_act!E20*100)</f>
        <v>234.48203859997099</v>
      </c>
      <c r="F29" s="117">
        <f>IF(F16=0,0,F16/TrRail_act!F20*100)</f>
        <v>233.41730403786946</v>
      </c>
      <c r="G29" s="117">
        <f>IF(G16=0,0,G16/TrRail_act!G20*100)</f>
        <v>232.98086087961534</v>
      </c>
      <c r="H29" s="117">
        <f>IF(H16=0,0,H16/TrRail_act!H20*100)</f>
        <v>231.18119137624893</v>
      </c>
      <c r="I29" s="117">
        <f>IF(I16=0,0,I16/TrRail_act!I20*100)</f>
        <v>230.98877553699731</v>
      </c>
      <c r="J29" s="117">
        <f>IF(J16=0,0,J16/TrRail_act!J20*100)</f>
        <v>230.62156379718209</v>
      </c>
      <c r="K29" s="117">
        <f>IF(K16=0,0,K16/TrRail_act!K20*100)</f>
        <v>227.92125301015881</v>
      </c>
      <c r="L29" s="117">
        <f>IF(L16=0,0,L16/TrRail_act!L20*100)</f>
        <v>227.04963198064806</v>
      </c>
      <c r="M29" s="117">
        <f>IF(M16=0,0,M16/TrRail_act!M20*100)</f>
        <v>225.61418810158415</v>
      </c>
      <c r="N29" s="117">
        <f>IF(N16=0,0,N16/TrRail_act!N20*100)</f>
        <v>221.97949670159977</v>
      </c>
      <c r="O29" s="117">
        <f>IF(O16=0,0,O16/TrRail_act!O20*100)</f>
        <v>221.6072360306288</v>
      </c>
      <c r="P29" s="117">
        <f>IF(P16=0,0,P16/TrRail_act!P20*100)</f>
        <v>220.59254812721881</v>
      </c>
      <c r="Q29" s="117">
        <f>IF(Q16=0,0,Q16/TrRail_act!Q20*100)</f>
        <v>218.36524349385175</v>
      </c>
      <c r="R29" s="117">
        <f>IF(R16=0,0,R16/TrRail_act!R20*100)</f>
        <v>216.70953582309744</v>
      </c>
      <c r="S29" s="117">
        <f>IF(S16=0,0,S16/TrRail_act!S20*100)</f>
        <v>215.6914748813345</v>
      </c>
      <c r="T29" s="117">
        <f>IF(T16=0,0,T16/TrRail_act!T20*100)</f>
        <v>214.93106902632579</v>
      </c>
      <c r="U29" s="117">
        <f>IF(U16=0,0,U16/TrRail_act!U20*100)</f>
        <v>214.36252440121913</v>
      </c>
      <c r="V29" s="117">
        <f>IF(V16=0,0,V16/TrRail_act!V20*100)</f>
        <v>213.93710310935711</v>
      </c>
      <c r="W29" s="117">
        <f>IF(W16=0,0,W16/TrRail_act!W20*100)</f>
        <v>213.61859129485151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323.61846109843179</v>
      </c>
      <c r="C30" s="29">
        <f>IF(C17=0,0,C17/TrRail_act!C21*100)</f>
        <v>317.36001032270121</v>
      </c>
      <c r="D30" s="29">
        <f>IF(D17=0,0,D17/TrRail_act!D21*100)</f>
        <v>307.71646983734945</v>
      </c>
      <c r="E30" s="29">
        <f>IF(E17=0,0,E17/TrRail_act!E21*100)</f>
        <v>298.9352180053246</v>
      </c>
      <c r="F30" s="29">
        <f>IF(F17=0,0,F17/TrRail_act!F21*100)</f>
        <v>297.89386818064554</v>
      </c>
      <c r="G30" s="29">
        <f>IF(G17=0,0,G17/TrRail_act!G21*100)</f>
        <v>297.72341144894614</v>
      </c>
      <c r="H30" s="29">
        <f>IF(H17=0,0,H17/TrRail_act!H21*100)</f>
        <v>289.21602149966799</v>
      </c>
      <c r="I30" s="29">
        <f>IF(I17=0,0,I17/TrRail_act!I21*100)</f>
        <v>272.70099687408759</v>
      </c>
      <c r="J30" s="29">
        <f>IF(J17=0,0,J17/TrRail_act!J21*100)</f>
        <v>272.16607475631872</v>
      </c>
      <c r="K30" s="29">
        <f>IF(K17=0,0,K17/TrRail_act!K21*100)</f>
        <v>271.81317336217734</v>
      </c>
      <c r="L30" s="29">
        <f>IF(L17=0,0,L17/TrRail_act!L21*100)</f>
        <v>261.95060310890887</v>
      </c>
      <c r="M30" s="29">
        <f>IF(M17=0,0,M17/TrRail_act!M21*100)</f>
        <v>262.83357200707968</v>
      </c>
      <c r="N30" s="29">
        <f>IF(N17=0,0,N17/TrRail_act!N21*100)</f>
        <v>265.88313771134386</v>
      </c>
      <c r="O30" s="29">
        <f>IF(O17=0,0,O17/TrRail_act!O21*100)</f>
        <v>262.49428468995887</v>
      </c>
      <c r="P30" s="29">
        <f>IF(P17=0,0,P17/TrRail_act!P21*100)</f>
        <v>242.97424134399691</v>
      </c>
      <c r="Q30" s="29">
        <f>IF(Q17=0,0,Q17/TrRail_act!Q21*100)</f>
        <v>230.80836172958428</v>
      </c>
      <c r="R30" s="29">
        <f>IF(R17=0,0,R17/TrRail_act!R21*100)</f>
        <v>224.65308262183049</v>
      </c>
      <c r="S30" s="29">
        <f>IF(S17=0,0,S17/TrRail_act!S21*100)</f>
        <v>214.95226655814986</v>
      </c>
      <c r="T30" s="29">
        <f>IF(T17=0,0,T17/TrRail_act!T21*100)</f>
        <v>226.76557227946893</v>
      </c>
      <c r="U30" s="29">
        <f>IF(U17=0,0,U17/TrRail_act!U21*100)</f>
        <v>237.73809714603331</v>
      </c>
      <c r="V30" s="29">
        <f>IF(V17=0,0,V17/TrRail_act!V21*100)</f>
        <v>226.6884155320287</v>
      </c>
      <c r="W30" s="29">
        <f>IF(W17=0,0,W17/TrRail_act!W21*100)</f>
        <v>236.95509449861115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571.25386886654201</v>
      </c>
      <c r="C31" s="87">
        <f>IF(C18=0,0,C18/TrRail_act!C22*100)</f>
        <v>559.56348797429234</v>
      </c>
      <c r="D31" s="87">
        <f>IF(D18=0,0,D18/TrRail_act!D22*100)</f>
        <v>549.56869566067007</v>
      </c>
      <c r="E31" s="87">
        <f>IF(E18=0,0,E18/TrRail_act!E22*100)</f>
        <v>531.93978059233689</v>
      </c>
      <c r="F31" s="87">
        <f>IF(F18=0,0,F18/TrRail_act!F22*100)</f>
        <v>522.59404136419653</v>
      </c>
      <c r="G31" s="87">
        <f>IF(G18=0,0,G18/TrRail_act!G22*100)</f>
        <v>511.3739199599616</v>
      </c>
      <c r="H31" s="87">
        <f>IF(H18=0,0,H18/TrRail_act!H22*100)</f>
        <v>500.32993605331359</v>
      </c>
      <c r="I31" s="87">
        <f>IF(I18=0,0,I18/TrRail_act!I22*100)</f>
        <v>497.32768716810216</v>
      </c>
      <c r="J31" s="87">
        <f>IF(J18=0,0,J18/TrRail_act!J22*100)</f>
        <v>485.98472276501104</v>
      </c>
      <c r="K31" s="87">
        <f>IF(K18=0,0,K18/TrRail_act!K22*100)</f>
        <v>476.02208767677678</v>
      </c>
      <c r="L31" s="87">
        <f>IF(L18=0,0,L18/TrRail_act!L22*100)</f>
        <v>464.55485480417877</v>
      </c>
      <c r="M31" s="87">
        <f>IF(M18=0,0,M18/TrRail_act!M22*100)</f>
        <v>467.23556993180398</v>
      </c>
      <c r="N31" s="87">
        <f>IF(N18=0,0,N18/TrRail_act!N22*100)</f>
        <v>458.93529577431281</v>
      </c>
      <c r="O31" s="87">
        <f>IF(O18=0,0,O18/TrRail_act!O22*100)</f>
        <v>447.3396823666892</v>
      </c>
      <c r="P31" s="87">
        <f>IF(P18=0,0,P18/TrRail_act!P22*100)</f>
        <v>440.31273486603277</v>
      </c>
      <c r="Q31" s="87">
        <f>IF(Q18=0,0,Q18/TrRail_act!Q22*100)</f>
        <v>431.07504132943887</v>
      </c>
      <c r="R31" s="87">
        <f>IF(R18=0,0,R18/TrRail_act!R22*100)</f>
        <v>424.27417979656911</v>
      </c>
      <c r="S31" s="87">
        <f>IF(S18=0,0,S18/TrRail_act!S22*100)</f>
        <v>419.24403829198059</v>
      </c>
      <c r="T31" s="87">
        <f>IF(T18=0,0,T18/TrRail_act!T22*100)</f>
        <v>415.51060757640397</v>
      </c>
      <c r="U31" s="87">
        <f>IF(U18=0,0,U18/TrRail_act!U22*100)</f>
        <v>412.7323689608051</v>
      </c>
      <c r="V31" s="87">
        <f>IF(V18=0,0,V18/TrRail_act!V22*100)</f>
        <v>410.66088743975246</v>
      </c>
      <c r="W31" s="87">
        <f>IF(W18=0,0,W18/TrRail_act!W22*100)</f>
        <v>409.11410196133477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198.43429476838676</v>
      </c>
      <c r="C32" s="88">
        <f>IF(C19=0,0,C19/TrRail_act!C23*100)</f>
        <v>195.82690486625634</v>
      </c>
      <c r="D32" s="88">
        <f>IF(D19=0,0,D19/TrRail_act!D23*100)</f>
        <v>194.87451524212597</v>
      </c>
      <c r="E32" s="88">
        <f>IF(E19=0,0,E19/TrRail_act!E23*100)</f>
        <v>191.40891166972932</v>
      </c>
      <c r="F32" s="88">
        <f>IF(F19=0,0,F19/TrRail_act!F23*100)</f>
        <v>190.74181637220201</v>
      </c>
      <c r="G32" s="88">
        <f>IF(G19=0,0,G19/TrRail_act!G23*100)</f>
        <v>190.02985161326302</v>
      </c>
      <c r="H32" s="88">
        <f>IF(H19=0,0,H19/TrRail_act!H23*100)</f>
        <v>187.41131990295207</v>
      </c>
      <c r="I32" s="88">
        <f>IF(I19=0,0,I19/TrRail_act!I23*100)</f>
        <v>186.39483576062423</v>
      </c>
      <c r="J32" s="88">
        <f>IF(J19=0,0,J19/TrRail_act!J23*100)</f>
        <v>185.24145272811097</v>
      </c>
      <c r="K32" s="88">
        <f>IF(K19=0,0,K19/TrRail_act!K23*100)</f>
        <v>184.21062146793798</v>
      </c>
      <c r="L32" s="88">
        <f>IF(L19=0,0,L19/TrRail_act!L23*100)</f>
        <v>181.39576006557056</v>
      </c>
      <c r="M32" s="88">
        <f>IF(M19=0,0,M19/TrRail_act!M23*100)</f>
        <v>180.10547490548797</v>
      </c>
      <c r="N32" s="88">
        <f>IF(N19=0,0,N19/TrRail_act!N23*100)</f>
        <v>178.43743463822011</v>
      </c>
      <c r="O32" s="88">
        <f>IF(O19=0,0,O19/TrRail_act!O23*100)</f>
        <v>176.54357840128293</v>
      </c>
      <c r="P32" s="88">
        <f>IF(P19=0,0,P19/TrRail_act!P23*100)</f>
        <v>173.11858435855504</v>
      </c>
      <c r="Q32" s="88">
        <f>IF(Q19=0,0,Q19/TrRail_act!Q23*100)</f>
        <v>170.48996616097557</v>
      </c>
      <c r="R32" s="88">
        <f>IF(R19=0,0,R19/TrRail_act!R23*100)</f>
        <v>168.54472853614564</v>
      </c>
      <c r="S32" s="88">
        <f>IF(S19=0,0,S19/TrRail_act!S23*100)</f>
        <v>167.26747977382149</v>
      </c>
      <c r="T32" s="88">
        <f>IF(T19=0,0,T19/TrRail_act!T23*100)</f>
        <v>166.48221504356511</v>
      </c>
      <c r="U32" s="88">
        <f>IF(U19=0,0,U19/TrRail_act!U23*100)</f>
        <v>166.06158243197061</v>
      </c>
      <c r="V32" s="88">
        <f>IF(V19=0,0,V19/TrRail_act!V23*100)</f>
        <v>165.91255236656031</v>
      </c>
      <c r="W32" s="88">
        <f>IF(W19=0,0,W19/TrRail_act!W23*100)</f>
        <v>165.80086759445592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10.489767361757021</v>
      </c>
      <c r="C35" s="29">
        <f>IF(C11=0,0,C11/TrRail_act!C4*1000)</f>
        <v>10.953898750988115</v>
      </c>
      <c r="D35" s="29">
        <f>IF(D11=0,0,D11/TrRail_act!D4*1000)</f>
        <v>11.394660069997386</v>
      </c>
      <c r="E35" s="29">
        <f>IF(E11=0,0,E11/TrRail_act!E4*1000)</f>
        <v>12.141957913987483</v>
      </c>
      <c r="F35" s="29">
        <f>IF(F11=0,0,F11/TrRail_act!F4*1000)</f>
        <v>11.870696424620931</v>
      </c>
      <c r="G35" s="29">
        <f>IF(G11=0,0,G11/TrRail_act!G4*1000)</f>
        <v>11.622057097957331</v>
      </c>
      <c r="H35" s="29">
        <f>IF(H11=0,0,H11/TrRail_act!H4*1000)</f>
        <v>11.493029874696822</v>
      </c>
      <c r="I35" s="29">
        <f>IF(I11=0,0,I11/TrRail_act!I4*1000)</f>
        <v>11.165836152864831</v>
      </c>
      <c r="J35" s="29">
        <f>IF(J11=0,0,J11/TrRail_act!J4*1000)</f>
        <v>10.777568794292097</v>
      </c>
      <c r="K35" s="29">
        <f>IF(K11=0,0,K11/TrRail_act!K4*1000)</f>
        <v>11.545986250528307</v>
      </c>
      <c r="L35" s="29">
        <f>IF(L11=0,0,L11/TrRail_act!L4*1000)</f>
        <v>11.635017906064412</v>
      </c>
      <c r="M35" s="29">
        <f>IF(M11=0,0,M11/TrRail_act!M4*1000)</f>
        <v>12.072358970676618</v>
      </c>
      <c r="N35" s="29">
        <f>IF(N11=0,0,N11/TrRail_act!N4*1000)</f>
        <v>11.672974534485576</v>
      </c>
      <c r="O35" s="29">
        <f>IF(O11=0,0,O11/TrRail_act!O4*1000)</f>
        <v>11.479430646764644</v>
      </c>
      <c r="P35" s="29">
        <f>IF(P11=0,0,P11/TrRail_act!P4*1000)</f>
        <v>11.523297529547238</v>
      </c>
      <c r="Q35" s="29">
        <f>IF(Q11=0,0,Q11/TrRail_act!Q4*1000)</f>
        <v>11.304481233527785</v>
      </c>
      <c r="R35" s="29">
        <f>IF(R11=0,0,R11/TrRail_act!R4*1000)</f>
        <v>11.159776190946875</v>
      </c>
      <c r="S35" s="29">
        <f>IF(S11=0,0,S11/TrRail_act!S4*1000)</f>
        <v>10.681473935214235</v>
      </c>
      <c r="T35" s="29">
        <f>IF(T11=0,0,T11/TrRail_act!T4*1000)</f>
        <v>10.379097436488712</v>
      </c>
      <c r="U35" s="29">
        <f>IF(U11=0,0,U11/TrRail_act!U4*1000)</f>
        <v>9.8164456256439845</v>
      </c>
      <c r="V35" s="29">
        <f>IF(V11=0,0,V11/TrRail_act!V4*1000)</f>
        <v>12.901299273313571</v>
      </c>
      <c r="W35" s="29">
        <f>IF(W11=0,0,W11/TrRail_act!W4*1000)</f>
        <v>13.105859236668623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5.5195841876341278</v>
      </c>
      <c r="C36" s="115">
        <f>IF(C12=0,0,C12/TrRail_act!C5*1000)</f>
        <v>5.5786729282870908</v>
      </c>
      <c r="D36" s="115">
        <f>IF(D12=0,0,D12/TrRail_act!D5*1000)</f>
        <v>5.6036013529413875</v>
      </c>
      <c r="E36" s="115">
        <f>IF(E12=0,0,E12/TrRail_act!E5*1000)</f>
        <v>5.5812511769135664</v>
      </c>
      <c r="F36" s="115">
        <f>IF(F12=0,0,F12/TrRail_act!F5*1000)</f>
        <v>5.5326214531394333</v>
      </c>
      <c r="G36" s="115">
        <f>IF(G12=0,0,G12/TrRail_act!G5*1000)</f>
        <v>5.4391558086348528</v>
      </c>
      <c r="H36" s="115">
        <f>IF(H12=0,0,H12/TrRail_act!H5*1000)</f>
        <v>5.415643624297636</v>
      </c>
      <c r="I36" s="115">
        <f>IF(I12=0,0,I12/TrRail_act!I5*1000)</f>
        <v>5.3674313273014294</v>
      </c>
      <c r="J36" s="115">
        <f>IF(J12=0,0,J12/TrRail_act!J5*1000)</f>
        <v>5.2495809352628502</v>
      </c>
      <c r="K36" s="115">
        <f>IF(K12=0,0,K12/TrRail_act!K5*1000)</f>
        <v>5.2770998046508266</v>
      </c>
      <c r="L36" s="115">
        <f>IF(L12=0,0,L12/TrRail_act!L5*1000)</f>
        <v>5.2184267766130867</v>
      </c>
      <c r="M36" s="115">
        <f>IF(M12=0,0,M12/TrRail_act!M5*1000)</f>
        <v>5.2447559796530232</v>
      </c>
      <c r="N36" s="115">
        <f>IF(N12=0,0,N12/TrRail_act!N5*1000)</f>
        <v>5.1880850344892417</v>
      </c>
      <c r="O36" s="115">
        <f>IF(O12=0,0,O12/TrRail_act!O5*1000)</f>
        <v>5.1563099846797904</v>
      </c>
      <c r="P36" s="115">
        <f>IF(P12=0,0,P12/TrRail_act!P5*1000)</f>
        <v>5.146921440316051</v>
      </c>
      <c r="Q36" s="115">
        <f>IF(Q12=0,0,Q12/TrRail_act!Q5*1000)</f>
        <v>4.960769722787953</v>
      </c>
      <c r="R36" s="115">
        <f>IF(R12=0,0,R12/TrRail_act!R5*1000)</f>
        <v>4.8670767892773048</v>
      </c>
      <c r="S36" s="115">
        <f>IF(S12=0,0,S12/TrRail_act!S5*1000)</f>
        <v>4.6985190752258061</v>
      </c>
      <c r="T36" s="115">
        <f>IF(T12=0,0,T12/TrRail_act!T5*1000)</f>
        <v>4.620783404909675</v>
      </c>
      <c r="U36" s="115">
        <f>IF(U12=0,0,U12/TrRail_act!U5*1000)</f>
        <v>4.5487743788068764</v>
      </c>
      <c r="V36" s="115">
        <f>IF(V12=0,0,V12/TrRail_act!V5*1000)</f>
        <v>5.1884690070852031</v>
      </c>
      <c r="W36" s="115">
        <f>IF(W12=0,0,W12/TrRail_act!W5*1000)</f>
        <v>5.7326054156417907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11.133926540833045</v>
      </c>
      <c r="C37" s="116">
        <f>IF(C13=0,0,C13/TrRail_act!C6*1000)</f>
        <v>11.724058081132462</v>
      </c>
      <c r="D37" s="116">
        <f>IF(D13=0,0,D13/TrRail_act!D6*1000)</f>
        <v>12.197056622303112</v>
      </c>
      <c r="E37" s="116">
        <f>IF(E13=0,0,E13/TrRail_act!E6*1000)</f>
        <v>13.088664833812693</v>
      </c>
      <c r="F37" s="116">
        <f>IF(F13=0,0,F13/TrRail_act!F6*1000)</f>
        <v>12.802673659139208</v>
      </c>
      <c r="G37" s="116">
        <f>IF(G13=0,0,G13/TrRail_act!G6*1000)</f>
        <v>12.437599946116453</v>
      </c>
      <c r="H37" s="116">
        <f>IF(H13=0,0,H13/TrRail_act!H6*1000)</f>
        <v>12.25224690304527</v>
      </c>
      <c r="I37" s="116">
        <f>IF(I13=0,0,I13/TrRail_act!I6*1000)</f>
        <v>11.739320231155999</v>
      </c>
      <c r="J37" s="116">
        <f>IF(J13=0,0,J13/TrRail_act!J6*1000)</f>
        <v>11.173538596254048</v>
      </c>
      <c r="K37" s="116">
        <f>IF(K13=0,0,K13/TrRail_act!K6*1000)</f>
        <v>12.246081235460938</v>
      </c>
      <c r="L37" s="116">
        <f>IF(L13=0,0,L13/TrRail_act!L6*1000)</f>
        <v>12.384976354444083</v>
      </c>
      <c r="M37" s="116">
        <f>IF(M13=0,0,M13/TrRail_act!M6*1000)</f>
        <v>12.890607868732376</v>
      </c>
      <c r="N37" s="116">
        <f>IF(N13=0,0,N13/TrRail_act!N6*1000)</f>
        <v>12.488199913704053</v>
      </c>
      <c r="O37" s="116">
        <f>IF(O13=0,0,O13/TrRail_act!O6*1000)</f>
        <v>12.411462519026621</v>
      </c>
      <c r="P37" s="116">
        <f>IF(P13=0,0,P13/TrRail_act!P6*1000)</f>
        <v>12.228519790686036</v>
      </c>
      <c r="Q37" s="116">
        <f>IF(Q13=0,0,Q13/TrRail_act!Q6*1000)</f>
        <v>11.801778508024304</v>
      </c>
      <c r="R37" s="116">
        <f>IF(R13=0,0,R13/TrRail_act!R6*1000)</f>
        <v>11.776820276565145</v>
      </c>
      <c r="S37" s="116">
        <f>IF(S13=0,0,S13/TrRail_act!S6*1000)</f>
        <v>10.972460992750474</v>
      </c>
      <c r="T37" s="116">
        <f>IF(T13=0,0,T13/TrRail_act!T6*1000)</f>
        <v>10.931796462786702</v>
      </c>
      <c r="U37" s="116">
        <f>IF(U13=0,0,U13/TrRail_act!U6*1000)</f>
        <v>10.071109521569094</v>
      </c>
      <c r="V37" s="116">
        <f>IF(V13=0,0,V13/TrRail_act!V6*1000)</f>
        <v>13.494239484625744</v>
      </c>
      <c r="W37" s="116">
        <f>IF(W13=0,0,W13/TrRail_act!W6*1000)</f>
        <v>13.192826820505124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26.566359011589441</v>
      </c>
      <c r="C38" s="87">
        <f>IF(C14=0,0,C14/TrRail_act!C7*1000)</f>
        <v>26.213232077685021</v>
      </c>
      <c r="D38" s="87">
        <f>IF(D14=0,0,D14/TrRail_act!D7*1000)</f>
        <v>26.183887399813901</v>
      </c>
      <c r="E38" s="87">
        <f>IF(E14=0,0,E14/TrRail_act!E7*1000)</f>
        <v>25.536299227553322</v>
      </c>
      <c r="F38" s="87">
        <f>IF(F14=0,0,F14/TrRail_act!F7*1000)</f>
        <v>25.086633860155626</v>
      </c>
      <c r="G38" s="87">
        <f>IF(G14=0,0,G14/TrRail_act!G7*1000)</f>
        <v>23.67739176439423</v>
      </c>
      <c r="H38" s="87">
        <f>IF(H14=0,0,H14/TrRail_act!H7*1000)</f>
        <v>23.663210739383178</v>
      </c>
      <c r="I38" s="87">
        <f>IF(I14=0,0,I14/TrRail_act!I7*1000)</f>
        <v>22.452408280060567</v>
      </c>
      <c r="J38" s="87">
        <f>IF(J14=0,0,J14/TrRail_act!J7*1000)</f>
        <v>23.105421069799554</v>
      </c>
      <c r="K38" s="87">
        <f>IF(K14=0,0,K14/TrRail_act!K7*1000)</f>
        <v>25.620537356009251</v>
      </c>
      <c r="L38" s="87">
        <f>IF(L14=0,0,L14/TrRail_act!L7*1000)</f>
        <v>22.322107824328544</v>
      </c>
      <c r="M38" s="87">
        <f>IF(M14=0,0,M14/TrRail_act!M7*1000)</f>
        <v>22.486764883292498</v>
      </c>
      <c r="N38" s="87">
        <f>IF(N14=0,0,N14/TrRail_act!N7*1000)</f>
        <v>22.473139097730805</v>
      </c>
      <c r="O38" s="87">
        <f>IF(O14=0,0,O14/TrRail_act!O7*1000)</f>
        <v>24.793265515191379</v>
      </c>
      <c r="P38" s="87">
        <f>IF(P14=0,0,P14/TrRail_act!P7*1000)</f>
        <v>20.399895203123833</v>
      </c>
      <c r="Q38" s="87">
        <f>IF(Q14=0,0,Q14/TrRail_act!Q7*1000)</f>
        <v>20.034231126450006</v>
      </c>
      <c r="R38" s="87">
        <f>IF(R14=0,0,R14/TrRail_act!R7*1000)</f>
        <v>20.249266432834471</v>
      </c>
      <c r="S38" s="87">
        <f>IF(S14=0,0,S14/TrRail_act!S7*1000)</f>
        <v>20.085575873818669</v>
      </c>
      <c r="T38" s="87">
        <f>IF(T14=0,0,T14/TrRail_act!T7*1000)</f>
        <v>21.302387699383566</v>
      </c>
      <c r="U38" s="87">
        <f>IF(U14=0,0,U14/TrRail_act!U7*1000)</f>
        <v>20.898781427541284</v>
      </c>
      <c r="V38" s="87">
        <f>IF(V14=0,0,V14/TrRail_act!V7*1000)</f>
        <v>32.504422402435409</v>
      </c>
      <c r="W38" s="87">
        <f>IF(W14=0,0,W14/TrRail_act!W7*1000)</f>
        <v>29.336890347173558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7.6004592103226054</v>
      </c>
      <c r="C39" s="87">
        <f>IF(C15=0,0,C15/TrRail_act!C8*1000)</f>
        <v>8.7502233009112196</v>
      </c>
      <c r="D39" s="87">
        <f>IF(D15=0,0,D15/TrRail_act!D8*1000)</f>
        <v>9.2541236378053817</v>
      </c>
      <c r="E39" s="87">
        <f>IF(E15=0,0,E15/TrRail_act!E8*1000)</f>
        <v>10.235494043082767</v>
      </c>
      <c r="F39" s="87">
        <f>IF(F15=0,0,F15/TrRail_act!F8*1000)</f>
        <v>10.100609505560204</v>
      </c>
      <c r="G39" s="87">
        <f>IF(G15=0,0,G15/TrRail_act!G8*1000)</f>
        <v>10.189105315463211</v>
      </c>
      <c r="H39" s="87">
        <f>IF(H15=0,0,H15/TrRail_act!H8*1000)</f>
        <v>9.8387604885732163</v>
      </c>
      <c r="I39" s="87">
        <f>IF(I15=0,0,I15/TrRail_act!I8*1000)</f>
        <v>9.917077793018457</v>
      </c>
      <c r="J39" s="87">
        <f>IF(J15=0,0,J15/TrRail_act!J8*1000)</f>
        <v>9.3063622175038532</v>
      </c>
      <c r="K39" s="87">
        <f>IF(K15=0,0,K15/TrRail_act!K8*1000)</f>
        <v>10.651853299983015</v>
      </c>
      <c r="L39" s="87">
        <f>IF(L15=0,0,L15/TrRail_act!L8*1000)</f>
        <v>10.83822297706627</v>
      </c>
      <c r="M39" s="87">
        <f>IF(M15=0,0,M15/TrRail_act!M8*1000)</f>
        <v>11.143654331077769</v>
      </c>
      <c r="N39" s="87">
        <f>IF(N15=0,0,N15/TrRail_act!N8*1000)</f>
        <v>11.008264538585811</v>
      </c>
      <c r="O39" s="87">
        <f>IF(O15=0,0,O15/TrRail_act!O8*1000)</f>
        <v>11.054398722917361</v>
      </c>
      <c r="P39" s="87">
        <f>IF(P15=0,0,P15/TrRail_act!P8*1000)</f>
        <v>10.891969767650362</v>
      </c>
      <c r="Q39" s="87">
        <f>IF(Q15=0,0,Q15/TrRail_act!Q8*1000)</f>
        <v>10.539250771116759</v>
      </c>
      <c r="R39" s="87">
        <f>IF(R15=0,0,R15/TrRail_act!R8*1000)</f>
        <v>10.586941195936829</v>
      </c>
      <c r="S39" s="87">
        <f>IF(S15=0,0,S15/TrRail_act!S8*1000)</f>
        <v>9.7165473553491424</v>
      </c>
      <c r="T39" s="87">
        <f>IF(T15=0,0,T15/TrRail_act!T8*1000)</f>
        <v>9.9906648691049078</v>
      </c>
      <c r="U39" s="87">
        <f>IF(U15=0,0,U15/TrRail_act!U8*1000)</f>
        <v>9.4486562711976934</v>
      </c>
      <c r="V39" s="87">
        <f>IF(V15=0,0,V15/TrRail_act!V8*1000)</f>
        <v>12.447441121538947</v>
      </c>
      <c r="W39" s="87">
        <f>IF(W15=0,0,W15/TrRail_act!W8*1000)</f>
        <v>12.241767913289793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15.032786157526274</v>
      </c>
      <c r="C40" s="117">
        <f>IF(C16=0,0,C16/TrRail_act!C9*1000)</f>
        <v>14.801991891152277</v>
      </c>
      <c r="D40" s="117">
        <f>IF(D16=0,0,D16/TrRail_act!D9*1000)</f>
        <v>14.674990885459282</v>
      </c>
      <c r="E40" s="117">
        <f>IF(E16=0,0,E16/TrRail_act!E9*1000)</f>
        <v>14.421411985798516</v>
      </c>
      <c r="F40" s="117">
        <f>IF(F16=0,0,F16/TrRail_act!F9*1000)</f>
        <v>13.980608967655003</v>
      </c>
      <c r="G40" s="117">
        <f>IF(G16=0,0,G16/TrRail_act!G9*1000)</f>
        <v>13.77441040362833</v>
      </c>
      <c r="H40" s="117">
        <f>IF(H16=0,0,H16/TrRail_act!H9*1000)</f>
        <v>13.394596592368648</v>
      </c>
      <c r="I40" s="117">
        <f>IF(I16=0,0,I16/TrRail_act!I9*1000)</f>
        <v>13.202333440654163</v>
      </c>
      <c r="J40" s="117">
        <f>IF(J16=0,0,J16/TrRail_act!J9*1000)</f>
        <v>13.322123650038188</v>
      </c>
      <c r="K40" s="117">
        <f>IF(K16=0,0,K16/TrRail_act!K9*1000)</f>
        <v>13.275020685142957</v>
      </c>
      <c r="L40" s="117">
        <f>IF(L16=0,0,L16/TrRail_act!L9*1000)</f>
        <v>13.048121978828243</v>
      </c>
      <c r="M40" s="117">
        <f>IF(M16=0,0,M16/TrRail_act!M9*1000)</f>
        <v>13.369836808259455</v>
      </c>
      <c r="N40" s="117">
        <f>IF(N16=0,0,N16/TrRail_act!N9*1000)</f>
        <v>12.659976003889815</v>
      </c>
      <c r="O40" s="117">
        <f>IF(O16=0,0,O16/TrRail_act!O9*1000)</f>
        <v>11.806592201083092</v>
      </c>
      <c r="P40" s="117">
        <f>IF(P16=0,0,P16/TrRail_act!P9*1000)</f>
        <v>13.062860518032405</v>
      </c>
      <c r="Q40" s="117">
        <f>IF(Q16=0,0,Q16/TrRail_act!Q9*1000)</f>
        <v>13.949557287025874</v>
      </c>
      <c r="R40" s="117">
        <f>IF(R16=0,0,R16/TrRail_act!R9*1000)</f>
        <v>13.295063406559013</v>
      </c>
      <c r="S40" s="117">
        <f>IF(S16=0,0,S16/TrRail_act!S9*1000)</f>
        <v>14.061302639756617</v>
      </c>
      <c r="T40" s="117">
        <f>IF(T16=0,0,T16/TrRail_act!T9*1000)</f>
        <v>12.521231370769961</v>
      </c>
      <c r="U40" s="117">
        <f>IF(U16=0,0,U16/TrRail_act!U9*1000)</f>
        <v>12.753403961392292</v>
      </c>
      <c r="V40" s="117">
        <f>IF(V16=0,0,V16/TrRail_act!V9*1000)</f>
        <v>21.67895978174818</v>
      </c>
      <c r="W40" s="117">
        <f>IF(W16=0,0,W16/TrRail_act!W9*1000)</f>
        <v>23.197836669212879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5.3031924681399323</v>
      </c>
      <c r="C41" s="29">
        <f>IF(C17=0,0,C17/TrRail_act!C10*1000)</f>
        <v>5.3051541260836723</v>
      </c>
      <c r="D41" s="29">
        <f>IF(D17=0,0,D17/TrRail_act!D10*1000)</f>
        <v>5.2173221136171577</v>
      </c>
      <c r="E41" s="29">
        <f>IF(E17=0,0,E17/TrRail_act!E10*1000)</f>
        <v>4.9941567874814226</v>
      </c>
      <c r="F41" s="29">
        <f>IF(F17=0,0,F17/TrRail_act!F10*1000)</f>
        <v>5.1586818819755171</v>
      </c>
      <c r="G41" s="29">
        <f>IF(G17=0,0,G17/TrRail_act!G10*1000)</f>
        <v>5.2643616185751725</v>
      </c>
      <c r="H41" s="29">
        <f>IF(H17=0,0,H17/TrRail_act!H10*1000)</f>
        <v>4.9965074286644828</v>
      </c>
      <c r="I41" s="29">
        <f>IF(I17=0,0,I17/TrRail_act!I10*1000)</f>
        <v>4.7940485028878088</v>
      </c>
      <c r="J41" s="29">
        <f>IF(J17=0,0,J17/TrRail_act!J10*1000)</f>
        <v>4.6849646176058615</v>
      </c>
      <c r="K41" s="29">
        <f>IF(K17=0,0,K17/TrRail_act!K10*1000)</f>
        <v>4.6578427831074931</v>
      </c>
      <c r="L41" s="29">
        <f>IF(L17=0,0,L17/TrRail_act!L10*1000)</f>
        <v>4.41832401372967</v>
      </c>
      <c r="M41" s="29">
        <f>IF(M17=0,0,M17/TrRail_act!M10*1000)</f>
        <v>4.5112949191980958</v>
      </c>
      <c r="N41" s="29">
        <f>IF(N17=0,0,N17/TrRail_act!N10*1000)</f>
        <v>4.6174914250828865</v>
      </c>
      <c r="O41" s="29">
        <f>IF(O17=0,0,O17/TrRail_act!O10*1000)</f>
        <v>4.2657270993313379</v>
      </c>
      <c r="P41" s="29">
        <f>IF(P17=0,0,P17/TrRail_act!P10*1000)</f>
        <v>4.0943732300892943</v>
      </c>
      <c r="Q41" s="29">
        <f>IF(Q17=0,0,Q17/TrRail_act!Q10*1000)</f>
        <v>3.6145319377359253</v>
      </c>
      <c r="R41" s="29">
        <f>IF(R17=0,0,R17/TrRail_act!R10*1000)</f>
        <v>3.4462645003787964</v>
      </c>
      <c r="S41" s="29">
        <f>IF(S17=0,0,S17/TrRail_act!S10*1000)</f>
        <v>3.3513628065249534</v>
      </c>
      <c r="T41" s="29">
        <f>IF(T17=0,0,T17/TrRail_act!T10*1000)</f>
        <v>3.4244033254673156</v>
      </c>
      <c r="U41" s="29">
        <f>IF(U17=0,0,U17/TrRail_act!U10*1000)</f>
        <v>3.4574814353118475</v>
      </c>
      <c r="V41" s="29">
        <f>IF(V17=0,0,V17/TrRail_act!V10*1000)</f>
        <v>3.5743752256490917</v>
      </c>
      <c r="W41" s="29">
        <f>IF(W17=0,0,W17/TrRail_act!W10*1000)</f>
        <v>3.5806178911325275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9.229063198657359</v>
      </c>
      <c r="C42" s="87">
        <f>IF(C18=0,0,C18/TrRail_act!C11*1000)</f>
        <v>9.0202086776978554</v>
      </c>
      <c r="D42" s="87">
        <f>IF(D18=0,0,D18/TrRail_act!D11*1000)</f>
        <v>8.9771083877586957</v>
      </c>
      <c r="E42" s="87">
        <f>IF(E18=0,0,E18/TrRail_act!E11*1000)</f>
        <v>8.3911980571495679</v>
      </c>
      <c r="F42" s="87">
        <f>IF(F18=0,0,F18/TrRail_act!F11*1000)</f>
        <v>8.4833810831610759</v>
      </c>
      <c r="G42" s="87">
        <f>IF(G18=0,0,G18/TrRail_act!G11*1000)</f>
        <v>8.3567668956634105</v>
      </c>
      <c r="H42" s="87">
        <f>IF(H18=0,0,H18/TrRail_act!H11*1000)</f>
        <v>7.9963320814503724</v>
      </c>
      <c r="I42" s="87">
        <f>IF(I18=0,0,I18/TrRail_act!I11*1000)</f>
        <v>8.0486661789237104</v>
      </c>
      <c r="J42" s="87">
        <f>IF(J18=0,0,J18/TrRail_act!J11*1000)</f>
        <v>7.7639753000729188</v>
      </c>
      <c r="K42" s="87">
        <f>IF(K18=0,0,K18/TrRail_act!K11*1000)</f>
        <v>7.5508100629321984</v>
      </c>
      <c r="L42" s="87">
        <f>IF(L18=0,0,L18/TrRail_act!L11*1000)</f>
        <v>7.1237425395095375</v>
      </c>
      <c r="M42" s="87">
        <f>IF(M18=0,0,M18/TrRail_act!M11*1000)</f>
        <v>7.0079159806527374</v>
      </c>
      <c r="N42" s="87">
        <f>IF(N18=0,0,N18/TrRail_act!N11*1000)</f>
        <v>6.9138535069924396</v>
      </c>
      <c r="O42" s="87">
        <f>IF(O18=0,0,O18/TrRail_act!O11*1000)</f>
        <v>6.92290676900432</v>
      </c>
      <c r="P42" s="87">
        <f>IF(P18=0,0,P18/TrRail_act!P11*1000)</f>
        <v>6.0972046396772415</v>
      </c>
      <c r="Q42" s="87">
        <f>IF(Q18=0,0,Q18/TrRail_act!Q11*1000)</f>
        <v>5.6770582387179314</v>
      </c>
      <c r="R42" s="87">
        <f>IF(R18=0,0,R18/TrRail_act!R11*1000)</f>
        <v>5.4208543139719705</v>
      </c>
      <c r="S42" s="87">
        <f>IF(S18=0,0,S18/TrRail_act!S11*1000)</f>
        <v>5.0985041527082711</v>
      </c>
      <c r="T42" s="87">
        <f>IF(T18=0,0,T18/TrRail_act!T11*1000)</f>
        <v>6.0021502697286397</v>
      </c>
      <c r="U42" s="87">
        <f>IF(U18=0,0,U18/TrRail_act!U11*1000)</f>
        <v>6.8254595610683895</v>
      </c>
      <c r="V42" s="87">
        <f>IF(V18=0,0,V18/TrRail_act!V11*1000)</f>
        <v>6.5745439181680689</v>
      </c>
      <c r="W42" s="87">
        <f>IF(W18=0,0,W18/TrRail_act!W11*1000)</f>
        <v>6.3351940013018506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3.275491426120297</v>
      </c>
      <c r="C43" s="88">
        <f>IF(C19=0,0,C19/TrRail_act!C12*1000)</f>
        <v>3.3354691616907313</v>
      </c>
      <c r="D43" s="88">
        <f>IF(D19=0,0,D19/TrRail_act!D12*1000)</f>
        <v>3.3636719519021598</v>
      </c>
      <c r="E43" s="88">
        <f>IF(E19=0,0,E19/TrRail_act!E12*1000)</f>
        <v>3.2873783179685883</v>
      </c>
      <c r="F43" s="88">
        <f>IF(F19=0,0,F19/TrRail_act!F12*1000)</f>
        <v>3.4117493721849854</v>
      </c>
      <c r="G43" s="88">
        <f>IF(G19=0,0,G19/TrRail_act!G12*1000)</f>
        <v>3.5050173303669308</v>
      </c>
      <c r="H43" s="88">
        <f>IF(H19=0,0,H19/TrRail_act!H12*1000)</f>
        <v>3.3692659978412602</v>
      </c>
      <c r="I43" s="88">
        <f>IF(I19=0,0,I19/TrRail_act!I12*1000)</f>
        <v>3.3891245963113357</v>
      </c>
      <c r="J43" s="88">
        <f>IF(J19=0,0,J19/TrRail_act!J12*1000)</f>
        <v>3.2923865743750205</v>
      </c>
      <c r="K43" s="88">
        <f>IF(K19=0,0,K19/TrRail_act!K12*1000)</f>
        <v>3.2693000387120645</v>
      </c>
      <c r="L43" s="88">
        <f>IF(L19=0,0,L19/TrRail_act!L12*1000)</f>
        <v>3.1862044436065546</v>
      </c>
      <c r="M43" s="88">
        <f>IF(M19=0,0,M19/TrRail_act!M12*1000)</f>
        <v>3.2831875921479079</v>
      </c>
      <c r="N43" s="88">
        <f>IF(N19=0,0,N19/TrRail_act!N12*1000)</f>
        <v>3.3292529007065865</v>
      </c>
      <c r="O43" s="88">
        <f>IF(O19=0,0,O19/TrRail_act!O12*1000)</f>
        <v>2.9373646089714791</v>
      </c>
      <c r="P43" s="88">
        <f>IF(P19=0,0,P19/TrRail_act!P12*1000)</f>
        <v>3.1598544588009969</v>
      </c>
      <c r="Q43" s="88">
        <f>IF(Q19=0,0,Q19/TrRail_act!Q12*1000)</f>
        <v>2.8312056521643716</v>
      </c>
      <c r="R43" s="88">
        <f>IF(R19=0,0,R19/TrRail_act!R12*1000)</f>
        <v>2.7400712894224295</v>
      </c>
      <c r="S43" s="88">
        <f>IF(S19=0,0,S19/TrRail_act!S12*1000)</f>
        <v>2.7916872073379166</v>
      </c>
      <c r="T43" s="88">
        <f>IF(T19=0,0,T19/TrRail_act!T12*1000)</f>
        <v>2.5510521384481217</v>
      </c>
      <c r="U43" s="88">
        <f>IF(U19=0,0,U19/TrRail_act!U12*1000)</f>
        <v>2.3014116049163817</v>
      </c>
      <c r="V43" s="88">
        <f>IF(V19=0,0,V19/TrRail_act!V12*1000)</f>
        <v>2.6030821269349138</v>
      </c>
      <c r="W43" s="88">
        <f>IF(W19=0,0,W19/TrRail_act!W12*1000)</f>
        <v>2.4806342986805126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346498.90567651577</v>
      </c>
      <c r="C45" s="54">
        <f>IF(C10=0,0,1000000*C10/TrRail_act!C25)</f>
        <v>328526.69596348453</v>
      </c>
      <c r="D45" s="54">
        <f>IF(D10=0,0,1000000*D10/TrRail_act!D25)</f>
        <v>319655.92049841536</v>
      </c>
      <c r="E45" s="54">
        <f>IF(E10=0,0,1000000*E10/TrRail_act!E25)</f>
        <v>310996.16213173658</v>
      </c>
      <c r="F45" s="54">
        <f>IF(F10=0,0,1000000*F10/TrRail_act!F25)</f>
        <v>309830.61092644272</v>
      </c>
      <c r="G45" s="54">
        <f>IF(G10=0,0,1000000*G10/TrRail_act!G25)</f>
        <v>309340.83682092413</v>
      </c>
      <c r="H45" s="54">
        <f>IF(H10=0,0,1000000*H10/TrRail_act!H25)</f>
        <v>316972.30582285678</v>
      </c>
      <c r="I45" s="54">
        <f>IF(I10=0,0,1000000*I10/TrRail_act!I25)</f>
        <v>298478.90621767403</v>
      </c>
      <c r="J45" s="54">
        <f>IF(J10=0,0,1000000*J10/TrRail_act!J25)</f>
        <v>302535.02061314601</v>
      </c>
      <c r="K45" s="54">
        <f>IF(K10=0,0,1000000*K10/TrRail_act!K25)</f>
        <v>273320.65622353239</v>
      </c>
      <c r="L45" s="54">
        <f>IF(L10=0,0,1000000*L10/TrRail_act!L25)</f>
        <v>280615.1040101882</v>
      </c>
      <c r="M45" s="54">
        <f>IF(M10=0,0,1000000*M10/TrRail_act!M25)</f>
        <v>283563.1901507813</v>
      </c>
      <c r="N45" s="54">
        <f>IF(N10=0,0,1000000*N10/TrRail_act!N25)</f>
        <v>278070.02110000444</v>
      </c>
      <c r="O45" s="54">
        <f>IF(O10=0,0,1000000*O10/TrRail_act!O25)</f>
        <v>269661.6508544418</v>
      </c>
      <c r="P45" s="54">
        <f>IF(P10=0,0,1000000*P10/TrRail_act!P25)</f>
        <v>262787.2990601809</v>
      </c>
      <c r="Q45" s="54">
        <f>IF(Q10=0,0,1000000*Q10/TrRail_act!Q25)</f>
        <v>238767.37591466782</v>
      </c>
      <c r="R45" s="54">
        <f>IF(R10=0,0,1000000*R10/TrRail_act!R25)</f>
        <v>243707.04571360271</v>
      </c>
      <c r="S45" s="54">
        <f>IF(S10=0,0,1000000*S10/TrRail_act!S25)</f>
        <v>245741.84900231639</v>
      </c>
      <c r="T45" s="54">
        <f>IF(T10=0,0,1000000*T10/TrRail_act!T25)</f>
        <v>240922.61982020573</v>
      </c>
      <c r="U45" s="54">
        <f>IF(U10=0,0,1000000*U10/TrRail_act!U25)</f>
        <v>232503.52946418794</v>
      </c>
      <c r="V45" s="54">
        <f>IF(V10=0,0,1000000*V10/TrRail_act!V25)</f>
        <v>213680.17183857219</v>
      </c>
      <c r="W45" s="54">
        <f>IF(W10=0,0,1000000*W10/TrRail_act!W25)</f>
        <v>230489.27269047961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215422.85469970619</v>
      </c>
      <c r="C46" s="28">
        <f>IF(C11=0,0,1000000*C11/TrRail_act!C26)</f>
        <v>204283.71352710389</v>
      </c>
      <c r="D46" s="28">
        <f>IF(D11=0,0,1000000*D11/TrRail_act!D26)</f>
        <v>205638.81884030136</v>
      </c>
      <c r="E46" s="28">
        <f>IF(E11=0,0,1000000*E11/TrRail_act!E26)</f>
        <v>205460.11195114267</v>
      </c>
      <c r="F46" s="28">
        <f>IF(F11=0,0,1000000*F11/TrRail_act!F26)</f>
        <v>200677.64913903701</v>
      </c>
      <c r="G46" s="28">
        <f>IF(G11=0,0,1000000*G11/TrRail_act!G26)</f>
        <v>202503.1192468481</v>
      </c>
      <c r="H46" s="28">
        <f>IF(H11=0,0,1000000*H11/TrRail_act!H26)</f>
        <v>206524.43502204682</v>
      </c>
      <c r="I46" s="28">
        <f>IF(I11=0,0,1000000*I11/TrRail_act!I26)</f>
        <v>205252.65556104397</v>
      </c>
      <c r="J46" s="28">
        <f>IF(J11=0,0,1000000*J11/TrRail_act!J26)</f>
        <v>208075.32917038276</v>
      </c>
      <c r="K46" s="28">
        <f>IF(K11=0,0,1000000*K11/TrRail_act!K26)</f>
        <v>201221.95782657186</v>
      </c>
      <c r="L46" s="28">
        <f>IF(L11=0,0,1000000*L11/TrRail_act!L26)</f>
        <v>202901.29019463022</v>
      </c>
      <c r="M46" s="28">
        <f>IF(M11=0,0,1000000*M11/TrRail_act!M26)</f>
        <v>207322.49223582959</v>
      </c>
      <c r="N46" s="28">
        <f>IF(N11=0,0,1000000*N11/TrRail_act!N26)</f>
        <v>200950.95845607307</v>
      </c>
      <c r="O46" s="28">
        <f>IF(O11=0,0,1000000*O11/TrRail_act!O26)</f>
        <v>196282.18521731126</v>
      </c>
      <c r="P46" s="28">
        <f>IF(P11=0,0,1000000*P11/TrRail_act!P26)</f>
        <v>194041.13902146646</v>
      </c>
      <c r="Q46" s="28">
        <f>IF(Q11=0,0,1000000*Q11/TrRail_act!Q26)</f>
        <v>190797.84366358587</v>
      </c>
      <c r="R46" s="28">
        <f>IF(R11=0,0,1000000*R11/TrRail_act!R26)</f>
        <v>187008.57977000903</v>
      </c>
      <c r="S46" s="28">
        <f>IF(S11=0,0,1000000*S11/TrRail_act!S26)</f>
        <v>190730.90517992253</v>
      </c>
      <c r="T46" s="28">
        <f>IF(T11=0,0,1000000*T11/TrRail_act!T26)</f>
        <v>180731.10495909068</v>
      </c>
      <c r="U46" s="28">
        <f>IF(U11=0,0,1000000*U11/TrRail_act!U26)</f>
        <v>177716.737497369</v>
      </c>
      <c r="V46" s="28">
        <f>IF(V11=0,0,1000000*V11/TrRail_act!V26)</f>
        <v>148483.56968962931</v>
      </c>
      <c r="W46" s="28">
        <f>IF(W11=0,0,1000000*W11/TrRail_act!W26)</f>
        <v>159632.16928487425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47815.253484506648</v>
      </c>
      <c r="C47" s="108">
        <f>IF(C12=0,0,1000000*C12/TrRail_act!C27)</f>
        <v>47427.357666097967</v>
      </c>
      <c r="D47" s="108">
        <f>IF(D12=0,0,1000000*D12/TrRail_act!D27)</f>
        <v>47042.306325786987</v>
      </c>
      <c r="E47" s="108">
        <f>IF(E12=0,0,1000000*E12/TrRail_act!E27)</f>
        <v>46619.060727235767</v>
      </c>
      <c r="F47" s="108">
        <f>IF(F12=0,0,1000000*F12/TrRail_act!F27)</f>
        <v>46228.024816998935</v>
      </c>
      <c r="G47" s="108">
        <f>IF(G12=0,0,1000000*G12/TrRail_act!G27)</f>
        <v>45852.553067544672</v>
      </c>
      <c r="H47" s="108">
        <f>IF(H12=0,0,1000000*H12/TrRail_act!H27)</f>
        <v>45453.383266410987</v>
      </c>
      <c r="I47" s="108">
        <f>IF(I12=0,0,1000000*I12/TrRail_act!I27)</f>
        <v>45088.887846676749</v>
      </c>
      <c r="J47" s="108">
        <f>IF(J12=0,0,1000000*J12/TrRail_act!J27)</f>
        <v>44723.923071655496</v>
      </c>
      <c r="K47" s="108">
        <f>IF(K12=0,0,1000000*K12/TrRail_act!K27)</f>
        <v>44449.033582568867</v>
      </c>
      <c r="L47" s="108">
        <f>IF(L12=0,0,1000000*L12/TrRail_act!L27)</f>
        <v>44210.951182395016</v>
      </c>
      <c r="M47" s="108">
        <f>IF(M12=0,0,1000000*M12/TrRail_act!M27)</f>
        <v>44050.768284882397</v>
      </c>
      <c r="N47" s="108">
        <f>IF(N12=0,0,1000000*N12/TrRail_act!N27)</f>
        <v>43844.087419478747</v>
      </c>
      <c r="O47" s="108">
        <f>IF(O12=0,0,1000000*O12/TrRail_act!O27)</f>
        <v>43618.636516841914</v>
      </c>
      <c r="P47" s="108">
        <f>IF(P12=0,0,1000000*P12/TrRail_act!P27)</f>
        <v>43177.063757679833</v>
      </c>
      <c r="Q47" s="108">
        <f>IF(Q12=0,0,1000000*Q12/TrRail_act!Q27)</f>
        <v>42183.006256948538</v>
      </c>
      <c r="R47" s="108">
        <f>IF(R12=0,0,1000000*R12/TrRail_act!R27)</f>
        <v>41452.510583574287</v>
      </c>
      <c r="S47" s="108">
        <f>IF(S12=0,0,1000000*S12/TrRail_act!S27)</f>
        <v>40912.952764837268</v>
      </c>
      <c r="T47" s="108">
        <f>IF(T12=0,0,1000000*T12/TrRail_act!T27)</f>
        <v>40512.898782139797</v>
      </c>
      <c r="U47" s="108">
        <f>IF(U12=0,0,1000000*U12/TrRail_act!U27)</f>
        <v>40215.427076553737</v>
      </c>
      <c r="V47" s="108">
        <f>IF(V12=0,0,1000000*V12/TrRail_act!V27)</f>
        <v>39993.757828879723</v>
      </c>
      <c r="W47" s="108">
        <f>IF(W12=0,0,1000000*W12/TrRail_act!W27)</f>
        <v>39828.307626050351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281996.3496191937</v>
      </c>
      <c r="C48" s="110">
        <f>IF(C13=0,0,1000000*C13/TrRail_act!C28)</f>
        <v>264548.78648386366</v>
      </c>
      <c r="D48" s="110">
        <f>IF(D13=0,0,1000000*D13/TrRail_act!D28)</f>
        <v>260510.12473545311</v>
      </c>
      <c r="E48" s="110">
        <f>IF(E13=0,0,1000000*E13/TrRail_act!E28)</f>
        <v>252183.4186457686</v>
      </c>
      <c r="F48" s="110">
        <f>IF(F13=0,0,1000000*F13/TrRail_act!F28)</f>
        <v>249041.11553762926</v>
      </c>
      <c r="G48" s="110">
        <f>IF(G13=0,0,1000000*G13/TrRail_act!G28)</f>
        <v>241188.20432216351</v>
      </c>
      <c r="H48" s="110">
        <f>IF(H13=0,0,1000000*H13/TrRail_act!H28)</f>
        <v>240587.24309066817</v>
      </c>
      <c r="I48" s="110">
        <f>IF(I13=0,0,1000000*I13/TrRail_act!I28)</f>
        <v>228158.53196949055</v>
      </c>
      <c r="J48" s="110">
        <f>IF(J13=0,0,1000000*J13/TrRail_act!J28)</f>
        <v>229484.6561919683</v>
      </c>
      <c r="K48" s="110">
        <f>IF(K13=0,0,1000000*K13/TrRail_act!K28)</f>
        <v>220301.96086254087</v>
      </c>
      <c r="L48" s="110">
        <f>IF(L13=0,0,1000000*L13/TrRail_act!L28)</f>
        <v>219626.51299017912</v>
      </c>
      <c r="M48" s="110">
        <f>IF(M13=0,0,1000000*M13/TrRail_act!M28)</f>
        <v>220634.2834779415</v>
      </c>
      <c r="N48" s="110">
        <f>IF(N13=0,0,1000000*N13/TrRail_act!N28)</f>
        <v>214759.87838221656</v>
      </c>
      <c r="O48" s="110">
        <f>IF(O13=0,0,1000000*O13/TrRail_act!O28)</f>
        <v>208139.75206289103</v>
      </c>
      <c r="P48" s="110">
        <f>IF(P13=0,0,1000000*P13/TrRail_act!P28)</f>
        <v>207110.04419234104</v>
      </c>
      <c r="Q48" s="110">
        <f>IF(Q13=0,0,1000000*Q13/TrRail_act!Q28)</f>
        <v>204257.76907884149</v>
      </c>
      <c r="R48" s="110">
        <f>IF(R13=0,0,1000000*R13/TrRail_act!R28)</f>
        <v>200126.09334515734</v>
      </c>
      <c r="S48" s="110">
        <f>IF(S13=0,0,1000000*S13/TrRail_act!S28)</f>
        <v>200582.28693446529</v>
      </c>
      <c r="T48" s="110">
        <f>IF(T13=0,0,1000000*T13/TrRail_act!T28)</f>
        <v>191885.18665297146</v>
      </c>
      <c r="U48" s="110">
        <f>IF(U13=0,0,1000000*U13/TrRail_act!U28)</f>
        <v>185235.31043657375</v>
      </c>
      <c r="V48" s="110">
        <f>IF(V13=0,0,1000000*V13/TrRail_act!V28)</f>
        <v>160100.08677955443</v>
      </c>
      <c r="W48" s="110">
        <f>IF(W13=0,0,1000000*W13/TrRail_act!W28)</f>
        <v>171526.81830817225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459519.64993135247</v>
      </c>
      <c r="C49" s="84">
        <f>IF(C14=0,0,1000000*C14/TrRail_act!C29)</f>
        <v>439233.43307263235</v>
      </c>
      <c r="D49" s="84">
        <f>IF(D14=0,0,1000000*D14/TrRail_act!D29)</f>
        <v>426292.59446964401</v>
      </c>
      <c r="E49" s="84">
        <f>IF(E14=0,0,1000000*E14/TrRail_act!E29)</f>
        <v>402699.35305846354</v>
      </c>
      <c r="F49" s="84">
        <f>IF(F14=0,0,1000000*F14/TrRail_act!F29)</f>
        <v>396074.90924282209</v>
      </c>
      <c r="G49" s="84">
        <f>IF(G14=0,0,1000000*G14/TrRail_act!G29)</f>
        <v>379271.81890225178</v>
      </c>
      <c r="H49" s="84">
        <f>IF(H14=0,0,1000000*H14/TrRail_act!H29)</f>
        <v>375342.32599050179</v>
      </c>
      <c r="I49" s="84">
        <f>IF(I14=0,0,1000000*I14/TrRail_act!I29)</f>
        <v>341289.07545994938</v>
      </c>
      <c r="J49" s="84">
        <f>IF(J14=0,0,1000000*J14/TrRail_act!J29)</f>
        <v>360603.28156532836</v>
      </c>
      <c r="K49" s="84">
        <f>IF(K14=0,0,1000000*K14/TrRail_act!K29)</f>
        <v>341463.62436394312</v>
      </c>
      <c r="L49" s="84">
        <f>IF(L14=0,0,1000000*L14/TrRail_act!L29)</f>
        <v>343148.42711921275</v>
      </c>
      <c r="M49" s="84">
        <f>IF(M14=0,0,1000000*M14/TrRail_act!M29)</f>
        <v>339395.10261432378</v>
      </c>
      <c r="N49" s="84">
        <f>IF(N14=0,0,1000000*N14/TrRail_act!N29)</f>
        <v>335277.80253648799</v>
      </c>
      <c r="O49" s="84">
        <f>IF(O14=0,0,1000000*O14/TrRail_act!O29)</f>
        <v>320370.3537919416</v>
      </c>
      <c r="P49" s="84">
        <f>IF(P14=0,0,1000000*P14/TrRail_act!P29)</f>
        <v>324032.91339962976</v>
      </c>
      <c r="Q49" s="84">
        <f>IF(Q14=0,0,1000000*Q14/TrRail_act!Q29)</f>
        <v>317035.37697540788</v>
      </c>
      <c r="R49" s="84">
        <f>IF(R14=0,0,1000000*R14/TrRail_act!R29)</f>
        <v>310044.83205559786</v>
      </c>
      <c r="S49" s="84">
        <f>IF(S14=0,0,1000000*S14/TrRail_act!S29)</f>
        <v>309620.30057190033</v>
      </c>
      <c r="T49" s="84">
        <f>IF(T14=0,0,1000000*T14/TrRail_act!T29)</f>
        <v>269012.82830779377</v>
      </c>
      <c r="U49" s="84">
        <f>IF(U14=0,0,1000000*U14/TrRail_act!U29)</f>
        <v>221829.69045511296</v>
      </c>
      <c r="V49" s="84">
        <f>IF(V14=0,0,1000000*V14/TrRail_act!V29)</f>
        <v>242441.70112662524</v>
      </c>
      <c r="W49" s="84">
        <f>IF(W14=0,0,1000000*W14/TrRail_act!W29)</f>
        <v>301651.81534347724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215399.36164792406</v>
      </c>
      <c r="C50" s="84">
        <f>IF(C15=0,0,1000000*C15/TrRail_act!C30)</f>
        <v>212569.05491210194</v>
      </c>
      <c r="D50" s="84">
        <f>IF(D15=0,0,1000000*D15/TrRail_act!D30)</f>
        <v>211535.23987728334</v>
      </c>
      <c r="E50" s="84">
        <f>IF(E15=0,0,1000000*E15/TrRail_act!E30)</f>
        <v>207773.34671934307</v>
      </c>
      <c r="F50" s="84">
        <f>IF(F15=0,0,1000000*F15/TrRail_act!F30)</f>
        <v>207049.21870350972</v>
      </c>
      <c r="G50" s="84">
        <f>IF(G15=0,0,1000000*G15/TrRail_act!G30)</f>
        <v>206276.38505236219</v>
      </c>
      <c r="H50" s="84">
        <f>IF(H15=0,0,1000000*H15/TrRail_act!H30)</f>
        <v>203433.98289252905</v>
      </c>
      <c r="I50" s="84">
        <f>IF(I15=0,0,1000000*I15/TrRail_act!I30)</f>
        <v>202330.59390675812</v>
      </c>
      <c r="J50" s="84">
        <f>IF(J15=0,0,1000000*J15/TrRail_act!J30)</f>
        <v>201078.60360919192</v>
      </c>
      <c r="K50" s="84">
        <f>IF(K15=0,0,1000000*K15/TrRail_act!K30)</f>
        <v>199959.64127443952</v>
      </c>
      <c r="L50" s="84">
        <f>IF(L15=0,0,1000000*L15/TrRail_act!L30)</f>
        <v>196904.12495703786</v>
      </c>
      <c r="M50" s="84">
        <f>IF(M15=0,0,1000000*M15/TrRail_act!M30)</f>
        <v>195503.52678419743</v>
      </c>
      <c r="N50" s="84">
        <f>IF(N15=0,0,1000000*N15/TrRail_act!N30)</f>
        <v>193692.8780032245</v>
      </c>
      <c r="O50" s="84">
        <f>IF(O15=0,0,1000000*O15/TrRail_act!O30)</f>
        <v>191637.10705247178</v>
      </c>
      <c r="P50" s="84">
        <f>IF(P15=0,0,1000000*P15/TrRail_act!P30)</f>
        <v>186494.79378362902</v>
      </c>
      <c r="Q50" s="84">
        <f>IF(Q15=0,0,1000000*Q15/TrRail_act!Q30)</f>
        <v>185065.94351712792</v>
      </c>
      <c r="R50" s="84">
        <f>IF(R15=0,0,1000000*R15/TrRail_act!R30)</f>
        <v>182724.94589335396</v>
      </c>
      <c r="S50" s="84">
        <f>IF(S15=0,0,1000000*S15/TrRail_act!S30)</f>
        <v>182293.4987040142</v>
      </c>
      <c r="T50" s="84">
        <f>IF(T15=0,0,1000000*T15/TrRail_act!T30)</f>
        <v>181799.38988692986</v>
      </c>
      <c r="U50" s="84">
        <f>IF(U15=0,0,1000000*U15/TrRail_act!U30)</f>
        <v>181429.68850975655</v>
      </c>
      <c r="V50" s="84">
        <f>IF(V15=0,0,1000000*V15/TrRail_act!V30)</f>
        <v>152645.31020165491</v>
      </c>
      <c r="W50" s="84">
        <f>IF(W15=0,0,1000000*W15/TrRail_act!W30)</f>
        <v>161680.43466942525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1070373.0284503065</v>
      </c>
      <c r="C51" s="113">
        <f>IF(C16=0,0,1000000*C16/TrRail_act!C31)</f>
        <v>989614.36248566653</v>
      </c>
      <c r="D51" s="113">
        <f>IF(D16=0,0,1000000*D16/TrRail_act!D31)</f>
        <v>1066516.5254174166</v>
      </c>
      <c r="E51" s="113">
        <f>IF(E16=0,0,1000000*E16/TrRail_act!E31)</f>
        <v>1055169.0344647621</v>
      </c>
      <c r="F51" s="113">
        <f>IF(F16=0,0,1000000*F16/TrRail_act!F31)</f>
        <v>859932.26908717363</v>
      </c>
      <c r="G51" s="113">
        <f>IF(G16=0,0,1000000*G16/TrRail_act!G31)</f>
        <v>1048413.7470450259</v>
      </c>
      <c r="H51" s="113">
        <f>IF(H16=0,0,1000000*H16/TrRail_act!H31)</f>
        <v>1040315.2231679766</v>
      </c>
      <c r="I51" s="113">
        <f>IF(I16=0,0,1000000*I16/TrRail_act!I31)</f>
        <v>1039449.3894964956</v>
      </c>
      <c r="J51" s="113">
        <f>IF(J16=0,0,1000000*J16/TrRail_act!J31)</f>
        <v>1037797.0242502477</v>
      </c>
      <c r="K51" s="113">
        <f>IF(K16=0,0,1000000*K16/TrRail_act!K31)</f>
        <v>1016900.6947658181</v>
      </c>
      <c r="L51" s="113">
        <f>IF(L16=0,0,1000000*L16/TrRail_act!L31)</f>
        <v>1021723.2812600737</v>
      </c>
      <c r="M51" s="113">
        <f>IF(M16=0,0,1000000*M16/TrRail_act!M31)</f>
        <v>1015263.7743305643</v>
      </c>
      <c r="N51" s="113">
        <f>IF(N16=0,0,1000000*N16/TrRail_act!N31)</f>
        <v>970366.63374329999</v>
      </c>
      <c r="O51" s="113">
        <f>IF(O16=0,0,1000000*O16/TrRail_act!O31)</f>
        <v>978146.57092034398</v>
      </c>
      <c r="P51" s="113">
        <f>IF(P16=0,0,1000000*P16/TrRail_act!P31)</f>
        <v>940953.74869479053</v>
      </c>
      <c r="Q51" s="113">
        <f>IF(Q16=0,0,1000000*Q16/TrRail_act!Q31)</f>
        <v>891176.87491775409</v>
      </c>
      <c r="R51" s="113">
        <f>IF(R16=0,0,1000000*R16/TrRail_act!R31)</f>
        <v>922126.91561770858</v>
      </c>
      <c r="S51" s="113">
        <f>IF(S16=0,0,1000000*S16/TrRail_act!S31)</f>
        <v>970611.56010762393</v>
      </c>
      <c r="T51" s="113">
        <f>IF(T16=0,0,1000000*T16/TrRail_act!T31)</f>
        <v>967189.76288547367</v>
      </c>
      <c r="U51" s="113">
        <f>IF(U16=0,0,1000000*U16/TrRail_act!U31)</f>
        <v>964631.33846408478</v>
      </c>
      <c r="V51" s="113">
        <f>IF(V16=0,0,1000000*V16/TrRail_act!V31)</f>
        <v>660808.13876587828</v>
      </c>
      <c r="W51" s="113">
        <f>IF(W16=0,0,1000000*W16/TrRail_act!W31)</f>
        <v>746725.03059485392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647236.91145291412</v>
      </c>
      <c r="C52" s="28">
        <f>IF(C17=0,0,1000000*C17/TrRail_act!C32)</f>
        <v>634720.01196502475</v>
      </c>
      <c r="D52" s="28">
        <f>IF(D17=0,0,1000000*D17/TrRail_act!D32)</f>
        <v>615432.93246857915</v>
      </c>
      <c r="E52" s="28">
        <f>IF(E17=0,0,1000000*E17/TrRail_act!E32)</f>
        <v>597870.43080826174</v>
      </c>
      <c r="F52" s="28">
        <f>IF(F17=0,0,1000000*F17/TrRail_act!F32)</f>
        <v>595787.73243085109</v>
      </c>
      <c r="G52" s="28">
        <f>IF(G17=0,0,1000000*G17/TrRail_act!G32)</f>
        <v>595446.81596215907</v>
      </c>
      <c r="H52" s="28">
        <f>IF(H17=0,0,1000000*H17/TrRail_act!H32)</f>
        <v>578432.04157009337</v>
      </c>
      <c r="I52" s="28">
        <f>IF(I17=0,0,1000000*I17/TrRail_act!I32)</f>
        <v>528998.90863998199</v>
      </c>
      <c r="J52" s="28">
        <f>IF(J17=0,0,1000000*J17/TrRail_act!J32)</f>
        <v>544332.14199780882</v>
      </c>
      <c r="K52" s="28">
        <f>IF(K17=0,0,1000000*K17/TrRail_act!K32)</f>
        <v>489194.37401980982</v>
      </c>
      <c r="L52" s="28">
        <f>IF(L17=0,0,1000000*L17/TrRail_act!L32)</f>
        <v>523901.20231484796</v>
      </c>
      <c r="M52" s="28">
        <f>IF(M17=0,0,1000000*M17/TrRail_act!M32)</f>
        <v>525667.13959691103</v>
      </c>
      <c r="N52" s="28">
        <f>IF(N17=0,0,1000000*N17/TrRail_act!N32)</f>
        <v>531766.26479414292</v>
      </c>
      <c r="O52" s="28">
        <f>IF(O17=0,0,1000000*O17/TrRail_act!O32)</f>
        <v>524988.56269553024</v>
      </c>
      <c r="P52" s="28">
        <f>IF(P17=0,0,1000000*P17/TrRail_act!P32)</f>
        <v>482948.40012216696</v>
      </c>
      <c r="Q52" s="28">
        <f>IF(Q17=0,0,1000000*Q17/TrRail_act!Q32)</f>
        <v>418821.84524054953</v>
      </c>
      <c r="R52" s="28">
        <f>IF(R17=0,0,1000000*R17/TrRail_act!R32)</f>
        <v>448269.07024027692</v>
      </c>
      <c r="S52" s="28">
        <f>IF(S17=0,0,1000000*S17/TrRail_act!S32)</f>
        <v>429904.53192309884</v>
      </c>
      <c r="T52" s="28">
        <f>IF(T17=0,0,1000000*T17/TrRail_act!T32)</f>
        <v>453531.13945779501</v>
      </c>
      <c r="U52" s="28">
        <f>IF(U17=0,0,1000000*U17/TrRail_act!U32)</f>
        <v>443048.72133605357</v>
      </c>
      <c r="V52" s="28">
        <f>IF(V17=0,0,1000000*V17/TrRail_act!V32)</f>
        <v>453376.82112140459</v>
      </c>
      <c r="W52" s="28">
        <f>IF(W17=0,0,1000000*W17/TrRail_act!W32)</f>
        <v>473910.18242122204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1142507.7087002997</v>
      </c>
      <c r="C53" s="84">
        <f>IF(C18=0,0,1000000*C18/TrRail_act!C33)</f>
        <v>1119126.9403863342</v>
      </c>
      <c r="D53" s="84">
        <f>IF(D18=0,0,1000000*D18/TrRail_act!D33)</f>
        <v>1099137.3613226507</v>
      </c>
      <c r="E53" s="84">
        <f>IF(E18=0,0,1000000*E18/TrRail_act!E33)</f>
        <v>1063879.5502465656</v>
      </c>
      <c r="F53" s="84">
        <f>IF(F18=0,0,1000000*F18/TrRail_act!F33)</f>
        <v>1045188.0738718121</v>
      </c>
      <c r="G53" s="84">
        <f>IF(G18=0,0,1000000*G18/TrRail_act!G33)</f>
        <v>1022747.8258496915</v>
      </c>
      <c r="H53" s="84">
        <f>IF(H18=0,0,1000000*H18/TrRail_act!H33)</f>
        <v>1000659.8699908582</v>
      </c>
      <c r="I53" s="84">
        <f>IF(I18=0,0,1000000*I18/TrRail_act!I33)</f>
        <v>894706.88981310953</v>
      </c>
      <c r="J53" s="84">
        <f>IF(J18=0,0,1000000*J18/TrRail_act!J33)</f>
        <v>971969.4350344782</v>
      </c>
      <c r="K53" s="84">
        <f>IF(K18=0,0,1000000*K18/TrRail_act!K33)</f>
        <v>904161.98339482863</v>
      </c>
      <c r="L53" s="84">
        <f>IF(L18=0,0,1000000*L18/TrRail_act!L33)</f>
        <v>929109.69170412829</v>
      </c>
      <c r="M53" s="84">
        <f>IF(M18=0,0,1000000*M18/TrRail_act!M33)</f>
        <v>934471.13666071568</v>
      </c>
      <c r="N53" s="84">
        <f>IF(N18=0,0,1000000*N18/TrRail_act!N33)</f>
        <v>917870.56171941641</v>
      </c>
      <c r="O53" s="84">
        <f>IF(O18=0,0,1000000*O18/TrRail_act!O33)</f>
        <v>894679.33017023571</v>
      </c>
      <c r="P53" s="84">
        <f>IF(P18=0,0,1000000*P18/TrRail_act!P33)</f>
        <v>860186.91177822428</v>
      </c>
      <c r="Q53" s="84">
        <f>IF(Q18=0,0,1000000*Q18/TrRail_act!Q33)</f>
        <v>701539.67668104707</v>
      </c>
      <c r="R53" s="84">
        <f>IF(R18=0,0,1000000*R18/TrRail_act!R33)</f>
        <v>839694.10443126608</v>
      </c>
      <c r="S53" s="84">
        <f>IF(S18=0,0,1000000*S18/TrRail_act!S33)</f>
        <v>838488.06510632206</v>
      </c>
      <c r="T53" s="84">
        <f>IF(T18=0,0,1000000*T18/TrRail_act!T33)</f>
        <v>831021.18228806241</v>
      </c>
      <c r="U53" s="84">
        <f>IF(U18=0,0,1000000*U18/TrRail_act!U33)</f>
        <v>825464.71515330009</v>
      </c>
      <c r="V53" s="84">
        <f>IF(V18=0,0,1000000*V18/TrRail_act!V33)</f>
        <v>821321.73974003573</v>
      </c>
      <c r="W53" s="84">
        <f>IF(W18=0,0,1000000*W18/TrRail_act!W33)</f>
        <v>818228.1863998865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396868.58471671573</v>
      </c>
      <c r="C54" s="86">
        <f>IF(C19=0,0,1000000*C19/TrRail_act!C34)</f>
        <v>391653.80793355021</v>
      </c>
      <c r="D54" s="86">
        <f>IF(D19=0,0,1000000*D19/TrRail_act!D34)</f>
        <v>389749.02875455504</v>
      </c>
      <c r="E54" s="86">
        <f>IF(E19=0,0,1000000*E19/TrRail_act!E34)</f>
        <v>382817.82028744993</v>
      </c>
      <c r="F54" s="86">
        <f>IF(F19=0,0,1000000*F19/TrRail_act!F34)</f>
        <v>381483.63056912803</v>
      </c>
      <c r="G54" s="86">
        <f>IF(G19=0,0,1000000*G19/TrRail_act!G34)</f>
        <v>380059.69920370559</v>
      </c>
      <c r="H54" s="86">
        <f>IF(H19=0,0,1000000*H19/TrRail_act!H34)</f>
        <v>374822.63881531777</v>
      </c>
      <c r="I54" s="86">
        <f>IF(I19=0,0,1000000*I19/TrRail_act!I34)</f>
        <v>372789.66635178356</v>
      </c>
      <c r="J54" s="86">
        <f>IF(J19=0,0,1000000*J19/TrRail_act!J34)</f>
        <v>370482.89988853334</v>
      </c>
      <c r="K54" s="86">
        <f>IF(K19=0,0,1000000*K19/TrRail_act!K34)</f>
        <v>324233.6536474665</v>
      </c>
      <c r="L54" s="86">
        <f>IF(L19=0,0,1000000*L19/TrRail_act!L34)</f>
        <v>362791.51913345361</v>
      </c>
      <c r="M54" s="86">
        <f>IF(M19=0,0,1000000*M19/TrRail_act!M34)</f>
        <v>360210.94605868409</v>
      </c>
      <c r="N54" s="86">
        <f>IF(N19=0,0,1000000*N19/TrRail_act!N34)</f>
        <v>356874.8641659196</v>
      </c>
      <c r="O54" s="86">
        <f>IF(O19=0,0,1000000*O19/TrRail_act!O34)</f>
        <v>353087.15655909659</v>
      </c>
      <c r="P54" s="86">
        <f>IF(P19=0,0,1000000*P19/TrRail_act!P34)</f>
        <v>346237.16590345668</v>
      </c>
      <c r="Q54" s="86">
        <f>IF(Q19=0,0,1000000*Q19/TrRail_act!Q34)</f>
        <v>320469.8322043512</v>
      </c>
      <c r="R54" s="86">
        <f>IF(R19=0,0,1000000*R19/TrRail_act!R34)</f>
        <v>337089.45234287513</v>
      </c>
      <c r="S54" s="86">
        <f>IF(S19=0,0,1000000*S19/TrRail_act!S34)</f>
        <v>334534.95947128715</v>
      </c>
      <c r="T54" s="86">
        <f>IF(T19=0,0,1000000*T19/TrRail_act!T34)</f>
        <v>332964.42935163662</v>
      </c>
      <c r="U54" s="86">
        <f>IF(U19=0,0,1000000*U19/TrRail_act!U34)</f>
        <v>301062.41102623084</v>
      </c>
      <c r="V54" s="86">
        <f>IF(V19=0,0,1000000*V19/TrRail_act!V34)</f>
        <v>331825.09974210849</v>
      </c>
      <c r="W54" s="86">
        <f>IF(W19=0,0,1000000*W19/TrRail_act!W34)</f>
        <v>331601.73162089597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0.4329935720805354</v>
      </c>
      <c r="C57" s="31">
        <f t="shared" ref="C57:V57" si="17">IF(C11=0,0,C11/C$10)</f>
        <v>0.44233356555006559</v>
      </c>
      <c r="D57" s="31">
        <f t="shared" si="17"/>
        <v>0.46432391171311826</v>
      </c>
      <c r="E57" s="31">
        <f t="shared" si="17"/>
        <v>0.48297390600974888</v>
      </c>
      <c r="F57" s="31">
        <f t="shared" si="17"/>
        <v>0.46876749023947401</v>
      </c>
      <c r="G57" s="31">
        <f t="shared" si="17"/>
        <v>0.4766406395147379</v>
      </c>
      <c r="H57" s="31">
        <f t="shared" si="17"/>
        <v>0.45805737563642002</v>
      </c>
      <c r="I57" s="31">
        <f t="shared" si="17"/>
        <v>0.48964238525500248</v>
      </c>
      <c r="J57" s="31">
        <f t="shared" si="17"/>
        <v>0.49456681215369369</v>
      </c>
      <c r="K57" s="31">
        <f t="shared" si="17"/>
        <v>0.55188907399551679</v>
      </c>
      <c r="L57" s="31">
        <f t="shared" si="17"/>
        <v>0.54800704982534687</v>
      </c>
      <c r="M57" s="31">
        <f t="shared" si="17"/>
        <v>0.55603341236205073</v>
      </c>
      <c r="N57" s="31">
        <f t="shared" si="17"/>
        <v>0.55419723359438955</v>
      </c>
      <c r="O57" s="31">
        <f t="shared" si="17"/>
        <v>0.56539264904286202</v>
      </c>
      <c r="P57" s="31">
        <f t="shared" si="17"/>
        <v>0.56269308161625664</v>
      </c>
      <c r="Q57" s="31">
        <f t="shared" si="17"/>
        <v>0.63098904430488623</v>
      </c>
      <c r="R57" s="31">
        <f t="shared" si="17"/>
        <v>0.60082047222129098</v>
      </c>
      <c r="S57" s="31">
        <f t="shared" si="17"/>
        <v>0.59762711322580353</v>
      </c>
      <c r="T57" s="31">
        <f t="shared" si="17"/>
        <v>0.58464409738582013</v>
      </c>
      <c r="U57" s="31">
        <f t="shared" si="17"/>
        <v>0.60653309926376986</v>
      </c>
      <c r="V57" s="31">
        <f t="shared" si="17"/>
        <v>0.54629638536441705</v>
      </c>
      <c r="W57" s="31">
        <f t="shared" ref="W57" si="18">IF(W11=0,0,W11/W$10)</f>
        <v>0.53643064517072347</v>
      </c>
      <c r="DA57" s="173"/>
    </row>
    <row r="58" spans="1:105" ht="11.45" customHeight="1" x14ac:dyDescent="0.25">
      <c r="A58" s="107" t="s">
        <v>23</v>
      </c>
      <c r="B58" s="123">
        <f t="shared" si="14"/>
        <v>2.9019577018494728E-2</v>
      </c>
      <c r="C58" s="123">
        <f t="shared" ref="C58:V58" si="19">IF(C12=0,0,C12/C$10)</f>
        <v>3.0019944800915251E-2</v>
      </c>
      <c r="D58" s="123">
        <f t="shared" si="19"/>
        <v>3.0808834862758781E-2</v>
      </c>
      <c r="E58" s="123">
        <f t="shared" si="19"/>
        <v>3.0037617388683945E-2</v>
      </c>
      <c r="F58" s="123">
        <f t="shared" si="19"/>
        <v>2.9487789985214161E-2</v>
      </c>
      <c r="G58" s="123">
        <f t="shared" si="19"/>
        <v>2.9304292383091263E-2</v>
      </c>
      <c r="H58" s="123">
        <f t="shared" si="19"/>
        <v>2.7829987455691634E-2</v>
      </c>
      <c r="I58" s="123">
        <f t="shared" si="19"/>
        <v>2.8476799881204946E-2</v>
      </c>
      <c r="J58" s="123">
        <f t="shared" si="19"/>
        <v>2.7957338526060145E-2</v>
      </c>
      <c r="K58" s="123">
        <f t="shared" si="19"/>
        <v>3.0442906558592955E-2</v>
      </c>
      <c r="L58" s="123">
        <f t="shared" si="19"/>
        <v>2.9019167392192964E-2</v>
      </c>
      <c r="M58" s="123">
        <f t="shared" si="19"/>
        <v>2.8293377811222709E-2</v>
      </c>
      <c r="N58" s="123">
        <f t="shared" si="19"/>
        <v>2.8406359114055819E-2</v>
      </c>
      <c r="O58" s="123">
        <f t="shared" si="19"/>
        <v>2.9124088518925655E-2</v>
      </c>
      <c r="P58" s="123">
        <f t="shared" si="19"/>
        <v>2.9422063010636702E-2</v>
      </c>
      <c r="Q58" s="123">
        <f t="shared" si="19"/>
        <v>3.0850353550361326E-2</v>
      </c>
      <c r="R58" s="123">
        <f t="shared" si="19"/>
        <v>3.1429863451953394E-2</v>
      </c>
      <c r="S58" s="123">
        <f t="shared" si="19"/>
        <v>3.0364798443404725E-2</v>
      </c>
      <c r="T58" s="123">
        <f t="shared" si="19"/>
        <v>3.2836739307001164E-2</v>
      </c>
      <c r="U58" s="123">
        <f t="shared" si="19"/>
        <v>3.2887847332766909E-2</v>
      </c>
      <c r="V58" s="123">
        <f t="shared" si="19"/>
        <v>3.6491282995068076E-2</v>
      </c>
      <c r="W58" s="123">
        <f t="shared" ref="W58" si="20">IF(W12=0,0,W12/W$10)</f>
        <v>3.4216053685894247E-2</v>
      </c>
      <c r="DA58" s="203"/>
    </row>
    <row r="59" spans="1:105" ht="11.45" customHeight="1" x14ac:dyDescent="0.25">
      <c r="A59" s="109" t="s">
        <v>24</v>
      </c>
      <c r="B59" s="124">
        <f t="shared" si="14"/>
        <v>0.39268315759336109</v>
      </c>
      <c r="C59" s="124">
        <f t="shared" ref="C59:V59" si="21">IF(C13=0,0,C13/C$10)</f>
        <v>0.40284246113731376</v>
      </c>
      <c r="D59" s="124">
        <f t="shared" si="21"/>
        <v>0.41246715137191226</v>
      </c>
      <c r="E59" s="124">
        <f t="shared" si="21"/>
        <v>0.42321609278033662</v>
      </c>
      <c r="F59" s="124">
        <f t="shared" si="21"/>
        <v>0.41619890954780653</v>
      </c>
      <c r="G59" s="124">
        <f t="shared" si="21"/>
        <v>0.4034582886618362</v>
      </c>
      <c r="H59" s="124">
        <f t="shared" si="21"/>
        <v>0.3730860323407566</v>
      </c>
      <c r="I59" s="124">
        <f t="shared" si="21"/>
        <v>0.383038785847367</v>
      </c>
      <c r="J59" s="124">
        <f t="shared" si="21"/>
        <v>0.3836581343891739</v>
      </c>
      <c r="K59" s="124">
        <f t="shared" si="21"/>
        <v>0.43449982456283764</v>
      </c>
      <c r="L59" s="124">
        <f t="shared" si="21"/>
        <v>0.42986310041385112</v>
      </c>
      <c r="M59" s="124">
        <f t="shared" si="21"/>
        <v>0.42844566457066946</v>
      </c>
      <c r="N59" s="124">
        <f t="shared" si="21"/>
        <v>0.43248931915374766</v>
      </c>
      <c r="O59" s="124">
        <f t="shared" si="21"/>
        <v>0.44011298684675088</v>
      </c>
      <c r="P59" s="124">
        <f t="shared" si="21"/>
        <v>0.43862928161625092</v>
      </c>
      <c r="Q59" s="124">
        <f t="shared" si="21"/>
        <v>0.50410958659256144</v>
      </c>
      <c r="R59" s="124">
        <f t="shared" si="21"/>
        <v>0.46956014756335673</v>
      </c>
      <c r="S59" s="124">
        <f t="shared" si="21"/>
        <v>0.45679878293228554</v>
      </c>
      <c r="T59" s="124">
        <f t="shared" si="21"/>
        <v>0.44376299493015203</v>
      </c>
      <c r="U59" s="124">
        <f t="shared" si="21"/>
        <v>0.45862186821912609</v>
      </c>
      <c r="V59" s="124">
        <f t="shared" si="21"/>
        <v>0.42158156803048119</v>
      </c>
      <c r="W59" s="124">
        <f t="shared" ref="W59" si="22">IF(W13=0,0,W13/W$10)</f>
        <v>0.40722529304787769</v>
      </c>
      <c r="DA59" s="176"/>
    </row>
    <row r="60" spans="1:105" ht="11.45" customHeight="1" x14ac:dyDescent="0.25">
      <c r="A60" s="111" t="s">
        <v>92</v>
      </c>
      <c r="B60" s="125">
        <f t="shared" si="14"/>
        <v>0.174563559400293</v>
      </c>
      <c r="C60" s="125">
        <f t="shared" ref="C60:V60" si="23">IF(C14=0,0,C14/C$10)</f>
        <v>0.15338243072988741</v>
      </c>
      <c r="D60" s="125">
        <f t="shared" si="23"/>
        <v>0.15392101786583981</v>
      </c>
      <c r="E60" s="125">
        <f t="shared" si="23"/>
        <v>0.15397076551616712</v>
      </c>
      <c r="F60" s="125">
        <f t="shared" si="23"/>
        <v>0.14704554653003335</v>
      </c>
      <c r="G60" s="125">
        <f t="shared" si="23"/>
        <v>0.12803567422766299</v>
      </c>
      <c r="H60" s="125">
        <f t="shared" si="23"/>
        <v>0.12579515372965028</v>
      </c>
      <c r="I60" s="125">
        <f t="shared" si="23"/>
        <v>0.10649595236065652</v>
      </c>
      <c r="J60" s="125">
        <f t="shared" si="23"/>
        <v>0.10735034444350627</v>
      </c>
      <c r="K60" s="125">
        <f t="shared" si="23"/>
        <v>9.6816080513967367E-2</v>
      </c>
      <c r="L60" s="125">
        <f t="shared" si="23"/>
        <v>0.10435239728336647</v>
      </c>
      <c r="M60" s="125">
        <f t="shared" si="23"/>
        <v>0.1151061488824926</v>
      </c>
      <c r="N60" s="125">
        <f t="shared" si="23"/>
        <v>0.1004645233206283</v>
      </c>
      <c r="O60" s="125">
        <f t="shared" si="23"/>
        <v>8.6840898229844532E-2</v>
      </c>
      <c r="P60" s="125">
        <f t="shared" si="23"/>
        <v>0.10286108872152591</v>
      </c>
      <c r="Q60" s="125">
        <f t="shared" si="23"/>
        <v>0.11378814932568244</v>
      </c>
      <c r="R60" s="125">
        <f t="shared" si="23"/>
        <v>9.9424554812152136E-2</v>
      </c>
      <c r="S60" s="125">
        <f t="shared" si="23"/>
        <v>0.10128074511884878</v>
      </c>
      <c r="T60" s="125">
        <f t="shared" si="23"/>
        <v>7.1946459838614293E-2</v>
      </c>
      <c r="U60" s="125">
        <f t="shared" si="23"/>
        <v>5.173624558102316E-2</v>
      </c>
      <c r="V60" s="125">
        <f t="shared" si="23"/>
        <v>5.299966447515482E-2</v>
      </c>
      <c r="W60" s="125">
        <f t="shared" ref="W60" si="24">IF(W14=0,0,W14/W$10)</f>
        <v>5.0378607870718718E-2</v>
      </c>
      <c r="DA60" s="171"/>
    </row>
    <row r="61" spans="1:105" ht="11.45" customHeight="1" x14ac:dyDescent="0.25">
      <c r="A61" s="111" t="s">
        <v>93</v>
      </c>
      <c r="B61" s="125">
        <f t="shared" si="14"/>
        <v>0.21811959819306811</v>
      </c>
      <c r="C61" s="125">
        <f t="shared" ref="C61:V61" si="25">IF(C15=0,0,C15/C$10)</f>
        <v>0.24946003040742631</v>
      </c>
      <c r="D61" s="125">
        <f t="shared" si="25"/>
        <v>0.25854613350607247</v>
      </c>
      <c r="E61" s="125">
        <f t="shared" si="25"/>
        <v>0.2692453272641695</v>
      </c>
      <c r="F61" s="125">
        <f t="shared" si="25"/>
        <v>0.26915336301777321</v>
      </c>
      <c r="G61" s="125">
        <f t="shared" si="25"/>
        <v>0.27542261443417321</v>
      </c>
      <c r="H61" s="125">
        <f t="shared" si="25"/>
        <v>0.2472908786111063</v>
      </c>
      <c r="I61" s="125">
        <f t="shared" si="25"/>
        <v>0.27654283348671049</v>
      </c>
      <c r="J61" s="125">
        <f t="shared" si="25"/>
        <v>0.27630778994566757</v>
      </c>
      <c r="K61" s="125">
        <f t="shared" si="25"/>
        <v>0.3376837440488703</v>
      </c>
      <c r="L61" s="125">
        <f t="shared" si="25"/>
        <v>0.32551070313048464</v>
      </c>
      <c r="M61" s="125">
        <f t="shared" si="25"/>
        <v>0.31333951568817686</v>
      </c>
      <c r="N61" s="125">
        <f t="shared" si="25"/>
        <v>0.33202479583311933</v>
      </c>
      <c r="O61" s="125">
        <f t="shared" si="25"/>
        <v>0.35327208861690634</v>
      </c>
      <c r="P61" s="125">
        <f t="shared" si="25"/>
        <v>0.33576819289472504</v>
      </c>
      <c r="Q61" s="125">
        <f t="shared" si="25"/>
        <v>0.39032143726687901</v>
      </c>
      <c r="R61" s="125">
        <f t="shared" si="25"/>
        <v>0.37013559275120461</v>
      </c>
      <c r="S61" s="125">
        <f t="shared" si="25"/>
        <v>0.35551803781343683</v>
      </c>
      <c r="T61" s="125">
        <f t="shared" si="25"/>
        <v>0.37181653509153778</v>
      </c>
      <c r="U61" s="125">
        <f t="shared" si="25"/>
        <v>0.40688562263810296</v>
      </c>
      <c r="V61" s="125">
        <f t="shared" si="25"/>
        <v>0.36858190355532644</v>
      </c>
      <c r="W61" s="125">
        <f t="shared" ref="W61" si="26">IF(W15=0,0,W15/W$10)</f>
        <v>0.35684668517715895</v>
      </c>
      <c r="DA61" s="171"/>
    </row>
    <row r="62" spans="1:105" ht="11.45" customHeight="1" x14ac:dyDescent="0.25">
      <c r="A62" s="112" t="s">
        <v>25</v>
      </c>
      <c r="B62" s="126">
        <f t="shared" si="14"/>
        <v>1.1290837468679576E-2</v>
      </c>
      <c r="C62" s="126">
        <f t="shared" ref="C62:V62" si="27">IF(C16=0,0,C16/C$10)</f>
        <v>9.4711596118365847E-3</v>
      </c>
      <c r="D62" s="126">
        <f t="shared" si="27"/>
        <v>2.104792547844719E-2</v>
      </c>
      <c r="E62" s="126">
        <f t="shared" si="27"/>
        <v>2.9720195840728356E-2</v>
      </c>
      <c r="F62" s="126">
        <f t="shared" si="27"/>
        <v>2.3080790706453334E-2</v>
      </c>
      <c r="G62" s="126">
        <f t="shared" si="27"/>
        <v>4.3878058469810417E-2</v>
      </c>
      <c r="H62" s="126">
        <f t="shared" si="27"/>
        <v>5.7141355839971854E-2</v>
      </c>
      <c r="I62" s="126">
        <f t="shared" si="27"/>
        <v>7.8126799526430549E-2</v>
      </c>
      <c r="J62" s="126">
        <f t="shared" si="27"/>
        <v>8.2951339238459626E-2</v>
      </c>
      <c r="K62" s="126">
        <f t="shared" si="27"/>
        <v>8.6946342874086174E-2</v>
      </c>
      <c r="L62" s="126">
        <f t="shared" si="27"/>
        <v>8.9124782019302795E-2</v>
      </c>
      <c r="M62" s="126">
        <f t="shared" si="27"/>
        <v>9.92943699801586E-2</v>
      </c>
      <c r="N62" s="126">
        <f t="shared" si="27"/>
        <v>9.3301555326586141E-2</v>
      </c>
      <c r="O62" s="126">
        <f t="shared" si="27"/>
        <v>9.6155573677185441E-2</v>
      </c>
      <c r="P62" s="126">
        <f t="shared" si="27"/>
        <v>9.4641736989369091E-2</v>
      </c>
      <c r="Q62" s="126">
        <f t="shared" si="27"/>
        <v>9.6029104161963433E-2</v>
      </c>
      <c r="R62" s="126">
        <f t="shared" si="27"/>
        <v>9.9830461205980867E-2</v>
      </c>
      <c r="S62" s="126">
        <f t="shared" si="27"/>
        <v>0.11046353185011329</v>
      </c>
      <c r="T62" s="126">
        <f t="shared" si="27"/>
        <v>0.10804436314866692</v>
      </c>
      <c r="U62" s="126">
        <f t="shared" si="27"/>
        <v>0.11502338371187679</v>
      </c>
      <c r="V62" s="126">
        <f t="shared" si="27"/>
        <v>8.8223534338867829E-2</v>
      </c>
      <c r="W62" s="126">
        <f t="shared" ref="W62" si="28">IF(W16=0,0,W16/W$10)</f>
        <v>9.4989298436951489E-2</v>
      </c>
      <c r="DA62" s="204"/>
    </row>
    <row r="63" spans="1:105" ht="11.45" customHeight="1" x14ac:dyDescent="0.25">
      <c r="A63" s="27" t="s">
        <v>34</v>
      </c>
      <c r="B63" s="31">
        <f t="shared" si="14"/>
        <v>0.56700642791946454</v>
      </c>
      <c r="C63" s="31">
        <f t="shared" ref="C63:V63" si="29">IF(C17=0,0,C17/C$10)</f>
        <v>0.55766643444993436</v>
      </c>
      <c r="D63" s="31">
        <f t="shared" si="29"/>
        <v>0.53567608828688174</v>
      </c>
      <c r="E63" s="31">
        <f t="shared" si="29"/>
        <v>0.51702609399025112</v>
      </c>
      <c r="F63" s="31">
        <f t="shared" si="29"/>
        <v>0.53123250976052605</v>
      </c>
      <c r="G63" s="31">
        <f t="shared" si="29"/>
        <v>0.5233593604852621</v>
      </c>
      <c r="H63" s="31">
        <f t="shared" si="29"/>
        <v>0.54194262436357987</v>
      </c>
      <c r="I63" s="31">
        <f t="shared" si="29"/>
        <v>0.51035761474499752</v>
      </c>
      <c r="J63" s="31">
        <f t="shared" si="29"/>
        <v>0.5054331878463062</v>
      </c>
      <c r="K63" s="31">
        <f t="shared" si="29"/>
        <v>0.44811092600448321</v>
      </c>
      <c r="L63" s="31">
        <f t="shared" si="29"/>
        <v>0.45199295017465313</v>
      </c>
      <c r="M63" s="31">
        <f t="shared" si="29"/>
        <v>0.44396658763794916</v>
      </c>
      <c r="N63" s="31">
        <f t="shared" si="29"/>
        <v>0.4458027664056104</v>
      </c>
      <c r="O63" s="31">
        <f t="shared" si="29"/>
        <v>0.43460735095713804</v>
      </c>
      <c r="P63" s="31">
        <f t="shared" si="29"/>
        <v>0.43730691838374336</v>
      </c>
      <c r="Q63" s="31">
        <f t="shared" si="29"/>
        <v>0.36901095569511383</v>
      </c>
      <c r="R63" s="31">
        <f t="shared" si="29"/>
        <v>0.39917952777870908</v>
      </c>
      <c r="S63" s="31">
        <f t="shared" si="29"/>
        <v>0.40237288677419641</v>
      </c>
      <c r="T63" s="31">
        <f t="shared" si="29"/>
        <v>0.41535590261417982</v>
      </c>
      <c r="U63" s="31">
        <f t="shared" si="29"/>
        <v>0.39346690073623014</v>
      </c>
      <c r="V63" s="31">
        <f t="shared" si="29"/>
        <v>0.4537036146355829</v>
      </c>
      <c r="W63" s="31">
        <f t="shared" ref="W63" si="30">IF(W17=0,0,W17/W$10)</f>
        <v>0.46356935482927647</v>
      </c>
      <c r="DA63" s="173"/>
    </row>
    <row r="64" spans="1:105" ht="11.45" customHeight="1" x14ac:dyDescent="0.25">
      <c r="A64" s="83" t="s">
        <v>92</v>
      </c>
      <c r="B64" s="125">
        <f t="shared" si="14"/>
        <v>0.33607371275724174</v>
      </c>
      <c r="C64" s="125">
        <f t="shared" ref="C64:V64" si="31">IF(C18=0,0,C18/C$10)</f>
        <v>0.32853321596776036</v>
      </c>
      <c r="D64" s="125">
        <f t="shared" si="31"/>
        <v>0.30436172930750155</v>
      </c>
      <c r="E64" s="125">
        <f t="shared" si="31"/>
        <v>0.2905066578513984</v>
      </c>
      <c r="F64" s="125">
        <f t="shared" si="31"/>
        <v>0.3009146224817803</v>
      </c>
      <c r="G64" s="125">
        <f t="shared" si="31"/>
        <v>0.30126246817301905</v>
      </c>
      <c r="H64" s="125">
        <f t="shared" si="31"/>
        <v>0.30501688775782754</v>
      </c>
      <c r="I64" s="125">
        <f t="shared" si="31"/>
        <v>0.25834835553896079</v>
      </c>
      <c r="J64" s="125">
        <f t="shared" si="31"/>
        <v>0.26085506626601451</v>
      </c>
      <c r="K64" s="125">
        <f t="shared" si="31"/>
        <v>0.23558983160976504</v>
      </c>
      <c r="L64" s="125">
        <f t="shared" si="31"/>
        <v>0.22803966900829706</v>
      </c>
      <c r="M64" s="125">
        <f t="shared" si="31"/>
        <v>0.22739434874555531</v>
      </c>
      <c r="N64" s="125">
        <f t="shared" si="31"/>
        <v>0.23989010990491216</v>
      </c>
      <c r="O64" s="125">
        <f t="shared" si="31"/>
        <v>0.23508324608097883</v>
      </c>
      <c r="P64" s="125">
        <f t="shared" si="31"/>
        <v>0.20718675816842635</v>
      </c>
      <c r="Q64" s="125">
        <f t="shared" si="31"/>
        <v>0.15952944094983493</v>
      </c>
      <c r="R64" s="125">
        <f t="shared" si="31"/>
        <v>0.16540523959297096</v>
      </c>
      <c r="S64" s="125">
        <f t="shared" si="31"/>
        <v>0.14851601256849287</v>
      </c>
      <c r="T64" s="125">
        <f t="shared" si="31"/>
        <v>0.18423576711633388</v>
      </c>
      <c r="U64" s="125">
        <f t="shared" si="31"/>
        <v>0.19848930600812703</v>
      </c>
      <c r="V64" s="125">
        <f t="shared" si="31"/>
        <v>0.20409748030153824</v>
      </c>
      <c r="W64" s="125">
        <f t="shared" ref="W64" si="32">IF(W18=0,0,W18/W$10)</f>
        <v>0.23406047935936664</v>
      </c>
      <c r="DA64" s="171"/>
    </row>
    <row r="65" spans="1:105" ht="11.45" customHeight="1" x14ac:dyDescent="0.25">
      <c r="A65" s="85" t="s">
        <v>93</v>
      </c>
      <c r="B65" s="127">
        <f t="shared" si="14"/>
        <v>0.23093271516222277</v>
      </c>
      <c r="C65" s="127">
        <f t="shared" ref="C65:V65" si="33">IF(C19=0,0,C19/C$10)</f>
        <v>0.22913321848217402</v>
      </c>
      <c r="D65" s="127">
        <f t="shared" si="33"/>
        <v>0.23131435897938021</v>
      </c>
      <c r="E65" s="127">
        <f t="shared" si="33"/>
        <v>0.22651943613885273</v>
      </c>
      <c r="F65" s="127">
        <f t="shared" si="33"/>
        <v>0.23031788727874572</v>
      </c>
      <c r="G65" s="127">
        <f t="shared" si="33"/>
        <v>0.22209689231224308</v>
      </c>
      <c r="H65" s="127">
        <f t="shared" si="33"/>
        <v>0.23692573660575236</v>
      </c>
      <c r="I65" s="127">
        <f t="shared" si="33"/>
        <v>0.25200925920603673</v>
      </c>
      <c r="J65" s="127">
        <f t="shared" si="33"/>
        <v>0.24457812158029174</v>
      </c>
      <c r="K65" s="127">
        <f t="shared" si="33"/>
        <v>0.2125210943947182</v>
      </c>
      <c r="L65" s="127">
        <f t="shared" si="33"/>
        <v>0.22395328116635607</v>
      </c>
      <c r="M65" s="127">
        <f t="shared" si="33"/>
        <v>0.21657223889239385</v>
      </c>
      <c r="N65" s="127">
        <f t="shared" si="33"/>
        <v>0.20591265650069823</v>
      </c>
      <c r="O65" s="127">
        <f t="shared" si="33"/>
        <v>0.19952410487615924</v>
      </c>
      <c r="P65" s="127">
        <f t="shared" si="33"/>
        <v>0.23012016021531703</v>
      </c>
      <c r="Q65" s="127">
        <f t="shared" si="33"/>
        <v>0.20948151474527887</v>
      </c>
      <c r="R65" s="127">
        <f t="shared" si="33"/>
        <v>0.23377428818573812</v>
      </c>
      <c r="S65" s="127">
        <f t="shared" si="33"/>
        <v>0.25385687420570358</v>
      </c>
      <c r="T65" s="127">
        <f t="shared" si="33"/>
        <v>0.23112013549784599</v>
      </c>
      <c r="U65" s="127">
        <f t="shared" si="33"/>
        <v>0.19497759472810305</v>
      </c>
      <c r="V65" s="127">
        <f t="shared" si="33"/>
        <v>0.24960613433404466</v>
      </c>
      <c r="W65" s="127">
        <f t="shared" ref="W65" si="34">IF(W19=0,0,W19/W$10)</f>
        <v>0.22950887546990981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149.75612963999998</v>
      </c>
      <c r="C4" s="26">
        <f t="shared" ref="C4:W4" si="0">SUM(C5:C6)</f>
        <v>140.19731855999999</v>
      </c>
      <c r="D4" s="26">
        <f t="shared" si="0"/>
        <v>133.82468892</v>
      </c>
      <c r="E4" s="26">
        <f t="shared" si="0"/>
        <v>133.82468892</v>
      </c>
      <c r="F4" s="26">
        <f t="shared" si="0"/>
        <v>136.37358072000001</v>
      </c>
      <c r="G4" s="26">
        <f t="shared" si="0"/>
        <v>130.03056144000001</v>
      </c>
      <c r="H4" s="26">
        <f t="shared" si="0"/>
        <v>136.28768399999998</v>
      </c>
      <c r="I4" s="26">
        <f t="shared" si="0"/>
        <v>110.93961528</v>
      </c>
      <c r="J4" s="26">
        <f t="shared" si="0"/>
        <v>114.1119252</v>
      </c>
      <c r="K4" s="26">
        <f t="shared" si="0"/>
        <v>95.102074079999994</v>
      </c>
      <c r="L4" s="26">
        <f t="shared" si="0"/>
        <v>98.283720600000009</v>
      </c>
      <c r="M4" s="26">
        <f t="shared" si="0"/>
        <v>101.44002491999997</v>
      </c>
      <c r="N4" s="26">
        <f t="shared" si="0"/>
        <v>101.44002491999997</v>
      </c>
      <c r="O4" s="26">
        <f t="shared" si="0"/>
        <v>92.832480000000004</v>
      </c>
      <c r="P4" s="26">
        <f t="shared" si="0"/>
        <v>86.430240000000012</v>
      </c>
      <c r="Q4" s="26">
        <f t="shared" si="0"/>
        <v>70.333408080000012</v>
      </c>
      <c r="R4" s="26">
        <f t="shared" si="0"/>
        <v>67.074134400000005</v>
      </c>
      <c r="S4" s="26">
        <f t="shared" si="0"/>
        <v>66.884201280000013</v>
      </c>
      <c r="T4" s="26">
        <f t="shared" si="0"/>
        <v>73.225353240000004</v>
      </c>
      <c r="U4" s="26">
        <f t="shared" si="0"/>
        <v>70.064247239999986</v>
      </c>
      <c r="V4" s="26">
        <f t="shared" si="0"/>
        <v>63.699353639999984</v>
      </c>
      <c r="W4" s="26">
        <f t="shared" si="0"/>
        <v>70.938953279999978</v>
      </c>
      <c r="DA4" s="202" t="s">
        <v>1135</v>
      </c>
    </row>
    <row r="5" spans="1:105" ht="11.45" customHeight="1" x14ac:dyDescent="0.25">
      <c r="A5" s="107" t="s">
        <v>92</v>
      </c>
      <c r="B5" s="129">
        <v>149.75612963999998</v>
      </c>
      <c r="C5" s="129">
        <v>140.19731855999999</v>
      </c>
      <c r="D5" s="129">
        <v>133.82468892</v>
      </c>
      <c r="E5" s="129">
        <v>133.82468892</v>
      </c>
      <c r="F5" s="129">
        <v>136.37358072000001</v>
      </c>
      <c r="G5" s="129">
        <v>130.03056144000001</v>
      </c>
      <c r="H5" s="129">
        <v>136.28768399999998</v>
      </c>
      <c r="I5" s="129">
        <v>110.93961528</v>
      </c>
      <c r="J5" s="129">
        <v>114.1119252</v>
      </c>
      <c r="K5" s="129">
        <v>95.102074079999994</v>
      </c>
      <c r="L5" s="129">
        <v>98.283720600000009</v>
      </c>
      <c r="M5" s="129">
        <v>101.44002491999997</v>
      </c>
      <c r="N5" s="129">
        <v>101.44002491999997</v>
      </c>
      <c r="O5" s="129">
        <v>92.832480000000004</v>
      </c>
      <c r="P5" s="129">
        <v>86.430240000000012</v>
      </c>
      <c r="Q5" s="129">
        <v>70.333408080000012</v>
      </c>
      <c r="R5" s="129">
        <v>67.074134400000005</v>
      </c>
      <c r="S5" s="129">
        <v>66.884201280000013</v>
      </c>
      <c r="T5" s="129">
        <v>73.225353240000004</v>
      </c>
      <c r="U5" s="129">
        <v>70.064247239999986</v>
      </c>
      <c r="V5" s="129">
        <v>63.699353639999984</v>
      </c>
      <c r="W5" s="129">
        <v>70.938953279999978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149.75612963999998</v>
      </c>
      <c r="C8" s="79">
        <f t="shared" si="1"/>
        <v>140.19731855999999</v>
      </c>
      <c r="D8" s="79">
        <f t="shared" si="1"/>
        <v>133.82468892</v>
      </c>
      <c r="E8" s="79">
        <f t="shared" si="1"/>
        <v>133.82468892</v>
      </c>
      <c r="F8" s="79">
        <f t="shared" si="1"/>
        <v>136.37358071999998</v>
      </c>
      <c r="G8" s="79">
        <f t="shared" si="1"/>
        <v>130.03056144000004</v>
      </c>
      <c r="H8" s="79">
        <f t="shared" si="1"/>
        <v>136.28768399999998</v>
      </c>
      <c r="I8" s="79">
        <f t="shared" si="1"/>
        <v>110.93961528</v>
      </c>
      <c r="J8" s="79">
        <f t="shared" si="1"/>
        <v>114.11192519999999</v>
      </c>
      <c r="K8" s="79">
        <f t="shared" si="1"/>
        <v>95.102074079999994</v>
      </c>
      <c r="L8" s="79">
        <f t="shared" si="1"/>
        <v>98.283720599999995</v>
      </c>
      <c r="M8" s="79">
        <f t="shared" si="1"/>
        <v>101.44002491999997</v>
      </c>
      <c r="N8" s="79">
        <f t="shared" si="1"/>
        <v>101.44002491999996</v>
      </c>
      <c r="O8" s="79">
        <f t="shared" si="1"/>
        <v>92.832480000000004</v>
      </c>
      <c r="P8" s="79">
        <f t="shared" si="1"/>
        <v>86.430240000000026</v>
      </c>
      <c r="Q8" s="79">
        <f t="shared" si="1"/>
        <v>70.333408080000012</v>
      </c>
      <c r="R8" s="79">
        <f t="shared" si="1"/>
        <v>67.074134400000005</v>
      </c>
      <c r="S8" s="79">
        <f t="shared" si="1"/>
        <v>66.884201280000013</v>
      </c>
      <c r="T8" s="79">
        <f t="shared" si="1"/>
        <v>73.225353240000004</v>
      </c>
      <c r="U8" s="79">
        <f t="shared" si="1"/>
        <v>70.064247239999972</v>
      </c>
      <c r="V8" s="79">
        <f t="shared" si="1"/>
        <v>63.699353639999984</v>
      </c>
      <c r="W8" s="79">
        <f t="shared" si="1"/>
        <v>70.938953279999978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51.194780438794844</v>
      </c>
      <c r="C9" s="32">
        <f t="shared" si="2"/>
        <v>44.621513432695345</v>
      </c>
      <c r="D9" s="32">
        <f t="shared" si="2"/>
        <v>44.946994974599384</v>
      </c>
      <c r="E9" s="32">
        <f t="shared" si="2"/>
        <v>46.358012161476466</v>
      </c>
      <c r="F9" s="32">
        <f t="shared" si="2"/>
        <v>44.765425804411585</v>
      </c>
      <c r="G9" s="32">
        <f t="shared" si="2"/>
        <v>38.780858708289415</v>
      </c>
      <c r="H9" s="32">
        <f t="shared" si="2"/>
        <v>39.795382926260018</v>
      </c>
      <c r="I9" s="32">
        <f t="shared" si="2"/>
        <v>32.382634806020043</v>
      </c>
      <c r="J9" s="32">
        <f t="shared" si="2"/>
        <v>33.269349442003929</v>
      </c>
      <c r="K9" s="32">
        <f t="shared" si="2"/>
        <v>27.699296929915214</v>
      </c>
      <c r="L9" s="32">
        <f t="shared" si="2"/>
        <v>30.855555528028603</v>
      </c>
      <c r="M9" s="32">
        <f t="shared" si="2"/>
        <v>34.091543492487702</v>
      </c>
      <c r="N9" s="32">
        <f t="shared" si="2"/>
        <v>29.942662018845414</v>
      </c>
      <c r="O9" s="32">
        <f t="shared" si="2"/>
        <v>25.042097930748586</v>
      </c>
      <c r="P9" s="32">
        <f t="shared" si="2"/>
        <v>28.673989108585189</v>
      </c>
      <c r="Q9" s="32">
        <f t="shared" si="2"/>
        <v>29.281351167788657</v>
      </c>
      <c r="R9" s="32">
        <f t="shared" si="2"/>
        <v>25.181516932829865</v>
      </c>
      <c r="S9" s="32">
        <f t="shared" si="2"/>
        <v>27.118373372949247</v>
      </c>
      <c r="T9" s="32">
        <f t="shared" si="2"/>
        <v>20.564677724409357</v>
      </c>
      <c r="U9" s="32">
        <f t="shared" si="2"/>
        <v>14.486374707287636</v>
      </c>
      <c r="V9" s="32">
        <f t="shared" si="2"/>
        <v>13.131395812024918</v>
      </c>
      <c r="W9" s="32">
        <f t="shared" si="2"/>
        <v>12.564397336718605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51.194780438794844</v>
      </c>
      <c r="C11" s="130">
        <f t="shared" si="3"/>
        <v>44.621513432695345</v>
      </c>
      <c r="D11" s="130">
        <f t="shared" si="3"/>
        <v>44.946994974599384</v>
      </c>
      <c r="E11" s="130">
        <f t="shared" si="3"/>
        <v>46.358012161476466</v>
      </c>
      <c r="F11" s="130">
        <f t="shared" si="3"/>
        <v>44.765425804411585</v>
      </c>
      <c r="G11" s="130">
        <f t="shared" si="3"/>
        <v>38.780858708289415</v>
      </c>
      <c r="H11" s="130">
        <f t="shared" si="3"/>
        <v>39.795382926260018</v>
      </c>
      <c r="I11" s="130">
        <f t="shared" si="3"/>
        <v>32.382634806020043</v>
      </c>
      <c r="J11" s="130">
        <f t="shared" si="3"/>
        <v>33.269349442003929</v>
      </c>
      <c r="K11" s="130">
        <f t="shared" si="3"/>
        <v>27.699296929915214</v>
      </c>
      <c r="L11" s="130">
        <f t="shared" si="3"/>
        <v>30.855555528028603</v>
      </c>
      <c r="M11" s="130">
        <f t="shared" si="3"/>
        <v>34.091543492487702</v>
      </c>
      <c r="N11" s="130">
        <f t="shared" si="3"/>
        <v>29.942662018845414</v>
      </c>
      <c r="O11" s="130">
        <f t="shared" si="3"/>
        <v>25.042097930748586</v>
      </c>
      <c r="P11" s="130">
        <f t="shared" si="3"/>
        <v>28.673989108585189</v>
      </c>
      <c r="Q11" s="130">
        <f t="shared" si="3"/>
        <v>29.281351167788657</v>
      </c>
      <c r="R11" s="130">
        <f t="shared" si="3"/>
        <v>25.181516932829865</v>
      </c>
      <c r="S11" s="130">
        <f t="shared" si="3"/>
        <v>27.118373372949247</v>
      </c>
      <c r="T11" s="130">
        <f t="shared" si="3"/>
        <v>20.564677724409357</v>
      </c>
      <c r="U11" s="130">
        <f t="shared" si="3"/>
        <v>14.486374707287636</v>
      </c>
      <c r="V11" s="130">
        <f t="shared" si="3"/>
        <v>13.131395812024918</v>
      </c>
      <c r="W11" s="130">
        <f t="shared" si="3"/>
        <v>12.564397336718605</v>
      </c>
      <c r="DA11" s="176" t="s">
        <v>408</v>
      </c>
    </row>
    <row r="12" spans="1:105" ht="11.45" customHeight="1" x14ac:dyDescent="0.25">
      <c r="A12" s="111" t="s">
        <v>92</v>
      </c>
      <c r="B12" s="96">
        <v>51.194780438794844</v>
      </c>
      <c r="C12" s="96">
        <v>44.621513432695345</v>
      </c>
      <c r="D12" s="96">
        <v>44.946994974599384</v>
      </c>
      <c r="E12" s="96">
        <v>46.358012161476466</v>
      </c>
      <c r="F12" s="96">
        <v>44.765425804411585</v>
      </c>
      <c r="G12" s="96">
        <v>38.780858708289415</v>
      </c>
      <c r="H12" s="96">
        <v>39.795382926260018</v>
      </c>
      <c r="I12" s="96">
        <v>32.382634806020043</v>
      </c>
      <c r="J12" s="96">
        <v>33.269349442003929</v>
      </c>
      <c r="K12" s="96">
        <v>27.699296929915214</v>
      </c>
      <c r="L12" s="96">
        <v>30.855555528028603</v>
      </c>
      <c r="M12" s="96">
        <v>34.091543492487702</v>
      </c>
      <c r="N12" s="96">
        <v>29.942662018845414</v>
      </c>
      <c r="O12" s="96">
        <v>25.042097930748586</v>
      </c>
      <c r="P12" s="96">
        <v>28.673989108585189</v>
      </c>
      <c r="Q12" s="96">
        <v>29.281351167788657</v>
      </c>
      <c r="R12" s="96">
        <v>25.181516932829865</v>
      </c>
      <c r="S12" s="96">
        <v>27.118373372949247</v>
      </c>
      <c r="T12" s="96">
        <v>20.564677724409357</v>
      </c>
      <c r="U12" s="96">
        <v>14.486374707287636</v>
      </c>
      <c r="V12" s="96">
        <v>13.131395812024918</v>
      </c>
      <c r="W12" s="96">
        <v>12.564397336718605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98.561349201205147</v>
      </c>
      <c r="C15" s="32">
        <f t="shared" si="4"/>
        <v>95.575805127304633</v>
      </c>
      <c r="D15" s="32">
        <f t="shared" si="4"/>
        <v>88.877693945400608</v>
      </c>
      <c r="E15" s="32">
        <f t="shared" si="4"/>
        <v>87.466676758523533</v>
      </c>
      <c r="F15" s="32">
        <f t="shared" si="4"/>
        <v>91.608154915588401</v>
      </c>
      <c r="G15" s="32">
        <f t="shared" si="4"/>
        <v>91.249702731710613</v>
      </c>
      <c r="H15" s="32">
        <f t="shared" si="4"/>
        <v>96.492301073739966</v>
      </c>
      <c r="I15" s="32">
        <f t="shared" si="4"/>
        <v>78.556980473979948</v>
      </c>
      <c r="J15" s="32">
        <f t="shared" si="4"/>
        <v>80.842575757996059</v>
      </c>
      <c r="K15" s="32">
        <f t="shared" si="4"/>
        <v>67.402777150084773</v>
      </c>
      <c r="L15" s="32">
        <f t="shared" si="4"/>
        <v>67.428165071971392</v>
      </c>
      <c r="M15" s="32">
        <f t="shared" si="4"/>
        <v>67.348481427512269</v>
      </c>
      <c r="N15" s="32">
        <f t="shared" si="4"/>
        <v>71.497362901154546</v>
      </c>
      <c r="O15" s="32">
        <f t="shared" si="4"/>
        <v>67.790382069251422</v>
      </c>
      <c r="P15" s="32">
        <f t="shared" si="4"/>
        <v>57.756250891414837</v>
      </c>
      <c r="Q15" s="32">
        <f t="shared" si="4"/>
        <v>41.052056912211356</v>
      </c>
      <c r="R15" s="32">
        <f t="shared" si="4"/>
        <v>41.89261746717014</v>
      </c>
      <c r="S15" s="32">
        <f t="shared" si="4"/>
        <v>39.765827907050763</v>
      </c>
      <c r="T15" s="32">
        <f t="shared" si="4"/>
        <v>52.66067551559064</v>
      </c>
      <c r="U15" s="32">
        <f t="shared" si="4"/>
        <v>55.577872532712341</v>
      </c>
      <c r="V15" s="32">
        <f t="shared" si="4"/>
        <v>50.567957827975064</v>
      </c>
      <c r="W15" s="32">
        <f t="shared" si="4"/>
        <v>58.374555943281379</v>
      </c>
      <c r="DA15" s="173" t="s">
        <v>413</v>
      </c>
    </row>
    <row r="16" spans="1:105" ht="11.45" customHeight="1" x14ac:dyDescent="0.25">
      <c r="A16" s="83" t="s">
        <v>92</v>
      </c>
      <c r="B16" s="96">
        <v>98.561349201205147</v>
      </c>
      <c r="C16" s="96">
        <v>95.575805127304633</v>
      </c>
      <c r="D16" s="96">
        <v>88.877693945400608</v>
      </c>
      <c r="E16" s="96">
        <v>87.466676758523533</v>
      </c>
      <c r="F16" s="96">
        <v>91.608154915588401</v>
      </c>
      <c r="G16" s="96">
        <v>91.249702731710613</v>
      </c>
      <c r="H16" s="96">
        <v>96.492301073739966</v>
      </c>
      <c r="I16" s="96">
        <v>78.556980473979948</v>
      </c>
      <c r="J16" s="96">
        <v>80.842575757996059</v>
      </c>
      <c r="K16" s="96">
        <v>67.402777150084773</v>
      </c>
      <c r="L16" s="96">
        <v>67.428165071971392</v>
      </c>
      <c r="M16" s="96">
        <v>67.348481427512269</v>
      </c>
      <c r="N16" s="96">
        <v>71.497362901154546</v>
      </c>
      <c r="O16" s="96">
        <v>67.790382069251422</v>
      </c>
      <c r="P16" s="96">
        <v>57.756250891414837</v>
      </c>
      <c r="Q16" s="96">
        <v>41.052056912211356</v>
      </c>
      <c r="R16" s="96">
        <v>41.89261746717014</v>
      </c>
      <c r="S16" s="96">
        <v>39.765827907050763</v>
      </c>
      <c r="T16" s="96">
        <v>52.66067551559064</v>
      </c>
      <c r="U16" s="96">
        <v>55.577872532712341</v>
      </c>
      <c r="V16" s="96">
        <v>50.567957827975064</v>
      </c>
      <c r="W16" s="96">
        <v>58.374555943281379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1.5842106731222523</v>
      </c>
      <c r="C22" s="134">
        <f>IF(C4=0,0,C4/TrRail_ene!C4)</f>
        <v>1.4951041623289403</v>
      </c>
      <c r="D22" s="134">
        <f>IF(D4=0,0,D4/TrRail_ene!D4)</f>
        <v>1.4217850105462209</v>
      </c>
      <c r="E22" s="134">
        <f>IF(E4=0,0,E4/TrRail_ene!E4)</f>
        <v>1.3789551144310943</v>
      </c>
      <c r="F22" s="134">
        <f>IF(F4=0,0,F4/TrRail_ene!F4)</f>
        <v>1.3897600499934282</v>
      </c>
      <c r="G22" s="134">
        <f>IF(G4=0,0,G4/TrRail_ene!G4)</f>
        <v>1.3318626277889531</v>
      </c>
      <c r="H22" s="134">
        <f>IF(H4=0,0,H4/TrRail_ene!H4)</f>
        <v>1.3365593767771313</v>
      </c>
      <c r="I22" s="134">
        <f>IF(I4=0,0,I4/TrRail_ene!I4)</f>
        <v>1.1318998399007614</v>
      </c>
      <c r="J22" s="134">
        <f>IF(J4=0,0,J4/TrRail_ene!J4)</f>
        <v>1.1423273884469387</v>
      </c>
      <c r="K22" s="134">
        <f>IF(K4=0,0,K4/TrRail_ene!K4)</f>
        <v>1.0312623510038152</v>
      </c>
      <c r="L22" s="134">
        <f>IF(L4=0,0,L4/TrRail_ene!L4)</f>
        <v>1.0312193954341031</v>
      </c>
      <c r="M22" s="134">
        <f>IF(M4=0,0,M4/TrRail_ene!M4)</f>
        <v>1.0625799828506113</v>
      </c>
      <c r="N22" s="134">
        <f>IF(N4=0,0,N4/TrRail_ene!N4)</f>
        <v>1.0559226127860213</v>
      </c>
      <c r="O22" s="134">
        <f>IF(O4=0,0,O4/TrRail_ene!O4)</f>
        <v>0.99874351748381129</v>
      </c>
      <c r="P22" s="134">
        <f>IF(P4=0,0,P4/TrRail_ene!P4)</f>
        <v>0.96189826909090925</v>
      </c>
      <c r="Q22" s="134">
        <f>IF(Q4=0,0,Q4/TrRail_ene!Q4)</f>
        <v>0.84794563044146232</v>
      </c>
      <c r="R22" s="134">
        <f>IF(R4=0,0,R4/TrRail_ene!R4)</f>
        <v>0.82161293296258875</v>
      </c>
      <c r="S22" s="134">
        <f>IF(S4=0,0,S4/TrRail_ene!S4)</f>
        <v>0.77497415722825336</v>
      </c>
      <c r="T22" s="134">
        <f>IF(T4=0,0,T4/TrRail_ene!T4)</f>
        <v>0.79478455713089802</v>
      </c>
      <c r="U22" s="134">
        <f>IF(U4=0,0,U4/TrRail_ene!U4)</f>
        <v>0.77630445549054961</v>
      </c>
      <c r="V22" s="134">
        <f>IF(V4=0,0,V4/TrRail_ene!V4)</f>
        <v>0.79762301538153424</v>
      </c>
      <c r="W22" s="134">
        <f>IF(W4=0,0,W4/TrRail_ene!W4)</f>
        <v>0.8543445489443664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1.5512093999999998</v>
      </c>
      <c r="D23" s="129">
        <f>IF(D5=0,0,D5/SUM(TrRail_ene!D5:D7))</f>
        <v>1.5512093999999998</v>
      </c>
      <c r="E23" s="129">
        <f>IF(E5=0,0,E5/SUM(TrRail_ene!E5:E7))</f>
        <v>1.5512093999999998</v>
      </c>
      <c r="F23" s="129">
        <f>IF(F5=0,0,F5/SUM(TrRail_ene!F5:F7))</f>
        <v>1.5512094000000001</v>
      </c>
      <c r="G23" s="129">
        <f>IF(G5=0,0,G5/SUM(TrRail_ene!G5:G7))</f>
        <v>1.5512094000000003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1.5512094000000003</v>
      </c>
      <c r="T23" s="129">
        <f>IF(T5=0,0,T5/SUM(TrRail_ene!T5:T7))</f>
        <v>1.5512094000000001</v>
      </c>
      <c r="U23" s="129">
        <f>IF(U5=0,0,U5/SUM(TrRail_ene!U5:U7))</f>
        <v>1.5512093999999998</v>
      </c>
      <c r="V23" s="129">
        <f>IF(V5=0,0,V5/SUM(TrRail_ene!V5:V7))</f>
        <v>1.5512094000000001</v>
      </c>
      <c r="W23" s="129">
        <f>IF(W5=0,0,W5/SUM(TrRail_ene!W5:W7))</f>
        <v>1.5018058123869578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3477.2574205113124</v>
      </c>
      <c r="C26" s="54">
        <f>IF(C8=0,0,C8/TrRail_act!C14*1000)</f>
        <v>3129.4787440680552</v>
      </c>
      <c r="D26" s="54">
        <f>IF(D8=0,0,D8/TrRail_act!D14*1000)</f>
        <v>2886.8808375447279</v>
      </c>
      <c r="E26" s="54">
        <f>IF(E8=0,0,E8/TrRail_act!E14*1000)</f>
        <v>2713.2122280138419</v>
      </c>
      <c r="F26" s="54">
        <f>IF(F8=0,0,F8/TrRail_act!F14*1000)</f>
        <v>2730.0249450735</v>
      </c>
      <c r="G26" s="54">
        <f>IF(G8=0,0,G8/TrRail_act!G14*1000)</f>
        <v>2581.9276112968014</v>
      </c>
      <c r="H26" s="54">
        <f>IF(H8=0,0,H8/TrRail_act!H14*1000)</f>
        <v>2610.1597952156599</v>
      </c>
      <c r="I26" s="54">
        <f>IF(I8=0,0,I8/TrRail_act!I14*1000)</f>
        <v>2101.1665043550388</v>
      </c>
      <c r="J26" s="54">
        <f>IF(J8=0,0,J8/TrRail_act!J14*1000)</f>
        <v>2110.68390595034</v>
      </c>
      <c r="K26" s="54">
        <f>IF(K8=0,0,K8/TrRail_act!K14*1000)</f>
        <v>1799.1395841352232</v>
      </c>
      <c r="L26" s="54">
        <f>IF(L8=0,0,L8/TrRail_act!L14*1000)</f>
        <v>1785.379932778008</v>
      </c>
      <c r="M26" s="54">
        <f>IF(M8=0,0,M8/TrRail_act!M14*1000)</f>
        <v>1848.4141379096288</v>
      </c>
      <c r="N26" s="54">
        <f>IF(N8=0,0,N8/TrRail_act!N14*1000)</f>
        <v>1811.3773442434037</v>
      </c>
      <c r="O26" s="54">
        <f>IF(O8=0,0,O8/TrRail_act!O14*1000)</f>
        <v>1668.5994670372513</v>
      </c>
      <c r="P26" s="54">
        <f>IF(P8=0,0,P8/TrRail_act!P14*1000)</f>
        <v>1567.9565750560137</v>
      </c>
      <c r="Q26" s="54">
        <f>IF(Q8=0,0,Q8/TrRail_act!Q14*1000)</f>
        <v>1295.5564207035918</v>
      </c>
      <c r="R26" s="54">
        <f>IF(R8=0,0,R8/TrRail_act!R14*1000)</f>
        <v>1247.8171134495233</v>
      </c>
      <c r="S26" s="54">
        <f>IF(S8=0,0,S8/TrRail_act!S14*1000)</f>
        <v>1171.2754291918161</v>
      </c>
      <c r="T26" s="54">
        <f>IF(T8=0,0,T8/TrRail_act!T14*1000)</f>
        <v>1196.2090346767613</v>
      </c>
      <c r="U26" s="54">
        <f>IF(U8=0,0,U8/TrRail_act!U14*1000)</f>
        <v>1157.2390014400846</v>
      </c>
      <c r="V26" s="54">
        <f>IF(V8=0,0,V8/TrRail_act!V14*1000)</f>
        <v>1185.2651992788622</v>
      </c>
      <c r="W26" s="54">
        <f>IF(W8=0,0,W8/TrRail_act!W14*1000)</f>
        <v>1303.9543890789355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1931.5291041321102</v>
      </c>
      <c r="C27" s="28">
        <f>IF(C9=0,0,C9/TrRail_act!C15*1000)</f>
        <v>1575.5369084990671</v>
      </c>
      <c r="D27" s="28">
        <f>IF(D9=0,0,D9/TrRail_act!D15*1000)</f>
        <v>1499.68915965015</v>
      </c>
      <c r="E27" s="28">
        <f>IF(E9=0,0,E9/TrRail_act!E15*1000)</f>
        <v>1424.7198957106925</v>
      </c>
      <c r="F27" s="28">
        <f>IF(F9=0,0,F9/TrRail_act!F15*1000)</f>
        <v>1379.3404546526051</v>
      </c>
      <c r="G27" s="28">
        <f>IF(G9=0,0,G9/TrRail_act!G15*1000)</f>
        <v>1168.1117671108659</v>
      </c>
      <c r="H27" s="28">
        <f>IF(H9=0,0,H9/TrRail_act!H15*1000)</f>
        <v>1202.0229744150324</v>
      </c>
      <c r="I27" s="28">
        <f>IF(I9=0,0,I9/TrRail_act!I15*1000)</f>
        <v>939.81967252708205</v>
      </c>
      <c r="J27" s="28">
        <f>IF(J9=0,0,J9/TrRail_act!J15*1000)</f>
        <v>936.82607853698801</v>
      </c>
      <c r="K27" s="28">
        <f>IF(K9=0,0,K9/TrRail_act!K15*1000)</f>
        <v>735.57765032830116</v>
      </c>
      <c r="L27" s="28">
        <f>IF(L9=0,0,L9/TrRail_act!L15*1000)</f>
        <v>799.28692032991023</v>
      </c>
      <c r="M27" s="28">
        <f>IF(M9=0,0,M9/TrRail_act!M15*1000)</f>
        <v>879.69454304177111</v>
      </c>
      <c r="N27" s="28">
        <f>IF(N9=0,0,N9/TrRail_act!N15*1000)</f>
        <v>750.55444262789536</v>
      </c>
      <c r="O27" s="28">
        <f>IF(O9=0,0,O9/TrRail_act!O15*1000)</f>
        <v>622.23324559234038</v>
      </c>
      <c r="P27" s="28">
        <f>IF(P9=0,0,P9/TrRail_act!P15*1000)</f>
        <v>736.15744450907027</v>
      </c>
      <c r="Q27" s="28">
        <f>IF(Q9=0,0,Q9/TrRail_act!Q15*1000)</f>
        <v>713.7087658646559</v>
      </c>
      <c r="R27" s="28">
        <f>IF(R9=0,0,R9/TrRail_act!R15*1000)</f>
        <v>641.61127823490449</v>
      </c>
      <c r="S27" s="28">
        <f>IF(S9=0,0,S9/TrRail_act!S15*1000)</f>
        <v>662.26145520741284</v>
      </c>
      <c r="T27" s="28">
        <f>IF(T9=0,0,T9/TrRail_act!T15*1000)</f>
        <v>463.80495432176207</v>
      </c>
      <c r="U27" s="28">
        <f>IF(U9=0,0,U9/TrRail_act!U15*1000)</f>
        <v>317.63517123972412</v>
      </c>
      <c r="V27" s="28">
        <f>IF(V9=0,0,V9/TrRail_act!V15*1000)</f>
        <v>347.76961741908292</v>
      </c>
      <c r="W27" s="28">
        <f>IF(W9=0,0,W9/TrRail_act!W15*1000)</f>
        <v>329.2672274687086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2592.7698553714708</v>
      </c>
      <c r="C29" s="110">
        <f>IF(C11=0,0,C11/TrRail_act!C17*1000)</f>
        <v>2083.3167994364753</v>
      </c>
      <c r="D29" s="110">
        <f>IF(D11=0,0,D11/TrRail_act!D17*1000)</f>
        <v>2010.677120373289</v>
      </c>
      <c r="E29" s="110">
        <f>IF(E11=0,0,E11/TrRail_act!E17*1000)</f>
        <v>1897.5874124162308</v>
      </c>
      <c r="F29" s="110">
        <f>IF(F11=0,0,F11/TrRail_act!F17*1000)</f>
        <v>1819.8314180623745</v>
      </c>
      <c r="G29" s="110">
        <f>IF(G11=0,0,G11/TrRail_act!G17*1000)</f>
        <v>1583.0607513315156</v>
      </c>
      <c r="H29" s="110">
        <f>IF(H11=0,0,H11/TrRail_act!H17*1000)</f>
        <v>1677.7864464169916</v>
      </c>
      <c r="I29" s="110">
        <f>IF(I11=0,0,I11/TrRail_act!I17*1000)</f>
        <v>1330.8640970130125</v>
      </c>
      <c r="J29" s="110">
        <f>IF(J11=0,0,J11/TrRail_act!J17*1000)</f>
        <v>1328.0727077856682</v>
      </c>
      <c r="K29" s="110">
        <f>IF(K11=0,0,K11/TrRail_act!K17*1000)</f>
        <v>1018.6953564130101</v>
      </c>
      <c r="L29" s="110">
        <f>IF(L11=0,0,L11/TrRail_act!L17*1000)</f>
        <v>1102.7224002311309</v>
      </c>
      <c r="M29" s="110">
        <f>IF(M11=0,0,M11/TrRail_act!M17*1000)</f>
        <v>1225.9843756307459</v>
      </c>
      <c r="N29" s="110">
        <f>IF(N11=0,0,N11/TrRail_act!N17*1000)</f>
        <v>1032.1643957518709</v>
      </c>
      <c r="O29" s="110">
        <f>IF(O11=0,0,O11/TrRail_act!O17*1000)</f>
        <v>852.1891026638832</v>
      </c>
      <c r="P29" s="110">
        <f>IF(P11=0,0,P11/TrRail_act!P17*1000)</f>
        <v>1011.0474873103306</v>
      </c>
      <c r="Q29" s="110">
        <f>IF(Q11=0,0,Q11/TrRail_act!Q17*1000)</f>
        <v>953.58591532122375</v>
      </c>
      <c r="R29" s="110">
        <f>IF(R11=0,0,R11/TrRail_act!R17*1000)</f>
        <v>878.08553027092307</v>
      </c>
      <c r="S29" s="110">
        <f>IF(S11=0,0,S11/TrRail_act!S17*1000)</f>
        <v>919.82179029713052</v>
      </c>
      <c r="T29" s="110">
        <f>IF(T11=0,0,T11/TrRail_act!T17*1000)</f>
        <v>652.98540590645348</v>
      </c>
      <c r="U29" s="110">
        <f>IF(U11=0,0,U11/TrRail_act!U17*1000)</f>
        <v>443.75268260760498</v>
      </c>
      <c r="V29" s="110">
        <f>IF(V11=0,0,V11/TrRail_act!V17*1000)</f>
        <v>496.45869757410935</v>
      </c>
      <c r="W29" s="110">
        <f>IF(W11=0,0,W11/TrRail_act!W17*1000)</f>
        <v>471.9939328138658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9504.1494478704972</v>
      </c>
      <c r="C30" s="84">
        <f>IF(C12=0,0,C12/TrRail_act!C18*1000)</f>
        <v>9084.5738791602998</v>
      </c>
      <c r="D30" s="84">
        <f>IF(D12=0,0,D12/TrRail_act!D18*1000)</f>
        <v>8816.9213065415079</v>
      </c>
      <c r="E30" s="84">
        <f>IF(E12=0,0,E12/TrRail_act!E18*1000)</f>
        <v>8328.9470975483637</v>
      </c>
      <c r="F30" s="84">
        <f>IF(F12=0,0,F12/TrRail_act!F18*1000)</f>
        <v>8191.9351782403546</v>
      </c>
      <c r="G30" s="84">
        <f>IF(G12=0,0,G12/TrRail_act!G18*1000)</f>
        <v>7844.4003232421346</v>
      </c>
      <c r="H30" s="84">
        <f>IF(H12=0,0,H12/TrRail_act!H18*1000)</f>
        <v>7763.1273718919965</v>
      </c>
      <c r="I30" s="84">
        <f>IF(I12=0,0,I12/TrRail_act!I18*1000)</f>
        <v>7641.3153094155487</v>
      </c>
      <c r="J30" s="84">
        <f>IF(J12=0,0,J12/TrRail_act!J18*1000)</f>
        <v>7458.2828925559215</v>
      </c>
      <c r="K30" s="84">
        <f>IF(K12=0,0,K12/TrRail_act!K18*1000)</f>
        <v>7231.110236434919</v>
      </c>
      <c r="L30" s="84">
        <f>IF(L12=0,0,L12/TrRail_act!L18*1000)</f>
        <v>7097.2677380877412</v>
      </c>
      <c r="M30" s="84">
        <f>IF(M12=0,0,M12/TrRail_act!M18*1000)</f>
        <v>7019.6384699337978</v>
      </c>
      <c r="N30" s="84">
        <f>IF(N12=0,0,N12/TrRail_act!N18*1000)</f>
        <v>6950.5280168721911</v>
      </c>
      <c r="O30" s="84">
        <f>IF(O12=0,0,O12/TrRail_act!O18*1000)</f>
        <v>6798.2501603725423</v>
      </c>
      <c r="P30" s="84">
        <f>IF(P12=0,0,P12/TrRail_act!P18*1000)</f>
        <v>6701.9055838389513</v>
      </c>
      <c r="Q30" s="84">
        <f>IF(Q12=0,0,Q12/TrRail_act!Q18*1000)</f>
        <v>6557.1767617720234</v>
      </c>
      <c r="R30" s="84">
        <f>IF(R12=0,0,R12/TrRail_act!R18*1000)</f>
        <v>6450.6849342387159</v>
      </c>
      <c r="S30" s="84">
        <f>IF(S12=0,0,S12/TrRail_act!S18*1000)</f>
        <v>6403.8123419561125</v>
      </c>
      <c r="T30" s="84">
        <f>IF(T12=0,0,T12/TrRail_act!T18*1000)</f>
        <v>6368.8815456967277</v>
      </c>
      <c r="U30" s="84">
        <f>IF(U12=0,0,U12/TrRail_act!U18*1000)</f>
        <v>6342.8085450701492</v>
      </c>
      <c r="V30" s="84">
        <f>IF(V12=0,0,V12/TrRail_act!V18*1000)</f>
        <v>6323.3238653072322</v>
      </c>
      <c r="W30" s="84">
        <f>IF(W12=0,0,W12/TrRail_act!W18*1000)</f>
        <v>6107.825859589977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5950.8674017410085</v>
      </c>
      <c r="C33" s="28">
        <f>IF(C15=0,0,C15/TrRail_act!C21*1000)</f>
        <v>5800.3927977924659</v>
      </c>
      <c r="D33" s="28">
        <f>IF(D15=0,0,D15/TrRail_act!D21*1000)</f>
        <v>5424.240629098832</v>
      </c>
      <c r="E33" s="28">
        <f>IF(E15=0,0,E15/TrRail_act!E21*1000)</f>
        <v>5211.0007325477036</v>
      </c>
      <c r="F33" s="28">
        <f>IF(F15=0,0,F15/TrRail_act!F21*1000)</f>
        <v>5235.0475989718361</v>
      </c>
      <c r="G33" s="28">
        <f>IF(G15=0,0,G15/TrRail_act!G21*1000)</f>
        <v>5316.8994088184363</v>
      </c>
      <c r="H33" s="28">
        <f>IF(H15=0,0,H15/TrRail_act!H21*1000)</f>
        <v>5050.022887700854</v>
      </c>
      <c r="I33" s="28">
        <f>IF(I15=0,0,I15/TrRail_act!I21*1000)</f>
        <v>4282.7058973596604</v>
      </c>
      <c r="J33" s="28">
        <f>IF(J15=0,0,J15/TrRail_act!J21*1000)</f>
        <v>4357.8264847333103</v>
      </c>
      <c r="K33" s="28">
        <f>IF(K15=0,0,K15/TrRail_act!K21*1000)</f>
        <v>4433.451205101579</v>
      </c>
      <c r="L33" s="28">
        <f>IF(L15=0,0,L15/TrRail_act!L21*1000)</f>
        <v>4100.1388767101025</v>
      </c>
      <c r="M33" s="28">
        <f>IF(M15=0,0,M15/TrRail_act!M21*1000)</f>
        <v>4176.4822615963494</v>
      </c>
      <c r="N33" s="28">
        <f>IF(N15=0,0,N15/TrRail_act!N21*1000)</f>
        <v>4438.7512031439728</v>
      </c>
      <c r="O33" s="28">
        <f>IF(O15=0,0,O15/TrRail_act!O21*1000)</f>
        <v>4404.989591858458</v>
      </c>
      <c r="P33" s="28">
        <f>IF(P15=0,0,P15/TrRail_act!P21*1000)</f>
        <v>3571.3819983350459</v>
      </c>
      <c r="Q33" s="28">
        <f>IF(Q15=0,0,Q15/TrRail_act!Q21*1000)</f>
        <v>3095.6620622561745</v>
      </c>
      <c r="R33" s="28">
        <f>IF(R15=0,0,R15/TrRail_act!R21*1000)</f>
        <v>2887.9775198970833</v>
      </c>
      <c r="S33" s="28">
        <f>IF(S15=0,0,S15/TrRail_act!S21*1000)</f>
        <v>2461.4273622761434</v>
      </c>
      <c r="T33" s="28">
        <f>IF(T15=0,0,T15/TrRail_act!T21*1000)</f>
        <v>3120.549702477098</v>
      </c>
      <c r="U33" s="28">
        <f>IF(U15=0,0,U15/TrRail_act!U21*1000)</f>
        <v>3720.7296453944296</v>
      </c>
      <c r="V33" s="28">
        <f>IF(V15=0,0,V15/TrRail_act!V21*1000)</f>
        <v>3163.6989782861538</v>
      </c>
      <c r="W33" s="28">
        <f>IF(W15=0,0,W15/TrRail_act!W21*1000)</f>
        <v>3593.5459187177821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17722.687423442949</v>
      </c>
      <c r="C34" s="84">
        <f>IF(C16=0,0,C16/TrRail_act!C22*1000)</f>
        <v>17360.002848850181</v>
      </c>
      <c r="D34" s="84">
        <f>IF(D16=0,0,D16/TrRail_act!D22*1000)</f>
        <v>17049.922533091412</v>
      </c>
      <c r="E34" s="84">
        <f>IF(E16=0,0,E16/TrRail_act!E22*1000)</f>
        <v>16502.999757775411</v>
      </c>
      <c r="F34" s="84">
        <f>IF(F16=0,0,F16/TrRail_act!F22*1000)</f>
        <v>16213.05578696261</v>
      </c>
      <c r="G34" s="84">
        <f>IF(G16=0,0,G16/TrRail_act!G22*1000)</f>
        <v>15864.960631134807</v>
      </c>
      <c r="H34" s="84">
        <f>IF(H16=0,0,H16/TrRail_act!H22*1000)</f>
        <v>15522.32999814598</v>
      </c>
      <c r="I34" s="84">
        <f>IF(I16=0,0,I16/TrRail_act!I22*1000)</f>
        <v>15429.187664308392</v>
      </c>
      <c r="J34" s="84">
        <f>IF(J16=0,0,J16/TrRail_act!J22*1000)</f>
        <v>15077.281404189584</v>
      </c>
      <c r="K34" s="84">
        <f>IF(K16=0,0,K16/TrRail_act!K22*1000)</f>
        <v>14768.198740236809</v>
      </c>
      <c r="L34" s="84">
        <f>IF(L16=0,0,L16/TrRail_act!L22*1000)</f>
        <v>14412.437151757544</v>
      </c>
      <c r="M34" s="84">
        <f>IF(M16=0,0,M16/TrRail_act!M22*1000)</f>
        <v>14495.604161851435</v>
      </c>
      <c r="N34" s="84">
        <f>IF(N16=0,0,N16/TrRail_act!N22*1000)</f>
        <v>14238.094895937887</v>
      </c>
      <c r="O34" s="84">
        <f>IF(O16=0,0,O16/TrRail_act!O22*1000)</f>
        <v>13878.350405604453</v>
      </c>
      <c r="P34" s="84">
        <f>IF(P16=0,0,P16/TrRail_act!P22*1000)</f>
        <v>13660.345065277957</v>
      </c>
      <c r="Q34" s="84">
        <f>IF(Q16=0,0,Q16/TrRail_act!Q22*1000)</f>
        <v>13373.753124312281</v>
      </c>
      <c r="R34" s="84">
        <f>IF(R16=0,0,R16/TrRail_act!R22*1000)</f>
        <v>13162.761917554564</v>
      </c>
      <c r="S34" s="84">
        <f>IF(S16=0,0,S16/TrRail_act!S22*1000)</f>
        <v>13006.705861849605</v>
      </c>
      <c r="T34" s="84">
        <f>IF(T16=0,0,T16/TrRail_act!T22*1000)</f>
        <v>12890.87920544458</v>
      </c>
      <c r="U34" s="84">
        <f>IF(U16=0,0,U16/TrRail_act!U22*1000)</f>
        <v>12804.686608325383</v>
      </c>
      <c r="V34" s="84">
        <f>IF(V16=0,0,V16/TrRail_act!V22*1000)</f>
        <v>12740.420576177719</v>
      </c>
      <c r="W34" s="84">
        <f>IF(W16=0,0,W16/TrRail_act!W22*1000)</f>
        <v>12288.198725100061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13.120138503022769</v>
      </c>
      <c r="C38" s="29">
        <f>IF(C9=0,0,C9/TrRail_act!C4*1000)</f>
        <v>11.78405784415976</v>
      </c>
      <c r="D38" s="29">
        <f>IF(D9=0,0,D9/TrRail_act!D4*1000)</f>
        <v>11.718679435431987</v>
      </c>
      <c r="E38" s="29">
        <f>IF(E9=0,0,E9/TrRail_act!E4*1000)</f>
        <v>12.008914374912951</v>
      </c>
      <c r="F38" s="29">
        <f>IF(F9=0,0,F9/TrRail_act!F4*1000)</f>
        <v>11.55236794952557</v>
      </c>
      <c r="G38" s="29">
        <f>IF(G9=0,0,G9/TrRail_act!G4*1000)</f>
        <v>9.685529147924429</v>
      </c>
      <c r="H38" s="29">
        <f>IF(H9=0,0,H9/TrRail_act!H4*1000)</f>
        <v>9.7921709956348462</v>
      </c>
      <c r="I38" s="29">
        <f>IF(I9=0,0,I9/TrRail_act!I4*1000)</f>
        <v>7.5343496524011275</v>
      </c>
      <c r="J38" s="29">
        <f>IF(J9=0,0,J9/TrRail_act!J4*1000)</f>
        <v>7.2577114838577508</v>
      </c>
      <c r="K38" s="29">
        <f>IF(K9=0,0,K9/TrRail_act!K4*1000)</f>
        <v>6.2838695394544501</v>
      </c>
      <c r="L38" s="29">
        <f>IF(L9=0,0,L9/TrRail_act!L4*1000)</f>
        <v>6.873592231683805</v>
      </c>
      <c r="M38" s="29">
        <f>IF(M9=0,0,M9/TrRail_act!M4*1000)</f>
        <v>7.7533644513276556</v>
      </c>
      <c r="N38" s="29">
        <f>IF(N9=0,0,N9/TrRail_act!N4*1000)</f>
        <v>6.5649335713320358</v>
      </c>
      <c r="O38" s="29">
        <f>IF(O9=0,0,O9/TrRail_act!O4*1000)</f>
        <v>5.4700956598402328</v>
      </c>
      <c r="P38" s="29">
        <f>IF(P9=0,0,P9/TrRail_act!P4*1000)</f>
        <v>6.5351677545018259</v>
      </c>
      <c r="Q38" s="29">
        <f>IF(Q9=0,0,Q9/TrRail_act!Q4*1000)</f>
        <v>6.3245011509651325</v>
      </c>
      <c r="R38" s="29">
        <f>IF(R9=0,0,R9/TrRail_act!R4*1000)</f>
        <v>5.7293432387821062</v>
      </c>
      <c r="S38" s="29">
        <f>IF(S9=0,0,S9/TrRail_act!S4*1000)</f>
        <v>5.6160142866814464</v>
      </c>
      <c r="T38" s="29">
        <f>IF(T9=0,0,T9/TrRail_act!T4*1000)</f>
        <v>3.9625784399984365</v>
      </c>
      <c r="U38" s="29">
        <f>IF(U9=0,0,U9/TrRail_act!U4*1000)</f>
        <v>2.5977364752547647</v>
      </c>
      <c r="V38" s="29">
        <f>IF(V9=0,0,V9/TrRail_act!V4*1000)</f>
        <v>3.8831008187108358</v>
      </c>
      <c r="W38" s="29">
        <f>IF(W9=0,0,W9/TrRail_act!W4*1000)</f>
        <v>3.6969353649772194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15.355363059026649</v>
      </c>
      <c r="C40" s="116">
        <f>IF(C11=0,0,C11/TrRail_act!C6*1000)</f>
        <v>13.849010997112149</v>
      </c>
      <c r="D40" s="116">
        <f>IF(D11=0,0,D11/TrRail_act!D6*1000)</f>
        <v>14.120953495004519</v>
      </c>
      <c r="E40" s="116">
        <f>IF(E11=0,0,E11/TrRail_act!E6*1000)</f>
        <v>14.773107763376823</v>
      </c>
      <c r="F40" s="116">
        <f>IF(F11=0,0,F11/TrRail_act!F6*1000)</f>
        <v>14.033048841508334</v>
      </c>
      <c r="G40" s="116">
        <f>IF(G11=0,0,G11/TrRail_act!G6*1000)</f>
        <v>12.245297981777522</v>
      </c>
      <c r="H40" s="116">
        <f>IF(H11=0,0,H11/TrRail_act!H6*1000)</f>
        <v>12.816548446460553</v>
      </c>
      <c r="I40" s="116">
        <f>IF(I11=0,0,I11/TrRail_act!I6*1000)</f>
        <v>10.125902065672308</v>
      </c>
      <c r="J40" s="116">
        <f>IF(J11=0,0,J11/TrRail_act!J6*1000)</f>
        <v>9.699518787756249</v>
      </c>
      <c r="K40" s="116">
        <f>IF(K11=0,0,K11/TrRail_act!K6*1000)</f>
        <v>8.465555296428855</v>
      </c>
      <c r="L40" s="116">
        <f>IF(L11=0,0,L11/TrRail_act!L6*1000)</f>
        <v>9.3275560846519348</v>
      </c>
      <c r="M40" s="116">
        <f>IF(M11=0,0,M11/TrRail_act!M6*1000)</f>
        <v>10.744262052470123</v>
      </c>
      <c r="N40" s="116">
        <f>IF(N11=0,0,N11/TrRail_act!N6*1000)</f>
        <v>8.9998984126376342</v>
      </c>
      <c r="O40" s="116">
        <f>IF(O11=0,0,O11/TrRail_act!O6*1000)</f>
        <v>7.5977238867562455</v>
      </c>
      <c r="P40" s="116">
        <f>IF(P11=0,0,P11/TrRail_act!P6*1000)</f>
        <v>8.8966767324186122</v>
      </c>
      <c r="Q40" s="116">
        <f>IF(Q11=0,0,Q11/TrRail_act!Q6*1000)</f>
        <v>8.2645642584783126</v>
      </c>
      <c r="R40" s="116">
        <f>IF(R11=0,0,R11/TrRail_act!R6*1000)</f>
        <v>7.7362571222211569</v>
      </c>
      <c r="S40" s="116">
        <f>IF(S11=0,0,S11/TrRail_act!S6*1000)</f>
        <v>7.5475572983437926</v>
      </c>
      <c r="T40" s="116">
        <f>IF(T11=0,0,T11/TrRail_act!T6*1000)</f>
        <v>5.4985769316602555</v>
      </c>
      <c r="U40" s="116">
        <f>IF(U11=0,0,U11/TrRail_act!U6*1000)</f>
        <v>3.5246653789021014</v>
      </c>
      <c r="V40" s="116">
        <f>IF(V11=0,0,V11/TrRail_act!V6*1000)</f>
        <v>5.263084493797562</v>
      </c>
      <c r="W40" s="116">
        <f>IF(W11=0,0,W11/TrRail_act!W6*1000)</f>
        <v>4.9022229171746412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82.419971645104511</v>
      </c>
      <c r="C41" s="87">
        <f>IF(C12=0,0,C12/TrRail_act!C7*1000)</f>
        <v>81.324424006573054</v>
      </c>
      <c r="D41" s="87">
        <f>IF(D12=0,0,D12/TrRail_act!D7*1000)</f>
        <v>81.233384526265752</v>
      </c>
      <c r="E41" s="87">
        <f>IF(E12=0,0,E12/TrRail_act!E7*1000)</f>
        <v>79.224294805986901</v>
      </c>
      <c r="F41" s="87">
        <f>IF(F12=0,0,F12/TrRail_act!F7*1000)</f>
        <v>77.829244516463376</v>
      </c>
      <c r="G41" s="87">
        <f>IF(G12=0,0,G12/TrRail_act!G7*1000)</f>
        <v>73.457185344821852</v>
      </c>
      <c r="H41" s="87">
        <f>IF(H12=0,0,H12/TrRail_act!H7*1000)</f>
        <v>73.413189866224272</v>
      </c>
      <c r="I41" s="87">
        <f>IF(I12=0,0,I12/TrRail_act!I7*1000)</f>
        <v>69.656773553335583</v>
      </c>
      <c r="J41" s="87">
        <f>IF(J12=0,0,J12/TrRail_act!J7*1000)</f>
        <v>71.682692708862248</v>
      </c>
      <c r="K41" s="87">
        <f>IF(K12=0,0,K12/TrRail_act!K7*1000)</f>
        <v>79.4856367593854</v>
      </c>
      <c r="L41" s="87">
        <f>IF(L12=0,0,L12/TrRail_act!L7*1000)</f>
        <v>69.252526969823975</v>
      </c>
      <c r="M41" s="87">
        <f>IF(M12=0,0,M12/TrRail_act!M7*1000)</f>
        <v>69.763362125106468</v>
      </c>
      <c r="N41" s="87">
        <f>IF(N12=0,0,N12/TrRail_act!N7*1000)</f>
        <v>69.7210892318151</v>
      </c>
      <c r="O41" s="87">
        <f>IF(O12=0,0,O12/TrRail_act!O7*1000)</f>
        <v>76.919093047721432</v>
      </c>
      <c r="P41" s="87">
        <f>IF(P12=0,0,P12/TrRail_act!P7*1000)</f>
        <v>63.2890183962012</v>
      </c>
      <c r="Q41" s="87">
        <f>IF(Q12=0,0,Q12/TrRail_act!Q7*1000)</f>
        <v>62.154575290243677</v>
      </c>
      <c r="R41" s="87">
        <f>IF(R12=0,0,R12/TrRail_act!R7*1000)</f>
        <v>62.821704867434605</v>
      </c>
      <c r="S41" s="87">
        <f>IF(S12=0,0,S12/TrRail_act!S7*1000)</f>
        <v>62.313868199761473</v>
      </c>
      <c r="T41" s="87">
        <f>IF(T12=0,0,T12/TrRail_act!T7*1000)</f>
        <v>66.088928083456324</v>
      </c>
      <c r="U41" s="87">
        <f>IF(U12=0,0,U12/TrRail_act!U7*1000)</f>
        <v>64.836772397894919</v>
      </c>
      <c r="V41" s="87">
        <f>IF(V12=0,0,V12/TrRail_act!V7*1000)</f>
        <v>100.84233114445681</v>
      </c>
      <c r="W41" s="87">
        <f>IF(W12=0,0,W12/TrRail_act!W7*1000)</f>
        <v>88.116624881488178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9.7517907589992223</v>
      </c>
      <c r="C44" s="29">
        <f>IF(C15=0,0,C15/TrRail_act!C10*1000)</f>
        <v>9.6962366975047818</v>
      </c>
      <c r="D44" s="29">
        <f>IF(D15=0,0,D15/TrRail_act!D10*1000)</f>
        <v>9.1967812443502286</v>
      </c>
      <c r="E44" s="29">
        <f>IF(E15=0,0,E15/TrRail_act!E10*1000)</f>
        <v>8.7057506478076583</v>
      </c>
      <c r="F44" s="29">
        <f>IF(F15=0,0,F15/TrRail_act!F10*1000)</f>
        <v>9.065626414209639</v>
      </c>
      <c r="G44" s="29">
        <f>IF(G15=0,0,G15/TrRail_act!G10*1000)</f>
        <v>9.4013705678663317</v>
      </c>
      <c r="H44" s="29">
        <f>IF(H15=0,0,H15/TrRail_act!H10*1000)</f>
        <v>8.7244395184213364</v>
      </c>
      <c r="I44" s="29">
        <f>IF(I15=0,0,I15/TrRail_act!I10*1000)</f>
        <v>7.5289419660705335</v>
      </c>
      <c r="J44" s="29">
        <f>IF(J15=0,0,J15/TrRail_act!J10*1000)</f>
        <v>7.5013988826200295</v>
      </c>
      <c r="K44" s="29">
        <f>IF(K15=0,0,K15/TrRail_act!K10*1000)</f>
        <v>7.5972471990627568</v>
      </c>
      <c r="L44" s="29">
        <f>IF(L15=0,0,L15/TrRail_act!L10*1000)</f>
        <v>6.915709238150912</v>
      </c>
      <c r="M44" s="29">
        <f>IF(M15=0,0,M15/TrRail_act!M10*1000)</f>
        <v>7.1685451226729393</v>
      </c>
      <c r="N44" s="29">
        <f>IF(N15=0,0,N15/TrRail_act!N10*1000)</f>
        <v>7.7086105553805435</v>
      </c>
      <c r="O44" s="29">
        <f>IF(O15=0,0,O15/TrRail_act!O10*1000)</f>
        <v>7.1584352765840995</v>
      </c>
      <c r="P44" s="29">
        <f>IF(P15=0,0,P15/TrRail_act!P10*1000)</f>
        <v>6.0181568085250428</v>
      </c>
      <c r="Q44" s="29">
        <f>IF(Q15=0,0,Q15/TrRail_act!Q10*1000)</f>
        <v>4.8479046896801314</v>
      </c>
      <c r="R44" s="29">
        <f>IF(R15=0,0,R15/TrRail_act!R10*1000)</f>
        <v>4.4302683446668931</v>
      </c>
      <c r="S44" s="29">
        <f>IF(S15=0,0,S15/TrRail_act!S10*1000)</f>
        <v>3.8376595162179852</v>
      </c>
      <c r="T44" s="29">
        <f>IF(T15=0,0,T15/TrRail_act!T10*1000)</f>
        <v>4.7123646993817125</v>
      </c>
      <c r="U44" s="29">
        <f>IF(U15=0,0,U15/TrRail_act!U10*1000)</f>
        <v>5.4111452178670376</v>
      </c>
      <c r="V44" s="29">
        <f>IF(V15=0,0,V15/TrRail_act!V10*1000)</f>
        <v>4.9884539634975891</v>
      </c>
      <c r="W44" s="29">
        <f>IF(W15=0,0,W15/TrRail_act!W10*1000)</f>
        <v>5.4301912505378027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28.632419173902729</v>
      </c>
      <c r="C45" s="87">
        <f>IF(C16=0,0,C16/TrRail_act!C11*1000)</f>
        <v>27.98446498161297</v>
      </c>
      <c r="D45" s="87">
        <f>IF(D16=0,0,D16/TrRail_act!D11*1000)</f>
        <v>27.850749831820266</v>
      </c>
      <c r="E45" s="87">
        <f>IF(E16=0,0,E16/TrRail_act!E11*1000)</f>
        <v>26.033010607024291</v>
      </c>
      <c r="F45" s="87">
        <f>IF(F16=0,0,F16/TrRail_act!F11*1000)</f>
        <v>26.319000959963279</v>
      </c>
      <c r="G45" s="87">
        <f>IF(G16=0,0,G16/TrRail_act!G11*1000)</f>
        <v>25.926190724323806</v>
      </c>
      <c r="H45" s="87">
        <f>IF(H16=0,0,H16/TrRail_act!H11*1000)</f>
        <v>24.807970980534765</v>
      </c>
      <c r="I45" s="87">
        <f>IF(I16=0,0,I16/TrRail_act!I11*1000)</f>
        <v>24.970333268417086</v>
      </c>
      <c r="J45" s="87">
        <f>IF(J16=0,0,J16/TrRail_act!J11*1000)</f>
        <v>24.087102933681862</v>
      </c>
      <c r="K45" s="87">
        <f>IF(K16=0,0,K16/TrRail_act!K11*1000)</f>
        <v>23.42577509447004</v>
      </c>
      <c r="L45" s="87">
        <f>IF(L16=0,0,L16/TrRail_act!L11*1000)</f>
        <v>22.10083278093413</v>
      </c>
      <c r="M45" s="87">
        <f>IF(M16=0,0,M16/TrRail_act!M11*1000)</f>
        <v>21.74149028719749</v>
      </c>
      <c r="N45" s="87">
        <f>IF(N16=0,0,N16/TrRail_act!N11*1000)</f>
        <v>21.449669100539275</v>
      </c>
      <c r="O45" s="87">
        <f>IF(O16=0,0,O16/TrRail_act!O11*1000)</f>
        <v>21.477756110806261</v>
      </c>
      <c r="P45" s="87">
        <f>IF(P16=0,0,P16/TrRail_act!P11*1000)</f>
        <v>18.916082301581898</v>
      </c>
      <c r="Q45" s="87">
        <f>IF(Q16=0,0,Q16/TrRail_act!Q11*1000)</f>
        <v>17.612612208493399</v>
      </c>
      <c r="R45" s="87">
        <f>IF(R16=0,0,R16/TrRail_act!R11*1000)</f>
        <v>16.817760335727744</v>
      </c>
      <c r="S45" s="87">
        <f>IF(S16=0,0,S16/TrRail_act!S11*1000)</f>
        <v>15.817695135240214</v>
      </c>
      <c r="T45" s="87">
        <f>IF(T16=0,0,T16/TrRail_act!T11*1000)</f>
        <v>18.621183837231204</v>
      </c>
      <c r="U45" s="87">
        <f>IF(U16=0,0,U16/TrRail_act!U11*1000)</f>
        <v>21.175434060898318</v>
      </c>
      <c r="V45" s="87">
        <f>IF(V16=0,0,V16/TrRail_act!V11*1000)</f>
        <v>20.396988653150277</v>
      </c>
      <c r="W45" s="87">
        <f>IF(W16=0,0,W16/TrRail_act!W11*1000)</f>
        <v>19.028462347508217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548.92726459791686</v>
      </c>
      <c r="C48" s="62">
        <f>IF(C8=0,0,1000000*C8/TrRail_act!C25/1000)</f>
        <v>491.18163057118005</v>
      </c>
      <c r="D48" s="62">
        <f>IF(D8=0,0,1000000*D8/TrRail_act!D25/1000)</f>
        <v>454.4819962970015</v>
      </c>
      <c r="E48" s="62">
        <f>IF(E8=0,0,1000000*E8/TrRail_act!E25/1000)</f>
        <v>428.84974834000002</v>
      </c>
      <c r="F48" s="62">
        <f>IF(F8=0,0,1000000*F8/TrRail_act!F25/1000)</f>
        <v>430.59020533062733</v>
      </c>
      <c r="G48" s="62">
        <f>IF(G8=0,0,1000000*G8/TrRail_act!G25/1000)</f>
        <v>411.99949981074991</v>
      </c>
      <c r="H48" s="62">
        <f>IF(H8=0,0,1000000*H8/TrRail_act!H25/1000)</f>
        <v>423.65230752620766</v>
      </c>
      <c r="I48" s="62">
        <f>IF(I8=0,0,1000000*I8/TrRail_act!I25/1000)</f>
        <v>337.84822616153963</v>
      </c>
      <c r="J48" s="62">
        <f>IF(J8=0,0,1000000*J8/TrRail_act!J25/1000)</f>
        <v>345.5940400107558</v>
      </c>
      <c r="K48" s="62">
        <f>IF(K8=0,0,1000000*K8/TrRail_act!K25/1000)</f>
        <v>281.86530251498567</v>
      </c>
      <c r="L48" s="62">
        <f>IF(L8=0,0,1000000*L8/TrRail_act!L25/1000)</f>
        <v>289.37573790706426</v>
      </c>
      <c r="M48" s="62">
        <f>IF(M8=0,0,1000000*M8/TrRail_act!M25/1000)</f>
        <v>301.30856972748188</v>
      </c>
      <c r="N48" s="62">
        <f>IF(N8=0,0,1000000*N8/TrRail_act!N25/1000)</f>
        <v>293.62042321738079</v>
      </c>
      <c r="O48" s="62">
        <f>IF(O8=0,0,1000000*O8/TrRail_act!O25/1000)</f>
        <v>269.32282570485665</v>
      </c>
      <c r="P48" s="62">
        <f>IF(P8=0,0,1000000*P8/TrRail_act!P25/1000)</f>
        <v>252.77464810506322</v>
      </c>
      <c r="Q48" s="62">
        <f>IF(Q8=0,0,1000000*Q8/TrRail_act!Q25/1000)</f>
        <v>202.46175309881662</v>
      </c>
      <c r="R48" s="62">
        <f>IF(R8=0,0,1000000*R8/TrRail_act!R25/1000)</f>
        <v>200.2328606124008</v>
      </c>
      <c r="S48" s="62">
        <f>IF(S8=0,0,1000000*S8/TrRail_act!S25/1000)</f>
        <v>190.44358232628286</v>
      </c>
      <c r="T48" s="62">
        <f>IF(T8=0,0,1000000*T8/TrRail_act!T25/1000)</f>
        <v>191.48157769661793</v>
      </c>
      <c r="U48" s="62">
        <f>IF(U8=0,0,1000000*U8/TrRail_act!U25/1000)</f>
        <v>180.49352584032729</v>
      </c>
      <c r="V48" s="62">
        <f>IF(V8=0,0,1000000*V8/TrRail_act!V25/1000)</f>
        <v>170.43622298912638</v>
      </c>
      <c r="W48" s="62">
        <f>IF(W8=0,0,1000000*W8/TrRail_act!W25/1000)</f>
        <v>196.91725371326277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269.44140827001911</v>
      </c>
      <c r="C49" s="29">
        <f>IF(C9=0,0,1000000*C9/TrRail_act!C26/1000)</f>
        <v>219.76568813966801</v>
      </c>
      <c r="D49" s="29">
        <f>IF(D9=0,0,1000000*D9/TrRail_act!D26/1000)</f>
        <v>211.48637894126455</v>
      </c>
      <c r="E49" s="29">
        <f>IF(E9=0,0,1000000*E9/TrRail_act!E26/1000)</f>
        <v>203.20881602125482</v>
      </c>
      <c r="F49" s="29">
        <f>IF(F9=0,0,1000000*F9/TrRail_act!F26/1000)</f>
        <v>195.29621171101422</v>
      </c>
      <c r="G49" s="29">
        <f>IF(G9=0,0,1000000*G9/TrRail_act!G26/1000)</f>
        <v>168.76099019989212</v>
      </c>
      <c r="H49" s="29">
        <f>IF(H9=0,0,1000000*H9/TrRail_act!H26/1000)</f>
        <v>175.96078706496078</v>
      </c>
      <c r="I49" s="29">
        <f>IF(I9=0,0,1000000*I9/TrRail_act!I26/1000)</f>
        <v>138.49793718171182</v>
      </c>
      <c r="J49" s="29">
        <f>IF(J9=0,0,1000000*J9/TrRail_act!J26/1000)</f>
        <v>140.11979277062548</v>
      </c>
      <c r="K49" s="29">
        <f>IF(K9=0,0,1000000*K9/TrRail_act!K26/1000)</f>
        <v>109.51446710738335</v>
      </c>
      <c r="L49" s="29">
        <f>IF(L9=0,0,1000000*L9/TrRail_act!L26/1000)</f>
        <v>119.86751918563922</v>
      </c>
      <c r="M49" s="29">
        <f>IF(M9=0,0,1000000*M9/TrRail_act!M26/1000)</f>
        <v>133.15101424389161</v>
      </c>
      <c r="N49" s="29">
        <f>IF(N9=0,0,1000000*N9/TrRail_act!N26/1000)</f>
        <v>113.01572615122313</v>
      </c>
      <c r="O49" s="29">
        <f>IF(O9=0,0,1000000*O9/TrRail_act!O26/1000)</f>
        <v>93.530974009044343</v>
      </c>
      <c r="P49" s="29">
        <f>IF(P9=0,0,1000000*P9/TrRail_act!P26/1000)</f>
        <v>110.04587805950007</v>
      </c>
      <c r="Q49" s="29">
        <f>IF(Q9=0,0,1000000*Q9/TrRail_act!Q26/1000)</f>
        <v>106.74538326208885</v>
      </c>
      <c r="R49" s="29">
        <f>IF(R9=0,0,1000000*R9/TrRail_act!R26/1000)</f>
        <v>96.008766104890597</v>
      </c>
      <c r="S49" s="29">
        <f>IF(S9=0,0,1000000*S9/TrRail_act!S26/1000)</f>
        <v>100.28086899793999</v>
      </c>
      <c r="T49" s="29">
        <f>IF(T9=0,0,1000000*T9/TrRail_act!T26/1000)</f>
        <v>69.000333056924006</v>
      </c>
      <c r="U49" s="29">
        <f>IF(U9=0,0,1000000*U9/TrRail_act!U26/1000)</f>
        <v>47.029369780663906</v>
      </c>
      <c r="V49" s="29">
        <f>IF(V9=0,0,1000000*V9/TrRail_act!V26/1000)</f>
        <v>44.691364707705056</v>
      </c>
      <c r="W49" s="29">
        <f>IF(W9=0,0,1000000*W9/TrRail_act!W26/1000)</f>
        <v>45.029463643720014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388.91547504308807</v>
      </c>
      <c r="C51" s="116">
        <f>IF(C11=0,0,1000000*C11/TrRail_act!C28/1000)</f>
        <v>312.49751817450988</v>
      </c>
      <c r="D51" s="116">
        <f>IF(D11=0,0,1000000*D11/TrRail_act!D28/1000)</f>
        <v>301.60156423644918</v>
      </c>
      <c r="E51" s="116">
        <f>IF(E11=0,0,1000000*E11/TrRail_act!E28/1000)</f>
        <v>284.63810992900744</v>
      </c>
      <c r="F51" s="116">
        <f>IF(F11=0,0,1000000*F11/TrRail_act!F28/1000)</f>
        <v>272.97471066822823</v>
      </c>
      <c r="G51" s="116">
        <f>IF(G11=0,0,1000000*G11/TrRail_act!G28/1000)</f>
        <v>237.45911143708372</v>
      </c>
      <c r="H51" s="116">
        <f>IF(H11=0,0,1000000*H11/TrRail_act!H28/1000)</f>
        <v>251.66796597165649</v>
      </c>
      <c r="I51" s="116">
        <f>IF(I11=0,0,1000000*I11/TrRail_act!I28/1000)</f>
        <v>196.80108427735806</v>
      </c>
      <c r="J51" s="116">
        <f>IF(J11=0,0,1000000*J11/TrRail_act!J28/1000)</f>
        <v>199.21090485891503</v>
      </c>
      <c r="K51" s="116">
        <f>IF(K11=0,0,1000000*K11/TrRail_act!K28/1000)</f>
        <v>152.29185530740506</v>
      </c>
      <c r="L51" s="116">
        <f>IF(L11=0,0,1000000*L11/TrRail_act!L28/1000)</f>
        <v>165.40835920589743</v>
      </c>
      <c r="M51" s="116">
        <f>IF(M11=0,0,1000000*M11/TrRail_act!M28/1000)</f>
        <v>183.89765506683554</v>
      </c>
      <c r="N51" s="116">
        <f>IF(N11=0,0,1000000*N11/TrRail_act!N28/1000)</f>
        <v>154.77147242248785</v>
      </c>
      <c r="O51" s="116">
        <f>IF(O11=0,0,1000000*O11/TrRail_act!O28/1000)</f>
        <v>127.41353918665912</v>
      </c>
      <c r="P51" s="116">
        <f>IF(P11=0,0,1000000*P11/TrRail_act!P28/1000)</f>
        <v>150.67981593484583</v>
      </c>
      <c r="Q51" s="116">
        <f>IF(Q11=0,0,1000000*Q11/TrRail_act!Q28/1000)</f>
        <v>143.037886764078</v>
      </c>
      <c r="R51" s="116">
        <f>IF(R11=0,0,1000000*R11/TrRail_act!R28/1000)</f>
        <v>131.4639162885594</v>
      </c>
      <c r="S51" s="116">
        <f>IF(S11=0,0,1000000*S11/TrRail_act!S28/1000)</f>
        <v>137.97326822769776</v>
      </c>
      <c r="T51" s="116">
        <f>IF(T11=0,0,1000000*T11/TrRail_act!T28/1000)</f>
        <v>96.51620064909163</v>
      </c>
      <c r="U51" s="116">
        <f>IF(U11=0,0,1000000*U11/TrRail_act!U28/1000)</f>
        <v>64.828257924083516</v>
      </c>
      <c r="V51" s="116">
        <f>IF(V11=0,0,1000000*V11/TrRail_act!V28/1000)</f>
        <v>62.442962061339671</v>
      </c>
      <c r="W51" s="116">
        <f>IF(W11=0,0,1000000*W11/TrRail_act!W28/1000)</f>
        <v>63.736355449876044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1425.6224009164468</v>
      </c>
      <c r="C52" s="87">
        <f>IF(C12=0,0,1000000*C12/TrRail_act!C29/1000)</f>
        <v>1362.6860603530761</v>
      </c>
      <c r="D52" s="87">
        <f>IF(D12=0,0,1000000*D12/TrRail_act!D29/1000)</f>
        <v>1322.5381593833997</v>
      </c>
      <c r="E52" s="87">
        <f>IF(E12=0,0,1000000*E12/TrRail_act!E29/1000)</f>
        <v>1249.3420436764147</v>
      </c>
      <c r="F52" s="87">
        <f>IF(F12=0,0,1000000*F12/TrRail_act!F29/1000)</f>
        <v>1228.7902446432252</v>
      </c>
      <c r="G52" s="87">
        <f>IF(G12=0,0,1000000*G12/TrRail_act!G29/1000)</f>
        <v>1176.6600212725416</v>
      </c>
      <c r="H52" s="87">
        <f>IF(H12=0,0,1000000*H12/TrRail_act!H29/1000)</f>
        <v>1164.4690885886614</v>
      </c>
      <c r="I52" s="87">
        <f>IF(I12=0,0,1000000*I12/TrRail_act!I29/1000)</f>
        <v>1058.8216439415658</v>
      </c>
      <c r="J52" s="87">
        <f>IF(J12=0,0,1000000*J12/TrRail_act!J29/1000)</f>
        <v>1118.7424000699682</v>
      </c>
      <c r="K52" s="87">
        <f>IF(K12=0,0,1000000*K12/TrRail_act!K29/1000)</f>
        <v>1059.3631677428352</v>
      </c>
      <c r="L52" s="87">
        <f>IF(L12=0,0,1000000*L12/TrRail_act!L29/1000)</f>
        <v>1064.5901314850755</v>
      </c>
      <c r="M52" s="87">
        <f>IF(M12=0,0,1000000*M12/TrRail_act!M29/1000)</f>
        <v>1052.9457469786073</v>
      </c>
      <c r="N52" s="87">
        <f>IF(N12=0,0,1000000*N12/TrRail_act!N29/1000)</f>
        <v>1040.1721578118882</v>
      </c>
      <c r="O52" s="87">
        <f>IF(O12=0,0,1000000*O12/TrRail_act!O29/1000)</f>
        <v>993.92300856677093</v>
      </c>
      <c r="P52" s="87">
        <f>IF(P12=0,0,1000000*P12/TrRail_act!P29/1000)</f>
        <v>1005.2858023497834</v>
      </c>
      <c r="Q52" s="87">
        <f>IF(Q12=0,0,1000000*Q12/TrRail_act!Q29/1000)</f>
        <v>983.57651379359254</v>
      </c>
      <c r="R52" s="87">
        <f>IF(R12=0,0,1000000*R12/TrRail_act!R29/1000)</f>
        <v>961.88891581212931</v>
      </c>
      <c r="S52" s="87">
        <f>IF(S12=0,0,1000000*S12/TrRail_act!S29/1000)</f>
        <v>960.57184135591456</v>
      </c>
      <c r="T52" s="87">
        <f>IF(T12=0,0,1000000*T12/TrRail_act!T29/1000)</f>
        <v>834.59045598327157</v>
      </c>
      <c r="U52" s="87">
        <f>IF(U12=0,0,1000000*U12/TrRail_act!U29/1000)</f>
        <v>688.20860206612281</v>
      </c>
      <c r="V52" s="87">
        <f>IF(V12=0,0,1000000*V12/TrRail_act!V29/1000)</f>
        <v>752.15569147922338</v>
      </c>
      <c r="W52" s="87">
        <f>IF(W12=0,0,1000000*W12/TrRail_act!W29/1000)</f>
        <v>906.04489919982302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1190.1734605916592</v>
      </c>
      <c r="C55" s="29">
        <f>IF(C15=0,0,1000000*C15/TrRail_act!C32/1000)</f>
        <v>1160.0785436933563</v>
      </c>
      <c r="D55" s="29">
        <f>IF(D15=0,0,1000000*D15/TrRail_act!D32/1000)</f>
        <v>1084.8481131172528</v>
      </c>
      <c r="E55" s="29">
        <f>IF(E15=0,0,1000000*E15/TrRail_act!E32/1000)</f>
        <v>1042.2001374408051</v>
      </c>
      <c r="F55" s="29">
        <f>IF(F15=0,0,1000000*F15/TrRail_act!F32/1000)</f>
        <v>1047.0095128871958</v>
      </c>
      <c r="G55" s="29">
        <f>IF(G15=0,0,1000000*G15/TrRail_act!G32/1000)</f>
        <v>1063.3798693774943</v>
      </c>
      <c r="H55" s="29">
        <f>IF(H15=0,0,1000000*H15/TrRail_act!H32/1000)</f>
        <v>1010.0045750445591</v>
      </c>
      <c r="I55" s="29">
        <f>IF(I15=0,0,1000000*I15/TrRail_act!I32/1000)</f>
        <v>830.78051481246735</v>
      </c>
      <c r="J55" s="29">
        <f>IF(J15=0,0,1000000*J15/TrRail_act!J32/1000)</f>
        <v>871.56528491418533</v>
      </c>
      <c r="K55" s="29">
        <f>IF(K15=0,0,1000000*K15/TrRail_act!K32/1000)</f>
        <v>797.90812203836651</v>
      </c>
      <c r="L55" s="29">
        <f>IF(L15=0,0,1000000*L15/TrRail_act!L32/1000)</f>
        <v>820.02776923296108</v>
      </c>
      <c r="M55" s="29">
        <f>IF(M15=0,0,1000000*M15/TrRail_act!M32/1000)</f>
        <v>835.29644530016674</v>
      </c>
      <c r="N55" s="29">
        <f>IF(N15=0,0,1000000*N15/TrRail_act!N32/1000)</f>
        <v>887.75022288510979</v>
      </c>
      <c r="O55" s="29">
        <f>IF(O15=0,0,1000000*O15/TrRail_act!O32/1000)</f>
        <v>880.99790715443487</v>
      </c>
      <c r="P55" s="29">
        <f>IF(P15=0,0,1000000*P15/TrRail_act!P32/1000)</f>
        <v>709.86669730109304</v>
      </c>
      <c r="Q55" s="29">
        <f>IF(Q15=0,0,1000000*Q15/TrRail_act!Q32/1000)</f>
        <v>561.7348034705584</v>
      </c>
      <c r="R55" s="29">
        <f>IF(R15=0,0,1000000*R15/TrRail_act!R32/1000)</f>
        <v>576.2622896647872</v>
      </c>
      <c r="S55" s="29">
        <f>IF(S15=0,0,1000000*S15/TrRail_act!S32/1000)</f>
        <v>492.28547108888932</v>
      </c>
      <c r="T55" s="29">
        <f>IF(T15=0,0,1000000*T15/TrRail_act!T32/1000)</f>
        <v>624.10993347567239</v>
      </c>
      <c r="U55" s="29">
        <f>IF(U15=0,0,1000000*U15/TrRail_act!U32/1000)</f>
        <v>693.39518218510932</v>
      </c>
      <c r="V55" s="29">
        <f>IF(V15=0,0,1000000*V15/TrRail_act!V32/1000)</f>
        <v>632.73978178110895</v>
      </c>
      <c r="W55" s="29">
        <f>IF(W15=0,0,1000000*W15/TrRail_act!W32/1000)</f>
        <v>718.70917377071373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3544.5373946167338</v>
      </c>
      <c r="C56" s="87">
        <f>IF(C16=0,0,1000000*C16/TrRail_act!C33/1000)</f>
        <v>3472.000459441042</v>
      </c>
      <c r="D56" s="87">
        <f>IF(D16=0,0,1000000*D16/TrRail_act!D33/1000)</f>
        <v>3409.9844135497838</v>
      </c>
      <c r="E56" s="87">
        <f>IF(E16=0,0,1000000*E16/TrRail_act!E33/1000)</f>
        <v>3300.59991762049</v>
      </c>
      <c r="F56" s="87">
        <f>IF(F16=0,0,1000000*F16/TrRail_act!F33/1000)</f>
        <v>3242.6111299156983</v>
      </c>
      <c r="G56" s="87">
        <f>IF(G16=0,0,1000000*G16/TrRail_act!G33/1000)</f>
        <v>3172.9920825752097</v>
      </c>
      <c r="H56" s="87">
        <f>IF(H16=0,0,1000000*H16/TrRail_act!H33/1000)</f>
        <v>3104.4659930651942</v>
      </c>
      <c r="I56" s="87">
        <f>IF(I16=0,0,1000000*I16/TrRail_act!I33/1000)</f>
        <v>2775.7554754457201</v>
      </c>
      <c r="J56" s="87">
        <f>IF(J16=0,0,1000000*J16/TrRail_act!J33/1000)</f>
        <v>3015.4562482763436</v>
      </c>
      <c r="K56" s="87">
        <f>IF(K16=0,0,1000000*K16/TrRail_act!K33/1000)</f>
        <v>2805.0891355294043</v>
      </c>
      <c r="L56" s="87">
        <f>IF(L16=0,0,1000000*L16/TrRail_act!L33/1000)</f>
        <v>2882.4873748050913</v>
      </c>
      <c r="M56" s="87">
        <f>IF(M16=0,0,1000000*M16/TrRail_act!M33/1000)</f>
        <v>2899.1208224335742</v>
      </c>
      <c r="N56" s="87">
        <f>IF(N16=0,0,1000000*N16/TrRail_act!N33/1000)</f>
        <v>2847.6188866448779</v>
      </c>
      <c r="O56" s="87">
        <f>IF(O16=0,0,1000000*O16/TrRail_act!O33/1000)</f>
        <v>2775.6699738915463</v>
      </c>
      <c r="P56" s="87">
        <f>IF(P16=0,0,1000000*P16/TrRail_act!P33/1000)</f>
        <v>2668.6600466147047</v>
      </c>
      <c r="Q56" s="87">
        <f>IF(Q16=0,0,1000000*Q16/TrRail_act!Q33/1000)</f>
        <v>2176.4698818812026</v>
      </c>
      <c r="R56" s="87">
        <f>IF(R16=0,0,1000000*R16/TrRail_act!R33/1000)</f>
        <v>2605.0827758367236</v>
      </c>
      <c r="S56" s="87">
        <f>IF(S16=0,0,1000000*S16/TrRail_act!S33/1000)</f>
        <v>2601.3411367614781</v>
      </c>
      <c r="T56" s="87">
        <f>IF(T16=0,0,1000000*T16/TrRail_act!T33/1000)</f>
        <v>2578.1757391287119</v>
      </c>
      <c r="U56" s="87">
        <f>IF(U16=0,0,1000000*U16/TrRail_act!U33/1000)</f>
        <v>2560.9372510282424</v>
      </c>
      <c r="V56" s="87">
        <f>IF(V16=0,0,1000000*V16/TrRail_act!V33/1000)</f>
        <v>2548.0840062181942</v>
      </c>
      <c r="W56" s="87">
        <f>IF(W16=0,0,1000000*W16/TrRail_act!W33/1000)</f>
        <v>2457.6396923883776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0.34185432383877978</v>
      </c>
      <c r="C60" s="31">
        <f t="shared" ref="C60:V60" si="8">IF(C9=0,0,C9/C$8)</f>
        <v>0.31827651121300699</v>
      </c>
      <c r="D60" s="31">
        <f t="shared" si="8"/>
        <v>0.33586474466956218</v>
      </c>
      <c r="E60" s="31">
        <f t="shared" si="8"/>
        <v>0.34640851800663741</v>
      </c>
      <c r="F60" s="31">
        <f t="shared" si="8"/>
        <v>0.32825585108249983</v>
      </c>
      <c r="G60" s="31">
        <f t="shared" si="8"/>
        <v>0.29824418412731418</v>
      </c>
      <c r="H60" s="31">
        <f t="shared" si="8"/>
        <v>0.29199544491679835</v>
      </c>
      <c r="I60" s="31">
        <f t="shared" si="8"/>
        <v>0.29189424106338979</v>
      </c>
      <c r="J60" s="31">
        <f t="shared" si="8"/>
        <v>0.2915501546722124</v>
      </c>
      <c r="K60" s="31">
        <f t="shared" si="8"/>
        <v>0.29125859975056406</v>
      </c>
      <c r="L60" s="31">
        <f t="shared" si="8"/>
        <v>0.31394370644153863</v>
      </c>
      <c r="M60" s="31">
        <f t="shared" si="8"/>
        <v>0.33607585880793878</v>
      </c>
      <c r="N60" s="31">
        <f t="shared" si="8"/>
        <v>0.29517601205697169</v>
      </c>
      <c r="O60" s="31">
        <f t="shared" si="8"/>
        <v>0.26975577869672968</v>
      </c>
      <c r="P60" s="31">
        <f t="shared" si="8"/>
        <v>0.33175875837652635</v>
      </c>
      <c r="Q60" s="31">
        <f t="shared" si="8"/>
        <v>0.41632208600616771</v>
      </c>
      <c r="R60" s="31">
        <f t="shared" si="8"/>
        <v>0.37542813124741364</v>
      </c>
      <c r="S60" s="31">
        <f t="shared" si="8"/>
        <v>0.40545260097257518</v>
      </c>
      <c r="T60" s="31">
        <f t="shared" si="8"/>
        <v>0.28084094940460758</v>
      </c>
      <c r="U60" s="31">
        <f t="shared" si="8"/>
        <v>0.20675844354204814</v>
      </c>
      <c r="V60" s="31">
        <f t="shared" si="8"/>
        <v>0.20614645301171569</v>
      </c>
      <c r="W60" s="31">
        <f t="shared" ref="W60" si="9">IF(W9=0,0,W9/W$8)</f>
        <v>0.1771156290835901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0.34185432383877978</v>
      </c>
      <c r="C62" s="124">
        <f t="shared" ref="C62:V62" si="12">IF(C11=0,0,C11/C$8)</f>
        <v>0.31827651121300699</v>
      </c>
      <c r="D62" s="124">
        <f t="shared" si="12"/>
        <v>0.33586474466956218</v>
      </c>
      <c r="E62" s="124">
        <f t="shared" si="12"/>
        <v>0.34640851800663741</v>
      </c>
      <c r="F62" s="124">
        <f t="shared" si="12"/>
        <v>0.32825585108249983</v>
      </c>
      <c r="G62" s="124">
        <f t="shared" si="12"/>
        <v>0.29824418412731418</v>
      </c>
      <c r="H62" s="124">
        <f t="shared" si="12"/>
        <v>0.29199544491679835</v>
      </c>
      <c r="I62" s="124">
        <f t="shared" si="12"/>
        <v>0.29189424106338979</v>
      </c>
      <c r="J62" s="124">
        <f t="shared" si="12"/>
        <v>0.2915501546722124</v>
      </c>
      <c r="K62" s="124">
        <f t="shared" si="12"/>
        <v>0.29125859975056406</v>
      </c>
      <c r="L62" s="124">
        <f t="shared" si="12"/>
        <v>0.31394370644153863</v>
      </c>
      <c r="M62" s="124">
        <f t="shared" si="12"/>
        <v>0.33607585880793878</v>
      </c>
      <c r="N62" s="124">
        <f t="shared" si="12"/>
        <v>0.29517601205697169</v>
      </c>
      <c r="O62" s="124">
        <f t="shared" si="12"/>
        <v>0.26975577869672968</v>
      </c>
      <c r="P62" s="124">
        <f t="shared" si="12"/>
        <v>0.33175875837652635</v>
      </c>
      <c r="Q62" s="124">
        <f t="shared" si="12"/>
        <v>0.41632208600616771</v>
      </c>
      <c r="R62" s="124">
        <f t="shared" si="12"/>
        <v>0.37542813124741364</v>
      </c>
      <c r="S62" s="124">
        <f t="shared" si="12"/>
        <v>0.40545260097257518</v>
      </c>
      <c r="T62" s="124">
        <f t="shared" si="12"/>
        <v>0.28084094940460758</v>
      </c>
      <c r="U62" s="124">
        <f t="shared" si="12"/>
        <v>0.20675844354204814</v>
      </c>
      <c r="V62" s="124">
        <f t="shared" si="12"/>
        <v>0.20614645301171569</v>
      </c>
      <c r="W62" s="124">
        <f t="shared" ref="W62" si="13">IF(W11=0,0,W11/W$8)</f>
        <v>0.1771156290835901</v>
      </c>
      <c r="DA62" s="176"/>
    </row>
    <row r="63" spans="1:105" ht="11.45" customHeight="1" x14ac:dyDescent="0.25">
      <c r="A63" s="111" t="s">
        <v>92</v>
      </c>
      <c r="B63" s="125">
        <f t="shared" si="5"/>
        <v>0.34185432383877978</v>
      </c>
      <c r="C63" s="125">
        <f t="shared" ref="C63:V63" si="14">IF(C12=0,0,C12/C$8)</f>
        <v>0.31827651121300699</v>
      </c>
      <c r="D63" s="125">
        <f t="shared" si="14"/>
        <v>0.33586474466956218</v>
      </c>
      <c r="E63" s="125">
        <f t="shared" si="14"/>
        <v>0.34640851800663741</v>
      </c>
      <c r="F63" s="125">
        <f t="shared" si="14"/>
        <v>0.32825585108249983</v>
      </c>
      <c r="G63" s="125">
        <f t="shared" si="14"/>
        <v>0.29824418412731418</v>
      </c>
      <c r="H63" s="125">
        <f t="shared" si="14"/>
        <v>0.29199544491679835</v>
      </c>
      <c r="I63" s="125">
        <f t="shared" si="14"/>
        <v>0.29189424106338979</v>
      </c>
      <c r="J63" s="125">
        <f t="shared" si="14"/>
        <v>0.2915501546722124</v>
      </c>
      <c r="K63" s="125">
        <f t="shared" si="14"/>
        <v>0.29125859975056406</v>
      </c>
      <c r="L63" s="125">
        <f t="shared" si="14"/>
        <v>0.31394370644153863</v>
      </c>
      <c r="M63" s="125">
        <f t="shared" si="14"/>
        <v>0.33607585880793878</v>
      </c>
      <c r="N63" s="125">
        <f t="shared" si="14"/>
        <v>0.29517601205697169</v>
      </c>
      <c r="O63" s="125">
        <f t="shared" si="14"/>
        <v>0.26975577869672968</v>
      </c>
      <c r="P63" s="125">
        <f t="shared" si="14"/>
        <v>0.33175875837652635</v>
      </c>
      <c r="Q63" s="125">
        <f t="shared" si="14"/>
        <v>0.41632208600616771</v>
      </c>
      <c r="R63" s="125">
        <f t="shared" si="14"/>
        <v>0.37542813124741364</v>
      </c>
      <c r="S63" s="125">
        <f t="shared" si="14"/>
        <v>0.40545260097257518</v>
      </c>
      <c r="T63" s="125">
        <f t="shared" si="14"/>
        <v>0.28084094940460758</v>
      </c>
      <c r="U63" s="125">
        <f t="shared" si="14"/>
        <v>0.20675844354204814</v>
      </c>
      <c r="V63" s="125">
        <f t="shared" si="14"/>
        <v>0.20614645301171569</v>
      </c>
      <c r="W63" s="125">
        <f t="shared" ref="W63" si="15">IF(W12=0,0,W12/W$8)</f>
        <v>0.1771156290835901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0.65814567616122022</v>
      </c>
      <c r="C66" s="31">
        <f t="shared" ref="C66:V66" si="20">IF(C15=0,0,C15/C$8)</f>
        <v>0.68172348878699296</v>
      </c>
      <c r="D66" s="31">
        <f t="shared" si="20"/>
        <v>0.66413525533043782</v>
      </c>
      <c r="E66" s="31">
        <f t="shared" si="20"/>
        <v>0.65359148199336259</v>
      </c>
      <c r="F66" s="31">
        <f t="shared" si="20"/>
        <v>0.67174414891750023</v>
      </c>
      <c r="G66" s="31">
        <f t="shared" si="20"/>
        <v>0.70175581587268565</v>
      </c>
      <c r="H66" s="31">
        <f t="shared" si="20"/>
        <v>0.70800455508320159</v>
      </c>
      <c r="I66" s="31">
        <f t="shared" si="20"/>
        <v>0.7081057589366101</v>
      </c>
      <c r="J66" s="31">
        <f t="shared" si="20"/>
        <v>0.70844984532778754</v>
      </c>
      <c r="K66" s="31">
        <f t="shared" si="20"/>
        <v>0.70874140024943588</v>
      </c>
      <c r="L66" s="31">
        <f t="shared" si="20"/>
        <v>0.68605629355846132</v>
      </c>
      <c r="M66" s="31">
        <f t="shared" si="20"/>
        <v>0.66392414119206122</v>
      </c>
      <c r="N66" s="31">
        <f t="shared" si="20"/>
        <v>0.70482398794302836</v>
      </c>
      <c r="O66" s="31">
        <f t="shared" si="20"/>
        <v>0.73024422130327038</v>
      </c>
      <c r="P66" s="31">
        <f t="shared" si="20"/>
        <v>0.66824124162347365</v>
      </c>
      <c r="Q66" s="31">
        <f t="shared" si="20"/>
        <v>0.58367791399383229</v>
      </c>
      <c r="R66" s="31">
        <f t="shared" si="20"/>
        <v>0.6245718687525863</v>
      </c>
      <c r="S66" s="31">
        <f t="shared" si="20"/>
        <v>0.59454739902742482</v>
      </c>
      <c r="T66" s="31">
        <f t="shared" si="20"/>
        <v>0.71915905059539231</v>
      </c>
      <c r="U66" s="31">
        <f t="shared" si="20"/>
        <v>0.79324155645795191</v>
      </c>
      <c r="V66" s="31">
        <f t="shared" si="20"/>
        <v>0.79385354698828425</v>
      </c>
      <c r="W66" s="31">
        <f t="shared" ref="W66" si="21">IF(W15=0,0,W15/W$8)</f>
        <v>0.82288437091640998</v>
      </c>
      <c r="DA66" s="173"/>
    </row>
    <row r="67" spans="1:105" ht="11.45" customHeight="1" x14ac:dyDescent="0.25">
      <c r="A67" s="83" t="s">
        <v>92</v>
      </c>
      <c r="B67" s="125">
        <f t="shared" si="5"/>
        <v>0.65814567616122022</v>
      </c>
      <c r="C67" s="125">
        <f t="shared" ref="C67:V67" si="22">IF(C16=0,0,C16/C$8)</f>
        <v>0.68172348878699296</v>
      </c>
      <c r="D67" s="125">
        <f t="shared" si="22"/>
        <v>0.66413525533043782</v>
      </c>
      <c r="E67" s="125">
        <f t="shared" si="22"/>
        <v>0.65359148199336259</v>
      </c>
      <c r="F67" s="125">
        <f t="shared" si="22"/>
        <v>0.67174414891750023</v>
      </c>
      <c r="G67" s="125">
        <f t="shared" si="22"/>
        <v>0.70175581587268565</v>
      </c>
      <c r="H67" s="125">
        <f t="shared" si="22"/>
        <v>0.70800455508320159</v>
      </c>
      <c r="I67" s="125">
        <f t="shared" si="22"/>
        <v>0.7081057589366101</v>
      </c>
      <c r="J67" s="125">
        <f t="shared" si="22"/>
        <v>0.70844984532778754</v>
      </c>
      <c r="K67" s="125">
        <f t="shared" si="22"/>
        <v>0.70874140024943588</v>
      </c>
      <c r="L67" s="125">
        <f t="shared" si="22"/>
        <v>0.68605629355846132</v>
      </c>
      <c r="M67" s="125">
        <f t="shared" si="22"/>
        <v>0.66392414119206122</v>
      </c>
      <c r="N67" s="125">
        <f t="shared" si="22"/>
        <v>0.70482398794302836</v>
      </c>
      <c r="O67" s="125">
        <f t="shared" si="22"/>
        <v>0.73024422130327038</v>
      </c>
      <c r="P67" s="125">
        <f t="shared" si="22"/>
        <v>0.66824124162347365</v>
      </c>
      <c r="Q67" s="125">
        <f t="shared" si="22"/>
        <v>0.58367791399383229</v>
      </c>
      <c r="R67" s="125">
        <f t="shared" si="22"/>
        <v>0.6245718687525863</v>
      </c>
      <c r="S67" s="125">
        <f t="shared" si="22"/>
        <v>0.59454739902742482</v>
      </c>
      <c r="T67" s="125">
        <f t="shared" si="22"/>
        <v>0.71915905059539231</v>
      </c>
      <c r="U67" s="125">
        <f t="shared" si="22"/>
        <v>0.79324155645795191</v>
      </c>
      <c r="V67" s="125">
        <f t="shared" si="22"/>
        <v>0.79385354698828425</v>
      </c>
      <c r="W67" s="125">
        <f t="shared" ref="W67" si="23">IF(W16=0,0,W16/W$8)</f>
        <v>0.82288437091640998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10353.001770387067</v>
      </c>
      <c r="C4" s="11">
        <f t="shared" si="0"/>
        <v>10407.823765800382</v>
      </c>
      <c r="D4" s="11">
        <f t="shared" ref="D4:V4" si="1">SUM(D5:D7)</f>
        <v>10233.352921681777</v>
      </c>
      <c r="E4" s="11">
        <f t="shared" si="1"/>
        <v>10110.727815185104</v>
      </c>
      <c r="F4" s="11">
        <f t="shared" si="1"/>
        <v>11471.056255560108</v>
      </c>
      <c r="G4" s="11">
        <f t="shared" si="1"/>
        <v>12425.615994127456</v>
      </c>
      <c r="H4" s="11">
        <f t="shared" si="1"/>
        <v>13683.136022151975</v>
      </c>
      <c r="I4" s="11">
        <f t="shared" si="1"/>
        <v>15857.51741262856</v>
      </c>
      <c r="J4" s="11">
        <f t="shared" si="1"/>
        <v>16473.935485181872</v>
      </c>
      <c r="K4" s="11">
        <f t="shared" si="1"/>
        <v>15675.845964201817</v>
      </c>
      <c r="L4" s="11">
        <f t="shared" si="1"/>
        <v>16517.499736426562</v>
      </c>
      <c r="M4" s="11">
        <f t="shared" si="1"/>
        <v>18944.839665435869</v>
      </c>
      <c r="N4" s="11">
        <f t="shared" si="1"/>
        <v>19787.546077131599</v>
      </c>
      <c r="O4" s="11">
        <f t="shared" si="1"/>
        <v>20123.364881229325</v>
      </c>
      <c r="P4" s="11">
        <f t="shared" si="1"/>
        <v>20863.30938790099</v>
      </c>
      <c r="Q4" s="11">
        <f t="shared" si="1"/>
        <v>20732.439035838201</v>
      </c>
      <c r="R4" s="11">
        <f t="shared" si="1"/>
        <v>21689.315637835472</v>
      </c>
      <c r="S4" s="11">
        <f t="shared" si="1"/>
        <v>24893.708640615881</v>
      </c>
      <c r="T4" s="11">
        <f t="shared" si="1"/>
        <v>27679.972286590579</v>
      </c>
      <c r="U4" s="11">
        <f t="shared" si="1"/>
        <v>29707.303843648773</v>
      </c>
      <c r="V4" s="11">
        <f t="shared" si="1"/>
        <v>7031.4372827511634</v>
      </c>
      <c r="W4" s="11">
        <f t="shared" ref="W4" si="2">SUM(W5:W7)</f>
        <v>4794.8437865843971</v>
      </c>
      <c r="DA4" s="189" t="s">
        <v>189</v>
      </c>
    </row>
    <row r="5" spans="1:105" ht="11.45" customHeight="1" x14ac:dyDescent="0.25">
      <c r="A5" s="83" t="s">
        <v>27</v>
      </c>
      <c r="B5" s="84">
        <v>1581.7238574533208</v>
      </c>
      <c r="C5" s="84">
        <v>1555.0931924780418</v>
      </c>
      <c r="D5" s="84">
        <v>1560.5016762693785</v>
      </c>
      <c r="E5" s="84">
        <v>1349.3612681248931</v>
      </c>
      <c r="F5" s="84">
        <v>1427.6370187749658</v>
      </c>
      <c r="G5" s="84">
        <v>1416.5376334822263</v>
      </c>
      <c r="H5" s="84">
        <v>1383.2669553704632</v>
      </c>
      <c r="I5" s="84">
        <v>1454.948591500977</v>
      </c>
      <c r="J5" s="84">
        <v>1348.6660830597605</v>
      </c>
      <c r="K5" s="84">
        <v>1227.996803990661</v>
      </c>
      <c r="L5" s="84">
        <v>1193.0116949863016</v>
      </c>
      <c r="M5" s="84">
        <v>1415.1752012033153</v>
      </c>
      <c r="N5" s="84">
        <v>1413.9089597816592</v>
      </c>
      <c r="O5" s="84">
        <v>1276.125496875545</v>
      </c>
      <c r="P5" s="84">
        <v>1329.6104518585662</v>
      </c>
      <c r="Q5" s="84">
        <v>1339.2269261952556</v>
      </c>
      <c r="R5" s="84">
        <v>1409.515561635744</v>
      </c>
      <c r="S5" s="84">
        <v>1509.8542840339583</v>
      </c>
      <c r="T5" s="84">
        <v>1690.3659844694091</v>
      </c>
      <c r="U5" s="84">
        <v>1694.5390770315578</v>
      </c>
      <c r="V5" s="84">
        <v>634.13033037192974</v>
      </c>
      <c r="W5" s="84">
        <v>558.76842118009063</v>
      </c>
      <c r="DA5" s="171" t="s">
        <v>190</v>
      </c>
    </row>
    <row r="6" spans="1:105" ht="11.45" customHeight="1" x14ac:dyDescent="0.25">
      <c r="A6" s="83" t="s">
        <v>173</v>
      </c>
      <c r="B6" s="84">
        <v>5826.1683499899627</v>
      </c>
      <c r="C6" s="84">
        <v>5992.6413450937507</v>
      </c>
      <c r="D6" s="84">
        <v>5846.1499419412658</v>
      </c>
      <c r="E6" s="84">
        <v>5927.9101324965104</v>
      </c>
      <c r="F6" s="84">
        <v>6428.8300983602976</v>
      </c>
      <c r="G6" s="84">
        <v>6810.3898423823566</v>
      </c>
      <c r="H6" s="84">
        <v>7367.6841119735182</v>
      </c>
      <c r="I6" s="84">
        <v>7720.1224092972925</v>
      </c>
      <c r="J6" s="84">
        <v>7445.4059920519476</v>
      </c>
      <c r="K6" s="84">
        <v>7076.1838767936706</v>
      </c>
      <c r="L6" s="84">
        <v>7198.4637167074034</v>
      </c>
      <c r="M6" s="84">
        <v>8177.9951703814186</v>
      </c>
      <c r="N6" s="84">
        <v>8207.7728542902514</v>
      </c>
      <c r="O6" s="84">
        <v>8661.637965951033</v>
      </c>
      <c r="P6" s="84">
        <v>9651.1993962608831</v>
      </c>
      <c r="Q6" s="84">
        <v>9374.7506054840105</v>
      </c>
      <c r="R6" s="84">
        <v>9796.2197917799094</v>
      </c>
      <c r="S6" s="84">
        <v>11108.70983557571</v>
      </c>
      <c r="T6" s="84">
        <v>12063.778768940178</v>
      </c>
      <c r="U6" s="84">
        <v>12412.891908649453</v>
      </c>
      <c r="V6" s="84">
        <v>2726.2833397589202</v>
      </c>
      <c r="W6" s="84">
        <v>2443.6853759126293</v>
      </c>
      <c r="DA6" s="171" t="s">
        <v>191</v>
      </c>
    </row>
    <row r="7" spans="1:105" ht="11.45" customHeight="1" x14ac:dyDescent="0.25">
      <c r="A7" s="83" t="s">
        <v>174</v>
      </c>
      <c r="B7" s="84">
        <v>2945.1095629437841</v>
      </c>
      <c r="C7" s="84">
        <v>2860.0892282285886</v>
      </c>
      <c r="D7" s="84">
        <v>2826.7013034711317</v>
      </c>
      <c r="E7" s="84">
        <v>2833.4564145637005</v>
      </c>
      <c r="F7" s="84">
        <v>3614.5891384248444</v>
      </c>
      <c r="G7" s="84">
        <v>4198.688518262873</v>
      </c>
      <c r="H7" s="84">
        <v>4932.1849548079936</v>
      </c>
      <c r="I7" s="84">
        <v>6682.4464118302922</v>
      </c>
      <c r="J7" s="84">
        <v>7679.8634100701647</v>
      </c>
      <c r="K7" s="84">
        <v>7371.6652834174865</v>
      </c>
      <c r="L7" s="84">
        <v>8126.0243247328572</v>
      </c>
      <c r="M7" s="84">
        <v>9351.6692938511351</v>
      </c>
      <c r="N7" s="84">
        <v>10165.864263059688</v>
      </c>
      <c r="O7" s="84">
        <v>10185.601418402748</v>
      </c>
      <c r="P7" s="84">
        <v>9882.4995397815383</v>
      </c>
      <c r="Q7" s="84">
        <v>10018.461504158935</v>
      </c>
      <c r="R7" s="84">
        <v>10483.580284419819</v>
      </c>
      <c r="S7" s="84">
        <v>12275.144521006214</v>
      </c>
      <c r="T7" s="84">
        <v>13925.827533180995</v>
      </c>
      <c r="U7" s="84">
        <v>15599.872857967763</v>
      </c>
      <c r="V7" s="84">
        <v>3671.0236126203131</v>
      </c>
      <c r="W7" s="84">
        <v>1792.3899894916774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128.74610128790547</v>
      </c>
      <c r="C8" s="13">
        <f t="shared" si="3"/>
        <v>107.06970772358019</v>
      </c>
      <c r="D8" s="13">
        <f t="shared" ref="D8:V8" si="4">SUM(D9:D11)</f>
        <v>101.77847609085096</v>
      </c>
      <c r="E8" s="13">
        <f t="shared" si="4"/>
        <v>116.65593016465691</v>
      </c>
      <c r="F8" s="13">
        <f t="shared" si="4"/>
        <v>146.17626544007368</v>
      </c>
      <c r="G8" s="13">
        <f t="shared" si="4"/>
        <v>162.76587623836184</v>
      </c>
      <c r="H8" s="13">
        <f t="shared" si="4"/>
        <v>151.45091754276078</v>
      </c>
      <c r="I8" s="13">
        <f t="shared" si="4"/>
        <v>169.82939507283044</v>
      </c>
      <c r="J8" s="13">
        <f t="shared" si="4"/>
        <v>140.0079470702255</v>
      </c>
      <c r="K8" s="13">
        <f t="shared" si="4"/>
        <v>99.304461631619731</v>
      </c>
      <c r="L8" s="13">
        <f t="shared" si="4"/>
        <v>96.623412899139325</v>
      </c>
      <c r="M8" s="13">
        <f t="shared" si="4"/>
        <v>130.62771542639311</v>
      </c>
      <c r="N8" s="13">
        <f t="shared" si="4"/>
        <v>176.44645447369859</v>
      </c>
      <c r="O8" s="13">
        <f t="shared" si="4"/>
        <v>162.9947348572513</v>
      </c>
      <c r="P8" s="13">
        <f t="shared" si="4"/>
        <v>145.96750003051341</v>
      </c>
      <c r="Q8" s="13">
        <f t="shared" si="4"/>
        <v>129.61914130161713</v>
      </c>
      <c r="R8" s="13">
        <f t="shared" si="4"/>
        <v>148.29338924327689</v>
      </c>
      <c r="S8" s="13">
        <f t="shared" si="4"/>
        <v>150.42952941806331</v>
      </c>
      <c r="T8" s="13">
        <f t="shared" si="4"/>
        <v>142.31455527577506</v>
      </c>
      <c r="U8" s="13">
        <f t="shared" si="4"/>
        <v>164.45241689634702</v>
      </c>
      <c r="V8" s="13">
        <f t="shared" si="4"/>
        <v>112.68811196525499</v>
      </c>
      <c r="W8" s="13">
        <f t="shared" ref="W8" si="5">SUM(W9:W11)</f>
        <v>103.84934910766434</v>
      </c>
      <c r="DA8" s="193" t="s">
        <v>193</v>
      </c>
    </row>
    <row r="9" spans="1:105" ht="11.45" customHeight="1" x14ac:dyDescent="0.25">
      <c r="A9" s="92" t="s">
        <v>27</v>
      </c>
      <c r="B9" s="102">
        <v>2.9315649657376506</v>
      </c>
      <c r="C9" s="102">
        <v>2.2016485222813249</v>
      </c>
      <c r="D9" s="102">
        <v>2.1422305104099548</v>
      </c>
      <c r="E9" s="102">
        <v>1.9099586253492435</v>
      </c>
      <c r="F9" s="102">
        <v>1.7985280936149504</v>
      </c>
      <c r="G9" s="102">
        <v>1.7840100595015349</v>
      </c>
      <c r="H9" s="102">
        <v>1.4721985542424845</v>
      </c>
      <c r="I9" s="102">
        <v>1.1925421683137485</v>
      </c>
      <c r="J9" s="102">
        <v>0.81362850082849814</v>
      </c>
      <c r="K9" s="102">
        <v>0.82183492446642548</v>
      </c>
      <c r="L9" s="102">
        <v>0.60029156246327531</v>
      </c>
      <c r="M9" s="102">
        <v>0.75663126909621958</v>
      </c>
      <c r="N9" s="102">
        <v>1.0555292102715659</v>
      </c>
      <c r="O9" s="102">
        <v>0.91763552534753368</v>
      </c>
      <c r="P9" s="102">
        <v>0.78849551915543692</v>
      </c>
      <c r="Q9" s="102">
        <v>0.76132297599969601</v>
      </c>
      <c r="R9" s="102">
        <v>0.92915146598357579</v>
      </c>
      <c r="S9" s="102">
        <v>0.68326314168642699</v>
      </c>
      <c r="T9" s="102">
        <v>0.46878329478029701</v>
      </c>
      <c r="U9" s="102">
        <v>0.53007279109928618</v>
      </c>
      <c r="V9" s="102">
        <v>0.57757494859956715</v>
      </c>
      <c r="W9" s="102">
        <v>0.48007127587212545</v>
      </c>
      <c r="DA9" s="175" t="s">
        <v>194</v>
      </c>
    </row>
    <row r="10" spans="1:105" ht="11.45" customHeight="1" x14ac:dyDescent="0.25">
      <c r="A10" s="92" t="s">
        <v>173</v>
      </c>
      <c r="B10" s="102">
        <v>35.170367044307788</v>
      </c>
      <c r="C10" s="102">
        <v>33.588747746067654</v>
      </c>
      <c r="D10" s="102">
        <v>27.846346711379557</v>
      </c>
      <c r="E10" s="102">
        <v>46.510541960785652</v>
      </c>
      <c r="F10" s="102">
        <v>56.756720086566908</v>
      </c>
      <c r="G10" s="102">
        <v>56.014872652168165</v>
      </c>
      <c r="H10" s="102">
        <v>54.4308258717681</v>
      </c>
      <c r="I10" s="102">
        <v>56.340729215164394</v>
      </c>
      <c r="J10" s="102">
        <v>43.278838032243094</v>
      </c>
      <c r="K10" s="102">
        <v>39.144877890942112</v>
      </c>
      <c r="L10" s="102">
        <v>38.228970292750894</v>
      </c>
      <c r="M10" s="102">
        <v>34.894100049683239</v>
      </c>
      <c r="N10" s="102">
        <v>36.853422449972648</v>
      </c>
      <c r="O10" s="102">
        <v>44.054092696021179</v>
      </c>
      <c r="P10" s="102">
        <v>54.997516928545124</v>
      </c>
      <c r="Q10" s="102">
        <v>57.242995579649772</v>
      </c>
      <c r="R10" s="102">
        <v>54.941141680033311</v>
      </c>
      <c r="S10" s="102">
        <v>52.283351228877017</v>
      </c>
      <c r="T10" s="102">
        <v>45.698654237876433</v>
      </c>
      <c r="U10" s="102">
        <v>60.661379937634266</v>
      </c>
      <c r="V10" s="102">
        <v>33.036239217442649</v>
      </c>
      <c r="W10" s="102">
        <v>25.953192428768382</v>
      </c>
      <c r="DA10" s="175" t="s">
        <v>195</v>
      </c>
    </row>
    <row r="11" spans="1:105" ht="11.45" customHeight="1" x14ac:dyDescent="0.25">
      <c r="A11" s="85" t="s">
        <v>174</v>
      </c>
      <c r="B11" s="86">
        <v>90.644169277860044</v>
      </c>
      <c r="C11" s="86">
        <v>71.279311455231209</v>
      </c>
      <c r="D11" s="86">
        <v>71.789898869061446</v>
      </c>
      <c r="E11" s="86">
        <v>68.235429578522016</v>
      </c>
      <c r="F11" s="86">
        <v>87.621017259891815</v>
      </c>
      <c r="G11" s="86">
        <v>104.96699352669215</v>
      </c>
      <c r="H11" s="86">
        <v>95.547893116750188</v>
      </c>
      <c r="I11" s="86">
        <v>112.2961236893523</v>
      </c>
      <c r="J11" s="86">
        <v>95.915480537153897</v>
      </c>
      <c r="K11" s="86">
        <v>59.337748816211196</v>
      </c>
      <c r="L11" s="86">
        <v>57.794151043925154</v>
      </c>
      <c r="M11" s="86">
        <v>94.97698410761366</v>
      </c>
      <c r="N11" s="86">
        <v>138.53750281345438</v>
      </c>
      <c r="O11" s="86">
        <v>118.0230066358826</v>
      </c>
      <c r="P11" s="86">
        <v>90.181487582812849</v>
      </c>
      <c r="Q11" s="86">
        <v>71.614822745967672</v>
      </c>
      <c r="R11" s="86">
        <v>92.423096097260014</v>
      </c>
      <c r="S11" s="86">
        <v>97.462915047499877</v>
      </c>
      <c r="T11" s="86">
        <v>96.147117743118343</v>
      </c>
      <c r="U11" s="86">
        <v>103.26096416761348</v>
      </c>
      <c r="V11" s="86">
        <v>79.074297799212772</v>
      </c>
      <c r="W11" s="86">
        <v>77.416085403023828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105.92078525452828</v>
      </c>
      <c r="C13" s="54">
        <f t="shared" si="6"/>
        <v>106.76729780228557</v>
      </c>
      <c r="D13" s="54">
        <f t="shared" ref="D13:V13" si="7">SUM(D14,D18)</f>
        <v>99.691441459263174</v>
      </c>
      <c r="E13" s="54">
        <f t="shared" si="7"/>
        <v>106.50799622946386</v>
      </c>
      <c r="F13" s="54">
        <f t="shared" si="7"/>
        <v>116.15130011443226</v>
      </c>
      <c r="G13" s="54">
        <f t="shared" si="7"/>
        <v>118.14173410005776</v>
      </c>
      <c r="H13" s="54">
        <f t="shared" si="7"/>
        <v>125.50059601487909</v>
      </c>
      <c r="I13" s="54">
        <f t="shared" si="7"/>
        <v>138.0175913114503</v>
      </c>
      <c r="J13" s="54">
        <f t="shared" si="7"/>
        <v>144.23567676301226</v>
      </c>
      <c r="K13" s="54">
        <f t="shared" si="7"/>
        <v>136.02388182142707</v>
      </c>
      <c r="L13" s="54">
        <f t="shared" si="7"/>
        <v>138.15055689871633</v>
      </c>
      <c r="M13" s="54">
        <f t="shared" si="7"/>
        <v>158.51093124879765</v>
      </c>
      <c r="N13" s="54">
        <f t="shared" si="7"/>
        <v>147.20687588632978</v>
      </c>
      <c r="O13" s="54">
        <f t="shared" si="7"/>
        <v>147.22364714461409</v>
      </c>
      <c r="P13" s="54">
        <f t="shared" si="7"/>
        <v>148.7858966056298</v>
      </c>
      <c r="Q13" s="54">
        <f t="shared" si="7"/>
        <v>148.08361220383659</v>
      </c>
      <c r="R13" s="54">
        <f t="shared" si="7"/>
        <v>147.61520617173991</v>
      </c>
      <c r="S13" s="54">
        <f t="shared" si="7"/>
        <v>158.09559394059471</v>
      </c>
      <c r="T13" s="54">
        <f t="shared" si="7"/>
        <v>177.21777691689351</v>
      </c>
      <c r="U13" s="54">
        <f t="shared" si="7"/>
        <v>184.58732379875323</v>
      </c>
      <c r="V13" s="54">
        <f t="shared" si="7"/>
        <v>59.487610819729035</v>
      </c>
      <c r="W13" s="54">
        <f t="shared" ref="W13" si="8">SUM(W14,W18)</f>
        <v>57.82747770875968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103.40040196082869</v>
      </c>
      <c r="C14" s="11">
        <f t="shared" si="9"/>
        <v>104.68928545802873</v>
      </c>
      <c r="D14" s="11">
        <f t="shared" ref="D14:V14" si="10">SUM(D15:D17)</f>
        <v>97.704231656250485</v>
      </c>
      <c r="E14" s="11">
        <f t="shared" si="10"/>
        <v>103.90212645822997</v>
      </c>
      <c r="F14" s="11">
        <f t="shared" si="10"/>
        <v>112.71902105659902</v>
      </c>
      <c r="G14" s="11">
        <f t="shared" si="10"/>
        <v>114.39380709433048</v>
      </c>
      <c r="H14" s="11">
        <f t="shared" si="10"/>
        <v>121.52288431997923</v>
      </c>
      <c r="I14" s="11">
        <f t="shared" si="10"/>
        <v>133.62450512300211</v>
      </c>
      <c r="J14" s="11">
        <f t="shared" si="10"/>
        <v>140.64224225699306</v>
      </c>
      <c r="K14" s="11">
        <f t="shared" si="10"/>
        <v>133.27745983778709</v>
      </c>
      <c r="L14" s="11">
        <f t="shared" si="10"/>
        <v>135.49878383283757</v>
      </c>
      <c r="M14" s="11">
        <f t="shared" si="10"/>
        <v>155.66486117755724</v>
      </c>
      <c r="N14" s="11">
        <f t="shared" si="10"/>
        <v>144.03695544501349</v>
      </c>
      <c r="O14" s="11">
        <f t="shared" si="10"/>
        <v>143.91038941581752</v>
      </c>
      <c r="P14" s="11">
        <f t="shared" si="10"/>
        <v>145.91787914343467</v>
      </c>
      <c r="Q14" s="11">
        <f t="shared" si="10"/>
        <v>145.25238812608845</v>
      </c>
      <c r="R14" s="11">
        <f t="shared" si="10"/>
        <v>144.82037114307917</v>
      </c>
      <c r="S14" s="11">
        <f t="shared" si="10"/>
        <v>155.12779907892659</v>
      </c>
      <c r="T14" s="11">
        <f t="shared" si="10"/>
        <v>174.48173746046274</v>
      </c>
      <c r="U14" s="11">
        <f t="shared" si="10"/>
        <v>181.25301871653204</v>
      </c>
      <c r="V14" s="11">
        <f t="shared" si="10"/>
        <v>57.0551867439085</v>
      </c>
      <c r="W14" s="11">
        <f t="shared" ref="W14" si="11">SUM(W15:W17)</f>
        <v>55.402762665815239</v>
      </c>
      <c r="DA14" s="189" t="s">
        <v>198</v>
      </c>
    </row>
    <row r="15" spans="1:105" ht="11.45" customHeight="1" x14ac:dyDescent="0.25">
      <c r="A15" s="83" t="s">
        <v>27</v>
      </c>
      <c r="B15" s="84">
        <v>28.147120485090294</v>
      </c>
      <c r="C15" s="84">
        <v>27.430184349646716</v>
      </c>
      <c r="D15" s="84">
        <v>25.681275794315372</v>
      </c>
      <c r="E15" s="84">
        <v>25.978025012116365</v>
      </c>
      <c r="F15" s="84">
        <v>26.399043160060913</v>
      </c>
      <c r="G15" s="84">
        <v>26.938013487718575</v>
      </c>
      <c r="H15" s="84">
        <v>26.180878784594871</v>
      </c>
      <c r="I15" s="84">
        <v>25.520313678705779</v>
      </c>
      <c r="J15" s="84">
        <v>24.760576856604004</v>
      </c>
      <c r="K15" s="84">
        <v>25.013836886896431</v>
      </c>
      <c r="L15" s="84">
        <v>23.868410190065603</v>
      </c>
      <c r="M15" s="84">
        <v>25.900819018155023</v>
      </c>
      <c r="N15" s="84">
        <v>21.987338783341905</v>
      </c>
      <c r="O15" s="84">
        <v>19.138544257716273</v>
      </c>
      <c r="P15" s="84">
        <v>18.747619379747579</v>
      </c>
      <c r="Q15" s="84">
        <v>18.007545920940917</v>
      </c>
      <c r="R15" s="84">
        <v>17.491630324092583</v>
      </c>
      <c r="S15" s="84">
        <v>18.200276094126309</v>
      </c>
      <c r="T15" s="84">
        <v>19.660806944000001</v>
      </c>
      <c r="U15" s="84">
        <v>19.647438043821143</v>
      </c>
      <c r="V15" s="84">
        <v>8.6294468369128783</v>
      </c>
      <c r="W15" s="84">
        <v>8.6976611200729224</v>
      </c>
      <c r="DA15" s="171" t="s">
        <v>199</v>
      </c>
    </row>
    <row r="16" spans="1:105" ht="11.45" customHeight="1" x14ac:dyDescent="0.25">
      <c r="A16" s="83" t="s">
        <v>173</v>
      </c>
      <c r="B16" s="84">
        <v>58.735180852083339</v>
      </c>
      <c r="C16" s="84">
        <v>60.702651158669511</v>
      </c>
      <c r="D16" s="84">
        <v>55.721005985149326</v>
      </c>
      <c r="E16" s="84">
        <v>60.924891095555971</v>
      </c>
      <c r="F16" s="84">
        <v>66.326033811130387</v>
      </c>
      <c r="G16" s="84">
        <v>66.100109898366668</v>
      </c>
      <c r="H16" s="84">
        <v>69.372462034786167</v>
      </c>
      <c r="I16" s="84">
        <v>75.112735656822409</v>
      </c>
      <c r="J16" s="84">
        <v>76.902369544730178</v>
      </c>
      <c r="K16" s="84">
        <v>71.357002586684786</v>
      </c>
      <c r="L16" s="84">
        <v>72.294001470893789</v>
      </c>
      <c r="M16" s="84">
        <v>81.817982693484211</v>
      </c>
      <c r="N16" s="84">
        <v>74.227638465564482</v>
      </c>
      <c r="O16" s="84">
        <v>75.370919444109205</v>
      </c>
      <c r="P16" s="84">
        <v>75.69457228475892</v>
      </c>
      <c r="Q16" s="84">
        <v>74.370496826899583</v>
      </c>
      <c r="R16" s="84">
        <v>75.425744730813292</v>
      </c>
      <c r="S16" s="84">
        <v>81.905684835825227</v>
      </c>
      <c r="T16" s="84">
        <v>91.2611678103016</v>
      </c>
      <c r="U16" s="84">
        <v>90.797899589909548</v>
      </c>
      <c r="V16" s="84">
        <v>26.663116169888966</v>
      </c>
      <c r="W16" s="84">
        <v>26.015950983305661</v>
      </c>
      <c r="DA16" s="171" t="s">
        <v>200</v>
      </c>
    </row>
    <row r="17" spans="1:105" ht="11.45" customHeight="1" x14ac:dyDescent="0.25">
      <c r="A17" s="83" t="s">
        <v>174</v>
      </c>
      <c r="B17" s="84">
        <v>16.518100623655059</v>
      </c>
      <c r="C17" s="84">
        <v>16.556449949712512</v>
      </c>
      <c r="D17" s="84">
        <v>16.301949876785788</v>
      </c>
      <c r="E17" s="84">
        <v>16.999210350557636</v>
      </c>
      <c r="F17" s="84">
        <v>19.993944085407719</v>
      </c>
      <c r="G17" s="84">
        <v>21.355683708245241</v>
      </c>
      <c r="H17" s="84">
        <v>25.969543500598199</v>
      </c>
      <c r="I17" s="84">
        <v>32.991455787473917</v>
      </c>
      <c r="J17" s="84">
        <v>38.979295855658869</v>
      </c>
      <c r="K17" s="84">
        <v>36.906620364205864</v>
      </c>
      <c r="L17" s="84">
        <v>39.336372171878189</v>
      </c>
      <c r="M17" s="84">
        <v>47.946059465918019</v>
      </c>
      <c r="N17" s="84">
        <v>47.821978196107104</v>
      </c>
      <c r="O17" s="84">
        <v>49.400925713992031</v>
      </c>
      <c r="P17" s="84">
        <v>51.475687478928172</v>
      </c>
      <c r="Q17" s="84">
        <v>52.874345378247945</v>
      </c>
      <c r="R17" s="84">
        <v>51.902996088173296</v>
      </c>
      <c r="S17" s="84">
        <v>55.021838148975043</v>
      </c>
      <c r="T17" s="84">
        <v>63.559762706161131</v>
      </c>
      <c r="U17" s="84">
        <v>70.807681082801366</v>
      </c>
      <c r="V17" s="84">
        <v>21.762623737106658</v>
      </c>
      <c r="W17" s="84">
        <v>20.689150562436659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2.5203832936995889</v>
      </c>
      <c r="C18" s="13">
        <f t="shared" si="12"/>
        <v>2.078012344256833</v>
      </c>
      <c r="D18" s="13">
        <f t="shared" ref="D18:V18" si="13">SUM(D19:D21)</f>
        <v>1.987209803012695</v>
      </c>
      <c r="E18" s="13">
        <f t="shared" si="13"/>
        <v>2.605869771233877</v>
      </c>
      <c r="F18" s="13">
        <f t="shared" si="13"/>
        <v>3.4322790578332438</v>
      </c>
      <c r="G18" s="13">
        <f t="shared" si="13"/>
        <v>3.7479270057272731</v>
      </c>
      <c r="H18" s="13">
        <f t="shared" si="13"/>
        <v>3.977711694899873</v>
      </c>
      <c r="I18" s="13">
        <f t="shared" si="13"/>
        <v>4.393086188448188</v>
      </c>
      <c r="J18" s="13">
        <f t="shared" si="13"/>
        <v>3.5934345060191997</v>
      </c>
      <c r="K18" s="13">
        <f t="shared" si="13"/>
        <v>2.7464219836399861</v>
      </c>
      <c r="L18" s="13">
        <f t="shared" si="13"/>
        <v>2.6517730658787646</v>
      </c>
      <c r="M18" s="13">
        <f t="shared" si="13"/>
        <v>2.846070071240411</v>
      </c>
      <c r="N18" s="13">
        <f t="shared" si="13"/>
        <v>3.1699204413162905</v>
      </c>
      <c r="O18" s="13">
        <f t="shared" si="13"/>
        <v>3.3132577287965836</v>
      </c>
      <c r="P18" s="13">
        <f t="shared" si="13"/>
        <v>2.8680174621951391</v>
      </c>
      <c r="Q18" s="13">
        <f t="shared" si="13"/>
        <v>2.831224077748141</v>
      </c>
      <c r="R18" s="13">
        <f t="shared" si="13"/>
        <v>2.7948350286607528</v>
      </c>
      <c r="S18" s="13">
        <f t="shared" si="13"/>
        <v>2.9677948616681391</v>
      </c>
      <c r="T18" s="13">
        <f t="shared" si="13"/>
        <v>2.7360394564307615</v>
      </c>
      <c r="U18" s="13">
        <f t="shared" si="13"/>
        <v>3.3343050822211975</v>
      </c>
      <c r="V18" s="13">
        <f t="shared" si="13"/>
        <v>2.432424075820534</v>
      </c>
      <c r="W18" s="13">
        <f t="shared" ref="W18" si="14">SUM(W19:W21)</f>
        <v>2.4247150429444391</v>
      </c>
      <c r="DA18" s="193" t="s">
        <v>202</v>
      </c>
    </row>
    <row r="19" spans="1:105" ht="11.45" customHeight="1" x14ac:dyDescent="0.25">
      <c r="A19" s="92" t="s">
        <v>27</v>
      </c>
      <c r="B19" s="102">
        <v>0.24886947656652508</v>
      </c>
      <c r="C19" s="102">
        <v>0.18834067902999027</v>
      </c>
      <c r="D19" s="102">
        <v>0.17820924939941149</v>
      </c>
      <c r="E19" s="102">
        <v>0.14937364198930264</v>
      </c>
      <c r="F19" s="102">
        <v>0.14937364198930264</v>
      </c>
      <c r="G19" s="102">
        <v>0.15140313662790697</v>
      </c>
      <c r="H19" s="102">
        <v>0.12989035624807044</v>
      </c>
      <c r="I19" s="102">
        <v>0.10560871727155575</v>
      </c>
      <c r="J19" s="102">
        <v>7.4892005637554965E-2</v>
      </c>
      <c r="K19" s="102">
        <v>7.4999480364022486E-2</v>
      </c>
      <c r="L19" s="102">
        <v>5.1219000000000008E-2</v>
      </c>
      <c r="M19" s="102">
        <v>6.0409267054313848E-2</v>
      </c>
      <c r="N19" s="102">
        <v>8.2580764505119461E-2</v>
      </c>
      <c r="O19" s="102">
        <v>6.7555198282959986E-2</v>
      </c>
      <c r="P19" s="102">
        <v>5.254834917267158E-2</v>
      </c>
      <c r="Q19" s="102">
        <v>4.939443341947506E-2</v>
      </c>
      <c r="R19" s="102">
        <v>5.1567457694297422E-2</v>
      </c>
      <c r="S19" s="102">
        <v>4.0882909107564244E-2</v>
      </c>
      <c r="T19" s="102">
        <v>2.7884686567164179E-2</v>
      </c>
      <c r="U19" s="102">
        <v>2.8563736652669459E-2</v>
      </c>
      <c r="V19" s="102">
        <v>3.3425188897637612E-2</v>
      </c>
      <c r="W19" s="102">
        <v>2.7282483206018348E-2</v>
      </c>
      <c r="DA19" s="175" t="s">
        <v>203</v>
      </c>
    </row>
    <row r="20" spans="1:105" ht="11.45" customHeight="1" x14ac:dyDescent="0.25">
      <c r="A20" s="92" t="s">
        <v>173</v>
      </c>
      <c r="B20" s="102">
        <v>1.3320927858927403</v>
      </c>
      <c r="C20" s="102">
        <v>1.1844894737970988</v>
      </c>
      <c r="D20" s="102">
        <v>1.0569705942214234</v>
      </c>
      <c r="E20" s="102">
        <v>1.6699467618806287</v>
      </c>
      <c r="F20" s="102">
        <v>2.2423918326853673</v>
      </c>
      <c r="G20" s="102">
        <v>2.2710844104527497</v>
      </c>
      <c r="H20" s="102">
        <v>2.5997413569699064</v>
      </c>
      <c r="I20" s="102">
        <v>2.7957801205170267</v>
      </c>
      <c r="J20" s="102">
        <v>2.2182056828274508</v>
      </c>
      <c r="K20" s="102">
        <v>1.9581149410530108</v>
      </c>
      <c r="L20" s="102">
        <v>1.9171830232558138</v>
      </c>
      <c r="M20" s="102">
        <v>1.6760704795804404</v>
      </c>
      <c r="N20" s="102">
        <v>1.5605544079939666</v>
      </c>
      <c r="O20" s="102">
        <v>1.8804053155035119</v>
      </c>
      <c r="P20" s="102">
        <v>1.9016786824433021</v>
      </c>
      <c r="Q20" s="102">
        <v>2.0653658353866327</v>
      </c>
      <c r="R20" s="102">
        <v>1.8904763895789058</v>
      </c>
      <c r="S20" s="102">
        <v>2.0230538995963778</v>
      </c>
      <c r="T20" s="102">
        <v>1.8115792863801139</v>
      </c>
      <c r="U20" s="102">
        <v>2.3880282134930564</v>
      </c>
      <c r="V20" s="102">
        <v>1.3492943480819004</v>
      </c>
      <c r="W20" s="102">
        <v>1.1626373108719306</v>
      </c>
      <c r="DA20" s="175" t="s">
        <v>204</v>
      </c>
    </row>
    <row r="21" spans="1:105" ht="11.45" customHeight="1" x14ac:dyDescent="0.25">
      <c r="A21" s="85" t="s">
        <v>174</v>
      </c>
      <c r="B21" s="86">
        <v>0.93942103124032372</v>
      </c>
      <c r="C21" s="86">
        <v>0.70518219142974425</v>
      </c>
      <c r="D21" s="86">
        <v>0.75202995939186013</v>
      </c>
      <c r="E21" s="86">
        <v>0.78654936736394554</v>
      </c>
      <c r="F21" s="86">
        <v>1.0405135831585737</v>
      </c>
      <c r="G21" s="86">
        <v>1.3254394586466165</v>
      </c>
      <c r="H21" s="86">
        <v>1.2480799816818966</v>
      </c>
      <c r="I21" s="86">
        <v>1.4916973506596054</v>
      </c>
      <c r="J21" s="86">
        <v>1.3003368175541938</v>
      </c>
      <c r="K21" s="86">
        <v>0.713307562222953</v>
      </c>
      <c r="L21" s="86">
        <v>0.68337104262295079</v>
      </c>
      <c r="M21" s="86">
        <v>1.1095903246056569</v>
      </c>
      <c r="N21" s="86">
        <v>1.5267852688172043</v>
      </c>
      <c r="O21" s="86">
        <v>1.3652972150101117</v>
      </c>
      <c r="P21" s="86">
        <v>0.91379043057916531</v>
      </c>
      <c r="Q21" s="86">
        <v>0.71646380894203365</v>
      </c>
      <c r="R21" s="86">
        <v>0.85279118138754939</v>
      </c>
      <c r="S21" s="86">
        <v>0.90385805296419708</v>
      </c>
      <c r="T21" s="86">
        <v>0.89657548348348359</v>
      </c>
      <c r="U21" s="86">
        <v>0.91771313207547156</v>
      </c>
      <c r="V21" s="86">
        <v>1.0497045388409958</v>
      </c>
      <c r="W21" s="86">
        <v>1.2347952488664904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121989</v>
      </c>
      <c r="C23" s="54">
        <f t="shared" si="15"/>
        <v>121512</v>
      </c>
      <c r="D23" s="54">
        <f t="shared" ref="D23:V23" si="16">SUM(D24,D28)</f>
        <v>113209</v>
      </c>
      <c r="E23" s="54">
        <f t="shared" si="16"/>
        <v>118865</v>
      </c>
      <c r="F23" s="54">
        <f t="shared" si="16"/>
        <v>125641</v>
      </c>
      <c r="G23" s="54">
        <f t="shared" si="16"/>
        <v>124586</v>
      </c>
      <c r="H23" s="54">
        <f t="shared" si="16"/>
        <v>128755</v>
      </c>
      <c r="I23" s="54">
        <f t="shared" si="16"/>
        <v>127297</v>
      </c>
      <c r="J23" s="54">
        <f t="shared" si="16"/>
        <v>130280</v>
      </c>
      <c r="K23" s="54">
        <f t="shared" si="16"/>
        <v>123259</v>
      </c>
      <c r="L23" s="54">
        <f t="shared" si="16"/>
        <v>121990</v>
      </c>
      <c r="M23" s="54">
        <f t="shared" si="16"/>
        <v>135172</v>
      </c>
      <c r="N23" s="54">
        <f t="shared" si="16"/>
        <v>120945</v>
      </c>
      <c r="O23" s="54">
        <f t="shared" si="16"/>
        <v>114406</v>
      </c>
      <c r="P23" s="54">
        <f t="shared" si="16"/>
        <v>112426</v>
      </c>
      <c r="Q23" s="54">
        <f t="shared" si="16"/>
        <v>110759</v>
      </c>
      <c r="R23" s="54">
        <f t="shared" si="16"/>
        <v>108384</v>
      </c>
      <c r="S23" s="54">
        <f t="shared" si="16"/>
        <v>114617</v>
      </c>
      <c r="T23" s="54">
        <f t="shared" si="16"/>
        <v>122896</v>
      </c>
      <c r="U23" s="54">
        <f t="shared" si="16"/>
        <v>124685</v>
      </c>
      <c r="V23" s="54">
        <f t="shared" si="16"/>
        <v>44664</v>
      </c>
      <c r="W23" s="54">
        <f t="shared" ref="W23" si="17">SUM(W24,W28)</f>
        <v>42959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119370</v>
      </c>
      <c r="C24" s="11">
        <f t="shared" si="18"/>
        <v>119343</v>
      </c>
      <c r="D24" s="11">
        <f t="shared" ref="D24:V24" si="19">SUM(D25:D27)</f>
        <v>111194</v>
      </c>
      <c r="E24" s="11">
        <f t="shared" si="19"/>
        <v>116301</v>
      </c>
      <c r="F24" s="11">
        <f t="shared" si="19"/>
        <v>122402</v>
      </c>
      <c r="G24" s="11">
        <f t="shared" si="19"/>
        <v>121322</v>
      </c>
      <c r="H24" s="11">
        <f t="shared" si="19"/>
        <v>125096</v>
      </c>
      <c r="I24" s="11">
        <f t="shared" si="19"/>
        <v>123432</v>
      </c>
      <c r="J24" s="11">
        <f t="shared" si="19"/>
        <v>126789</v>
      </c>
      <c r="K24" s="11">
        <f t="shared" si="19"/>
        <v>120167</v>
      </c>
      <c r="L24" s="11">
        <f t="shared" si="19"/>
        <v>118695</v>
      </c>
      <c r="M24" s="11">
        <f t="shared" si="19"/>
        <v>132034</v>
      </c>
      <c r="N24" s="11">
        <f t="shared" si="19"/>
        <v>117778</v>
      </c>
      <c r="O24" s="11">
        <f t="shared" si="19"/>
        <v>111187</v>
      </c>
      <c r="P24" s="11">
        <f t="shared" si="19"/>
        <v>109442</v>
      </c>
      <c r="Q24" s="11">
        <f t="shared" si="19"/>
        <v>107688</v>
      </c>
      <c r="R24" s="11">
        <f t="shared" si="19"/>
        <v>105611</v>
      </c>
      <c r="S24" s="11">
        <f t="shared" si="19"/>
        <v>111868</v>
      </c>
      <c r="T24" s="11">
        <f t="shared" si="19"/>
        <v>120361</v>
      </c>
      <c r="U24" s="11">
        <f t="shared" si="19"/>
        <v>121532</v>
      </c>
      <c r="V24" s="11">
        <f t="shared" si="19"/>
        <v>42077</v>
      </c>
      <c r="W24" s="11">
        <f t="shared" ref="W24" si="20">SUM(W25:W27)</f>
        <v>40292</v>
      </c>
      <c r="DA24" s="189" t="s">
        <v>207</v>
      </c>
    </row>
    <row r="25" spans="1:105" ht="11.45" customHeight="1" x14ac:dyDescent="0.25">
      <c r="A25" s="83" t="s">
        <v>27</v>
      </c>
      <c r="B25" s="84">
        <v>67724</v>
      </c>
      <c r="C25" s="84">
        <v>65999</v>
      </c>
      <c r="D25" s="84">
        <v>61791</v>
      </c>
      <c r="E25" s="84">
        <v>62505</v>
      </c>
      <c r="F25" s="84">
        <v>63518</v>
      </c>
      <c r="G25" s="84">
        <v>63277</v>
      </c>
      <c r="H25" s="84">
        <v>64945</v>
      </c>
      <c r="I25" s="84">
        <v>59548</v>
      </c>
      <c r="J25" s="84">
        <v>58971</v>
      </c>
      <c r="K25" s="84">
        <v>57909</v>
      </c>
      <c r="L25" s="84">
        <v>54136</v>
      </c>
      <c r="M25" s="84">
        <v>58564</v>
      </c>
      <c r="N25" s="84">
        <v>48868</v>
      </c>
      <c r="O25" s="84">
        <v>43911</v>
      </c>
      <c r="P25" s="84">
        <v>42068</v>
      </c>
      <c r="Q25" s="84">
        <v>40732</v>
      </c>
      <c r="R25" s="84">
        <v>39443</v>
      </c>
      <c r="S25" s="84">
        <v>40587</v>
      </c>
      <c r="T25" s="84">
        <v>42220</v>
      </c>
      <c r="U25" s="84">
        <v>41709</v>
      </c>
      <c r="V25" s="84">
        <v>17080</v>
      </c>
      <c r="W25" s="84">
        <v>16917</v>
      </c>
      <c r="DA25" s="171" t="s">
        <v>208</v>
      </c>
    </row>
    <row r="26" spans="1:105" ht="11.45" customHeight="1" x14ac:dyDescent="0.25">
      <c r="A26" s="83" t="s">
        <v>173</v>
      </c>
      <c r="B26" s="84">
        <v>46908</v>
      </c>
      <c r="C26" s="84">
        <v>48595</v>
      </c>
      <c r="D26" s="84">
        <v>44727</v>
      </c>
      <c r="E26" s="84">
        <v>48920</v>
      </c>
      <c r="F26" s="84">
        <v>53149</v>
      </c>
      <c r="G26" s="84">
        <v>52364</v>
      </c>
      <c r="H26" s="84">
        <v>53381</v>
      </c>
      <c r="I26" s="84">
        <v>55687</v>
      </c>
      <c r="J26" s="84">
        <v>57776</v>
      </c>
      <c r="K26" s="84">
        <v>52787</v>
      </c>
      <c r="L26" s="84">
        <v>54825</v>
      </c>
      <c r="M26" s="84">
        <v>62153</v>
      </c>
      <c r="N26" s="84">
        <v>58211</v>
      </c>
      <c r="O26" s="84">
        <v>56356</v>
      </c>
      <c r="P26" s="84">
        <v>55342</v>
      </c>
      <c r="Q26" s="84">
        <v>54296</v>
      </c>
      <c r="R26" s="84">
        <v>54408</v>
      </c>
      <c r="S26" s="84">
        <v>58955</v>
      </c>
      <c r="T26" s="84">
        <v>63660</v>
      </c>
      <c r="U26" s="84">
        <v>63792</v>
      </c>
      <c r="V26" s="84">
        <v>20289</v>
      </c>
      <c r="W26" s="84">
        <v>18816</v>
      </c>
      <c r="DA26" s="171" t="s">
        <v>209</v>
      </c>
    </row>
    <row r="27" spans="1:105" ht="11.45" customHeight="1" x14ac:dyDescent="0.25">
      <c r="A27" s="83" t="s">
        <v>174</v>
      </c>
      <c r="B27" s="84">
        <v>4738</v>
      </c>
      <c r="C27" s="84">
        <v>4749</v>
      </c>
      <c r="D27" s="84">
        <v>4676</v>
      </c>
      <c r="E27" s="84">
        <v>4876</v>
      </c>
      <c r="F27" s="84">
        <v>5735</v>
      </c>
      <c r="G27" s="84">
        <v>5681</v>
      </c>
      <c r="H27" s="84">
        <v>6770</v>
      </c>
      <c r="I27" s="84">
        <v>8197</v>
      </c>
      <c r="J27" s="84">
        <v>10042</v>
      </c>
      <c r="K27" s="84">
        <v>9471</v>
      </c>
      <c r="L27" s="84">
        <v>9734</v>
      </c>
      <c r="M27" s="84">
        <v>11317</v>
      </c>
      <c r="N27" s="84">
        <v>10699</v>
      </c>
      <c r="O27" s="84">
        <v>10920</v>
      </c>
      <c r="P27" s="84">
        <v>12032</v>
      </c>
      <c r="Q27" s="84">
        <v>12660</v>
      </c>
      <c r="R27" s="84">
        <v>11760</v>
      </c>
      <c r="S27" s="84">
        <v>12326</v>
      </c>
      <c r="T27" s="84">
        <v>14481</v>
      </c>
      <c r="U27" s="84">
        <v>16031</v>
      </c>
      <c r="V27" s="84">
        <v>4708</v>
      </c>
      <c r="W27" s="84">
        <v>4559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2619</v>
      </c>
      <c r="C28" s="13">
        <f t="shared" si="21"/>
        <v>2169</v>
      </c>
      <c r="D28" s="13">
        <f t="shared" ref="D28:V28" si="22">SUM(D29:D31)</f>
        <v>2015</v>
      </c>
      <c r="E28" s="13">
        <f t="shared" si="22"/>
        <v>2564</v>
      </c>
      <c r="F28" s="13">
        <f t="shared" si="22"/>
        <v>3239</v>
      </c>
      <c r="G28" s="13">
        <f t="shared" si="22"/>
        <v>3264</v>
      </c>
      <c r="H28" s="13">
        <f t="shared" si="22"/>
        <v>3659</v>
      </c>
      <c r="I28" s="13">
        <f t="shared" si="22"/>
        <v>3865</v>
      </c>
      <c r="J28" s="13">
        <f t="shared" si="22"/>
        <v>3491</v>
      </c>
      <c r="K28" s="13">
        <f t="shared" si="22"/>
        <v>3092</v>
      </c>
      <c r="L28" s="13">
        <f t="shared" si="22"/>
        <v>3295</v>
      </c>
      <c r="M28" s="13">
        <f t="shared" si="22"/>
        <v>3138</v>
      </c>
      <c r="N28" s="13">
        <f t="shared" si="22"/>
        <v>3167</v>
      </c>
      <c r="O28" s="13">
        <f t="shared" si="22"/>
        <v>3219</v>
      </c>
      <c r="P28" s="13">
        <f t="shared" si="22"/>
        <v>2984</v>
      </c>
      <c r="Q28" s="13">
        <f t="shared" si="22"/>
        <v>3071</v>
      </c>
      <c r="R28" s="13">
        <f t="shared" si="22"/>
        <v>2773</v>
      </c>
      <c r="S28" s="13">
        <f t="shared" si="22"/>
        <v>2749</v>
      </c>
      <c r="T28" s="13">
        <f t="shared" si="22"/>
        <v>2535</v>
      </c>
      <c r="U28" s="13">
        <f t="shared" si="22"/>
        <v>3153</v>
      </c>
      <c r="V28" s="13">
        <f t="shared" si="22"/>
        <v>2587</v>
      </c>
      <c r="W28" s="13">
        <f t="shared" ref="W28" si="23">SUM(W29:W31)</f>
        <v>2667</v>
      </c>
      <c r="DA28" s="193" t="s">
        <v>211</v>
      </c>
    </row>
    <row r="29" spans="1:105" ht="11.45" customHeight="1" x14ac:dyDescent="0.25">
      <c r="A29" s="92" t="s">
        <v>27</v>
      </c>
      <c r="B29" s="102">
        <v>958</v>
      </c>
      <c r="C29" s="102">
        <v>725</v>
      </c>
      <c r="D29" s="102">
        <v>686</v>
      </c>
      <c r="E29" s="102">
        <v>575</v>
      </c>
      <c r="F29" s="102">
        <v>575</v>
      </c>
      <c r="G29" s="102">
        <v>561</v>
      </c>
      <c r="H29" s="102">
        <v>583</v>
      </c>
      <c r="I29" s="102">
        <v>472</v>
      </c>
      <c r="J29" s="102">
        <v>393</v>
      </c>
      <c r="K29" s="102">
        <v>421</v>
      </c>
      <c r="L29" s="102">
        <v>315</v>
      </c>
      <c r="M29" s="102">
        <v>269</v>
      </c>
      <c r="N29" s="102">
        <v>282</v>
      </c>
      <c r="O29" s="102">
        <v>245</v>
      </c>
      <c r="P29" s="102">
        <v>186</v>
      </c>
      <c r="Q29" s="102">
        <v>179</v>
      </c>
      <c r="R29" s="102">
        <v>188</v>
      </c>
      <c r="S29" s="102">
        <v>148</v>
      </c>
      <c r="T29" s="102">
        <v>96</v>
      </c>
      <c r="U29" s="102">
        <v>107</v>
      </c>
      <c r="V29" s="102">
        <v>111</v>
      </c>
      <c r="W29" s="102">
        <v>88</v>
      </c>
      <c r="DA29" s="175" t="s">
        <v>212</v>
      </c>
    </row>
    <row r="30" spans="1:105" ht="11.45" customHeight="1" x14ac:dyDescent="0.25">
      <c r="A30" s="92" t="s">
        <v>173</v>
      </c>
      <c r="B30" s="102">
        <v>1280</v>
      </c>
      <c r="C30" s="102">
        <v>1158</v>
      </c>
      <c r="D30" s="102">
        <v>1024</v>
      </c>
      <c r="E30" s="102">
        <v>1670</v>
      </c>
      <c r="F30" s="102">
        <v>2242</v>
      </c>
      <c r="G30" s="102">
        <v>2219</v>
      </c>
      <c r="H30" s="102">
        <v>2547</v>
      </c>
      <c r="I30" s="102">
        <v>2680</v>
      </c>
      <c r="J30" s="102">
        <v>2227</v>
      </c>
      <c r="K30" s="102">
        <v>1993</v>
      </c>
      <c r="L30" s="102">
        <v>2057</v>
      </c>
      <c r="M30" s="102">
        <v>1814</v>
      </c>
      <c r="N30" s="102">
        <v>1795</v>
      </c>
      <c r="O30" s="102">
        <v>1992</v>
      </c>
      <c r="P30" s="102">
        <v>1952</v>
      </c>
      <c r="Q30" s="102">
        <v>2108</v>
      </c>
      <c r="R30" s="102">
        <v>1800</v>
      </c>
      <c r="S30" s="102">
        <v>1758</v>
      </c>
      <c r="T30" s="102">
        <v>1478</v>
      </c>
      <c r="U30" s="102">
        <v>1918</v>
      </c>
      <c r="V30" s="102">
        <v>1446</v>
      </c>
      <c r="W30" s="102">
        <v>1258</v>
      </c>
      <c r="DA30" s="175" t="s">
        <v>213</v>
      </c>
    </row>
    <row r="31" spans="1:105" ht="11.45" customHeight="1" x14ac:dyDescent="0.25">
      <c r="A31" s="85" t="s">
        <v>174</v>
      </c>
      <c r="B31" s="86">
        <v>381</v>
      </c>
      <c r="C31" s="86">
        <v>286</v>
      </c>
      <c r="D31" s="86">
        <v>305</v>
      </c>
      <c r="E31" s="86">
        <v>319</v>
      </c>
      <c r="F31" s="86">
        <v>422</v>
      </c>
      <c r="G31" s="86">
        <v>484</v>
      </c>
      <c r="H31" s="86">
        <v>529</v>
      </c>
      <c r="I31" s="86">
        <v>713</v>
      </c>
      <c r="J31" s="86">
        <v>871</v>
      </c>
      <c r="K31" s="86">
        <v>678</v>
      </c>
      <c r="L31" s="86">
        <v>923</v>
      </c>
      <c r="M31" s="86">
        <v>1055</v>
      </c>
      <c r="N31" s="86">
        <v>1090</v>
      </c>
      <c r="O31" s="86">
        <v>982</v>
      </c>
      <c r="P31" s="86">
        <v>846</v>
      </c>
      <c r="Q31" s="86">
        <v>784</v>
      </c>
      <c r="R31" s="86">
        <v>785</v>
      </c>
      <c r="S31" s="86">
        <v>843</v>
      </c>
      <c r="T31" s="86">
        <v>961</v>
      </c>
      <c r="U31" s="86">
        <v>1128</v>
      </c>
      <c r="V31" s="86">
        <v>1030</v>
      </c>
      <c r="W31" s="86">
        <v>1321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7004392</v>
      </c>
      <c r="C34" s="11">
        <f t="shared" si="24"/>
        <v>7012042</v>
      </c>
      <c r="D34" s="11">
        <f t="shared" ref="D34:V34" si="25">SUM(D35:D37)</f>
        <v>6965606</v>
      </c>
      <c r="E34" s="11">
        <f t="shared" si="25"/>
        <v>6651443</v>
      </c>
      <c r="F34" s="11">
        <f t="shared" si="25"/>
        <v>7340104</v>
      </c>
      <c r="G34" s="11">
        <f t="shared" si="25"/>
        <v>7537212</v>
      </c>
      <c r="H34" s="11">
        <f t="shared" si="25"/>
        <v>8167175</v>
      </c>
      <c r="I34" s="11">
        <f t="shared" si="25"/>
        <v>8690622</v>
      </c>
      <c r="J34" s="11">
        <f t="shared" si="25"/>
        <v>8832812</v>
      </c>
      <c r="K34" s="11">
        <f t="shared" si="25"/>
        <v>8146307</v>
      </c>
      <c r="L34" s="11">
        <f t="shared" si="25"/>
        <v>8335970</v>
      </c>
      <c r="M34" s="11">
        <f t="shared" si="25"/>
        <v>9634778</v>
      </c>
      <c r="N34" s="11">
        <f t="shared" si="25"/>
        <v>9654718</v>
      </c>
      <c r="O34" s="11">
        <f t="shared" si="25"/>
        <v>9557433</v>
      </c>
      <c r="P34" s="11">
        <f t="shared" si="25"/>
        <v>9893902</v>
      </c>
      <c r="Q34" s="11">
        <f t="shared" si="25"/>
        <v>10047980</v>
      </c>
      <c r="R34" s="11">
        <f t="shared" si="25"/>
        <v>10410251</v>
      </c>
      <c r="S34" s="11">
        <f t="shared" si="25"/>
        <v>11492373</v>
      </c>
      <c r="T34" s="11">
        <f t="shared" si="25"/>
        <v>12699850</v>
      </c>
      <c r="U34" s="11">
        <f t="shared" si="25"/>
        <v>13227955</v>
      </c>
      <c r="V34" s="11">
        <f t="shared" si="25"/>
        <v>3238279</v>
      </c>
      <c r="W34" s="11">
        <f t="shared" ref="W34" si="26">SUM(W35:W37)</f>
        <v>2753279</v>
      </c>
      <c r="DA34" s="189" t="s">
        <v>215</v>
      </c>
    </row>
    <row r="35" spans="1:105" ht="11.45" customHeight="1" x14ac:dyDescent="0.25">
      <c r="A35" s="83" t="s">
        <v>27</v>
      </c>
      <c r="B35" s="84">
        <v>3238325</v>
      </c>
      <c r="C35" s="84">
        <v>3183803</v>
      </c>
      <c r="D35" s="84">
        <v>3194876</v>
      </c>
      <c r="E35" s="84">
        <v>2762600</v>
      </c>
      <c r="F35" s="84">
        <v>2922857</v>
      </c>
      <c r="G35" s="84">
        <v>2831324</v>
      </c>
      <c r="H35" s="84">
        <v>2919770</v>
      </c>
      <c r="I35" s="84">
        <v>2888750</v>
      </c>
      <c r="J35" s="84">
        <v>2733149</v>
      </c>
      <c r="K35" s="84">
        <v>2419046</v>
      </c>
      <c r="L35" s="84">
        <v>2302441</v>
      </c>
      <c r="M35" s="84">
        <v>2783495</v>
      </c>
      <c r="N35" s="84">
        <v>2751458</v>
      </c>
      <c r="O35" s="84">
        <v>2472888</v>
      </c>
      <c r="P35" s="84">
        <v>2558397</v>
      </c>
      <c r="Q35" s="84">
        <v>2602198</v>
      </c>
      <c r="R35" s="84">
        <v>2692099</v>
      </c>
      <c r="S35" s="84">
        <v>2828013</v>
      </c>
      <c r="T35" s="84">
        <v>3085016</v>
      </c>
      <c r="U35" s="84">
        <v>3063397</v>
      </c>
      <c r="V35" s="84">
        <v>1057971</v>
      </c>
      <c r="W35" s="84">
        <v>910014</v>
      </c>
      <c r="DA35" s="171" t="s">
        <v>216</v>
      </c>
    </row>
    <row r="36" spans="1:105" ht="11.45" customHeight="1" x14ac:dyDescent="0.25">
      <c r="A36" s="83" t="s">
        <v>173</v>
      </c>
      <c r="B36" s="84">
        <v>3196238</v>
      </c>
      <c r="C36" s="84">
        <v>3274860</v>
      </c>
      <c r="D36" s="84">
        <v>3223811</v>
      </c>
      <c r="E36" s="84">
        <v>3340617</v>
      </c>
      <c r="F36" s="84">
        <v>3717885</v>
      </c>
      <c r="G36" s="84">
        <v>3952475</v>
      </c>
      <c r="H36" s="84">
        <v>4380100</v>
      </c>
      <c r="I36" s="84">
        <v>4681926</v>
      </c>
      <c r="J36" s="84">
        <v>4765073</v>
      </c>
      <c r="K36" s="84">
        <v>4451218</v>
      </c>
      <c r="L36" s="84">
        <v>4677143</v>
      </c>
      <c r="M36" s="84">
        <v>5317278</v>
      </c>
      <c r="N36" s="84">
        <v>5286676</v>
      </c>
      <c r="O36" s="84">
        <v>5392337</v>
      </c>
      <c r="P36" s="84">
        <v>5584329</v>
      </c>
      <c r="Q36" s="84">
        <v>5653832</v>
      </c>
      <c r="R36" s="84">
        <v>5938543</v>
      </c>
      <c r="S36" s="84">
        <v>6604930</v>
      </c>
      <c r="T36" s="84">
        <v>7183162</v>
      </c>
      <c r="U36" s="84">
        <v>7474277</v>
      </c>
      <c r="V36" s="84">
        <v>1597790</v>
      </c>
      <c r="W36" s="84">
        <v>1493641</v>
      </c>
      <c r="DA36" s="171" t="s">
        <v>217</v>
      </c>
    </row>
    <row r="37" spans="1:105" ht="11.45" customHeight="1" x14ac:dyDescent="0.25">
      <c r="A37" s="83" t="s">
        <v>174</v>
      </c>
      <c r="B37" s="84">
        <v>569829</v>
      </c>
      <c r="C37" s="84">
        <v>553379</v>
      </c>
      <c r="D37" s="84">
        <v>546919</v>
      </c>
      <c r="E37" s="84">
        <v>548226</v>
      </c>
      <c r="F37" s="84">
        <v>699362</v>
      </c>
      <c r="G37" s="84">
        <v>753413</v>
      </c>
      <c r="H37" s="84">
        <v>867305</v>
      </c>
      <c r="I37" s="84">
        <v>1119946</v>
      </c>
      <c r="J37" s="84">
        <v>1334590</v>
      </c>
      <c r="K37" s="84">
        <v>1276043</v>
      </c>
      <c r="L37" s="84">
        <v>1356386</v>
      </c>
      <c r="M37" s="84">
        <v>1534005</v>
      </c>
      <c r="N37" s="84">
        <v>1616584</v>
      </c>
      <c r="O37" s="84">
        <v>1692208</v>
      </c>
      <c r="P37" s="84">
        <v>1751176</v>
      </c>
      <c r="Q37" s="84">
        <v>1791950</v>
      </c>
      <c r="R37" s="84">
        <v>1779609</v>
      </c>
      <c r="S37" s="84">
        <v>2059430</v>
      </c>
      <c r="T37" s="84">
        <v>2431672</v>
      </c>
      <c r="U37" s="84">
        <v>2690281</v>
      </c>
      <c r="V37" s="84">
        <v>582518</v>
      </c>
      <c r="W37" s="84">
        <v>349624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50040.856536783336</v>
      </c>
      <c r="C38" s="13">
        <f t="shared" si="27"/>
        <v>41428.294498123767</v>
      </c>
      <c r="D38" s="13">
        <f t="shared" ref="D38:V38" si="28">SUM(D39:D41)</f>
        <v>39834.645495580015</v>
      </c>
      <c r="E38" s="13">
        <f t="shared" si="28"/>
        <v>50467.765293536075</v>
      </c>
      <c r="F38" s="13">
        <f t="shared" si="28"/>
        <v>62109.327229020986</v>
      </c>
      <c r="G38" s="13">
        <f t="shared" si="28"/>
        <v>60712.00180378076</v>
      </c>
      <c r="H38" s="13">
        <f t="shared" si="28"/>
        <v>65134.783558221199</v>
      </c>
      <c r="I38" s="13">
        <f t="shared" si="28"/>
        <v>73618.650622206711</v>
      </c>
      <c r="J38" s="13">
        <f t="shared" si="28"/>
        <v>73165.437557252735</v>
      </c>
      <c r="K38" s="13">
        <f t="shared" si="28"/>
        <v>64914.95851711632</v>
      </c>
      <c r="L38" s="13">
        <f t="shared" si="28"/>
        <v>81290.965360529925</v>
      </c>
      <c r="M38" s="13">
        <f t="shared" si="28"/>
        <v>89123.267342744934</v>
      </c>
      <c r="N38" s="13">
        <f t="shared" si="28"/>
        <v>96739.129001785244</v>
      </c>
      <c r="O38" s="13">
        <f t="shared" si="28"/>
        <v>94040.490497704537</v>
      </c>
      <c r="P38" s="13">
        <f t="shared" si="28"/>
        <v>93861.188391578034</v>
      </c>
      <c r="Q38" s="13">
        <f t="shared" si="28"/>
        <v>92378.808526978624</v>
      </c>
      <c r="R38" s="13">
        <f t="shared" si="28"/>
        <v>97216.049779484616</v>
      </c>
      <c r="S38" s="13">
        <f t="shared" si="28"/>
        <v>97139.488430333993</v>
      </c>
      <c r="T38" s="13">
        <f t="shared" si="28"/>
        <v>99735.278065744729</v>
      </c>
      <c r="U38" s="13">
        <f t="shared" si="28"/>
        <v>123582.56049386531</v>
      </c>
      <c r="V38" s="13">
        <f t="shared" si="28"/>
        <v>78688.18752708871</v>
      </c>
      <c r="W38" s="13">
        <f t="shared" ref="W38" si="29">SUM(W39:W41)</f>
        <v>93858.695488003024</v>
      </c>
      <c r="DA38" s="193" t="s">
        <v>219</v>
      </c>
    </row>
    <row r="39" spans="1:105" ht="11.45" customHeight="1" x14ac:dyDescent="0.25">
      <c r="A39" s="92" t="s">
        <v>27</v>
      </c>
      <c r="B39" s="102">
        <v>9602.2837677549633</v>
      </c>
      <c r="C39" s="102">
        <v>7211.4567184712323</v>
      </c>
      <c r="D39" s="102">
        <v>7016.8341815078857</v>
      </c>
      <c r="E39" s="102">
        <v>6256.0321601673459</v>
      </c>
      <c r="F39" s="102">
        <v>5891.0436306242955</v>
      </c>
      <c r="G39" s="102">
        <v>5624.7914671743574</v>
      </c>
      <c r="H39" s="102">
        <v>5622.6256855154652</v>
      </c>
      <c r="I39" s="102">
        <v>4535.2069977170513</v>
      </c>
      <c r="J39" s="102">
        <v>3632.9914917074238</v>
      </c>
      <c r="K39" s="102">
        <v>3925.4511115925743</v>
      </c>
      <c r="L39" s="102">
        <v>3141.39708435988</v>
      </c>
      <c r="M39" s="102">
        <v>2930.8662511231973</v>
      </c>
      <c r="N39" s="102">
        <v>3155.949241931849</v>
      </c>
      <c r="O39" s="102">
        <v>2810.7625875156741</v>
      </c>
      <c r="P39" s="102">
        <v>2393.2654769374476</v>
      </c>
      <c r="Q39" s="102">
        <v>2370.0031398749152</v>
      </c>
      <c r="R39" s="102">
        <v>2869.1294748910536</v>
      </c>
      <c r="S39" s="102">
        <v>2077.5204537536997</v>
      </c>
      <c r="T39" s="102">
        <v>1371.6312738321881</v>
      </c>
      <c r="U39" s="102">
        <v>1690.9552497001071</v>
      </c>
      <c r="V39" s="102">
        <v>1616.7682998177158</v>
      </c>
      <c r="W39" s="102">
        <v>1296.5815882671875</v>
      </c>
      <c r="DA39" s="175" t="s">
        <v>220</v>
      </c>
    </row>
    <row r="40" spans="1:105" ht="11.45" customHeight="1" x14ac:dyDescent="0.25">
      <c r="A40" s="92" t="s">
        <v>173</v>
      </c>
      <c r="B40" s="102">
        <v>20577.376585476326</v>
      </c>
      <c r="C40" s="102">
        <v>18818.935863252831</v>
      </c>
      <c r="D40" s="102">
        <v>16686.996113316007</v>
      </c>
      <c r="E40" s="102">
        <v>28669.733801735412</v>
      </c>
      <c r="F40" s="102">
        <v>35937.205141239283</v>
      </c>
      <c r="G40" s="102">
        <v>33686.687760526118</v>
      </c>
      <c r="H40" s="102">
        <v>35620.491713778254</v>
      </c>
      <c r="I40" s="102">
        <v>36865.102164590076</v>
      </c>
      <c r="J40" s="102">
        <v>30413.303761848627</v>
      </c>
      <c r="K40" s="102">
        <v>27158.133268168462</v>
      </c>
      <c r="L40" s="102">
        <v>29663.558572198912</v>
      </c>
      <c r="M40" s="102">
        <v>28098.322216504617</v>
      </c>
      <c r="N40" s="102">
        <v>29548.970698044501</v>
      </c>
      <c r="O40" s="102">
        <v>32951.750004140056</v>
      </c>
      <c r="P40" s="102">
        <v>35522.013875563687</v>
      </c>
      <c r="Q40" s="102">
        <v>38314.514228444255</v>
      </c>
      <c r="R40" s="102">
        <v>37032.321498280056</v>
      </c>
      <c r="S40" s="102">
        <v>33627.189389225467</v>
      </c>
      <c r="T40" s="102">
        <v>28098.294125366589</v>
      </c>
      <c r="U40" s="102">
        <v>37386.885161705926</v>
      </c>
      <c r="V40" s="102">
        <v>25332.711742851116</v>
      </c>
      <c r="W40" s="102">
        <v>22204.113583084265</v>
      </c>
      <c r="DA40" s="175" t="s">
        <v>221</v>
      </c>
    </row>
    <row r="41" spans="1:105" ht="11.45" customHeight="1" x14ac:dyDescent="0.25">
      <c r="A41" s="85" t="s">
        <v>174</v>
      </c>
      <c r="B41" s="86">
        <v>19861.196183552045</v>
      </c>
      <c r="C41" s="86">
        <v>15397.9019163997</v>
      </c>
      <c r="D41" s="86">
        <v>16130.815200756118</v>
      </c>
      <c r="E41" s="86">
        <v>15541.99933163332</v>
      </c>
      <c r="F41" s="86">
        <v>20281.078457157404</v>
      </c>
      <c r="G41" s="86">
        <v>21400.522576080286</v>
      </c>
      <c r="H41" s="86">
        <v>23891.666158927485</v>
      </c>
      <c r="I41" s="86">
        <v>32218.341459899573</v>
      </c>
      <c r="J41" s="86">
        <v>39119.142303696695</v>
      </c>
      <c r="K41" s="86">
        <v>33831.374137355284</v>
      </c>
      <c r="L41" s="86">
        <v>48486.009703971125</v>
      </c>
      <c r="M41" s="86">
        <v>58094.07887511712</v>
      </c>
      <c r="N41" s="86">
        <v>64034.209061808899</v>
      </c>
      <c r="O41" s="86">
        <v>58277.977906048807</v>
      </c>
      <c r="P41" s="86">
        <v>55945.909039076891</v>
      </c>
      <c r="Q41" s="86">
        <v>51694.291158659464</v>
      </c>
      <c r="R41" s="86">
        <v>57314.598806313508</v>
      </c>
      <c r="S41" s="86">
        <v>61434.778587354827</v>
      </c>
      <c r="T41" s="86">
        <v>70265.35266654595</v>
      </c>
      <c r="U41" s="86">
        <v>84504.720082459273</v>
      </c>
      <c r="V41" s="86">
        <v>51738.707484419887</v>
      </c>
      <c r="W41" s="86">
        <v>70358.000316651567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79.597711733600534</v>
      </c>
      <c r="C43" s="54">
        <f t="shared" si="30"/>
        <v>79.942764298432394</v>
      </c>
      <c r="D43" s="54">
        <f t="shared" ref="D43:V43" si="31">SUM(D44,D48)</f>
        <v>74.633084049272171</v>
      </c>
      <c r="E43" s="54">
        <f t="shared" si="31"/>
        <v>79.083561007675286</v>
      </c>
      <c r="F43" s="54">
        <f t="shared" si="31"/>
        <v>85.30911992073959</v>
      </c>
      <c r="G43" s="54">
        <f t="shared" si="31"/>
        <v>85.786454766597842</v>
      </c>
      <c r="H43" s="54">
        <f t="shared" si="31"/>
        <v>90.383166805085665</v>
      </c>
      <c r="I43" s="54">
        <f t="shared" si="31"/>
        <v>95.420517542658047</v>
      </c>
      <c r="J43" s="54">
        <f t="shared" si="31"/>
        <v>99.777202753409796</v>
      </c>
      <c r="K43" s="54">
        <f t="shared" si="31"/>
        <v>95.004823774232165</v>
      </c>
      <c r="L43" s="54">
        <f t="shared" si="31"/>
        <v>94.971443243003932</v>
      </c>
      <c r="M43" s="54">
        <f t="shared" si="31"/>
        <v>107.67461488762872</v>
      </c>
      <c r="N43" s="54">
        <f t="shared" si="31"/>
        <v>100.88161288559661</v>
      </c>
      <c r="O43" s="54">
        <f t="shared" si="31"/>
        <v>97.646025402677665</v>
      </c>
      <c r="P43" s="54">
        <f t="shared" si="31"/>
        <v>97.211581175594489</v>
      </c>
      <c r="Q43" s="54">
        <f t="shared" si="31"/>
        <v>96.740251662046802</v>
      </c>
      <c r="R43" s="54">
        <f t="shared" si="31"/>
        <v>95.576554467114988</v>
      </c>
      <c r="S43" s="54">
        <f t="shared" si="31"/>
        <v>101.67989469743638</v>
      </c>
      <c r="T43" s="54">
        <f t="shared" si="31"/>
        <v>112.16347058652285</v>
      </c>
      <c r="U43" s="54">
        <f t="shared" si="31"/>
        <v>116.29942575341921</v>
      </c>
      <c r="V43" s="54">
        <f t="shared" si="31"/>
        <v>111.10652248501304</v>
      </c>
      <c r="W43" s="54">
        <f t="shared" ref="W43" si="32">SUM(W44,W48)</f>
        <v>106.13311790114685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77.086636189570015</v>
      </c>
      <c r="C44" s="11">
        <f t="shared" si="33"/>
        <v>77.623346767520516</v>
      </c>
      <c r="D44" s="11">
        <f t="shared" ref="D44:V44" si="34">SUM(D45:D47)</f>
        <v>72.564433357260796</v>
      </c>
      <c r="E44" s="11">
        <f t="shared" si="34"/>
        <v>76.51727805460186</v>
      </c>
      <c r="F44" s="11">
        <f t="shared" si="34"/>
        <v>82.104742216848038</v>
      </c>
      <c r="G44" s="11">
        <f t="shared" si="34"/>
        <v>82.427830027710542</v>
      </c>
      <c r="H44" s="11">
        <f t="shared" si="34"/>
        <v>86.718536316852919</v>
      </c>
      <c r="I44" s="11">
        <f t="shared" si="34"/>
        <v>91.452549640922101</v>
      </c>
      <c r="J44" s="11">
        <f t="shared" si="34"/>
        <v>95.977602851735668</v>
      </c>
      <c r="K44" s="11">
        <f t="shared" si="34"/>
        <v>91.376328828326606</v>
      </c>
      <c r="L44" s="11">
        <f t="shared" si="34"/>
        <v>91.565245873546004</v>
      </c>
      <c r="M44" s="11">
        <f t="shared" si="34"/>
        <v>104.24661219326576</v>
      </c>
      <c r="N44" s="11">
        <f t="shared" si="34"/>
        <v>97.352421219461291</v>
      </c>
      <c r="O44" s="11">
        <f t="shared" si="34"/>
        <v>94.288430779576075</v>
      </c>
      <c r="P44" s="11">
        <f t="shared" si="34"/>
        <v>94.059434802532607</v>
      </c>
      <c r="Q44" s="11">
        <f t="shared" si="34"/>
        <v>93.509818967617747</v>
      </c>
      <c r="R44" s="11">
        <f t="shared" si="34"/>
        <v>92.425931247281213</v>
      </c>
      <c r="S44" s="11">
        <f t="shared" si="34"/>
        <v>98.541500240741954</v>
      </c>
      <c r="T44" s="11">
        <f t="shared" si="34"/>
        <v>109.21382638503738</v>
      </c>
      <c r="U44" s="11">
        <f t="shared" si="34"/>
        <v>113.07359207737568</v>
      </c>
      <c r="V44" s="11">
        <f t="shared" si="34"/>
        <v>107.93448299807099</v>
      </c>
      <c r="W44" s="11">
        <f t="shared" ref="W44" si="35">SUM(W45:W47)</f>
        <v>102.79537391876633</v>
      </c>
      <c r="DA44" s="189" t="s">
        <v>224</v>
      </c>
    </row>
    <row r="45" spans="1:105" ht="11.45" customHeight="1" x14ac:dyDescent="0.25">
      <c r="A45" s="83" t="s">
        <v>27</v>
      </c>
      <c r="B45" s="84">
        <v>30.328705776981639</v>
      </c>
      <c r="C45" s="84">
        <v>29.556202418271383</v>
      </c>
      <c r="D45" s="84">
        <v>27.671742051052394</v>
      </c>
      <c r="E45" s="84">
        <v>27.991491267353336</v>
      </c>
      <c r="F45" s="84">
        <v>28.445141065830722</v>
      </c>
      <c r="G45" s="84">
        <v>28.554602888086642</v>
      </c>
      <c r="H45" s="84">
        <v>28.813220940550131</v>
      </c>
      <c r="I45" s="84">
        <v>26.932609678878336</v>
      </c>
      <c r="J45" s="84">
        <v>26.491913746630729</v>
      </c>
      <c r="K45" s="84">
        <v>26.262585034013604</v>
      </c>
      <c r="L45" s="84">
        <v>24.708352350524873</v>
      </c>
      <c r="M45" s="84">
        <v>26.753768844221106</v>
      </c>
      <c r="N45" s="84">
        <v>23.720898266522944</v>
      </c>
      <c r="O45" s="84">
        <v>20.688027688824782</v>
      </c>
      <c r="P45" s="84">
        <v>19.27072835547412</v>
      </c>
      <c r="Q45" s="84">
        <v>18.607583371402466</v>
      </c>
      <c r="R45" s="84">
        <v>18.035208047553727</v>
      </c>
      <c r="S45" s="84">
        <v>18.626434144102799</v>
      </c>
      <c r="T45" s="84">
        <v>19.628079962807995</v>
      </c>
      <c r="U45" s="84">
        <v>19.462902473168455</v>
      </c>
      <c r="V45" s="84">
        <v>17.440988754703014</v>
      </c>
      <c r="W45" s="84">
        <v>15.419075036237571</v>
      </c>
      <c r="DA45" s="171" t="s">
        <v>225</v>
      </c>
    </row>
    <row r="46" spans="1:105" ht="11.45" customHeight="1" x14ac:dyDescent="0.25">
      <c r="A46" s="83" t="s">
        <v>173</v>
      </c>
      <c r="B46" s="84">
        <v>37.048914019145748</v>
      </c>
      <c r="C46" s="84">
        <v>38.335586972199948</v>
      </c>
      <c r="D46" s="84">
        <v>35.310724093093647</v>
      </c>
      <c r="E46" s="84">
        <v>38.533983508560006</v>
      </c>
      <c r="F46" s="84">
        <v>41.90755197068944</v>
      </c>
      <c r="G46" s="84">
        <v>41.523227139623906</v>
      </c>
      <c r="H46" s="84">
        <v>42.960503014271886</v>
      </c>
      <c r="I46" s="84">
        <v>45.676261801124234</v>
      </c>
      <c r="J46" s="84">
        <v>47.070510533676369</v>
      </c>
      <c r="K46" s="84">
        <v>43.669466862228695</v>
      </c>
      <c r="L46" s="84">
        <v>44.428322094449697</v>
      </c>
      <c r="M46" s="84">
        <v>50.353754620027857</v>
      </c>
      <c r="N46" s="84">
        <v>46.816986612086211</v>
      </c>
      <c r="O46" s="84">
        <v>46.024645514993722</v>
      </c>
      <c r="P46" s="84">
        <v>45.725904514691329</v>
      </c>
      <c r="Q46" s="84">
        <v>44.902235596215284</v>
      </c>
      <c r="R46" s="84">
        <v>45.281812308638379</v>
      </c>
      <c r="S46" s="84">
        <v>49.100066096639161</v>
      </c>
      <c r="T46" s="84">
        <v>53.918258737500324</v>
      </c>
      <c r="U46" s="84">
        <v>53.831533276663784</v>
      </c>
      <c r="V46" s="84">
        <v>51.361605675387402</v>
      </c>
      <c r="W46" s="84">
        <v>48.891678074111013</v>
      </c>
      <c r="DA46" s="171" t="s">
        <v>226</v>
      </c>
    </row>
    <row r="47" spans="1:105" ht="11.45" customHeight="1" x14ac:dyDescent="0.25">
      <c r="A47" s="83" t="s">
        <v>174</v>
      </c>
      <c r="B47" s="84">
        <v>9.7090163934426226</v>
      </c>
      <c r="C47" s="84">
        <v>9.7315573770491799</v>
      </c>
      <c r="D47" s="84">
        <v>9.5819672131147549</v>
      </c>
      <c r="E47" s="84">
        <v>9.9918032786885238</v>
      </c>
      <c r="F47" s="84">
        <v>11.752049180327869</v>
      </c>
      <c r="G47" s="84">
        <v>12.35</v>
      </c>
      <c r="H47" s="84">
        <v>14.944812362030905</v>
      </c>
      <c r="I47" s="84">
        <v>18.843678160919541</v>
      </c>
      <c r="J47" s="84">
        <v>22.415178571428573</v>
      </c>
      <c r="K47" s="84">
        <v>21.444276932084311</v>
      </c>
      <c r="L47" s="84">
        <v>22.428571428571427</v>
      </c>
      <c r="M47" s="84">
        <v>27.139088729016787</v>
      </c>
      <c r="N47" s="84">
        <v>26.814536340852129</v>
      </c>
      <c r="O47" s="84">
        <v>27.575757575757574</v>
      </c>
      <c r="P47" s="84">
        <v>29.062801932367151</v>
      </c>
      <c r="Q47" s="84">
        <v>30</v>
      </c>
      <c r="R47" s="84">
        <v>29.10891089108911</v>
      </c>
      <c r="S47" s="84">
        <v>30.815000000000001</v>
      </c>
      <c r="T47" s="84">
        <v>35.667487684729061</v>
      </c>
      <c r="U47" s="84">
        <v>39.779156327543426</v>
      </c>
      <c r="V47" s="84">
        <v>39.131888567980582</v>
      </c>
      <c r="W47" s="84">
        <v>38.484620808417738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2.5110755440305232</v>
      </c>
      <c r="C48" s="13">
        <f t="shared" si="36"/>
        <v>2.3194175309118745</v>
      </c>
      <c r="D48" s="13">
        <f t="shared" ref="D48:V48" si="37">SUM(D49:D51)</f>
        <v>2.0686506920113774</v>
      </c>
      <c r="E48" s="13">
        <f t="shared" si="37"/>
        <v>2.5662829530734212</v>
      </c>
      <c r="F48" s="13">
        <f t="shared" si="37"/>
        <v>3.204377703891558</v>
      </c>
      <c r="G48" s="13">
        <f t="shared" si="37"/>
        <v>3.3586247388872943</v>
      </c>
      <c r="H48" s="13">
        <f t="shared" si="37"/>
        <v>3.6646304882327394</v>
      </c>
      <c r="I48" s="13">
        <f t="shared" si="37"/>
        <v>3.9679679017359497</v>
      </c>
      <c r="J48" s="13">
        <f t="shared" si="37"/>
        <v>3.7995999016741329</v>
      </c>
      <c r="K48" s="13">
        <f t="shared" si="37"/>
        <v>3.6284949459055529</v>
      </c>
      <c r="L48" s="13">
        <f t="shared" si="37"/>
        <v>3.4061973694579315</v>
      </c>
      <c r="M48" s="13">
        <f t="shared" si="37"/>
        <v>3.4280026943629589</v>
      </c>
      <c r="N48" s="13">
        <f t="shared" si="37"/>
        <v>3.5291916661353246</v>
      </c>
      <c r="O48" s="13">
        <f t="shared" si="37"/>
        <v>3.3575946231015963</v>
      </c>
      <c r="P48" s="13">
        <f t="shared" si="37"/>
        <v>3.1521463730618864</v>
      </c>
      <c r="Q48" s="13">
        <f t="shared" si="37"/>
        <v>3.2304326944290493</v>
      </c>
      <c r="R48" s="13">
        <f t="shared" si="37"/>
        <v>3.150623219833772</v>
      </c>
      <c r="S48" s="13">
        <f t="shared" si="37"/>
        <v>3.1383944566944271</v>
      </c>
      <c r="T48" s="13">
        <f t="shared" si="37"/>
        <v>2.9496442014854667</v>
      </c>
      <c r="U48" s="13">
        <f t="shared" si="37"/>
        <v>3.2258336760435347</v>
      </c>
      <c r="V48" s="13">
        <f t="shared" si="37"/>
        <v>3.1720394869420598</v>
      </c>
      <c r="W48" s="13">
        <f t="shared" ref="W48" si="38">SUM(W49:W51)</f>
        <v>3.3377439823805095</v>
      </c>
      <c r="DA48" s="193" t="s">
        <v>228</v>
      </c>
    </row>
    <row r="49" spans="1:105" ht="11.45" customHeight="1" x14ac:dyDescent="0.25">
      <c r="A49" s="92" t="s">
        <v>27</v>
      </c>
      <c r="B49" s="102">
        <v>0.64598786244099793</v>
      </c>
      <c r="C49" s="102">
        <v>0.58138907619689817</v>
      </c>
      <c r="D49" s="102">
        <v>0.51679028995279841</v>
      </c>
      <c r="E49" s="102">
        <v>0.45219150370869859</v>
      </c>
      <c r="F49" s="102">
        <v>0.38772757923128792</v>
      </c>
      <c r="G49" s="102">
        <v>0.38033898305084746</v>
      </c>
      <c r="H49" s="102">
        <v>0.38558201058201058</v>
      </c>
      <c r="I49" s="102">
        <v>0.32098322433791077</v>
      </c>
      <c r="J49" s="102">
        <v>0.25638443809381095</v>
      </c>
      <c r="K49" s="102">
        <v>0.27178825048418337</v>
      </c>
      <c r="L49" s="102">
        <v>0.20718946424008355</v>
      </c>
      <c r="M49" s="102">
        <v>0.17814569536423841</v>
      </c>
      <c r="N49" s="102">
        <v>0.19354838709677419</v>
      </c>
      <c r="O49" s="102">
        <v>0.16666666666666666</v>
      </c>
      <c r="P49" s="102">
        <v>0.12696245733788397</v>
      </c>
      <c r="Q49" s="102">
        <v>0.12176870748299319</v>
      </c>
      <c r="R49" s="102">
        <v>0.12780421481985044</v>
      </c>
      <c r="S49" s="102">
        <v>0.10068027210884353</v>
      </c>
      <c r="T49" s="102">
        <v>6.5798492117888963E-2</v>
      </c>
      <c r="U49" s="102">
        <v>7.244414353419093E-2</v>
      </c>
      <c r="V49" s="102">
        <v>7.649896623018608E-2</v>
      </c>
      <c r="W49" s="102">
        <v>6.0899653979238758E-2</v>
      </c>
      <c r="DA49" s="175" t="s">
        <v>229</v>
      </c>
    </row>
    <row r="50" spans="1:105" ht="11.45" customHeight="1" x14ac:dyDescent="0.25">
      <c r="A50" s="92" t="s">
        <v>173</v>
      </c>
      <c r="B50" s="102">
        <v>1.2160246492215527</v>
      </c>
      <c r="C50" s="102">
        <v>1.1538717255838009</v>
      </c>
      <c r="D50" s="102">
        <v>1.0322692606616457</v>
      </c>
      <c r="E50" s="102">
        <v>1.5706502227889134</v>
      </c>
      <c r="F50" s="102">
        <v>2.0977404142684475</v>
      </c>
      <c r="G50" s="102">
        <v>2.0950740770043299</v>
      </c>
      <c r="H50" s="102">
        <v>2.401768212310762</v>
      </c>
      <c r="I50" s="102">
        <v>2.5483714262424146</v>
      </c>
      <c r="J50" s="102">
        <v>2.4322460758252196</v>
      </c>
      <c r="K50" s="102">
        <v>2.3106436109030644</v>
      </c>
      <c r="L50" s="102">
        <v>2.2178511239363408</v>
      </c>
      <c r="M50" s="102">
        <v>2.1093164584581801</v>
      </c>
      <c r="N50" s="102">
        <v>1.9899642666928714</v>
      </c>
      <c r="O50" s="102">
        <v>1.9101552473260479</v>
      </c>
      <c r="P50" s="102">
        <v>1.8093175098519179</v>
      </c>
      <c r="Q50" s="102">
        <v>1.957703884310769</v>
      </c>
      <c r="R50" s="102">
        <v>1.9367652056154316</v>
      </c>
      <c r="S50" s="102">
        <v>2.0165666884238913</v>
      </c>
      <c r="T50" s="102">
        <v>1.8951625817955613</v>
      </c>
      <c r="U50" s="102">
        <v>2.0529017276312951</v>
      </c>
      <c r="V50" s="102">
        <v>1.997459497257716</v>
      </c>
      <c r="W50" s="102">
        <v>1.9163911873096127</v>
      </c>
      <c r="DA50" s="175" t="s">
        <v>230</v>
      </c>
    </row>
    <row r="51" spans="1:105" ht="11.45" customHeight="1" x14ac:dyDescent="0.25">
      <c r="A51" s="85" t="s">
        <v>174</v>
      </c>
      <c r="B51" s="86">
        <v>0.64906303236797269</v>
      </c>
      <c r="C51" s="86">
        <v>0.58415672913117545</v>
      </c>
      <c r="D51" s="86">
        <v>0.51959114139693352</v>
      </c>
      <c r="E51" s="86">
        <v>0.54344122657580918</v>
      </c>
      <c r="F51" s="86">
        <v>0.71890971039182283</v>
      </c>
      <c r="G51" s="86">
        <v>0.88321167883211682</v>
      </c>
      <c r="H51" s="86">
        <v>0.87728026533996684</v>
      </c>
      <c r="I51" s="86">
        <v>1.0986132511556241</v>
      </c>
      <c r="J51" s="86">
        <v>1.1109693877551021</v>
      </c>
      <c r="K51" s="86">
        <v>1.0460630845183048</v>
      </c>
      <c r="L51" s="86">
        <v>0.98115678128150752</v>
      </c>
      <c r="M51" s="86">
        <v>1.1405405405405404</v>
      </c>
      <c r="N51" s="86">
        <v>1.345679012345679</v>
      </c>
      <c r="O51" s="86">
        <v>1.2807727091088816</v>
      </c>
      <c r="P51" s="86">
        <v>1.2158664058720843</v>
      </c>
      <c r="Q51" s="86">
        <v>1.1509601026352869</v>
      </c>
      <c r="R51" s="86">
        <v>1.0860537993984896</v>
      </c>
      <c r="S51" s="86">
        <v>1.0211474961616922</v>
      </c>
      <c r="T51" s="86">
        <v>0.98868312757201648</v>
      </c>
      <c r="U51" s="86">
        <v>1.1004878048780489</v>
      </c>
      <c r="V51" s="86">
        <v>1.0980810234541578</v>
      </c>
      <c r="W51" s="86">
        <v>1.360453141091658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5.4099013593283694</v>
      </c>
      <c r="C53" s="54">
        <f t="shared" si="39"/>
        <v>3.1241554702015009</v>
      </c>
      <c r="D53" s="54">
        <f t="shared" ref="D53:V53" si="40">SUM(D54,D58)</f>
        <v>0.20181357542721146</v>
      </c>
      <c r="E53" s="54">
        <f t="shared" si="40"/>
        <v>7.1713179877607089</v>
      </c>
      <c r="F53" s="54">
        <f t="shared" si="40"/>
        <v>8.9356636938596221</v>
      </c>
      <c r="G53" s="54">
        <f t="shared" si="40"/>
        <v>3.2723126119488755</v>
      </c>
      <c r="H53" s="54">
        <f t="shared" si="40"/>
        <v>7.2648525754324886</v>
      </c>
      <c r="I53" s="54">
        <f t="shared" si="40"/>
        <v>8.6427332122873004</v>
      </c>
      <c r="J53" s="54">
        <f t="shared" si="40"/>
        <v>7.1443261306350427</v>
      </c>
      <c r="K53" s="54">
        <f t="shared" si="40"/>
        <v>0.8564212126665629</v>
      </c>
      <c r="L53" s="54">
        <f t="shared" si="40"/>
        <v>3.3637598691210226</v>
      </c>
      <c r="M53" s="54">
        <f t="shared" si="40"/>
        <v>15.455239334542064</v>
      </c>
      <c r="N53" s="54">
        <f t="shared" si="40"/>
        <v>0.25939269038167445</v>
      </c>
      <c r="O53" s="54">
        <f t="shared" si="40"/>
        <v>1.7233961991964568</v>
      </c>
      <c r="P53" s="54">
        <f t="shared" si="40"/>
        <v>2.7979798655607304</v>
      </c>
      <c r="Q53" s="54">
        <f t="shared" si="40"/>
        <v>2.2408251655451097</v>
      </c>
      <c r="R53" s="54">
        <f t="shared" si="40"/>
        <v>2.1810897985473479</v>
      </c>
      <c r="S53" s="54">
        <f t="shared" si="40"/>
        <v>8.8891676676296711</v>
      </c>
      <c r="T53" s="54">
        <f t="shared" si="40"/>
        <v>13.259771036546427</v>
      </c>
      <c r="U53" s="54">
        <f t="shared" si="40"/>
        <v>6.8686038851008222</v>
      </c>
      <c r="V53" s="54">
        <f t="shared" si="40"/>
        <v>6.3247143017815421E-2</v>
      </c>
      <c r="W53" s="54">
        <f t="shared" ref="W53" si="41">SUM(W54,W58)</f>
        <v>0.285624332230553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5.1440618837389431</v>
      </c>
      <c r="C54" s="11">
        <f t="shared" si="42"/>
        <v>3.1241554702015009</v>
      </c>
      <c r="D54" s="11">
        <f t="shared" ref="D54:V54" si="43">SUM(D55:D57)</f>
        <v>0.20181357542721146</v>
      </c>
      <c r="E54" s="11">
        <f t="shared" si="43"/>
        <v>6.5402895895920716</v>
      </c>
      <c r="F54" s="11">
        <f t="shared" si="43"/>
        <v>8.1749090544971672</v>
      </c>
      <c r="G54" s="11">
        <f t="shared" si="43"/>
        <v>3.0407516592561397</v>
      </c>
      <c r="H54" s="11">
        <f t="shared" si="43"/>
        <v>6.878151181393374</v>
      </c>
      <c r="I54" s="11">
        <f t="shared" si="43"/>
        <v>8.2168627307159898</v>
      </c>
      <c r="J54" s="11">
        <f t="shared" si="43"/>
        <v>7.1124981030645644</v>
      </c>
      <c r="K54" s="11">
        <f t="shared" si="43"/>
        <v>0.82163776440319047</v>
      </c>
      <c r="L54" s="11">
        <f t="shared" si="43"/>
        <v>3.3453878736831277</v>
      </c>
      <c r="M54" s="11">
        <f t="shared" si="43"/>
        <v>15.268811211970755</v>
      </c>
      <c r="N54" s="11">
        <f t="shared" si="43"/>
        <v>0</v>
      </c>
      <c r="O54" s="11">
        <f t="shared" si="43"/>
        <v>1.6913575923510926</v>
      </c>
      <c r="P54" s="11">
        <f t="shared" si="43"/>
        <v>2.7905415012821893</v>
      </c>
      <c r="Q54" s="11">
        <f t="shared" si="43"/>
        <v>2.0378290573361508</v>
      </c>
      <c r="R54" s="11">
        <f t="shared" si="43"/>
        <v>2.0702610349233601</v>
      </c>
      <c r="S54" s="11">
        <f t="shared" si="43"/>
        <v>8.7030138857117443</v>
      </c>
      <c r="T54" s="11">
        <f t="shared" si="43"/>
        <v>13.259771036546427</v>
      </c>
      <c r="U54" s="11">
        <f t="shared" si="43"/>
        <v>6.4472105845892855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1.2462904911183621</v>
      </c>
      <c r="C55" s="84">
        <v>0.21270338856574256</v>
      </c>
      <c r="D55" s="84">
        <v>0</v>
      </c>
      <c r="E55" s="84">
        <v>1.3049559635769405</v>
      </c>
      <c r="F55" s="84">
        <v>1.4388565457533851</v>
      </c>
      <c r="G55" s="84">
        <v>1.0946685695319189</v>
      </c>
      <c r="H55" s="84">
        <v>1.2438247997394889</v>
      </c>
      <c r="I55" s="84">
        <v>0</v>
      </c>
      <c r="J55" s="84">
        <v>0.54451081502839216</v>
      </c>
      <c r="K55" s="84">
        <v>0.75587803465887404</v>
      </c>
      <c r="L55" s="84">
        <v>0</v>
      </c>
      <c r="M55" s="84">
        <v>3.0306232409722327</v>
      </c>
      <c r="N55" s="84">
        <v>0</v>
      </c>
      <c r="O55" s="84">
        <v>0</v>
      </c>
      <c r="P55" s="84">
        <v>0</v>
      </c>
      <c r="Q55" s="84">
        <v>0.32206176320434565</v>
      </c>
      <c r="R55" s="84">
        <v>0.41283142342726009</v>
      </c>
      <c r="S55" s="84">
        <v>1.5764328438250708</v>
      </c>
      <c r="T55" s="84">
        <v>1.9868525659811951</v>
      </c>
      <c r="U55" s="84">
        <v>0.82002925763645962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3.4729763106530074</v>
      </c>
      <c r="C56" s="84">
        <v>2.5645258521272005</v>
      </c>
      <c r="D56" s="84">
        <v>2.7018493459636028E-2</v>
      </c>
      <c r="E56" s="84">
        <v>4.5011123145393617</v>
      </c>
      <c r="F56" s="84">
        <v>4.651421361202436</v>
      </c>
      <c r="G56" s="84">
        <v>1.0237470241500901</v>
      </c>
      <c r="H56" s="84">
        <v>2.7151287737209793</v>
      </c>
      <c r="I56" s="84">
        <v>3.993611685925353</v>
      </c>
      <c r="J56" s="84">
        <v>2.6721016316251403</v>
      </c>
      <c r="K56" s="84">
        <v>6.5759729744316431E-2</v>
      </c>
      <c r="L56" s="84">
        <v>2.0367081312940107</v>
      </c>
      <c r="M56" s="84">
        <v>7.2032854246511615</v>
      </c>
      <c r="N56" s="84">
        <v>0</v>
      </c>
      <c r="O56" s="84">
        <v>0.60575111154364691</v>
      </c>
      <c r="P56" s="84">
        <v>0.979111898770612</v>
      </c>
      <c r="Q56" s="84">
        <v>0.45418398059695564</v>
      </c>
      <c r="R56" s="84">
        <v>1.6574296114961</v>
      </c>
      <c r="S56" s="84">
        <v>5.0961066870737817</v>
      </c>
      <c r="T56" s="84">
        <v>6.0960455399341722</v>
      </c>
      <c r="U56" s="84">
        <v>1.1911274382364607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0.42479508196757365</v>
      </c>
      <c r="C57" s="84">
        <v>0.34692622950855778</v>
      </c>
      <c r="D57" s="84">
        <v>0.17479508196757543</v>
      </c>
      <c r="E57" s="84">
        <v>0.73422131147576941</v>
      </c>
      <c r="F57" s="84">
        <v>2.0846311475413462</v>
      </c>
      <c r="G57" s="84">
        <v>0.92233606557413061</v>
      </c>
      <c r="H57" s="84">
        <v>2.9191976079329063</v>
      </c>
      <c r="I57" s="84">
        <v>4.2232510447906364</v>
      </c>
      <c r="J57" s="84">
        <v>3.895885656411032</v>
      </c>
      <c r="K57" s="84">
        <v>0</v>
      </c>
      <c r="L57" s="84">
        <v>1.308679742389117</v>
      </c>
      <c r="M57" s="84">
        <v>5.0349025463473609</v>
      </c>
      <c r="N57" s="84">
        <v>0</v>
      </c>
      <c r="O57" s="84">
        <v>1.0856064808074457</v>
      </c>
      <c r="P57" s="84">
        <v>1.811429602511577</v>
      </c>
      <c r="Q57" s="84">
        <v>1.2615833135348495</v>
      </c>
      <c r="R57" s="84">
        <v>0</v>
      </c>
      <c r="S57" s="84">
        <v>2.0304743548128918</v>
      </c>
      <c r="T57" s="84">
        <v>5.1768729306310597</v>
      </c>
      <c r="U57" s="84">
        <v>4.4360538887163656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0.26583947558942633</v>
      </c>
      <c r="C58" s="13">
        <f t="shared" si="45"/>
        <v>0</v>
      </c>
      <c r="D58" s="13">
        <f t="shared" ref="D58:V58" si="46">SUM(D59:D61)</f>
        <v>0</v>
      </c>
      <c r="E58" s="13">
        <f t="shared" si="46"/>
        <v>0.63102839816863709</v>
      </c>
      <c r="F58" s="13">
        <f t="shared" si="46"/>
        <v>0.76075463936245435</v>
      </c>
      <c r="G58" s="13">
        <f t="shared" si="46"/>
        <v>0.2315609526927358</v>
      </c>
      <c r="H58" s="13">
        <f t="shared" si="46"/>
        <v>0.38670139403911474</v>
      </c>
      <c r="I58" s="13">
        <f t="shared" si="46"/>
        <v>0.42587048157131013</v>
      </c>
      <c r="J58" s="13">
        <f t="shared" si="46"/>
        <v>3.182802757047809E-2</v>
      </c>
      <c r="K58" s="13">
        <f t="shared" si="46"/>
        <v>3.478344826337243E-2</v>
      </c>
      <c r="L58" s="13">
        <f t="shared" si="46"/>
        <v>1.8371995437895056E-2</v>
      </c>
      <c r="M58" s="13">
        <f t="shared" si="46"/>
        <v>0.18642812257130825</v>
      </c>
      <c r="N58" s="13">
        <f t="shared" si="46"/>
        <v>0.25939269038167445</v>
      </c>
      <c r="O58" s="13">
        <f t="shared" si="46"/>
        <v>3.2038606845364165E-2</v>
      </c>
      <c r="P58" s="13">
        <f t="shared" si="46"/>
        <v>7.4383642785413873E-3</v>
      </c>
      <c r="Q58" s="13">
        <f t="shared" si="46"/>
        <v>0.202996108208959</v>
      </c>
      <c r="R58" s="13">
        <f t="shared" si="46"/>
        <v>0.11082876362398766</v>
      </c>
      <c r="S58" s="13">
        <f t="shared" si="46"/>
        <v>0.18615378191792736</v>
      </c>
      <c r="T58" s="13">
        <f t="shared" si="46"/>
        <v>0</v>
      </c>
      <c r="U58" s="13">
        <f t="shared" si="46"/>
        <v>0.42139330051153628</v>
      </c>
      <c r="V58" s="13">
        <f t="shared" si="46"/>
        <v>6.3247143017815421E-2</v>
      </c>
      <c r="W58" s="13">
        <f t="shared" ref="W58" si="47">SUM(W59:W61)</f>
        <v>0.285624332230553</v>
      </c>
      <c r="DA58" s="193" t="s">
        <v>237</v>
      </c>
    </row>
    <row r="59" spans="1:105" ht="11.45" customHeight="1" x14ac:dyDescent="0.25">
      <c r="A59" s="92" t="s">
        <v>27</v>
      </c>
      <c r="B59" s="102">
        <v>0.14480107889390348</v>
      </c>
      <c r="C59" s="102">
        <v>0</v>
      </c>
      <c r="D59" s="102">
        <v>0</v>
      </c>
      <c r="E59" s="102">
        <v>0</v>
      </c>
      <c r="F59" s="102">
        <v>0</v>
      </c>
      <c r="G59" s="102">
        <v>1.1991039692559546E-2</v>
      </c>
      <c r="H59" s="102">
        <v>2.4622663404163136E-2</v>
      </c>
      <c r="I59" s="102">
        <v>0</v>
      </c>
      <c r="J59" s="102">
        <v>0</v>
      </c>
      <c r="K59" s="102">
        <v>3.478344826337243E-2</v>
      </c>
      <c r="L59" s="102">
        <v>0</v>
      </c>
      <c r="M59" s="102">
        <v>0</v>
      </c>
      <c r="N59" s="102">
        <v>3.478232760553579E-2</v>
      </c>
      <c r="O59" s="102">
        <v>0</v>
      </c>
      <c r="P59" s="102">
        <v>0</v>
      </c>
      <c r="Q59" s="102">
        <v>1.4185886018109217E-2</v>
      </c>
      <c r="R59" s="102">
        <v>2.5415143209857258E-2</v>
      </c>
      <c r="S59" s="102">
        <v>0</v>
      </c>
      <c r="T59" s="102">
        <v>0</v>
      </c>
      <c r="U59" s="102">
        <v>2.6025287289301965E-2</v>
      </c>
      <c r="V59" s="102">
        <v>2.3434458568995148E-2</v>
      </c>
      <c r="W59" s="102">
        <v>3.7803236220526754E-3</v>
      </c>
      <c r="DA59" s="175" t="s">
        <v>238</v>
      </c>
    </row>
    <row r="60" spans="1:105" ht="11.45" customHeight="1" x14ac:dyDescent="0.25">
      <c r="A60" s="92" t="s">
        <v>173</v>
      </c>
      <c r="B60" s="102">
        <v>8.6234308109531491E-2</v>
      </c>
      <c r="C60" s="102">
        <v>0</v>
      </c>
      <c r="D60" s="102">
        <v>0</v>
      </c>
      <c r="E60" s="102">
        <v>0.58770642201876144</v>
      </c>
      <c r="F60" s="102">
        <v>0.56581426457544071</v>
      </c>
      <c r="G60" s="102">
        <v>3.5796053588882278E-2</v>
      </c>
      <c r="H60" s="102">
        <v>0.3485382531561016</v>
      </c>
      <c r="I60" s="102">
        <v>0.1850656047846527</v>
      </c>
      <c r="J60" s="102">
        <v>0</v>
      </c>
      <c r="K60" s="102">
        <v>0</v>
      </c>
      <c r="L60" s="102">
        <v>1.8371995437895056E-2</v>
      </c>
      <c r="M60" s="102">
        <v>7.5724723412752132E-3</v>
      </c>
      <c r="N60" s="102">
        <v>0</v>
      </c>
      <c r="O60" s="102">
        <v>3.2038606845364165E-2</v>
      </c>
      <c r="P60" s="102">
        <v>7.4383642785413873E-3</v>
      </c>
      <c r="Q60" s="102">
        <v>0.18881022219084978</v>
      </c>
      <c r="R60" s="102">
        <v>8.5413620414130406E-2</v>
      </c>
      <c r="S60" s="102">
        <v>0.18615378191792736</v>
      </c>
      <c r="T60" s="102">
        <v>0</v>
      </c>
      <c r="U60" s="102">
        <v>0.26409144494520181</v>
      </c>
      <c r="V60" s="102">
        <v>2.2747574901711233E-2</v>
      </c>
      <c r="W60" s="102">
        <v>0</v>
      </c>
      <c r="DA60" s="175" t="s">
        <v>239</v>
      </c>
    </row>
    <row r="61" spans="1:105" ht="11.45" customHeight="1" x14ac:dyDescent="0.25">
      <c r="A61" s="85" t="s">
        <v>174</v>
      </c>
      <c r="B61" s="86">
        <v>3.4804088585991377E-2</v>
      </c>
      <c r="C61" s="86">
        <v>0</v>
      </c>
      <c r="D61" s="86">
        <v>0</v>
      </c>
      <c r="E61" s="86">
        <v>4.3321976149875652E-2</v>
      </c>
      <c r="F61" s="86">
        <v>0.19494037478701365</v>
      </c>
      <c r="G61" s="86">
        <v>0.18377385941129398</v>
      </c>
      <c r="H61" s="86">
        <v>1.354047747885001E-2</v>
      </c>
      <c r="I61" s="86">
        <v>0.24080487678665741</v>
      </c>
      <c r="J61" s="86">
        <v>3.182802757047809E-2</v>
      </c>
      <c r="K61" s="86">
        <v>0</v>
      </c>
      <c r="L61" s="86">
        <v>0</v>
      </c>
      <c r="M61" s="86">
        <v>0.17885565023003303</v>
      </c>
      <c r="N61" s="86">
        <v>0.22461036277613866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0.13127656827703249</v>
      </c>
      <c r="V61" s="86">
        <v>1.7065109547109047E-2</v>
      </c>
      <c r="W61" s="86">
        <v>0.28184400860850034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58.677992795509759</v>
      </c>
      <c r="C66" s="14">
        <f t="shared" si="48"/>
        <v>58.755368978490566</v>
      </c>
      <c r="D66" s="14">
        <f t="shared" ref="D66:V66" si="49">IF(D34=0,0,D34/D24)</f>
        <v>62.643721783549474</v>
      </c>
      <c r="E66" s="14">
        <f t="shared" si="49"/>
        <v>57.191623459815482</v>
      </c>
      <c r="F66" s="14">
        <f t="shared" si="49"/>
        <v>59.967190078593489</v>
      </c>
      <c r="G66" s="14">
        <f t="shared" si="49"/>
        <v>62.125682069204267</v>
      </c>
      <c r="H66" s="14">
        <f t="shared" si="49"/>
        <v>65.287259384792478</v>
      </c>
      <c r="I66" s="14">
        <f t="shared" si="49"/>
        <v>70.408176161773284</v>
      </c>
      <c r="J66" s="14">
        <f t="shared" si="49"/>
        <v>69.665444163137181</v>
      </c>
      <c r="K66" s="14">
        <f t="shared" si="49"/>
        <v>67.791548428437096</v>
      </c>
      <c r="L66" s="14">
        <f t="shared" si="49"/>
        <v>70.230169762837519</v>
      </c>
      <c r="M66" s="14">
        <f t="shared" si="49"/>
        <v>72.971946619810055</v>
      </c>
      <c r="N66" s="14">
        <f t="shared" si="49"/>
        <v>81.973866087045124</v>
      </c>
      <c r="O66" s="14">
        <f t="shared" si="49"/>
        <v>85.958187557897958</v>
      </c>
      <c r="P66" s="14">
        <f t="shared" si="49"/>
        <v>90.40315418212387</v>
      </c>
      <c r="Q66" s="14">
        <f t="shared" si="49"/>
        <v>93.306403684718816</v>
      </c>
      <c r="R66" s="14">
        <f t="shared" si="49"/>
        <v>98.571654467811115</v>
      </c>
      <c r="S66" s="14">
        <f t="shared" si="49"/>
        <v>102.73154968355561</v>
      </c>
      <c r="T66" s="14">
        <f t="shared" si="49"/>
        <v>105.51466006430654</v>
      </c>
      <c r="U66" s="14">
        <f t="shared" si="49"/>
        <v>108.84339104104269</v>
      </c>
      <c r="V66" s="14">
        <f t="shared" si="49"/>
        <v>76.960786177721801</v>
      </c>
      <c r="W66" s="14">
        <f t="shared" ref="W66" si="50">IF(W34=0,0,W34/W24)</f>
        <v>68.333143055693441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47.816505227098219</v>
      </c>
      <c r="C67" s="87">
        <f t="shared" si="48"/>
        <v>48.24017030561069</v>
      </c>
      <c r="D67" s="87">
        <f t="shared" ref="D67:V67" si="51">IF(D35=0,0,D35/D25)</f>
        <v>51.704552442912401</v>
      </c>
      <c r="E67" s="87">
        <f t="shared" si="51"/>
        <v>44.198064154867609</v>
      </c>
      <c r="F67" s="87">
        <f t="shared" si="51"/>
        <v>46.016200132245977</v>
      </c>
      <c r="G67" s="87">
        <f t="shared" si="51"/>
        <v>44.744915214058821</v>
      </c>
      <c r="H67" s="87">
        <f t="shared" si="51"/>
        <v>44.957579490337977</v>
      </c>
      <c r="I67" s="87">
        <f t="shared" si="51"/>
        <v>48.511285013770404</v>
      </c>
      <c r="J67" s="87">
        <f t="shared" si="51"/>
        <v>46.347340218073292</v>
      </c>
      <c r="K67" s="87">
        <f t="shared" si="51"/>
        <v>41.773230413234558</v>
      </c>
      <c r="L67" s="87">
        <f t="shared" si="51"/>
        <v>42.530681986109059</v>
      </c>
      <c r="M67" s="87">
        <f t="shared" si="51"/>
        <v>47.529113448534936</v>
      </c>
      <c r="N67" s="87">
        <f t="shared" si="51"/>
        <v>56.303879839567813</v>
      </c>
      <c r="O67" s="87">
        <f t="shared" si="51"/>
        <v>56.315911730545878</v>
      </c>
      <c r="P67" s="87">
        <f t="shared" si="51"/>
        <v>60.815750689360087</v>
      </c>
      <c r="Q67" s="87">
        <f t="shared" si="51"/>
        <v>63.885839143670822</v>
      </c>
      <c r="R67" s="87">
        <f t="shared" si="51"/>
        <v>68.252896584945361</v>
      </c>
      <c r="S67" s="87">
        <f t="shared" si="51"/>
        <v>69.67780323748984</v>
      </c>
      <c r="T67" s="87">
        <f t="shared" si="51"/>
        <v>73.070014211274284</v>
      </c>
      <c r="U67" s="87">
        <f t="shared" si="51"/>
        <v>73.446905943561347</v>
      </c>
      <c r="V67" s="87">
        <f t="shared" si="51"/>
        <v>61.942096018735363</v>
      </c>
      <c r="W67" s="87">
        <f t="shared" ref="W67" si="52">IF(W35=0,0,W35/W25)</f>
        <v>53.792871076431993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68.138441204059006</v>
      </c>
      <c r="C68" s="87">
        <f t="shared" si="48"/>
        <v>67.390883835785573</v>
      </c>
      <c r="D68" s="87">
        <f t="shared" ref="D68:V68" si="53">IF(D36=0,0,D36/D26)</f>
        <v>72.077514700292895</v>
      </c>
      <c r="E68" s="87">
        <f t="shared" si="53"/>
        <v>68.287346688470976</v>
      </c>
      <c r="F68" s="87">
        <f t="shared" si="53"/>
        <v>69.952115750061154</v>
      </c>
      <c r="G68" s="87">
        <f t="shared" si="53"/>
        <v>75.480769230769226</v>
      </c>
      <c r="H68" s="87">
        <f t="shared" si="53"/>
        <v>82.053539648938767</v>
      </c>
      <c r="I68" s="87">
        <f t="shared" si="53"/>
        <v>84.075744787831994</v>
      </c>
      <c r="J68" s="87">
        <f t="shared" si="53"/>
        <v>82.474954998615345</v>
      </c>
      <c r="K68" s="87">
        <f t="shared" si="53"/>
        <v>84.324132835736066</v>
      </c>
      <c r="L68" s="87">
        <f t="shared" si="53"/>
        <v>85.310405836753304</v>
      </c>
      <c r="M68" s="87">
        <f t="shared" si="53"/>
        <v>85.551429536788248</v>
      </c>
      <c r="N68" s="87">
        <f t="shared" si="53"/>
        <v>90.819192248887674</v>
      </c>
      <c r="O68" s="87">
        <f t="shared" si="53"/>
        <v>95.683458726666188</v>
      </c>
      <c r="P68" s="87">
        <f t="shared" si="53"/>
        <v>100.90580391023093</v>
      </c>
      <c r="Q68" s="87">
        <f t="shared" si="53"/>
        <v>104.12980698393989</v>
      </c>
      <c r="R68" s="87">
        <f t="shared" si="53"/>
        <v>109.14834215556536</v>
      </c>
      <c r="S68" s="87">
        <f t="shared" si="53"/>
        <v>112.03341531676702</v>
      </c>
      <c r="T68" s="87">
        <f t="shared" si="53"/>
        <v>112.8363493559535</v>
      </c>
      <c r="U68" s="87">
        <f t="shared" si="53"/>
        <v>117.16636882367695</v>
      </c>
      <c r="V68" s="87">
        <f t="shared" si="53"/>
        <v>78.751540243481685</v>
      </c>
      <c r="W68" s="87">
        <f t="shared" ref="W68" si="54">IF(W36=0,0,W36/W26)</f>
        <v>79.381430697278915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120.26783452933728</v>
      </c>
      <c r="C69" s="87">
        <f t="shared" si="48"/>
        <v>116.52537376289746</v>
      </c>
      <c r="D69" s="87">
        <f t="shared" ref="D69:V69" si="55">IF(D37=0,0,D37/D27)</f>
        <v>116.96300256629598</v>
      </c>
      <c r="E69" s="87">
        <f t="shared" si="55"/>
        <v>112.4335520918786</v>
      </c>
      <c r="F69" s="87">
        <f t="shared" si="55"/>
        <v>121.94629468177855</v>
      </c>
      <c r="G69" s="87">
        <f t="shared" si="55"/>
        <v>132.61978524907587</v>
      </c>
      <c r="H69" s="87">
        <f t="shared" si="55"/>
        <v>128.11004431314623</v>
      </c>
      <c r="I69" s="87">
        <f t="shared" si="55"/>
        <v>136.62876662193486</v>
      </c>
      <c r="J69" s="87">
        <f t="shared" si="55"/>
        <v>132.90081657040429</v>
      </c>
      <c r="K69" s="87">
        <f t="shared" si="55"/>
        <v>134.73160173160173</v>
      </c>
      <c r="L69" s="87">
        <f t="shared" si="55"/>
        <v>139.34518183686049</v>
      </c>
      <c r="M69" s="87">
        <f t="shared" si="55"/>
        <v>135.54873199611205</v>
      </c>
      <c r="N69" s="87">
        <f t="shared" si="55"/>
        <v>151.09673801289841</v>
      </c>
      <c r="O69" s="87">
        <f t="shared" si="55"/>
        <v>154.96410256410257</v>
      </c>
      <c r="P69" s="87">
        <f t="shared" si="55"/>
        <v>145.54321808510639</v>
      </c>
      <c r="Q69" s="87">
        <f t="shared" si="55"/>
        <v>141.54423380726698</v>
      </c>
      <c r="R69" s="87">
        <f t="shared" si="55"/>
        <v>151.32729591836735</v>
      </c>
      <c r="S69" s="87">
        <f t="shared" si="55"/>
        <v>167.08015576829467</v>
      </c>
      <c r="T69" s="87">
        <f t="shared" si="55"/>
        <v>167.92155237897936</v>
      </c>
      <c r="U69" s="87">
        <f t="shared" si="55"/>
        <v>167.81741625600398</v>
      </c>
      <c r="V69" s="87">
        <f t="shared" si="55"/>
        <v>123.72939677145284</v>
      </c>
      <c r="W69" s="87">
        <f t="shared" ref="W69" si="56">IF(W37=0,0,W37/W27)</f>
        <v>76.688747532353588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19.106856256885582</v>
      </c>
      <c r="C70" s="15">
        <f t="shared" si="48"/>
        <v>19.100181880186152</v>
      </c>
      <c r="D70" s="15">
        <f t="shared" ref="D70:V70" si="57">IF(D38=0,0,D38/D28)</f>
        <v>19.769054836516137</v>
      </c>
      <c r="E70" s="15">
        <f t="shared" si="57"/>
        <v>19.683215793110794</v>
      </c>
      <c r="F70" s="15">
        <f t="shared" si="57"/>
        <v>19.175463794078723</v>
      </c>
      <c r="G70" s="15">
        <f t="shared" si="57"/>
        <v>18.60049074870734</v>
      </c>
      <c r="H70" s="15">
        <f t="shared" si="57"/>
        <v>17.801252680574255</v>
      </c>
      <c r="I70" s="15">
        <f t="shared" si="57"/>
        <v>19.047516331748177</v>
      </c>
      <c r="J70" s="15">
        <f t="shared" si="57"/>
        <v>20.958303511100755</v>
      </c>
      <c r="K70" s="15">
        <f t="shared" si="57"/>
        <v>20.994488524293764</v>
      </c>
      <c r="L70" s="15">
        <f t="shared" si="57"/>
        <v>24.671006179220008</v>
      </c>
      <c r="M70" s="15">
        <f t="shared" si="57"/>
        <v>28.401296157662504</v>
      </c>
      <c r="N70" s="15">
        <f t="shared" si="57"/>
        <v>30.545983265483184</v>
      </c>
      <c r="O70" s="15">
        <f t="shared" si="57"/>
        <v>29.214194003636077</v>
      </c>
      <c r="P70" s="15">
        <f t="shared" si="57"/>
        <v>31.454821847043576</v>
      </c>
      <c r="Q70" s="15">
        <f t="shared" si="57"/>
        <v>30.081018732327784</v>
      </c>
      <c r="R70" s="15">
        <f t="shared" si="57"/>
        <v>35.058077814455324</v>
      </c>
      <c r="S70" s="15">
        <f t="shared" si="57"/>
        <v>35.336299901903963</v>
      </c>
      <c r="T70" s="15">
        <f t="shared" si="57"/>
        <v>39.343304956901271</v>
      </c>
      <c r="U70" s="15">
        <f t="shared" si="57"/>
        <v>39.195230096373393</v>
      </c>
      <c r="V70" s="15">
        <f t="shared" si="57"/>
        <v>30.416771367255009</v>
      </c>
      <c r="W70" s="15">
        <f t="shared" ref="W70" si="58">IF(W38=0,0,W38/W28)</f>
        <v>35.19261173153469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14.037300363200673</v>
      </c>
      <c r="T71" s="41">
        <f t="shared" si="59"/>
        <v>14.287825769085293</v>
      </c>
      <c r="U71" s="41">
        <f t="shared" si="59"/>
        <v>15.803320090655205</v>
      </c>
      <c r="V71" s="41">
        <f t="shared" si="59"/>
        <v>14.56548017853798</v>
      </c>
      <c r="W71" s="41">
        <f t="shared" ref="W71" si="60">IF(W39=0,0,W39/W29)</f>
        <v>14.733881684854403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16.251239950995537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13.985273542904693</v>
      </c>
      <c r="I72" s="41">
        <f t="shared" si="61"/>
        <v>13.755635136041073</v>
      </c>
      <c r="J72" s="41">
        <f t="shared" si="61"/>
        <v>13.656624949191121</v>
      </c>
      <c r="K72" s="41">
        <f t="shared" si="61"/>
        <v>13.62676029511714</v>
      </c>
      <c r="L72" s="41">
        <f t="shared" si="61"/>
        <v>14.420786860573122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19.128094078057718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52.129123841343947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49.89878191350337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53.261166023203309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868.28144549531748</v>
      </c>
      <c r="C75" s="62">
        <f t="shared" si="65"/>
        <v>878.65641090826887</v>
      </c>
      <c r="D75" s="62">
        <f t="shared" ref="D75:V75" si="66">IF(D13=0,0,D13*1000000/D23)</f>
        <v>880.59643190261534</v>
      </c>
      <c r="E75" s="62">
        <f t="shared" si="66"/>
        <v>896.04169628960472</v>
      </c>
      <c r="F75" s="62">
        <f t="shared" si="66"/>
        <v>924.46972019032216</v>
      </c>
      <c r="G75" s="62">
        <f t="shared" si="66"/>
        <v>948.27455813701192</v>
      </c>
      <c r="H75" s="62">
        <f t="shared" si="66"/>
        <v>974.72405743372371</v>
      </c>
      <c r="I75" s="62">
        <f t="shared" si="66"/>
        <v>1084.217156032352</v>
      </c>
      <c r="J75" s="62">
        <f t="shared" si="66"/>
        <v>1107.1206383405915</v>
      </c>
      <c r="K75" s="62">
        <f t="shared" si="66"/>
        <v>1103.5614585663284</v>
      </c>
      <c r="L75" s="62">
        <f t="shared" si="66"/>
        <v>1132.47443969765</v>
      </c>
      <c r="M75" s="62">
        <f t="shared" si="66"/>
        <v>1172.6609893232153</v>
      </c>
      <c r="N75" s="62">
        <f t="shared" si="66"/>
        <v>1217.1389961249308</v>
      </c>
      <c r="O75" s="62">
        <f t="shared" si="66"/>
        <v>1286.852500258851</v>
      </c>
      <c r="P75" s="62">
        <f t="shared" si="66"/>
        <v>1323.4118140432799</v>
      </c>
      <c r="Q75" s="62">
        <f t="shared" si="66"/>
        <v>1336.9894293360953</v>
      </c>
      <c r="R75" s="62">
        <f t="shared" si="66"/>
        <v>1361.9649226061033</v>
      </c>
      <c r="S75" s="62">
        <f t="shared" si="66"/>
        <v>1379.3380906898165</v>
      </c>
      <c r="T75" s="62">
        <f t="shared" si="66"/>
        <v>1442.014198321292</v>
      </c>
      <c r="U75" s="62">
        <f t="shared" si="66"/>
        <v>1480.4292721558586</v>
      </c>
      <c r="V75" s="62">
        <f t="shared" si="66"/>
        <v>1331.8916984535429</v>
      </c>
      <c r="W75" s="62">
        <f t="shared" ref="W75" si="67">IF(W13=0,0,W13*1000000/W23)</f>
        <v>1346.1085618557154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866.21765905025291</v>
      </c>
      <c r="C76" s="14">
        <f t="shared" si="65"/>
        <v>877.2134558208586</v>
      </c>
      <c r="D76" s="14">
        <f t="shared" ref="D76:V76" si="68">IF(D14=0,0,D14*1000000/D24)</f>
        <v>878.68258769583338</v>
      </c>
      <c r="E76" s="14">
        <f t="shared" si="68"/>
        <v>893.3897942255868</v>
      </c>
      <c r="F76" s="14">
        <f t="shared" si="68"/>
        <v>920.89198752143773</v>
      </c>
      <c r="G76" s="14">
        <f t="shared" si="68"/>
        <v>942.89417495862654</v>
      </c>
      <c r="H76" s="14">
        <f t="shared" si="68"/>
        <v>971.4370109354353</v>
      </c>
      <c r="I76" s="14">
        <f t="shared" si="68"/>
        <v>1082.5758727315615</v>
      </c>
      <c r="J76" s="14">
        <f t="shared" si="68"/>
        <v>1109.2621777677327</v>
      </c>
      <c r="K76" s="14">
        <f t="shared" si="68"/>
        <v>1109.1019983671647</v>
      </c>
      <c r="L76" s="14">
        <f t="shared" si="68"/>
        <v>1141.5711178468982</v>
      </c>
      <c r="M76" s="14">
        <f t="shared" si="68"/>
        <v>1178.9755758180258</v>
      </c>
      <c r="N76" s="14">
        <f t="shared" si="68"/>
        <v>1222.9529746218604</v>
      </c>
      <c r="O76" s="14">
        <f t="shared" si="68"/>
        <v>1294.309491359759</v>
      </c>
      <c r="P76" s="14">
        <f t="shared" si="68"/>
        <v>1333.2895884891968</v>
      </c>
      <c r="Q76" s="14">
        <f t="shared" si="68"/>
        <v>1348.8261285016756</v>
      </c>
      <c r="R76" s="14">
        <f t="shared" si="68"/>
        <v>1371.2621899525539</v>
      </c>
      <c r="S76" s="14">
        <f t="shared" si="68"/>
        <v>1386.7039643054904</v>
      </c>
      <c r="T76" s="14">
        <f t="shared" si="68"/>
        <v>1449.6534380776393</v>
      </c>
      <c r="U76" s="14">
        <f t="shared" si="68"/>
        <v>1491.4015956005994</v>
      </c>
      <c r="V76" s="14">
        <f t="shared" si="68"/>
        <v>1355.9708806214442</v>
      </c>
      <c r="W76" s="14">
        <f t="shared" ref="W76" si="69">IF(W14=0,0,W14*1000000/W24)</f>
        <v>1375.0313378788653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415.6151509817833</v>
      </c>
      <c r="C77" s="39">
        <f t="shared" si="65"/>
        <v>415.6151509817833</v>
      </c>
      <c r="D77" s="39">
        <f t="shared" ref="D77:V77" si="70">IF(D15=0,0,D15*1000000/D25)</f>
        <v>415.6151509817833</v>
      </c>
      <c r="E77" s="39">
        <f t="shared" si="70"/>
        <v>415.6151509817833</v>
      </c>
      <c r="F77" s="39">
        <f t="shared" si="70"/>
        <v>415.6151509817833</v>
      </c>
      <c r="G77" s="39">
        <f t="shared" si="70"/>
        <v>425.71571799735409</v>
      </c>
      <c r="H77" s="39">
        <f t="shared" si="70"/>
        <v>403.12385533289506</v>
      </c>
      <c r="I77" s="39">
        <f t="shared" si="70"/>
        <v>428.56710013276313</v>
      </c>
      <c r="J77" s="39">
        <f t="shared" si="70"/>
        <v>419.87717448583209</v>
      </c>
      <c r="K77" s="39">
        <f t="shared" si="70"/>
        <v>431.95076563049668</v>
      </c>
      <c r="L77" s="39">
        <f t="shared" si="70"/>
        <v>440.89718837863165</v>
      </c>
      <c r="M77" s="39">
        <f t="shared" si="70"/>
        <v>442.26519735938501</v>
      </c>
      <c r="N77" s="39">
        <f t="shared" si="70"/>
        <v>449.933264781491</v>
      </c>
      <c r="O77" s="39">
        <f t="shared" si="70"/>
        <v>435.84851763148805</v>
      </c>
      <c r="P77" s="39">
        <f t="shared" si="70"/>
        <v>445.65036083834696</v>
      </c>
      <c r="Q77" s="39">
        <f t="shared" si="70"/>
        <v>442.09825004765094</v>
      </c>
      <c r="R77" s="39">
        <f t="shared" si="70"/>
        <v>443.46602246514163</v>
      </c>
      <c r="S77" s="39">
        <f t="shared" si="70"/>
        <v>448.4262471758521</v>
      </c>
      <c r="T77" s="39">
        <f t="shared" si="70"/>
        <v>465.67520000000007</v>
      </c>
      <c r="U77" s="39">
        <f t="shared" si="70"/>
        <v>471.05991617687175</v>
      </c>
      <c r="V77" s="39">
        <f t="shared" si="70"/>
        <v>505.23693424548463</v>
      </c>
      <c r="W77" s="39">
        <f t="shared" ref="W77" si="71">IF(W15=0,0,W15*1000000/W25)</f>
        <v>514.13732458904781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1252.1356879867685</v>
      </c>
      <c r="C78" s="39">
        <f t="shared" si="65"/>
        <v>1249.1542578180781</v>
      </c>
      <c r="D78" s="39">
        <f t="shared" ref="D78:V78" si="72">IF(D16=0,0,D16*1000000/D26)</f>
        <v>1245.8024456178443</v>
      </c>
      <c r="E78" s="39">
        <f t="shared" si="72"/>
        <v>1245.3984279549461</v>
      </c>
      <c r="F78" s="39">
        <f t="shared" si="72"/>
        <v>1247.9262791610452</v>
      </c>
      <c r="G78" s="39">
        <f t="shared" si="72"/>
        <v>1262.3197215332416</v>
      </c>
      <c r="H78" s="39">
        <f t="shared" si="72"/>
        <v>1299.5721705248341</v>
      </c>
      <c r="I78" s="39">
        <f t="shared" si="72"/>
        <v>1348.8378913718177</v>
      </c>
      <c r="J78" s="39">
        <f t="shared" si="72"/>
        <v>1331.0435049974067</v>
      </c>
      <c r="K78" s="39">
        <f t="shared" si="72"/>
        <v>1351.7912097047526</v>
      </c>
      <c r="L78" s="39">
        <f t="shared" si="72"/>
        <v>1318.6320377728005</v>
      </c>
      <c r="M78" s="39">
        <f t="shared" si="72"/>
        <v>1316.3963556623851</v>
      </c>
      <c r="N78" s="39">
        <f t="shared" si="72"/>
        <v>1275.1479697233251</v>
      </c>
      <c r="O78" s="39">
        <f t="shared" si="72"/>
        <v>1337.4071872402087</v>
      </c>
      <c r="P78" s="39">
        <f t="shared" si="72"/>
        <v>1367.7599704520785</v>
      </c>
      <c r="Q78" s="39">
        <f t="shared" si="72"/>
        <v>1369.7233097631427</v>
      </c>
      <c r="R78" s="39">
        <f t="shared" si="72"/>
        <v>1386.2987930233292</v>
      </c>
      <c r="S78" s="39">
        <f t="shared" si="72"/>
        <v>1389.2915755377019</v>
      </c>
      <c r="T78" s="39">
        <f t="shared" si="72"/>
        <v>1433.5715961404587</v>
      </c>
      <c r="U78" s="39">
        <f t="shared" si="72"/>
        <v>1423.3430459918102</v>
      </c>
      <c r="V78" s="39">
        <f t="shared" si="72"/>
        <v>1314.1661082305172</v>
      </c>
      <c r="W78" s="39">
        <f t="shared" ref="W78" si="73">IF(W16=0,0,W16*1000000/W26)</f>
        <v>1382.6504561705815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3486.3023688592357</v>
      </c>
      <c r="C79" s="39">
        <f t="shared" si="65"/>
        <v>3486.3023688592357</v>
      </c>
      <c r="D79" s="39">
        <f t="shared" ref="D79:V79" si="74">IF(D17=0,0,D17*1000000/D27)</f>
        <v>3486.3023688592357</v>
      </c>
      <c r="E79" s="39">
        <f t="shared" si="74"/>
        <v>3486.3023688592361</v>
      </c>
      <c r="F79" s="39">
        <f t="shared" si="74"/>
        <v>3486.3023688592361</v>
      </c>
      <c r="G79" s="39">
        <f t="shared" si="74"/>
        <v>3759.1416490486254</v>
      </c>
      <c r="H79" s="39">
        <f t="shared" si="74"/>
        <v>3835.9739291873266</v>
      </c>
      <c r="I79" s="39">
        <f t="shared" si="74"/>
        <v>4024.8207621659044</v>
      </c>
      <c r="J79" s="39">
        <f t="shared" si="74"/>
        <v>3881.6267532024362</v>
      </c>
      <c r="K79" s="39">
        <f t="shared" si="74"/>
        <v>3896.8029103796712</v>
      </c>
      <c r="L79" s="39">
        <f t="shared" si="74"/>
        <v>4041.1313100347429</v>
      </c>
      <c r="M79" s="39">
        <f t="shared" si="74"/>
        <v>4236.640405223824</v>
      </c>
      <c r="N79" s="39">
        <f t="shared" si="74"/>
        <v>4469.7614913643429</v>
      </c>
      <c r="O79" s="39">
        <f t="shared" si="74"/>
        <v>4523.8942961531166</v>
      </c>
      <c r="P79" s="39">
        <f t="shared" si="74"/>
        <v>4278.2320045651741</v>
      </c>
      <c r="Q79" s="39">
        <f t="shared" si="74"/>
        <v>4176.4885764808805</v>
      </c>
      <c r="R79" s="39">
        <f t="shared" si="74"/>
        <v>4413.5200755249398</v>
      </c>
      <c r="S79" s="39">
        <f t="shared" si="74"/>
        <v>4463.8843216757296</v>
      </c>
      <c r="T79" s="39">
        <f t="shared" si="74"/>
        <v>4389.1832543443916</v>
      </c>
      <c r="U79" s="39">
        <f t="shared" si="74"/>
        <v>4416.9222807561209</v>
      </c>
      <c r="V79" s="39">
        <f t="shared" si="74"/>
        <v>4622.4774292919838</v>
      </c>
      <c r="W79" s="39">
        <f t="shared" ref="W79" si="75">IF(W17=0,0,W17*1000000/W27)</f>
        <v>4538.0896166783632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962.34566387918642</v>
      </c>
      <c r="C80" s="15">
        <f t="shared" si="65"/>
        <v>958.05087333187316</v>
      </c>
      <c r="D80" s="15">
        <f t="shared" ref="D80:V80" si="76">IF(D18=0,0,D18*1000000/D28)</f>
        <v>986.20833896411659</v>
      </c>
      <c r="E80" s="15">
        <f t="shared" si="76"/>
        <v>1016.3298639757711</v>
      </c>
      <c r="F80" s="15">
        <f t="shared" si="76"/>
        <v>1059.6724476175498</v>
      </c>
      <c r="G80" s="15">
        <f t="shared" si="76"/>
        <v>1148.261950284091</v>
      </c>
      <c r="H80" s="15">
        <f t="shared" si="76"/>
        <v>1087.1034968297001</v>
      </c>
      <c r="I80" s="15">
        <f t="shared" si="76"/>
        <v>1136.6329077485609</v>
      </c>
      <c r="J80" s="15">
        <f t="shared" si="76"/>
        <v>1029.3424537436838</v>
      </c>
      <c r="K80" s="15">
        <f t="shared" si="76"/>
        <v>888.23479419145735</v>
      </c>
      <c r="L80" s="15">
        <f t="shared" si="76"/>
        <v>804.78696991768277</v>
      </c>
      <c r="M80" s="15">
        <f t="shared" si="76"/>
        <v>906.96942996826363</v>
      </c>
      <c r="N80" s="15">
        <f t="shared" si="76"/>
        <v>1000.922147558033</v>
      </c>
      <c r="O80" s="15">
        <f t="shared" si="76"/>
        <v>1029.2816802723155</v>
      </c>
      <c r="P80" s="15">
        <f t="shared" si="76"/>
        <v>961.13185730400096</v>
      </c>
      <c r="Q80" s="15">
        <f t="shared" si="76"/>
        <v>921.92252613094786</v>
      </c>
      <c r="R80" s="15">
        <f t="shared" si="76"/>
        <v>1007.8741538625145</v>
      </c>
      <c r="S80" s="15">
        <f t="shared" si="76"/>
        <v>1079.5907099556709</v>
      </c>
      <c r="T80" s="15">
        <f t="shared" si="76"/>
        <v>1079.3055054953695</v>
      </c>
      <c r="U80" s="15">
        <f t="shared" si="76"/>
        <v>1057.5024047640968</v>
      </c>
      <c r="V80" s="15">
        <f t="shared" si="76"/>
        <v>940.24896630094088</v>
      </c>
      <c r="W80" s="15">
        <f t="shared" ref="W80" si="77">IF(W18=0,0,W18*1000000/W28)</f>
        <v>909.15449679206574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259.78024693791764</v>
      </c>
      <c r="C81" s="41">
        <f t="shared" si="65"/>
        <v>259.78024693791764</v>
      </c>
      <c r="D81" s="41">
        <f t="shared" ref="D81:V81" si="78">IF(D19=0,0,D19*1000000/D29)</f>
        <v>259.78024693791764</v>
      </c>
      <c r="E81" s="41">
        <f t="shared" si="78"/>
        <v>259.78024693791764</v>
      </c>
      <c r="F81" s="41">
        <f t="shared" si="78"/>
        <v>259.78024693791764</v>
      </c>
      <c r="G81" s="41">
        <f t="shared" si="78"/>
        <v>269.88081395348837</v>
      </c>
      <c r="H81" s="41">
        <f t="shared" si="78"/>
        <v>222.79649442207622</v>
      </c>
      <c r="I81" s="41">
        <f t="shared" si="78"/>
        <v>223.747282354991</v>
      </c>
      <c r="J81" s="41">
        <f t="shared" si="78"/>
        <v>190.56489984110678</v>
      </c>
      <c r="K81" s="41">
        <f t="shared" si="78"/>
        <v>178.14603411881825</v>
      </c>
      <c r="L81" s="41">
        <f t="shared" si="78"/>
        <v>162.60000000000002</v>
      </c>
      <c r="M81" s="41">
        <f t="shared" si="78"/>
        <v>224.5697660011667</v>
      </c>
      <c r="N81" s="41">
        <f t="shared" si="78"/>
        <v>292.83959044368601</v>
      </c>
      <c r="O81" s="41">
        <f t="shared" si="78"/>
        <v>275.73550319575503</v>
      </c>
      <c r="P81" s="41">
        <f t="shared" si="78"/>
        <v>282.51800630468591</v>
      </c>
      <c r="Q81" s="41">
        <f t="shared" si="78"/>
        <v>275.94655541606181</v>
      </c>
      <c r="R81" s="41">
        <f t="shared" si="78"/>
        <v>274.2949877356246</v>
      </c>
      <c r="S81" s="41">
        <f t="shared" si="78"/>
        <v>276.23587234840704</v>
      </c>
      <c r="T81" s="41">
        <f t="shared" si="78"/>
        <v>290.46548507462688</v>
      </c>
      <c r="U81" s="41">
        <f t="shared" si="78"/>
        <v>266.95080983803234</v>
      </c>
      <c r="V81" s="41">
        <f t="shared" si="78"/>
        <v>301.12782790664517</v>
      </c>
      <c r="W81" s="41">
        <f t="shared" ref="W81" si="79">IF(W19=0,0,W19*1000000/W29)</f>
        <v>310.02821825020851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1040.6974889787034</v>
      </c>
      <c r="C82" s="41">
        <f t="shared" si="65"/>
        <v>1022.8751932617433</v>
      </c>
      <c r="D82" s="41">
        <f t="shared" ref="D82:V82" si="80">IF(D20=0,0,D20*1000000/D30)</f>
        <v>1032.1978459193588</v>
      </c>
      <c r="E82" s="41">
        <f t="shared" si="80"/>
        <v>999.96812088660408</v>
      </c>
      <c r="F82" s="41">
        <f t="shared" si="80"/>
        <v>1000.1747692619836</v>
      </c>
      <c r="G82" s="41">
        <f t="shared" si="80"/>
        <v>1023.472019131478</v>
      </c>
      <c r="H82" s="41">
        <f t="shared" si="80"/>
        <v>1020.7072465527705</v>
      </c>
      <c r="I82" s="41">
        <f t="shared" si="80"/>
        <v>1043.2015375063531</v>
      </c>
      <c r="J82" s="41">
        <f t="shared" si="80"/>
        <v>996.05104752018451</v>
      </c>
      <c r="K82" s="41">
        <f t="shared" si="80"/>
        <v>982.49620725188697</v>
      </c>
      <c r="L82" s="41">
        <f t="shared" si="80"/>
        <v>932.02869385309373</v>
      </c>
      <c r="M82" s="41">
        <f t="shared" si="80"/>
        <v>923.96388069484033</v>
      </c>
      <c r="N82" s="41">
        <f t="shared" si="80"/>
        <v>869.38964233647175</v>
      </c>
      <c r="O82" s="41">
        <f t="shared" si="80"/>
        <v>943.97857203991555</v>
      </c>
      <c r="P82" s="41">
        <f t="shared" si="80"/>
        <v>974.22063649759332</v>
      </c>
      <c r="Q82" s="41">
        <f t="shared" si="80"/>
        <v>979.77506422515785</v>
      </c>
      <c r="R82" s="41">
        <f t="shared" si="80"/>
        <v>1050.2646608771699</v>
      </c>
      <c r="S82" s="41">
        <f t="shared" si="80"/>
        <v>1150.7701362891796</v>
      </c>
      <c r="T82" s="41">
        <f t="shared" si="80"/>
        <v>1225.696404857993</v>
      </c>
      <c r="U82" s="41">
        <f t="shared" si="80"/>
        <v>1245.0616337294352</v>
      </c>
      <c r="V82" s="41">
        <f t="shared" si="80"/>
        <v>933.1219557966117</v>
      </c>
      <c r="W82" s="41">
        <f t="shared" ref="W82" si="81">IF(W20=0,0,W20*1000000/W30)</f>
        <v>924.19500069310857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2465.6719980060989</v>
      </c>
      <c r="C83" s="40">
        <f t="shared" si="65"/>
        <v>2465.6719980060989</v>
      </c>
      <c r="D83" s="40">
        <f t="shared" ref="D83:V83" si="82">IF(D21=0,0,D21*1000000/D31)</f>
        <v>2465.6719980060989</v>
      </c>
      <c r="E83" s="40">
        <f t="shared" si="82"/>
        <v>2465.6719980060989</v>
      </c>
      <c r="F83" s="40">
        <f t="shared" si="82"/>
        <v>2465.6719980060989</v>
      </c>
      <c r="G83" s="40">
        <f t="shared" si="82"/>
        <v>2738.5112781954886</v>
      </c>
      <c r="H83" s="40">
        <f t="shared" si="82"/>
        <v>2359.3194360716384</v>
      </c>
      <c r="I83" s="40">
        <f t="shared" si="82"/>
        <v>2092.1421467876653</v>
      </c>
      <c r="J83" s="40">
        <f t="shared" si="82"/>
        <v>1492.9240155616462</v>
      </c>
      <c r="K83" s="40">
        <f t="shared" si="82"/>
        <v>1052.0760504763318</v>
      </c>
      <c r="L83" s="40">
        <f t="shared" si="82"/>
        <v>740.38032786885242</v>
      </c>
      <c r="M83" s="40">
        <f t="shared" si="82"/>
        <v>1051.7443835124709</v>
      </c>
      <c r="N83" s="40">
        <f t="shared" si="82"/>
        <v>1400.7204301075269</v>
      </c>
      <c r="O83" s="40">
        <f t="shared" si="82"/>
        <v>1390.3230295418653</v>
      </c>
      <c r="P83" s="40">
        <f t="shared" si="82"/>
        <v>1080.1305325994863</v>
      </c>
      <c r="Q83" s="40">
        <f t="shared" si="82"/>
        <v>913.85689916075728</v>
      </c>
      <c r="R83" s="40">
        <f t="shared" si="82"/>
        <v>1086.3581928503813</v>
      </c>
      <c r="S83" s="40">
        <f t="shared" si="82"/>
        <v>1072.1922336467344</v>
      </c>
      <c r="T83" s="40">
        <f t="shared" si="82"/>
        <v>932.96096096096107</v>
      </c>
      <c r="U83" s="40">
        <f t="shared" si="82"/>
        <v>813.57547169811312</v>
      </c>
      <c r="V83" s="40">
        <f t="shared" si="82"/>
        <v>1019.1306202339765</v>
      </c>
      <c r="W83" s="40">
        <f t="shared" ref="W83" si="83">IF(W21=0,0,W21*1000000/W31)</f>
        <v>934.74280762035607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86730.349085926675</v>
      </c>
      <c r="C86" s="11">
        <f t="shared" si="84"/>
        <v>87209.335828665135</v>
      </c>
      <c r="D86" s="11">
        <f t="shared" ref="D86:V86" si="85">IF(D4=0,0,D4*1000000/D24)</f>
        <v>92031.520780633626</v>
      </c>
      <c r="E86" s="11">
        <f t="shared" si="85"/>
        <v>86935.863106809949</v>
      </c>
      <c r="F86" s="11">
        <f t="shared" si="85"/>
        <v>93716.248554436272</v>
      </c>
      <c r="G86" s="11">
        <f t="shared" si="85"/>
        <v>102418.48959073752</v>
      </c>
      <c r="H86" s="11">
        <f t="shared" si="85"/>
        <v>109381.08350508389</v>
      </c>
      <c r="I86" s="11">
        <f t="shared" si="85"/>
        <v>128471.68815727333</v>
      </c>
      <c r="J86" s="11">
        <f t="shared" si="85"/>
        <v>129931.89854941574</v>
      </c>
      <c r="K86" s="11">
        <f t="shared" si="85"/>
        <v>130450.50608071947</v>
      </c>
      <c r="L86" s="11">
        <f t="shared" si="85"/>
        <v>139159.18729876206</v>
      </c>
      <c r="M86" s="11">
        <f t="shared" si="85"/>
        <v>143484.55447411933</v>
      </c>
      <c r="N86" s="11">
        <f t="shared" si="85"/>
        <v>168007.14969800471</v>
      </c>
      <c r="O86" s="11">
        <f t="shared" si="85"/>
        <v>180986.67003542971</v>
      </c>
      <c r="P86" s="11">
        <f t="shared" si="85"/>
        <v>190633.48063724156</v>
      </c>
      <c r="Q86" s="11">
        <f t="shared" si="85"/>
        <v>192523.20626103372</v>
      </c>
      <c r="R86" s="11">
        <f t="shared" si="85"/>
        <v>205369.85387729944</v>
      </c>
      <c r="S86" s="11">
        <f t="shared" si="85"/>
        <v>222527.52029727789</v>
      </c>
      <c r="T86" s="11">
        <f t="shared" si="85"/>
        <v>229974.59548018526</v>
      </c>
      <c r="U86" s="11">
        <f t="shared" si="85"/>
        <v>244440.1790775168</v>
      </c>
      <c r="V86" s="11">
        <f t="shared" si="85"/>
        <v>167108.80725220818</v>
      </c>
      <c r="W86" s="11">
        <f t="shared" ref="W86" si="86">IF(W4=0,0,W4*1000000/W24)</f>
        <v>119002.37731024514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23355.440574291548</v>
      </c>
      <c r="C87" s="36">
        <f t="shared" si="84"/>
        <v>23562.37507353205</v>
      </c>
      <c r="D87" s="36">
        <f t="shared" ref="D87:V87" si="87">IF(D5=0,0,D5*1000000/D25)</f>
        <v>25254.514027437308</v>
      </c>
      <c r="E87" s="36">
        <f t="shared" si="87"/>
        <v>21588.053245738629</v>
      </c>
      <c r="F87" s="36">
        <f t="shared" si="87"/>
        <v>22476.101558219179</v>
      </c>
      <c r="G87" s="36">
        <f t="shared" si="87"/>
        <v>22386.295707480229</v>
      </c>
      <c r="H87" s="36">
        <f t="shared" si="87"/>
        <v>21299.052357694403</v>
      </c>
      <c r="I87" s="36">
        <f t="shared" si="87"/>
        <v>24433.206682020842</v>
      </c>
      <c r="J87" s="36">
        <f t="shared" si="87"/>
        <v>22869.988351219421</v>
      </c>
      <c r="K87" s="36">
        <f t="shared" si="87"/>
        <v>21205.629591093973</v>
      </c>
      <c r="L87" s="36">
        <f t="shared" si="87"/>
        <v>22037.307798623868</v>
      </c>
      <c r="M87" s="36">
        <f t="shared" si="87"/>
        <v>24164.592603020887</v>
      </c>
      <c r="N87" s="36">
        <f t="shared" si="87"/>
        <v>28933.227465450993</v>
      </c>
      <c r="O87" s="36">
        <f t="shared" si="87"/>
        <v>29061.635965374167</v>
      </c>
      <c r="P87" s="36">
        <f t="shared" si="87"/>
        <v>31606.219736107403</v>
      </c>
      <c r="Q87" s="36">
        <f t="shared" si="87"/>
        <v>32878.987680331324</v>
      </c>
      <c r="R87" s="36">
        <f t="shared" si="87"/>
        <v>35735.505961406183</v>
      </c>
      <c r="S87" s="36">
        <f t="shared" si="87"/>
        <v>37200.440634537124</v>
      </c>
      <c r="T87" s="36">
        <f t="shared" si="87"/>
        <v>40037.09105801538</v>
      </c>
      <c r="U87" s="36">
        <f t="shared" si="87"/>
        <v>40627.660146048998</v>
      </c>
      <c r="V87" s="36">
        <f t="shared" si="87"/>
        <v>37127.068522946705</v>
      </c>
      <c r="W87" s="36">
        <f t="shared" ref="W87" si="88">IF(W5=0,0,W5*1000000/W25)</f>
        <v>33029.994749665464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124204.15174362503</v>
      </c>
      <c r="C88" s="36">
        <f t="shared" si="84"/>
        <v>123318.06451473919</v>
      </c>
      <c r="D88" s="36">
        <f t="shared" ref="D88:V88" si="89">IF(D6=0,0,D6*1000000/D26)</f>
        <v>130707.40138934572</v>
      </c>
      <c r="E88" s="36">
        <f t="shared" si="89"/>
        <v>121175.59551301126</v>
      </c>
      <c r="F88" s="36">
        <f t="shared" si="89"/>
        <v>120958.62760090119</v>
      </c>
      <c r="G88" s="36">
        <f t="shared" si="89"/>
        <v>130058.62505504463</v>
      </c>
      <c r="H88" s="36">
        <f t="shared" si="89"/>
        <v>138020.72108003817</v>
      </c>
      <c r="I88" s="36">
        <f t="shared" si="89"/>
        <v>138634.19486230705</v>
      </c>
      <c r="J88" s="36">
        <f t="shared" si="89"/>
        <v>128866.76114739594</v>
      </c>
      <c r="K88" s="36">
        <f t="shared" si="89"/>
        <v>134051.63916861481</v>
      </c>
      <c r="L88" s="36">
        <f t="shared" si="89"/>
        <v>131298.92780132062</v>
      </c>
      <c r="M88" s="36">
        <f t="shared" si="89"/>
        <v>131578.44625973675</v>
      </c>
      <c r="N88" s="36">
        <f t="shared" si="89"/>
        <v>141000.37543231095</v>
      </c>
      <c r="O88" s="36">
        <f t="shared" si="89"/>
        <v>153695.0451762196</v>
      </c>
      <c r="P88" s="36">
        <f t="shared" si="89"/>
        <v>174391.95179539741</v>
      </c>
      <c r="Q88" s="36">
        <f t="shared" si="89"/>
        <v>172660.05977390619</v>
      </c>
      <c r="R88" s="36">
        <f t="shared" si="89"/>
        <v>180051.09160013066</v>
      </c>
      <c r="S88" s="36">
        <f t="shared" si="89"/>
        <v>188426.93300951083</v>
      </c>
      <c r="T88" s="36">
        <f t="shared" si="89"/>
        <v>189503.27943669775</v>
      </c>
      <c r="U88" s="36">
        <f t="shared" si="89"/>
        <v>194583.83353162551</v>
      </c>
      <c r="V88" s="36">
        <f t="shared" si="89"/>
        <v>134372.48458568289</v>
      </c>
      <c r="W88" s="36">
        <f t="shared" ref="W88" si="90">IF(W6=0,0,W6*1000000/W26)</f>
        <v>129872.73468923412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621593.40712194692</v>
      </c>
      <c r="C89" s="36">
        <f t="shared" si="84"/>
        <v>602250.83769816568</v>
      </c>
      <c r="D89" s="36">
        <f t="shared" ref="D89:V89" si="91">IF(D7=0,0,D7*1000000/D27)</f>
        <v>604512.68252162787</v>
      </c>
      <c r="E89" s="36">
        <f t="shared" si="91"/>
        <v>581102.62808935612</v>
      </c>
      <c r="F89" s="36">
        <f t="shared" si="91"/>
        <v>630268.3763600426</v>
      </c>
      <c r="G89" s="36">
        <f t="shared" si="91"/>
        <v>739075.60610154434</v>
      </c>
      <c r="H89" s="36">
        <f t="shared" si="91"/>
        <v>728535.44384165341</v>
      </c>
      <c r="I89" s="36">
        <f t="shared" si="91"/>
        <v>815230.7443979861</v>
      </c>
      <c r="J89" s="36">
        <f t="shared" si="91"/>
        <v>764774.28899324487</v>
      </c>
      <c r="K89" s="36">
        <f t="shared" si="91"/>
        <v>778340.75424110296</v>
      </c>
      <c r="L89" s="36">
        <f t="shared" si="91"/>
        <v>834808.33416199475</v>
      </c>
      <c r="M89" s="36">
        <f t="shared" si="91"/>
        <v>826338.18978979718</v>
      </c>
      <c r="N89" s="36">
        <f t="shared" si="91"/>
        <v>950169.57314325531</v>
      </c>
      <c r="O89" s="36">
        <f t="shared" si="91"/>
        <v>932747.38263761427</v>
      </c>
      <c r="P89" s="36">
        <f t="shared" si="91"/>
        <v>821351.35802705598</v>
      </c>
      <c r="Q89" s="36">
        <f t="shared" si="91"/>
        <v>791347.67015473428</v>
      </c>
      <c r="R89" s="36">
        <f t="shared" si="91"/>
        <v>891460.9085391002</v>
      </c>
      <c r="S89" s="36">
        <f t="shared" si="91"/>
        <v>995874.12956402835</v>
      </c>
      <c r="T89" s="36">
        <f t="shared" si="91"/>
        <v>961662.00767771527</v>
      </c>
      <c r="U89" s="36">
        <f t="shared" si="91"/>
        <v>973106.65947026154</v>
      </c>
      <c r="V89" s="36">
        <f t="shared" si="91"/>
        <v>779741.63394654065</v>
      </c>
      <c r="W89" s="36">
        <f t="shared" ref="W89" si="92">IF(W7=0,0,W7*1000000/W27)</f>
        <v>393154.19817759976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49158.49610076574</v>
      </c>
      <c r="C90" s="13">
        <f t="shared" si="84"/>
        <v>49363.627350659379</v>
      </c>
      <c r="D90" s="13">
        <f t="shared" ref="D90:V90" si="93">IF(D8=0,0,D8*1000000/D28)</f>
        <v>50510.40997064564</v>
      </c>
      <c r="E90" s="13">
        <f t="shared" si="93"/>
        <v>45497.632669522973</v>
      </c>
      <c r="F90" s="13">
        <f t="shared" si="93"/>
        <v>45130.060339633732</v>
      </c>
      <c r="G90" s="13">
        <f t="shared" si="93"/>
        <v>49866.996396556933</v>
      </c>
      <c r="H90" s="13">
        <f t="shared" si="93"/>
        <v>41391.341225132768</v>
      </c>
      <c r="I90" s="13">
        <f t="shared" si="93"/>
        <v>43940.335077058327</v>
      </c>
      <c r="J90" s="13">
        <f t="shared" si="93"/>
        <v>40105.398759732314</v>
      </c>
      <c r="K90" s="13">
        <f t="shared" si="93"/>
        <v>32116.578794184908</v>
      </c>
      <c r="L90" s="13">
        <f t="shared" si="93"/>
        <v>29324.252776673544</v>
      </c>
      <c r="M90" s="13">
        <f t="shared" si="93"/>
        <v>41627.697713955735</v>
      </c>
      <c r="N90" s="13">
        <f t="shared" si="93"/>
        <v>55714.068352920302</v>
      </c>
      <c r="O90" s="13">
        <f t="shared" si="93"/>
        <v>50635.208094827998</v>
      </c>
      <c r="P90" s="13">
        <f t="shared" si="93"/>
        <v>48916.722530332911</v>
      </c>
      <c r="Q90" s="13">
        <f t="shared" si="93"/>
        <v>42207.470303359536</v>
      </c>
      <c r="R90" s="13">
        <f t="shared" si="93"/>
        <v>53477.601602335701</v>
      </c>
      <c r="S90" s="13">
        <f t="shared" si="93"/>
        <v>54721.545805043039</v>
      </c>
      <c r="T90" s="13">
        <f t="shared" si="93"/>
        <v>56139.864014112456</v>
      </c>
      <c r="U90" s="13">
        <f t="shared" si="93"/>
        <v>52157.442720059313</v>
      </c>
      <c r="V90" s="13">
        <f t="shared" si="93"/>
        <v>43559.378417183994</v>
      </c>
      <c r="W90" s="13">
        <f t="shared" ref="W90" si="94">IF(W8=0,0,W8*1000000/W28)</f>
        <v>38938.638585550929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3060.0886907491135</v>
      </c>
      <c r="C91" s="34">
        <f t="shared" si="84"/>
        <v>3036.7565824570001</v>
      </c>
      <c r="D91" s="34">
        <f t="shared" ref="D91:V91" si="95">IF(D9=0,0,D9*1000000/D29)</f>
        <v>3122.785000597602</v>
      </c>
      <c r="E91" s="34">
        <f t="shared" si="95"/>
        <v>3321.6671745204239</v>
      </c>
      <c r="F91" s="34">
        <f t="shared" si="95"/>
        <v>3127.8749454173048</v>
      </c>
      <c r="G91" s="34">
        <f t="shared" si="95"/>
        <v>3180.0535819991705</v>
      </c>
      <c r="H91" s="34">
        <f t="shared" si="95"/>
        <v>2525.2119283747588</v>
      </c>
      <c r="I91" s="34">
        <f t="shared" si="95"/>
        <v>2526.5723904952297</v>
      </c>
      <c r="J91" s="34">
        <f t="shared" si="95"/>
        <v>2070.3015288256952</v>
      </c>
      <c r="K91" s="34">
        <f t="shared" si="95"/>
        <v>1952.1019583525544</v>
      </c>
      <c r="L91" s="34">
        <f t="shared" si="95"/>
        <v>1905.6874998834135</v>
      </c>
      <c r="M91" s="34">
        <f t="shared" si="95"/>
        <v>2812.7556471978423</v>
      </c>
      <c r="N91" s="34">
        <f t="shared" si="95"/>
        <v>3743.0113839417231</v>
      </c>
      <c r="O91" s="34">
        <f t="shared" si="95"/>
        <v>3745.4511238674841</v>
      </c>
      <c r="P91" s="34">
        <f t="shared" si="95"/>
        <v>4239.22322126579</v>
      </c>
      <c r="Q91" s="34">
        <f t="shared" si="95"/>
        <v>4253.2009832385247</v>
      </c>
      <c r="R91" s="34">
        <f t="shared" si="95"/>
        <v>4942.2950318275307</v>
      </c>
      <c r="S91" s="34">
        <f t="shared" si="95"/>
        <v>4616.642849232614</v>
      </c>
      <c r="T91" s="34">
        <f t="shared" si="95"/>
        <v>4883.1593206280941</v>
      </c>
      <c r="U91" s="34">
        <f t="shared" si="95"/>
        <v>4953.9513186849172</v>
      </c>
      <c r="V91" s="34">
        <f t="shared" si="95"/>
        <v>5203.3779153114156</v>
      </c>
      <c r="W91" s="34">
        <f t="shared" ref="W91" si="96">IF(W9=0,0,W9*1000000/W29)</f>
        <v>5455.3554076377895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27476.849253365461</v>
      </c>
      <c r="C92" s="34">
        <f t="shared" si="84"/>
        <v>29005.827069143048</v>
      </c>
      <c r="D92" s="34">
        <f t="shared" ref="D92:V92" si="97">IF(D10=0,0,D10*1000000/D30)</f>
        <v>27193.697960331599</v>
      </c>
      <c r="E92" s="34">
        <f t="shared" si="97"/>
        <v>27850.623928614161</v>
      </c>
      <c r="F92" s="34">
        <f t="shared" si="97"/>
        <v>25315.218593473197</v>
      </c>
      <c r="G92" s="34">
        <f t="shared" si="97"/>
        <v>25243.295471909943</v>
      </c>
      <c r="H92" s="34">
        <f t="shared" si="97"/>
        <v>21370.563750203415</v>
      </c>
      <c r="I92" s="34">
        <f t="shared" si="97"/>
        <v>21022.660154912086</v>
      </c>
      <c r="J92" s="34">
        <f t="shared" si="97"/>
        <v>19433.694670966815</v>
      </c>
      <c r="K92" s="34">
        <f t="shared" si="97"/>
        <v>19641.183086273013</v>
      </c>
      <c r="L92" s="34">
        <f t="shared" si="97"/>
        <v>18584.817837992658</v>
      </c>
      <c r="M92" s="34">
        <f t="shared" si="97"/>
        <v>19235.997822317109</v>
      </c>
      <c r="N92" s="34">
        <f t="shared" si="97"/>
        <v>20531.154568229886</v>
      </c>
      <c r="O92" s="34">
        <f t="shared" si="97"/>
        <v>22115.508381536736</v>
      </c>
      <c r="P92" s="34">
        <f t="shared" si="97"/>
        <v>28174.957442902214</v>
      </c>
      <c r="Q92" s="34">
        <f t="shared" si="97"/>
        <v>27155.121242718105</v>
      </c>
      <c r="R92" s="34">
        <f t="shared" si="97"/>
        <v>30522.856488907397</v>
      </c>
      <c r="S92" s="34">
        <f t="shared" si="97"/>
        <v>29740.245295151886</v>
      </c>
      <c r="T92" s="34">
        <f t="shared" si="97"/>
        <v>30919.251852419777</v>
      </c>
      <c r="U92" s="34">
        <f t="shared" si="97"/>
        <v>31627.4139403724</v>
      </c>
      <c r="V92" s="34">
        <f t="shared" si="97"/>
        <v>22846.638462961721</v>
      </c>
      <c r="W92" s="34">
        <f t="shared" ref="W92" si="98">IF(W10=0,0,W10*1000000/W30)</f>
        <v>20630.518623822241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237911.20545370091</v>
      </c>
      <c r="C93" s="35">
        <f t="shared" si="84"/>
        <v>249228.36173157764</v>
      </c>
      <c r="D93" s="35">
        <f t="shared" ref="D93:V93" si="99">IF(D11=0,0,D11*1000000/D31)</f>
        <v>235376.71760348012</v>
      </c>
      <c r="E93" s="35">
        <f t="shared" si="99"/>
        <v>213904.16795774925</v>
      </c>
      <c r="F93" s="35">
        <f t="shared" si="99"/>
        <v>207632.74232201852</v>
      </c>
      <c r="G93" s="35">
        <f t="shared" si="99"/>
        <v>216873.95356754577</v>
      </c>
      <c r="H93" s="35">
        <f t="shared" si="99"/>
        <v>180619.83575945217</v>
      </c>
      <c r="I93" s="35">
        <f t="shared" si="99"/>
        <v>157498.06969053618</v>
      </c>
      <c r="J93" s="35">
        <f t="shared" si="99"/>
        <v>110121.10279811011</v>
      </c>
      <c r="K93" s="35">
        <f t="shared" si="99"/>
        <v>87518.803563733323</v>
      </c>
      <c r="L93" s="35">
        <f t="shared" si="99"/>
        <v>62615.548259940573</v>
      </c>
      <c r="M93" s="35">
        <f t="shared" si="99"/>
        <v>90025.577353188302</v>
      </c>
      <c r="N93" s="35">
        <f t="shared" si="99"/>
        <v>127098.62643436182</v>
      </c>
      <c r="O93" s="35">
        <f t="shared" si="99"/>
        <v>120186.36113633667</v>
      </c>
      <c r="P93" s="35">
        <f t="shared" si="99"/>
        <v>106597.50305297026</v>
      </c>
      <c r="Q93" s="35">
        <f t="shared" si="99"/>
        <v>91345.437175979168</v>
      </c>
      <c r="R93" s="35">
        <f t="shared" si="99"/>
        <v>117736.42814937582</v>
      </c>
      <c r="S93" s="35">
        <f t="shared" si="99"/>
        <v>115614.37134934742</v>
      </c>
      <c r="T93" s="35">
        <f t="shared" si="99"/>
        <v>100049.02990959246</v>
      </c>
      <c r="U93" s="35">
        <f t="shared" si="99"/>
        <v>91543.407950011941</v>
      </c>
      <c r="V93" s="35">
        <f t="shared" si="99"/>
        <v>76771.162911857056</v>
      </c>
      <c r="W93" s="35">
        <f t="shared" ref="W93" si="100">IF(W11=0,0,W11*1000000/W31)</f>
        <v>58604.152462546423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1532.5691824945372</v>
      </c>
      <c r="C95" s="62">
        <f t="shared" si="101"/>
        <v>1519.9874693647882</v>
      </c>
      <c r="D95" s="62">
        <f t="shared" ref="D95:V95" si="102">IF(D23=0,0,D23/D43)</f>
        <v>1516.87420454527</v>
      </c>
      <c r="E95" s="62">
        <f t="shared" si="102"/>
        <v>1503.0304463460341</v>
      </c>
      <c r="F95" s="62">
        <f t="shared" si="102"/>
        <v>1472.7733695615734</v>
      </c>
      <c r="G95" s="62">
        <f t="shared" si="102"/>
        <v>1452.2805533690071</v>
      </c>
      <c r="H95" s="62">
        <f t="shared" si="102"/>
        <v>1424.5462352261288</v>
      </c>
      <c r="I95" s="62">
        <f t="shared" si="102"/>
        <v>1334.0631897441917</v>
      </c>
      <c r="J95" s="62">
        <f t="shared" si="102"/>
        <v>1305.7090838873792</v>
      </c>
      <c r="K95" s="62">
        <f t="shared" si="102"/>
        <v>1297.3972805097831</v>
      </c>
      <c r="L95" s="62">
        <f t="shared" si="102"/>
        <v>1284.4913779804688</v>
      </c>
      <c r="M95" s="62">
        <f t="shared" si="102"/>
        <v>1255.3748173705387</v>
      </c>
      <c r="N95" s="62">
        <f t="shared" si="102"/>
        <v>1198.8805148977544</v>
      </c>
      <c r="O95" s="62">
        <f t="shared" si="102"/>
        <v>1171.6401105749742</v>
      </c>
      <c r="P95" s="62">
        <f t="shared" si="102"/>
        <v>1156.5082950036942</v>
      </c>
      <c r="Q95" s="62">
        <f t="shared" si="102"/>
        <v>1144.9112246154414</v>
      </c>
      <c r="R95" s="62">
        <f t="shared" si="102"/>
        <v>1134.0019589981314</v>
      </c>
      <c r="S95" s="62">
        <f t="shared" si="102"/>
        <v>1127.2336614928633</v>
      </c>
      <c r="T95" s="62">
        <f t="shared" si="102"/>
        <v>1095.6864954102689</v>
      </c>
      <c r="U95" s="62">
        <f t="shared" si="102"/>
        <v>1072.1033160074244</v>
      </c>
      <c r="V95" s="62">
        <f t="shared" si="102"/>
        <v>401.9926013436758</v>
      </c>
      <c r="W95" s="62">
        <f t="shared" ref="W95" si="103">IF(W23=0,0,W23/W43)</f>
        <v>404.76526883919797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1548.5174331183362</v>
      </c>
      <c r="C96" s="11">
        <f t="shared" si="104"/>
        <v>1537.4626960807104</v>
      </c>
      <c r="D96" s="11">
        <f t="shared" ref="D96:V96" si="105">IF(D24=0,0,D24/D44)</f>
        <v>1532.3484916164364</v>
      </c>
      <c r="E96" s="11">
        <f t="shared" si="105"/>
        <v>1519.9312228149167</v>
      </c>
      <c r="F96" s="11">
        <f t="shared" si="105"/>
        <v>1490.8030485830195</v>
      </c>
      <c r="G96" s="11">
        <f t="shared" si="105"/>
        <v>1471.8572593651202</v>
      </c>
      <c r="H96" s="11">
        <f t="shared" si="105"/>
        <v>1442.5520230521786</v>
      </c>
      <c r="I96" s="11">
        <f t="shared" si="105"/>
        <v>1349.683529706296</v>
      </c>
      <c r="J96" s="11">
        <f t="shared" si="105"/>
        <v>1321.0269503798838</v>
      </c>
      <c r="K96" s="11">
        <f t="shared" si="105"/>
        <v>1315.0780025947847</v>
      </c>
      <c r="L96" s="11">
        <f t="shared" si="105"/>
        <v>1296.2887705660823</v>
      </c>
      <c r="M96" s="11">
        <f t="shared" si="105"/>
        <v>1266.5543485980954</v>
      </c>
      <c r="N96" s="11">
        <f t="shared" si="105"/>
        <v>1209.8106911434013</v>
      </c>
      <c r="O96" s="11">
        <f t="shared" si="105"/>
        <v>1179.2220856865119</v>
      </c>
      <c r="P96" s="11">
        <f t="shared" si="105"/>
        <v>1163.5409061277201</v>
      </c>
      <c r="Q96" s="11">
        <f t="shared" si="105"/>
        <v>1151.6223770820488</v>
      </c>
      <c r="R96" s="11">
        <f t="shared" si="105"/>
        <v>1142.6555142565214</v>
      </c>
      <c r="S96" s="11">
        <f t="shared" si="105"/>
        <v>1135.2374352602783</v>
      </c>
      <c r="T96" s="11">
        <f t="shared" si="105"/>
        <v>1102.0674211675621</v>
      </c>
      <c r="U96" s="11">
        <f t="shared" si="105"/>
        <v>1074.8044505107459</v>
      </c>
      <c r="V96" s="11">
        <f t="shared" si="105"/>
        <v>389.83834295803319</v>
      </c>
      <c r="W96" s="11">
        <f t="shared" ref="W96" si="106">IF(W24=0,0,W24/W44)</f>
        <v>391.96316394393978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2233</v>
      </c>
      <c r="C97" s="36">
        <f t="shared" si="104"/>
        <v>2233</v>
      </c>
      <c r="D97" s="36">
        <f t="shared" ref="D97:V97" si="107">IF(D25=0,0,D25/D45)</f>
        <v>2233</v>
      </c>
      <c r="E97" s="36">
        <f t="shared" si="107"/>
        <v>2233</v>
      </c>
      <c r="F97" s="36">
        <f t="shared" si="107"/>
        <v>2233</v>
      </c>
      <c r="G97" s="36">
        <f t="shared" si="107"/>
        <v>2216</v>
      </c>
      <c r="H97" s="36">
        <f t="shared" si="107"/>
        <v>2254</v>
      </c>
      <c r="I97" s="36">
        <f t="shared" si="107"/>
        <v>2211</v>
      </c>
      <c r="J97" s="36">
        <f t="shared" si="107"/>
        <v>2226</v>
      </c>
      <c r="K97" s="36">
        <f t="shared" si="107"/>
        <v>2205</v>
      </c>
      <c r="L97" s="36">
        <f t="shared" si="107"/>
        <v>2191</v>
      </c>
      <c r="M97" s="36">
        <f t="shared" si="107"/>
        <v>2189</v>
      </c>
      <c r="N97" s="36">
        <f t="shared" si="107"/>
        <v>2060.1243448257983</v>
      </c>
      <c r="O97" s="36">
        <f t="shared" si="107"/>
        <v>2122.5319619868719</v>
      </c>
      <c r="P97" s="36">
        <f t="shared" si="107"/>
        <v>2183</v>
      </c>
      <c r="Q97" s="36">
        <f t="shared" si="107"/>
        <v>2189</v>
      </c>
      <c r="R97" s="36">
        <f t="shared" si="107"/>
        <v>2187</v>
      </c>
      <c r="S97" s="36">
        <f t="shared" si="107"/>
        <v>2179</v>
      </c>
      <c r="T97" s="36">
        <f t="shared" si="107"/>
        <v>2151</v>
      </c>
      <c r="U97" s="36">
        <f t="shared" si="107"/>
        <v>2143</v>
      </c>
      <c r="V97" s="36">
        <f t="shared" si="107"/>
        <v>979.30227696490704</v>
      </c>
      <c r="W97" s="36">
        <f t="shared" ref="W97" si="108">IF(W25=0,0,W25/W45)</f>
        <v>1097.1475241051774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1266.1099857275001</v>
      </c>
      <c r="C98" s="36">
        <f t="shared" si="104"/>
        <v>1267.621127993682</v>
      </c>
      <c r="D98" s="36">
        <f t="shared" ref="D98:V98" si="109">IF(D26=0,0,D26/D46)</f>
        <v>1266.6690119999002</v>
      </c>
      <c r="E98" s="36">
        <f t="shared" si="109"/>
        <v>1269.5287521761882</v>
      </c>
      <c r="F98" s="36">
        <f t="shared" si="109"/>
        <v>1268.2439679887038</v>
      </c>
      <c r="G98" s="36">
        <f t="shared" si="109"/>
        <v>1261.0773200243675</v>
      </c>
      <c r="H98" s="36">
        <f t="shared" si="109"/>
        <v>1242.5599388877342</v>
      </c>
      <c r="I98" s="36">
        <f t="shared" si="109"/>
        <v>1219.1671954780977</v>
      </c>
      <c r="J98" s="36">
        <f t="shared" si="109"/>
        <v>1227.4351678991125</v>
      </c>
      <c r="K98" s="36">
        <f t="shared" si="109"/>
        <v>1208.7850801232792</v>
      </c>
      <c r="L98" s="36">
        <f t="shared" si="109"/>
        <v>1234.0101407261818</v>
      </c>
      <c r="M98" s="36">
        <f t="shared" si="109"/>
        <v>1234.3270222649708</v>
      </c>
      <c r="N98" s="36">
        <f t="shared" si="109"/>
        <v>1243.373489249142</v>
      </c>
      <c r="O98" s="36">
        <f t="shared" si="109"/>
        <v>1224.4743956070356</v>
      </c>
      <c r="P98" s="36">
        <f t="shared" si="109"/>
        <v>1210.2986389743062</v>
      </c>
      <c r="Q98" s="36">
        <f t="shared" si="109"/>
        <v>1209.2048264201906</v>
      </c>
      <c r="R98" s="36">
        <f t="shared" si="109"/>
        <v>1201.5420149078402</v>
      </c>
      <c r="S98" s="36">
        <f t="shared" si="109"/>
        <v>1200.7112146033423</v>
      </c>
      <c r="T98" s="36">
        <f t="shared" si="109"/>
        <v>1180.676110293678</v>
      </c>
      <c r="U98" s="36">
        <f t="shared" si="109"/>
        <v>1185.0303366271405</v>
      </c>
      <c r="V98" s="36">
        <f t="shared" si="109"/>
        <v>395.02269707511374</v>
      </c>
      <c r="W98" s="36">
        <f t="shared" ref="W98" si="110">IF(W26=0,0,W26/W46)</f>
        <v>384.8507709528464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488</v>
      </c>
      <c r="C99" s="36">
        <f t="shared" si="104"/>
        <v>488</v>
      </c>
      <c r="D99" s="36">
        <f t="shared" ref="D99:V99" si="111">IF(D27=0,0,D27/D47)</f>
        <v>487.99999999999994</v>
      </c>
      <c r="E99" s="36">
        <f t="shared" si="111"/>
        <v>488.00000000000006</v>
      </c>
      <c r="F99" s="36">
        <f t="shared" si="111"/>
        <v>488</v>
      </c>
      <c r="G99" s="36">
        <f t="shared" si="111"/>
        <v>460</v>
      </c>
      <c r="H99" s="36">
        <f t="shared" si="111"/>
        <v>453</v>
      </c>
      <c r="I99" s="36">
        <f t="shared" si="111"/>
        <v>435</v>
      </c>
      <c r="J99" s="36">
        <f t="shared" si="111"/>
        <v>447.99999999999994</v>
      </c>
      <c r="K99" s="36">
        <f t="shared" si="111"/>
        <v>441.65629972021867</v>
      </c>
      <c r="L99" s="36">
        <f t="shared" si="111"/>
        <v>434.00000000000006</v>
      </c>
      <c r="M99" s="36">
        <f t="shared" si="111"/>
        <v>417</v>
      </c>
      <c r="N99" s="36">
        <f t="shared" si="111"/>
        <v>399</v>
      </c>
      <c r="O99" s="36">
        <f t="shared" si="111"/>
        <v>396</v>
      </c>
      <c r="P99" s="36">
        <f t="shared" si="111"/>
        <v>414</v>
      </c>
      <c r="Q99" s="36">
        <f t="shared" si="111"/>
        <v>422</v>
      </c>
      <c r="R99" s="36">
        <f t="shared" si="111"/>
        <v>404</v>
      </c>
      <c r="S99" s="36">
        <f t="shared" si="111"/>
        <v>400</v>
      </c>
      <c r="T99" s="36">
        <f t="shared" si="111"/>
        <v>406.00000000000006</v>
      </c>
      <c r="U99" s="36">
        <f t="shared" si="111"/>
        <v>403</v>
      </c>
      <c r="V99" s="36">
        <f t="shared" si="111"/>
        <v>120.31108572286723</v>
      </c>
      <c r="W99" s="36">
        <f t="shared" ref="W99" si="112">IF(W27=0,0,W27/W47)</f>
        <v>118.46290555116526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1042.979374406334</v>
      </c>
      <c r="C100" s="13">
        <f t="shared" si="104"/>
        <v>935.1485754905292</v>
      </c>
      <c r="D100" s="13">
        <f t="shared" ref="D100:V100" si="113">IF(D28=0,0,D28/D48)</f>
        <v>974.06488576415381</v>
      </c>
      <c r="E100" s="13">
        <f t="shared" si="113"/>
        <v>999.11040477018048</v>
      </c>
      <c r="F100" s="13">
        <f t="shared" si="113"/>
        <v>1010.8046863721449</v>
      </c>
      <c r="G100" s="13">
        <f t="shared" si="113"/>
        <v>971.8263437437065</v>
      </c>
      <c r="H100" s="13">
        <f t="shared" si="113"/>
        <v>998.4635590816539</v>
      </c>
      <c r="I100" s="13">
        <f t="shared" si="113"/>
        <v>974.05021807487344</v>
      </c>
      <c r="J100" s="13">
        <f t="shared" si="113"/>
        <v>918.78094808399135</v>
      </c>
      <c r="K100" s="13">
        <f t="shared" si="113"/>
        <v>852.1439456568786</v>
      </c>
      <c r="L100" s="13">
        <f t="shared" si="113"/>
        <v>967.35439629688062</v>
      </c>
      <c r="M100" s="13">
        <f t="shared" si="113"/>
        <v>915.40184760069121</v>
      </c>
      <c r="N100" s="13">
        <f t="shared" si="113"/>
        <v>897.37262795592335</v>
      </c>
      <c r="O100" s="13">
        <f t="shared" si="113"/>
        <v>958.72204996159758</v>
      </c>
      <c r="P100" s="13">
        <f t="shared" si="113"/>
        <v>946.65654663157193</v>
      </c>
      <c r="Q100" s="13">
        <f t="shared" si="113"/>
        <v>950.64664411550984</v>
      </c>
      <c r="R100" s="13">
        <f t="shared" si="113"/>
        <v>880.14332610241615</v>
      </c>
      <c r="S100" s="13">
        <f t="shared" si="113"/>
        <v>875.92558485953862</v>
      </c>
      <c r="T100" s="13">
        <f t="shared" si="113"/>
        <v>859.42568894355179</v>
      </c>
      <c r="U100" s="13">
        <f t="shared" si="113"/>
        <v>977.42175097729626</v>
      </c>
      <c r="V100" s="13">
        <f t="shared" si="113"/>
        <v>815.56361787095682</v>
      </c>
      <c r="W100" s="13">
        <f t="shared" ref="W100" si="114">IF(W28=0,0,W28/W48)</f>
        <v>799.04271090854343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1483</v>
      </c>
      <c r="C101" s="34">
        <f t="shared" si="104"/>
        <v>1247.0134539549988</v>
      </c>
      <c r="D101" s="34">
        <f t="shared" ref="D101:V101" si="115">IF(D29=0,0,D29/D49)</f>
        <v>1327.4243215031315</v>
      </c>
      <c r="E101" s="34">
        <f t="shared" si="115"/>
        <v>1271.585147628989</v>
      </c>
      <c r="F101" s="34">
        <f t="shared" si="115"/>
        <v>1483</v>
      </c>
      <c r="G101" s="34">
        <f t="shared" si="115"/>
        <v>1475</v>
      </c>
      <c r="H101" s="34">
        <f t="shared" si="115"/>
        <v>1512</v>
      </c>
      <c r="I101" s="34">
        <f t="shared" si="115"/>
        <v>1470.4818327300131</v>
      </c>
      <c r="J101" s="34">
        <f t="shared" si="115"/>
        <v>1532.8543453023522</v>
      </c>
      <c r="K101" s="34">
        <f t="shared" si="115"/>
        <v>1548.9999999999998</v>
      </c>
      <c r="L101" s="34">
        <f t="shared" si="115"/>
        <v>1520.3475773024325</v>
      </c>
      <c r="M101" s="34">
        <f t="shared" si="115"/>
        <v>1510</v>
      </c>
      <c r="N101" s="34">
        <f t="shared" si="115"/>
        <v>1457</v>
      </c>
      <c r="O101" s="34">
        <f t="shared" si="115"/>
        <v>1470</v>
      </c>
      <c r="P101" s="34">
        <f t="shared" si="115"/>
        <v>1464.9999999999998</v>
      </c>
      <c r="Q101" s="34">
        <f t="shared" si="115"/>
        <v>1470</v>
      </c>
      <c r="R101" s="34">
        <f t="shared" si="115"/>
        <v>1471</v>
      </c>
      <c r="S101" s="34">
        <f t="shared" si="115"/>
        <v>1470</v>
      </c>
      <c r="T101" s="34">
        <f t="shared" si="115"/>
        <v>1459</v>
      </c>
      <c r="U101" s="34">
        <f t="shared" si="115"/>
        <v>1477</v>
      </c>
      <c r="V101" s="34">
        <f t="shared" si="115"/>
        <v>1451</v>
      </c>
      <c r="W101" s="34">
        <f t="shared" ref="W101" si="116">IF(W29=0,0,W29/W49)</f>
        <v>1445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1052.6102417573538</v>
      </c>
      <c r="C102" s="34">
        <f t="shared" si="104"/>
        <v>1003.5777585364702</v>
      </c>
      <c r="D102" s="34">
        <f t="shared" ref="D102:V102" si="117">IF(D30=0,0,D30/D50)</f>
        <v>991.98924062085757</v>
      </c>
      <c r="E102" s="34">
        <f t="shared" si="117"/>
        <v>1063.2539159703406</v>
      </c>
      <c r="F102" s="34">
        <f t="shared" si="117"/>
        <v>1068.7690358398613</v>
      </c>
      <c r="G102" s="34">
        <f t="shared" si="117"/>
        <v>1059.151093680118</v>
      </c>
      <c r="H102" s="34">
        <f t="shared" si="117"/>
        <v>1060.468694249854</v>
      </c>
      <c r="I102" s="34">
        <f t="shared" si="117"/>
        <v>1051.6520364347643</v>
      </c>
      <c r="J102" s="34">
        <f t="shared" si="117"/>
        <v>915.61459267414659</v>
      </c>
      <c r="K102" s="34">
        <f t="shared" si="117"/>
        <v>862.53024507794157</v>
      </c>
      <c r="L102" s="34">
        <f t="shared" si="117"/>
        <v>927.4743366674428</v>
      </c>
      <c r="M102" s="34">
        <f t="shared" si="117"/>
        <v>859.99423781387281</v>
      </c>
      <c r="N102" s="34">
        <f t="shared" si="117"/>
        <v>902.02624742760668</v>
      </c>
      <c r="O102" s="34">
        <f t="shared" si="117"/>
        <v>1042.8471731753341</v>
      </c>
      <c r="P102" s="34">
        <f t="shared" si="117"/>
        <v>1078.8598404487668</v>
      </c>
      <c r="Q102" s="34">
        <f t="shared" si="117"/>
        <v>1076.7716286889549</v>
      </c>
      <c r="R102" s="34">
        <f t="shared" si="117"/>
        <v>929.38472602724562</v>
      </c>
      <c r="S102" s="34">
        <f t="shared" si="117"/>
        <v>871.77875648338613</v>
      </c>
      <c r="T102" s="34">
        <f t="shared" si="117"/>
        <v>779.88031960808189</v>
      </c>
      <c r="U102" s="34">
        <f t="shared" si="117"/>
        <v>934.28729402115653</v>
      </c>
      <c r="V102" s="34">
        <f t="shared" si="117"/>
        <v>723.9195598134495</v>
      </c>
      <c r="W102" s="34">
        <f t="shared" ref="W102" si="118">IF(W30=0,0,W30/W50)</f>
        <v>656.44217544440062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587</v>
      </c>
      <c r="C103" s="35">
        <f t="shared" si="104"/>
        <v>489.59463400408282</v>
      </c>
      <c r="D103" s="35">
        <f t="shared" ref="D103:V103" si="119">IF(D31=0,0,D31/D51)</f>
        <v>587</v>
      </c>
      <c r="E103" s="35">
        <f t="shared" si="119"/>
        <v>587</v>
      </c>
      <c r="F103" s="35">
        <f t="shared" si="119"/>
        <v>587</v>
      </c>
      <c r="G103" s="35">
        <f t="shared" si="119"/>
        <v>548</v>
      </c>
      <c r="H103" s="35">
        <f t="shared" si="119"/>
        <v>603</v>
      </c>
      <c r="I103" s="35">
        <f t="shared" si="119"/>
        <v>648.99999999999989</v>
      </c>
      <c r="J103" s="35">
        <f t="shared" si="119"/>
        <v>783.99999999999989</v>
      </c>
      <c r="K103" s="35">
        <f t="shared" si="119"/>
        <v>648.14446665251364</v>
      </c>
      <c r="L103" s="35">
        <f t="shared" si="119"/>
        <v>940.72631164455913</v>
      </c>
      <c r="M103" s="35">
        <f t="shared" si="119"/>
        <v>925.00000000000011</v>
      </c>
      <c r="N103" s="35">
        <f t="shared" si="119"/>
        <v>810</v>
      </c>
      <c r="O103" s="35">
        <f t="shared" si="119"/>
        <v>766.72464444002901</v>
      </c>
      <c r="P103" s="35">
        <f t="shared" si="119"/>
        <v>695.80012731185184</v>
      </c>
      <c r="Q103" s="35">
        <f t="shared" si="119"/>
        <v>681.17044040442454</v>
      </c>
      <c r="R103" s="35">
        <f t="shared" si="119"/>
        <v>722.80028893114866</v>
      </c>
      <c r="S103" s="35">
        <f t="shared" si="119"/>
        <v>825.54185675299971</v>
      </c>
      <c r="T103" s="35">
        <f t="shared" si="119"/>
        <v>972</v>
      </c>
      <c r="U103" s="35">
        <f t="shared" si="119"/>
        <v>1025</v>
      </c>
      <c r="V103" s="35">
        <f t="shared" si="119"/>
        <v>938</v>
      </c>
      <c r="W103" s="35">
        <f t="shared" ref="W103" si="120">IF(W31=0,0,W31/W51)</f>
        <v>971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0.15277925113251331</v>
      </c>
      <c r="C107" s="43">
        <f t="shared" si="124"/>
        <v>0.14941578830225821</v>
      </c>
      <c r="D107" s="43">
        <f t="shared" ref="D107:V107" si="125">IF(D5=0,0,D5/D$4)</f>
        <v>0.15249172858712678</v>
      </c>
      <c r="E107" s="43">
        <f t="shared" si="125"/>
        <v>0.1334583714238963</v>
      </c>
      <c r="F107" s="43">
        <f t="shared" si="125"/>
        <v>0.12445558516749312</v>
      </c>
      <c r="G107" s="43">
        <f t="shared" si="125"/>
        <v>0.11400140114998761</v>
      </c>
      <c r="H107" s="43">
        <f t="shared" si="125"/>
        <v>0.10109283084894115</v>
      </c>
      <c r="I107" s="43">
        <f t="shared" si="125"/>
        <v>9.1751347555973015E-2</v>
      </c>
      <c r="J107" s="43">
        <f t="shared" si="125"/>
        <v>8.1866660475444442E-2</v>
      </c>
      <c r="K107" s="43">
        <f t="shared" si="125"/>
        <v>7.8336876159345967E-2</v>
      </c>
      <c r="L107" s="43">
        <f t="shared" si="125"/>
        <v>7.2227135705975845E-2</v>
      </c>
      <c r="M107" s="43">
        <f t="shared" si="125"/>
        <v>7.4699771874303475E-2</v>
      </c>
      <c r="N107" s="43">
        <f t="shared" si="125"/>
        <v>7.1454487295709149E-2</v>
      </c>
      <c r="O107" s="43">
        <f t="shared" si="125"/>
        <v>6.341511493765585E-2</v>
      </c>
      <c r="P107" s="43">
        <f t="shared" si="125"/>
        <v>6.3729604308587359E-2</v>
      </c>
      <c r="Q107" s="43">
        <f t="shared" si="125"/>
        <v>6.4595724790520836E-2</v>
      </c>
      <c r="R107" s="43">
        <f t="shared" si="125"/>
        <v>6.4986631444329396E-2</v>
      </c>
      <c r="S107" s="43">
        <f t="shared" si="125"/>
        <v>6.0652042884864574E-2</v>
      </c>
      <c r="T107" s="43">
        <f t="shared" si="125"/>
        <v>6.1068196418979016E-2</v>
      </c>
      <c r="U107" s="43">
        <f t="shared" si="125"/>
        <v>5.7041160178992113E-2</v>
      </c>
      <c r="V107" s="43">
        <f t="shared" si="125"/>
        <v>9.0185022616573213E-2</v>
      </c>
      <c r="W107" s="43">
        <f t="shared" ref="W107" si="126">IF(W5=0,0,W5/W$4)</f>
        <v>0.11653527123104231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0.56275160375753897</v>
      </c>
      <c r="C108" s="43">
        <f t="shared" si="127"/>
        <v>0.57578236141788719</v>
      </c>
      <c r="D108" s="43">
        <f t="shared" ref="D108:V108" si="128">IF(D6=0,0,D6/D$4)</f>
        <v>0.57128391707812742</v>
      </c>
      <c r="E108" s="43">
        <f t="shared" si="128"/>
        <v>0.58629905194297671</v>
      </c>
      <c r="F108" s="43">
        <f t="shared" si="128"/>
        <v>0.56043924422776625</v>
      </c>
      <c r="G108" s="43">
        <f t="shared" si="128"/>
        <v>0.54809273404240522</v>
      </c>
      <c r="H108" s="43">
        <f t="shared" si="128"/>
        <v>0.53844996498213482</v>
      </c>
      <c r="I108" s="43">
        <f t="shared" si="128"/>
        <v>0.48684306681884298</v>
      </c>
      <c r="J108" s="43">
        <f t="shared" si="128"/>
        <v>0.45195065858725808</v>
      </c>
      <c r="K108" s="43">
        <f t="shared" si="128"/>
        <v>0.45140682633353346</v>
      </c>
      <c r="L108" s="43">
        <f t="shared" si="128"/>
        <v>0.43580831430754646</v>
      </c>
      <c r="M108" s="43">
        <f t="shared" si="128"/>
        <v>0.43167402389273613</v>
      </c>
      <c r="N108" s="43">
        <f t="shared" si="128"/>
        <v>0.41479488271544429</v>
      </c>
      <c r="O108" s="43">
        <f t="shared" si="128"/>
        <v>0.43042692000433969</v>
      </c>
      <c r="P108" s="43">
        <f t="shared" si="128"/>
        <v>0.46259197027762949</v>
      </c>
      <c r="Q108" s="43">
        <f t="shared" si="128"/>
        <v>0.45217789326565816</v>
      </c>
      <c r="R108" s="43">
        <f t="shared" si="128"/>
        <v>0.45166108305838376</v>
      </c>
      <c r="S108" s="43">
        <f t="shared" si="128"/>
        <v>0.44624567580304397</v>
      </c>
      <c r="T108" s="43">
        <f t="shared" si="128"/>
        <v>0.43583059419407055</v>
      </c>
      <c r="U108" s="43">
        <f t="shared" si="128"/>
        <v>0.41783973308312355</v>
      </c>
      <c r="V108" s="43">
        <f t="shared" si="128"/>
        <v>0.38772774756119532</v>
      </c>
      <c r="W108" s="43">
        <f t="shared" ref="W108" si="129">IF(W6=0,0,W6/W$4)</f>
        <v>0.50964859016885433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0.2844691451099477</v>
      </c>
      <c r="C109" s="43">
        <f t="shared" si="130"/>
        <v>0.27480185027985454</v>
      </c>
      <c r="D109" s="43">
        <f t="shared" ref="D109:V109" si="131">IF(D7=0,0,D7/D$4)</f>
        <v>0.27622435433474563</v>
      </c>
      <c r="E109" s="43">
        <f t="shared" si="131"/>
        <v>0.28024257663312702</v>
      </c>
      <c r="F109" s="43">
        <f t="shared" si="131"/>
        <v>0.31510517060474058</v>
      </c>
      <c r="G109" s="43">
        <f t="shared" si="131"/>
        <v>0.33790586480760709</v>
      </c>
      <c r="H109" s="43">
        <f t="shared" si="131"/>
        <v>0.36045720416892402</v>
      </c>
      <c r="I109" s="43">
        <f t="shared" si="131"/>
        <v>0.4214055856251841</v>
      </c>
      <c r="J109" s="43">
        <f t="shared" si="131"/>
        <v>0.46618268093729753</v>
      </c>
      <c r="K109" s="43">
        <f t="shared" si="131"/>
        <v>0.47025629750712067</v>
      </c>
      <c r="L109" s="43">
        <f t="shared" si="131"/>
        <v>0.49196454998647765</v>
      </c>
      <c r="M109" s="43">
        <f t="shared" si="131"/>
        <v>0.49362620423296039</v>
      </c>
      <c r="N109" s="43">
        <f t="shared" si="131"/>
        <v>0.51375062998884657</v>
      </c>
      <c r="O109" s="43">
        <f t="shared" si="131"/>
        <v>0.50615796505800448</v>
      </c>
      <c r="P109" s="43">
        <f t="shared" si="131"/>
        <v>0.47367842541378302</v>
      </c>
      <c r="Q109" s="43">
        <f t="shared" si="131"/>
        <v>0.483226381943821</v>
      </c>
      <c r="R109" s="43">
        <f t="shared" si="131"/>
        <v>0.48335228549728682</v>
      </c>
      <c r="S109" s="43">
        <f t="shared" si="131"/>
        <v>0.49310228131209144</v>
      </c>
      <c r="T109" s="43">
        <f t="shared" si="131"/>
        <v>0.50310120938695058</v>
      </c>
      <c r="U109" s="43">
        <f t="shared" si="131"/>
        <v>0.52511910673788442</v>
      </c>
      <c r="V109" s="43">
        <f t="shared" si="131"/>
        <v>0.52208722982223144</v>
      </c>
      <c r="W109" s="43">
        <f t="shared" ref="W109" si="132">IF(W7=0,0,W7/W$4)</f>
        <v>0.37381613860010338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2.2770126135175206E-2</v>
      </c>
      <c r="C111" s="44">
        <f t="shared" si="136"/>
        <v>2.0562758310364297E-2</v>
      </c>
      <c r="D111" s="44">
        <f t="shared" ref="D111:V111" si="137">IF(D9=0,0,D9/D$8)</f>
        <v>2.1047971955266125E-2</v>
      </c>
      <c r="E111" s="44">
        <f t="shared" si="137"/>
        <v>1.6372580653665741E-2</v>
      </c>
      <c r="F111" s="44">
        <f t="shared" si="137"/>
        <v>1.2303831187644301E-2</v>
      </c>
      <c r="G111" s="44">
        <f t="shared" si="137"/>
        <v>1.0960590147832636E-2</v>
      </c>
      <c r="H111" s="44">
        <f t="shared" si="137"/>
        <v>9.7206314635025094E-3</v>
      </c>
      <c r="I111" s="44">
        <f t="shared" si="137"/>
        <v>7.0220009192303433E-3</v>
      </c>
      <c r="J111" s="44">
        <f t="shared" si="137"/>
        <v>5.8113022714374671E-3</v>
      </c>
      <c r="K111" s="44">
        <f t="shared" si="137"/>
        <v>8.2759113836708351E-3</v>
      </c>
      <c r="L111" s="44">
        <f t="shared" si="137"/>
        <v>6.2126926016357097E-3</v>
      </c>
      <c r="M111" s="44">
        <f t="shared" si="137"/>
        <v>5.7922720812075348E-3</v>
      </c>
      <c r="N111" s="44">
        <f t="shared" si="137"/>
        <v>5.9821502983439367E-3</v>
      </c>
      <c r="O111" s="44">
        <f t="shared" si="137"/>
        <v>5.6298476521415685E-3</v>
      </c>
      <c r="P111" s="44">
        <f t="shared" si="137"/>
        <v>5.4018567077644538E-3</v>
      </c>
      <c r="Q111" s="44">
        <f t="shared" si="137"/>
        <v>5.873538185445437E-3</v>
      </c>
      <c r="R111" s="44">
        <f t="shared" si="137"/>
        <v>6.2656297136704647E-3</v>
      </c>
      <c r="S111" s="44">
        <f t="shared" si="137"/>
        <v>4.5420812278655041E-3</v>
      </c>
      <c r="T111" s="44">
        <f t="shared" si="137"/>
        <v>3.2939940252203689E-3</v>
      </c>
      <c r="U111" s="44">
        <f t="shared" si="137"/>
        <v>3.2232593543054257E-3</v>
      </c>
      <c r="V111" s="44">
        <f t="shared" si="137"/>
        <v>5.1254292802212376E-3</v>
      </c>
      <c r="W111" s="44">
        <f t="shared" ref="W111" si="138">IF(W9=0,0,W9/W$8)</f>
        <v>4.6227663437198663E-3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0.27317617149166229</v>
      </c>
      <c r="C112" s="44">
        <f t="shared" si="139"/>
        <v>0.31370915696139823</v>
      </c>
      <c r="D112" s="44">
        <f t="shared" ref="D112:V112" si="140">IF(D10=0,0,D10/D$8)</f>
        <v>0.27359759922641164</v>
      </c>
      <c r="E112" s="44">
        <f t="shared" si="140"/>
        <v>0.39869847932408747</v>
      </c>
      <c r="F112" s="44">
        <f t="shared" si="140"/>
        <v>0.38827589359802639</v>
      </c>
      <c r="G112" s="44">
        <f t="shared" si="140"/>
        <v>0.3441438337488959</v>
      </c>
      <c r="H112" s="44">
        <f t="shared" si="140"/>
        <v>0.35939581453113384</v>
      </c>
      <c r="I112" s="44">
        <f t="shared" si="140"/>
        <v>0.33174898368449685</v>
      </c>
      <c r="J112" s="44">
        <f t="shared" si="140"/>
        <v>0.30911701041181039</v>
      </c>
      <c r="K112" s="44">
        <f t="shared" si="140"/>
        <v>0.39419052525710402</v>
      </c>
      <c r="L112" s="44">
        <f t="shared" si="140"/>
        <v>0.39564914077974389</v>
      </c>
      <c r="M112" s="44">
        <f t="shared" si="140"/>
        <v>0.26712631339974385</v>
      </c>
      <c r="N112" s="44">
        <f t="shared" si="140"/>
        <v>0.20886462445447485</v>
      </c>
      <c r="O112" s="44">
        <f t="shared" si="140"/>
        <v>0.27027923775944779</v>
      </c>
      <c r="P112" s="44">
        <f t="shared" si="140"/>
        <v>0.3767791934303753</v>
      </c>
      <c r="Q112" s="44">
        <f t="shared" si="140"/>
        <v>0.44162455486761976</v>
      </c>
      <c r="R112" s="44">
        <f t="shared" si="140"/>
        <v>0.3704894868233255</v>
      </c>
      <c r="S112" s="44">
        <f t="shared" si="140"/>
        <v>0.34756042534424708</v>
      </c>
      <c r="T112" s="44">
        <f t="shared" si="140"/>
        <v>0.32111019248398204</v>
      </c>
      <c r="U112" s="44">
        <f t="shared" si="140"/>
        <v>0.36886888671188472</v>
      </c>
      <c r="V112" s="44">
        <f t="shared" si="140"/>
        <v>0.29316525622178036</v>
      </c>
      <c r="W112" s="44">
        <f t="shared" ref="W112" si="141">IF(W10=0,0,W10/W$8)</f>
        <v>0.24991194120881566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0.70405370237316256</v>
      </c>
      <c r="C113" s="45">
        <f t="shared" si="142"/>
        <v>0.66572808472823741</v>
      </c>
      <c r="D113" s="45">
        <f t="shared" ref="D113:V113" si="143">IF(D11=0,0,D11/D$8)</f>
        <v>0.70535442881832222</v>
      </c>
      <c r="E113" s="45">
        <f t="shared" si="143"/>
        <v>0.58492894002224682</v>
      </c>
      <c r="F113" s="45">
        <f t="shared" si="143"/>
        <v>0.59942027521432928</v>
      </c>
      <c r="G113" s="45">
        <f t="shared" si="143"/>
        <v>0.64489557610327153</v>
      </c>
      <c r="H113" s="45">
        <f t="shared" si="143"/>
        <v>0.63088355400536356</v>
      </c>
      <c r="I113" s="45">
        <f t="shared" si="143"/>
        <v>0.66122901539627288</v>
      </c>
      <c r="J113" s="45">
        <f t="shared" si="143"/>
        <v>0.68507168731675205</v>
      </c>
      <c r="K113" s="45">
        <f t="shared" si="143"/>
        <v>0.59753356335922525</v>
      </c>
      <c r="L113" s="45">
        <f t="shared" si="143"/>
        <v>0.5981381666186204</v>
      </c>
      <c r="M113" s="45">
        <f t="shared" si="143"/>
        <v>0.72708141451904873</v>
      </c>
      <c r="N113" s="45">
        <f t="shared" si="143"/>
        <v>0.78515322524718123</v>
      </c>
      <c r="O113" s="45">
        <f t="shared" si="143"/>
        <v>0.72409091458841068</v>
      </c>
      <c r="P113" s="45">
        <f t="shared" si="143"/>
        <v>0.61781894986186026</v>
      </c>
      <c r="Q113" s="45">
        <f t="shared" si="143"/>
        <v>0.55250190694693491</v>
      </c>
      <c r="R113" s="45">
        <f t="shared" si="143"/>
        <v>0.62324488346300411</v>
      </c>
      <c r="S113" s="45">
        <f t="shared" si="143"/>
        <v>0.64789749342788749</v>
      </c>
      <c r="T113" s="45">
        <f t="shared" si="143"/>
        <v>0.67559581349079767</v>
      </c>
      <c r="U113" s="45">
        <f t="shared" si="143"/>
        <v>0.62790785393380999</v>
      </c>
      <c r="V113" s="45">
        <f t="shared" si="143"/>
        <v>0.70170931449799845</v>
      </c>
      <c r="W113" s="45">
        <f t="shared" ref="W113" si="144">IF(W11=0,0,W11/W$8)</f>
        <v>0.74546529244746451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0.27221480720890529</v>
      </c>
      <c r="C117" s="43">
        <f t="shared" si="148"/>
        <v>0.26201520269850181</v>
      </c>
      <c r="D117" s="43">
        <f t="shared" ref="D117:V117" si="149">IF(D15=0,0,D15/D$14)</f>
        <v>0.26284711889111356</v>
      </c>
      <c r="E117" s="43">
        <f t="shared" si="149"/>
        <v>0.2500239975604337</v>
      </c>
      <c r="F117" s="43">
        <f t="shared" si="149"/>
        <v>0.23420220396347569</v>
      </c>
      <c r="G117" s="43">
        <f t="shared" si="149"/>
        <v>0.2354848935616346</v>
      </c>
      <c r="H117" s="43">
        <f t="shared" si="149"/>
        <v>0.21543990608105199</v>
      </c>
      <c r="I117" s="43">
        <f t="shared" si="149"/>
        <v>0.19098528114445915</v>
      </c>
      <c r="J117" s="43">
        <f t="shared" si="149"/>
        <v>0.1760536269846967</v>
      </c>
      <c r="K117" s="43">
        <f t="shared" si="149"/>
        <v>0.18768242520033729</v>
      </c>
      <c r="L117" s="43">
        <f t="shared" si="149"/>
        <v>0.17615220974611576</v>
      </c>
      <c r="M117" s="43">
        <f t="shared" si="149"/>
        <v>0.16638834751930023</v>
      </c>
      <c r="N117" s="43">
        <f t="shared" si="149"/>
        <v>0.15265067715025143</v>
      </c>
      <c r="O117" s="43">
        <f t="shared" si="149"/>
        <v>0.13298931602788583</v>
      </c>
      <c r="P117" s="43">
        <f t="shared" si="149"/>
        <v>0.12848061861781176</v>
      </c>
      <c r="Q117" s="43">
        <f t="shared" si="149"/>
        <v>0.12397418144553468</v>
      </c>
      <c r="R117" s="43">
        <f t="shared" si="149"/>
        <v>0.12078155984568813</v>
      </c>
      <c r="S117" s="43">
        <f t="shared" si="149"/>
        <v>0.11732440092743335</v>
      </c>
      <c r="T117" s="43">
        <f t="shared" si="149"/>
        <v>0.11268117357242105</v>
      </c>
      <c r="U117" s="43">
        <f t="shared" si="149"/>
        <v>0.10839785280789425</v>
      </c>
      <c r="V117" s="43">
        <f t="shared" si="149"/>
        <v>0.15124736819539375</v>
      </c>
      <c r="W117" s="43">
        <f t="shared" ref="W117" si="150">IF(W15=0,0,W15/W$14)</f>
        <v>0.15698966444212314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0.56803629133215616</v>
      </c>
      <c r="C118" s="43">
        <f t="shared" si="151"/>
        <v>0.57983633084405739</v>
      </c>
      <c r="D118" s="43">
        <f t="shared" ref="D118:V118" si="152">IF(D16=0,0,D16/D$14)</f>
        <v>0.57030289313558769</v>
      </c>
      <c r="E118" s="43">
        <f t="shared" si="152"/>
        <v>0.58636808670175367</v>
      </c>
      <c r="F118" s="43">
        <f t="shared" si="152"/>
        <v>0.5884191788520452</v>
      </c>
      <c r="G118" s="43">
        <f t="shared" si="152"/>
        <v>0.57782944354548615</v>
      </c>
      <c r="H118" s="43">
        <f t="shared" si="152"/>
        <v>0.57085924534282007</v>
      </c>
      <c r="I118" s="43">
        <f t="shared" si="152"/>
        <v>0.56211797070964431</v>
      </c>
      <c r="J118" s="43">
        <f t="shared" si="152"/>
        <v>0.54679425121940139</v>
      </c>
      <c r="K118" s="43">
        <f t="shared" si="152"/>
        <v>0.53540188020940582</v>
      </c>
      <c r="L118" s="43">
        <f t="shared" si="152"/>
        <v>0.53353985494129308</v>
      </c>
      <c r="M118" s="43">
        <f t="shared" si="152"/>
        <v>0.52560341540509592</v>
      </c>
      <c r="N118" s="43">
        <f t="shared" si="152"/>
        <v>0.51533745791996477</v>
      </c>
      <c r="O118" s="43">
        <f t="shared" si="152"/>
        <v>0.52373508090740395</v>
      </c>
      <c r="P118" s="43">
        <f t="shared" si="152"/>
        <v>0.51874775544368013</v>
      </c>
      <c r="Q118" s="43">
        <f t="shared" si="152"/>
        <v>0.5120087716722509</v>
      </c>
      <c r="R118" s="43">
        <f t="shared" si="152"/>
        <v>0.52082275535873612</v>
      </c>
      <c r="S118" s="43">
        <f t="shared" si="152"/>
        <v>0.52798844128609668</v>
      </c>
      <c r="T118" s="43">
        <f t="shared" si="152"/>
        <v>0.52304137463659328</v>
      </c>
      <c r="U118" s="43">
        <f t="shared" si="152"/>
        <v>0.50094558552931789</v>
      </c>
      <c r="V118" s="43">
        <f t="shared" si="152"/>
        <v>0.46732151258335253</v>
      </c>
      <c r="W118" s="43">
        <f t="shared" ref="W118" si="153">IF(W16=0,0,W16/W$14)</f>
        <v>0.46957858654507301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0.15974890145893855</v>
      </c>
      <c r="C119" s="43">
        <f t="shared" si="154"/>
        <v>0.15814846645744088</v>
      </c>
      <c r="D119" s="43">
        <f t="shared" ref="D119:V119" si="155">IF(D17=0,0,D17/D$14)</f>
        <v>0.16684998797329875</v>
      </c>
      <c r="E119" s="43">
        <f t="shared" si="155"/>
        <v>0.16360791573781258</v>
      </c>
      <c r="F119" s="43">
        <f t="shared" si="155"/>
        <v>0.17737861718447911</v>
      </c>
      <c r="G119" s="43">
        <f t="shared" si="155"/>
        <v>0.18668566289287927</v>
      </c>
      <c r="H119" s="43">
        <f t="shared" si="155"/>
        <v>0.21370084857612798</v>
      </c>
      <c r="I119" s="43">
        <f t="shared" si="155"/>
        <v>0.24689674814589657</v>
      </c>
      <c r="J119" s="43">
        <f t="shared" si="155"/>
        <v>0.27715212179590182</v>
      </c>
      <c r="K119" s="43">
        <f t="shared" si="155"/>
        <v>0.27691569459025678</v>
      </c>
      <c r="L119" s="43">
        <f t="shared" si="155"/>
        <v>0.29030793531259119</v>
      </c>
      <c r="M119" s="43">
        <f t="shared" si="155"/>
        <v>0.30800823707560387</v>
      </c>
      <c r="N119" s="43">
        <f t="shared" si="155"/>
        <v>0.3320118649297838</v>
      </c>
      <c r="O119" s="43">
        <f t="shared" si="155"/>
        <v>0.34327560306471011</v>
      </c>
      <c r="P119" s="43">
        <f t="shared" si="155"/>
        <v>0.35277162593850814</v>
      </c>
      <c r="Q119" s="43">
        <f t="shared" si="155"/>
        <v>0.36401704688221442</v>
      </c>
      <c r="R119" s="43">
        <f t="shared" si="155"/>
        <v>0.35839568479557576</v>
      </c>
      <c r="S119" s="43">
        <f t="shared" si="155"/>
        <v>0.35468715778646998</v>
      </c>
      <c r="T119" s="43">
        <f t="shared" si="155"/>
        <v>0.36427745179098564</v>
      </c>
      <c r="U119" s="43">
        <f t="shared" si="155"/>
        <v>0.390656561662788</v>
      </c>
      <c r="V119" s="43">
        <f t="shared" si="155"/>
        <v>0.38143111922125372</v>
      </c>
      <c r="W119" s="43">
        <f t="shared" ref="W119" si="156">IF(W17=0,0,W17/W$14)</f>
        <v>0.3734317490128039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9.874270996345863E-2</v>
      </c>
      <c r="C121" s="44">
        <f t="shared" si="160"/>
        <v>9.0635014537099504E-2</v>
      </c>
      <c r="D121" s="44">
        <f t="shared" ref="D121:V121" si="161">IF(D19=0,0,D19/D$18)</f>
        <v>8.9678125142719528E-2</v>
      </c>
      <c r="E121" s="44">
        <f t="shared" si="161"/>
        <v>5.7321990391935189E-2</v>
      </c>
      <c r="F121" s="44">
        <f t="shared" si="161"/>
        <v>4.3520249802648743E-2</v>
      </c>
      <c r="G121" s="44">
        <f t="shared" si="161"/>
        <v>4.0396500891438168E-2</v>
      </c>
      <c r="H121" s="44">
        <f t="shared" si="161"/>
        <v>3.2654542664470314E-2</v>
      </c>
      <c r="I121" s="44">
        <f t="shared" si="161"/>
        <v>2.4039755365887993E-2</v>
      </c>
      <c r="J121" s="44">
        <f t="shared" si="161"/>
        <v>2.0841344266079361E-2</v>
      </c>
      <c r="K121" s="44">
        <f t="shared" si="161"/>
        <v>2.7308068756652426E-2</v>
      </c>
      <c r="L121" s="44">
        <f t="shared" si="161"/>
        <v>1.9315001219015197E-2</v>
      </c>
      <c r="M121" s="44">
        <f t="shared" si="161"/>
        <v>2.1225502374221411E-2</v>
      </c>
      <c r="N121" s="44">
        <f t="shared" si="161"/>
        <v>2.6051368175924405E-2</v>
      </c>
      <c r="O121" s="44">
        <f t="shared" si="161"/>
        <v>2.0389358091830928E-2</v>
      </c>
      <c r="P121" s="44">
        <f t="shared" si="161"/>
        <v>1.8322185922972672E-2</v>
      </c>
      <c r="Q121" s="44">
        <f t="shared" si="161"/>
        <v>1.7446317233484998E-2</v>
      </c>
      <c r="R121" s="44">
        <f t="shared" si="161"/>
        <v>1.8450984464370282E-2</v>
      </c>
      <c r="S121" s="44">
        <f t="shared" si="161"/>
        <v>1.3775517181327272E-2</v>
      </c>
      <c r="T121" s="44">
        <f t="shared" si="161"/>
        <v>1.0191624430570353E-2</v>
      </c>
      <c r="U121" s="44">
        <f t="shared" si="161"/>
        <v>8.5666236137100261E-3</v>
      </c>
      <c r="V121" s="44">
        <f t="shared" si="161"/>
        <v>1.3741513755722152E-2</v>
      </c>
      <c r="W121" s="44">
        <f t="shared" ref="W121" si="162">IF(W19=0,0,W19/W$18)</f>
        <v>1.1251830719410235E-2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0.52852785892633203</v>
      </c>
      <c r="C122" s="44">
        <f t="shared" si="163"/>
        <v>0.57001079761184581</v>
      </c>
      <c r="D122" s="44">
        <f t="shared" ref="D122:V122" si="164">IF(D20=0,0,D20/D$18)</f>
        <v>0.53188676536267621</v>
      </c>
      <c r="E122" s="44">
        <f t="shared" si="164"/>
        <v>0.64084045193475281</v>
      </c>
      <c r="F122" s="44">
        <f t="shared" si="164"/>
        <v>0.653324451450915</v>
      </c>
      <c r="G122" s="44">
        <f t="shared" si="164"/>
        <v>0.60595748182455678</v>
      </c>
      <c r="H122" s="44">
        <f t="shared" si="164"/>
        <v>0.65357712081125252</v>
      </c>
      <c r="I122" s="44">
        <f t="shared" si="164"/>
        <v>0.63640456858521299</v>
      </c>
      <c r="J122" s="44">
        <f t="shared" si="164"/>
        <v>0.61729403419259066</v>
      </c>
      <c r="K122" s="44">
        <f t="shared" si="164"/>
        <v>0.71296943904367238</v>
      </c>
      <c r="L122" s="44">
        <f t="shared" si="164"/>
        <v>0.72298155823544541</v>
      </c>
      <c r="M122" s="44">
        <f t="shared" si="164"/>
        <v>0.58890696210088522</v>
      </c>
      <c r="N122" s="44">
        <f t="shared" si="164"/>
        <v>0.49230081223929889</v>
      </c>
      <c r="O122" s="44">
        <f t="shared" si="164"/>
        <v>0.56753970545674948</v>
      </c>
      <c r="P122" s="44">
        <f t="shared" si="164"/>
        <v>0.66306384375630156</v>
      </c>
      <c r="Q122" s="44">
        <f t="shared" si="164"/>
        <v>0.72949571587048456</v>
      </c>
      <c r="R122" s="44">
        <f t="shared" si="164"/>
        <v>0.67641788162530525</v>
      </c>
      <c r="S122" s="44">
        <f t="shared" si="164"/>
        <v>0.68166904853365073</v>
      </c>
      <c r="T122" s="44">
        <f t="shared" si="164"/>
        <v>0.66211738362259176</v>
      </c>
      <c r="U122" s="44">
        <f t="shared" si="164"/>
        <v>0.71619967417685593</v>
      </c>
      <c r="V122" s="44">
        <f t="shared" si="164"/>
        <v>0.55471180436607892</v>
      </c>
      <c r="W122" s="44">
        <f t="shared" ref="W122" si="165">IF(W20=0,0,W20/W$18)</f>
        <v>0.47949441079892363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0.37272943111020945</v>
      </c>
      <c r="C123" s="45">
        <f t="shared" si="166"/>
        <v>0.33935418785105487</v>
      </c>
      <c r="D123" s="45">
        <f t="shared" ref="D123:V123" si="167">IF(D21=0,0,D21/D$18)</f>
        <v>0.37843510949460424</v>
      </c>
      <c r="E123" s="45">
        <f t="shared" si="167"/>
        <v>0.30183755767331194</v>
      </c>
      <c r="F123" s="45">
        <f t="shared" si="167"/>
        <v>0.30315529874643621</v>
      </c>
      <c r="G123" s="45">
        <f t="shared" si="167"/>
        <v>0.35364601728400502</v>
      </c>
      <c r="H123" s="45">
        <f t="shared" si="167"/>
        <v>0.31376833652427727</v>
      </c>
      <c r="I123" s="45">
        <f t="shared" si="167"/>
        <v>0.33955567604889902</v>
      </c>
      <c r="J123" s="45">
        <f t="shared" si="167"/>
        <v>0.36186462154133003</v>
      </c>
      <c r="K123" s="45">
        <f t="shared" si="167"/>
        <v>0.2597224921996753</v>
      </c>
      <c r="L123" s="45">
        <f t="shared" si="167"/>
        <v>0.25770344054553934</v>
      </c>
      <c r="M123" s="45">
        <f t="shared" si="167"/>
        <v>0.38986753552489339</v>
      </c>
      <c r="N123" s="45">
        <f t="shared" si="167"/>
        <v>0.48164781958477665</v>
      </c>
      <c r="O123" s="45">
        <f t="shared" si="167"/>
        <v>0.41207093645141957</v>
      </c>
      <c r="P123" s="45">
        <f t="shared" si="167"/>
        <v>0.3186139703207258</v>
      </c>
      <c r="Q123" s="45">
        <f t="shared" si="167"/>
        <v>0.25305796689603055</v>
      </c>
      <c r="R123" s="45">
        <f t="shared" si="167"/>
        <v>0.30513113391032437</v>
      </c>
      <c r="S123" s="45">
        <f t="shared" si="167"/>
        <v>0.30455543428502208</v>
      </c>
      <c r="T123" s="45">
        <f t="shared" si="167"/>
        <v>0.32769099194683798</v>
      </c>
      <c r="U123" s="45">
        <f t="shared" si="167"/>
        <v>0.27523370220943405</v>
      </c>
      <c r="V123" s="45">
        <f t="shared" si="167"/>
        <v>0.43154668187819883</v>
      </c>
      <c r="W123" s="45">
        <f t="shared" ref="W123" si="168">IF(W21=0,0,W21/W$18)</f>
        <v>0.50925375848166621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470.58142734307825</v>
      </c>
      <c r="C3" s="79">
        <f t="shared" si="0"/>
        <v>477.82080825451396</v>
      </c>
      <c r="D3" s="79">
        <f t="shared" ref="D3" si="1">SUM(D4:D5)</f>
        <v>458.17093723129852</v>
      </c>
      <c r="E3" s="79">
        <f t="shared" ref="E3" si="2">SUM(E4:E5)</f>
        <v>469.53757523645731</v>
      </c>
      <c r="F3" s="79">
        <f t="shared" ref="F3" si="3">SUM(F4:F5)</f>
        <v>527.45296646603606</v>
      </c>
      <c r="G3" s="79">
        <f t="shared" ref="G3" si="4">SUM(G4:G5)</f>
        <v>524.34084264832325</v>
      </c>
      <c r="H3" s="79">
        <f t="shared" ref="H3" si="5">SUM(H4:H5)</f>
        <v>566.75262252794505</v>
      </c>
      <c r="I3" s="79">
        <f t="shared" ref="I3" si="6">SUM(I4:I5)</f>
        <v>631.90739466895957</v>
      </c>
      <c r="J3" s="79">
        <f t="shared" ref="J3" si="7">SUM(J4:J5)</f>
        <v>673.27549441100598</v>
      </c>
      <c r="K3" s="79">
        <f t="shared" ref="K3" si="8">SUM(K4:K5)</f>
        <v>592.60773860705069</v>
      </c>
      <c r="L3" s="79">
        <f t="shared" ref="L3" si="9">SUM(L4:L5)</f>
        <v>618.46276870163365</v>
      </c>
      <c r="M3" s="79">
        <f t="shared" ref="M3" si="10">SUM(M4:M5)</f>
        <v>726.01986242476346</v>
      </c>
      <c r="N3" s="79">
        <f t="shared" ref="N3" si="11">SUM(N4:N5)</f>
        <v>689.8227858985382</v>
      </c>
      <c r="O3" s="79">
        <f t="shared" ref="O3" si="12">SUM(O4:O5)</f>
        <v>699.13061049011174</v>
      </c>
      <c r="P3" s="79">
        <f t="shared" ref="P3" si="13">SUM(P4:P5)</f>
        <v>689.8227858985382</v>
      </c>
      <c r="Q3" s="79">
        <f t="shared" ref="Q3" si="14">SUM(Q4:Q5)</f>
        <v>701.19896818572636</v>
      </c>
      <c r="R3" s="79">
        <f t="shared" ref="R3" si="15">SUM(R4:R5)</f>
        <v>704.30163370593277</v>
      </c>
      <c r="S3" s="79">
        <f t="shared" ref="S3" si="16">SUM(S4:S5)</f>
        <v>744.63551160791053</v>
      </c>
      <c r="T3" s="79">
        <f t="shared" ref="T3" si="17">SUM(T4:T5)</f>
        <v>849.09002579535684</v>
      </c>
      <c r="U3" s="79">
        <f t="shared" ref="U3" si="18">SUM(U4:U5)</f>
        <v>907.00541702493547</v>
      </c>
      <c r="V3" s="79">
        <f t="shared" ref="V3:W3" si="19">SUM(V4:V5)</f>
        <v>312.33877901977644</v>
      </c>
      <c r="W3" s="79">
        <f t="shared" si="19"/>
        <v>303.0309544282029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124.12347377472054</v>
      </c>
      <c r="C4" s="96">
        <f t="shared" si="20"/>
        <v>122.05503009458295</v>
      </c>
      <c r="D4" s="96">
        <f t="shared" ref="D4:V4" si="21">SUM(D7,D11)</f>
        <v>106.54204643164235</v>
      </c>
      <c r="E4" s="96">
        <f t="shared" si="21"/>
        <v>106.53241616509032</v>
      </c>
      <c r="F4" s="96">
        <f t="shared" si="21"/>
        <v>108.60085984522782</v>
      </c>
      <c r="G4" s="96">
        <f t="shared" si="21"/>
        <v>103.4202923473775</v>
      </c>
      <c r="H4" s="96">
        <f t="shared" si="21"/>
        <v>98.258813413585557</v>
      </c>
      <c r="I4" s="96">
        <f t="shared" si="21"/>
        <v>92.05356835769561</v>
      </c>
      <c r="J4" s="96">
        <f t="shared" si="21"/>
        <v>88.950988822012036</v>
      </c>
      <c r="K4" s="96">
        <f t="shared" si="21"/>
        <v>80.677386070507296</v>
      </c>
      <c r="L4" s="96">
        <f t="shared" si="21"/>
        <v>78.60894239036972</v>
      </c>
      <c r="M4" s="96">
        <f t="shared" si="21"/>
        <v>87.91676698194324</v>
      </c>
      <c r="N4" s="96">
        <f t="shared" si="21"/>
        <v>73.437919174548568</v>
      </c>
      <c r="O4" s="96">
        <f t="shared" si="21"/>
        <v>63.095958727429057</v>
      </c>
      <c r="P4" s="96">
        <f t="shared" si="21"/>
        <v>63.095958727429057</v>
      </c>
      <c r="Q4" s="96">
        <f t="shared" si="21"/>
        <v>61.02751504729148</v>
      </c>
      <c r="R4" s="96">
        <f t="shared" si="21"/>
        <v>62.061736887360269</v>
      </c>
      <c r="S4" s="96">
        <f t="shared" si="21"/>
        <v>64.130094582975048</v>
      </c>
      <c r="T4" s="96">
        <f t="shared" si="21"/>
        <v>70.335339638864994</v>
      </c>
      <c r="U4" s="96">
        <f t="shared" si="21"/>
        <v>67.23276010318142</v>
      </c>
      <c r="V4" s="96">
        <f t="shared" si="21"/>
        <v>28.967239896818569</v>
      </c>
      <c r="W4" s="96">
        <f t="shared" ref="W4" si="22">SUM(W7,W11)</f>
        <v>25.864660361134995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346.45795356835771</v>
      </c>
      <c r="C5" s="96">
        <f t="shared" si="23"/>
        <v>355.76577815993102</v>
      </c>
      <c r="D5" s="96">
        <f t="shared" ref="D5:V5" si="24">SUM(D8:D9,D12:D13)</f>
        <v>351.62889079965618</v>
      </c>
      <c r="E5" s="96">
        <f t="shared" si="24"/>
        <v>363.00515907136702</v>
      </c>
      <c r="F5" s="96">
        <f t="shared" si="24"/>
        <v>418.85210662080823</v>
      </c>
      <c r="G5" s="96">
        <f t="shared" si="24"/>
        <v>420.92055030094571</v>
      </c>
      <c r="H5" s="96">
        <f t="shared" si="24"/>
        <v>468.49380911435952</v>
      </c>
      <c r="I5" s="96">
        <f t="shared" si="24"/>
        <v>539.85382631126402</v>
      </c>
      <c r="J5" s="96">
        <f t="shared" si="24"/>
        <v>584.32450558899393</v>
      </c>
      <c r="K5" s="96">
        <f t="shared" si="24"/>
        <v>511.93035253654341</v>
      </c>
      <c r="L5" s="96">
        <f t="shared" si="24"/>
        <v>539.8538263112639</v>
      </c>
      <c r="M5" s="96">
        <f t="shared" si="24"/>
        <v>638.10309544282018</v>
      </c>
      <c r="N5" s="96">
        <f t="shared" si="24"/>
        <v>616.3848667239896</v>
      </c>
      <c r="O5" s="96">
        <f t="shared" si="24"/>
        <v>636.03465176268264</v>
      </c>
      <c r="P5" s="96">
        <f t="shared" si="24"/>
        <v>626.72682717110911</v>
      </c>
      <c r="Q5" s="96">
        <f t="shared" si="24"/>
        <v>640.17145313843491</v>
      </c>
      <c r="R5" s="96">
        <f t="shared" si="24"/>
        <v>642.23989681857245</v>
      </c>
      <c r="S5" s="96">
        <f t="shared" si="24"/>
        <v>680.50541702493547</v>
      </c>
      <c r="T5" s="96">
        <f t="shared" si="24"/>
        <v>778.75468615649186</v>
      </c>
      <c r="U5" s="96">
        <f t="shared" si="24"/>
        <v>839.77265692175411</v>
      </c>
      <c r="V5" s="96">
        <f t="shared" si="24"/>
        <v>283.37153912295787</v>
      </c>
      <c r="W5" s="96">
        <f t="shared" ref="W5" si="25">SUM(W8:W9,W12:W13)</f>
        <v>277.16629406706789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460.39676081637026</v>
      </c>
      <c r="C6" s="21">
        <f t="shared" si="26"/>
        <v>469.48673403996418</v>
      </c>
      <c r="D6" s="21">
        <f t="shared" ref="D6:V6" si="27">SUM(D7:D9)</f>
        <v>449.85146879957415</v>
      </c>
      <c r="E6" s="21">
        <f t="shared" si="27"/>
        <v>459.50167681414939</v>
      </c>
      <c r="F6" s="21">
        <f t="shared" si="27"/>
        <v>514.02457101698928</v>
      </c>
      <c r="G6" s="21">
        <f t="shared" si="27"/>
        <v>510.07198185303332</v>
      </c>
      <c r="H6" s="21">
        <f t="shared" si="27"/>
        <v>551.76421301738401</v>
      </c>
      <c r="I6" s="21">
        <f t="shared" si="27"/>
        <v>615.5524207078671</v>
      </c>
      <c r="J6" s="21">
        <f t="shared" si="27"/>
        <v>659.31375633411267</v>
      </c>
      <c r="K6" s="21">
        <f t="shared" si="27"/>
        <v>581.8941934802408</v>
      </c>
      <c r="L6" s="21">
        <f t="shared" si="27"/>
        <v>607.25576917735714</v>
      </c>
      <c r="M6" s="21">
        <f t="shared" si="27"/>
        <v>714.34882578062832</v>
      </c>
      <c r="N6" s="21">
        <f t="shared" si="27"/>
        <v>676.86736252794105</v>
      </c>
      <c r="O6" s="21">
        <f t="shared" si="27"/>
        <v>685.45914961393214</v>
      </c>
      <c r="P6" s="21">
        <f t="shared" si="27"/>
        <v>677.63568330820112</v>
      </c>
      <c r="Q6" s="21">
        <f t="shared" si="27"/>
        <v>688.33025514194526</v>
      </c>
      <c r="R6" s="21">
        <f t="shared" si="27"/>
        <v>692.05763488914727</v>
      </c>
      <c r="S6" s="21">
        <f t="shared" si="27"/>
        <v>731.42673673605532</v>
      </c>
      <c r="T6" s="21">
        <f t="shared" si="27"/>
        <v>836.29954150830088</v>
      </c>
      <c r="U6" s="21">
        <f t="shared" si="27"/>
        <v>888.98534210292587</v>
      </c>
      <c r="V6" s="21">
        <f t="shared" si="27"/>
        <v>302.03772452878923</v>
      </c>
      <c r="W6" s="21">
        <f t="shared" ref="W6" si="28">SUM(W7:W9)</f>
        <v>292.67813415415969</v>
      </c>
      <c r="DA6" s="189" t="s">
        <v>279</v>
      </c>
    </row>
    <row r="7" spans="1:105" ht="11.45" customHeight="1" x14ac:dyDescent="0.25">
      <c r="A7" s="83" t="s">
        <v>27</v>
      </c>
      <c r="B7" s="96">
        <v>122.56534882800047</v>
      </c>
      <c r="C7" s="96">
        <v>120.86186208810759</v>
      </c>
      <c r="D7" s="96">
        <v>105.48955151892343</v>
      </c>
      <c r="E7" s="96">
        <v>105.65890021703829</v>
      </c>
      <c r="F7" s="96">
        <v>107.72447054755888</v>
      </c>
      <c r="G7" s="96">
        <v>102.60279222264047</v>
      </c>
      <c r="H7" s="96">
        <v>97.484788166300888</v>
      </c>
      <c r="I7" s="96">
        <v>91.422744252676054</v>
      </c>
      <c r="J7" s="96">
        <v>88.445984440203986</v>
      </c>
      <c r="K7" s="96">
        <v>80.185821767915186</v>
      </c>
      <c r="L7" s="96">
        <v>78.231166129543084</v>
      </c>
      <c r="M7" s="96">
        <v>87.569619748309549</v>
      </c>
      <c r="N7" s="96">
        <v>73.059521641655195</v>
      </c>
      <c r="O7" s="96">
        <v>62.782086564021434</v>
      </c>
      <c r="P7" s="96">
        <v>62.847388052559559</v>
      </c>
      <c r="Q7" s="96">
        <v>60.788942397267995</v>
      </c>
      <c r="R7" s="96">
        <v>61.799117937684414</v>
      </c>
      <c r="S7" s="96">
        <v>63.92262127680722</v>
      </c>
      <c r="T7" s="96">
        <v>70.19351235312746</v>
      </c>
      <c r="U7" s="96">
        <v>67.083041115053064</v>
      </c>
      <c r="V7" s="96">
        <v>28.804383867055108</v>
      </c>
      <c r="W7" s="96">
        <v>25.748136393361111</v>
      </c>
      <c r="DA7" s="171" t="s">
        <v>280</v>
      </c>
    </row>
    <row r="8" spans="1:105" ht="11.45" customHeight="1" x14ac:dyDescent="0.25">
      <c r="A8" s="83" t="s">
        <v>173</v>
      </c>
      <c r="B8" s="96">
        <v>219.90767879912212</v>
      </c>
      <c r="C8" s="96">
        <v>229.36201768534079</v>
      </c>
      <c r="D8" s="96">
        <v>221.07703618292655</v>
      </c>
      <c r="E8" s="96">
        <v>231.01537768653833</v>
      </c>
      <c r="F8" s="96">
        <v>258.03714445019511</v>
      </c>
      <c r="G8" s="96">
        <v>258.19726909971143</v>
      </c>
      <c r="H8" s="96">
        <v>292.70176190962997</v>
      </c>
      <c r="I8" s="96">
        <v>341.53419912123758</v>
      </c>
      <c r="J8" s="96">
        <v>369.54365170095593</v>
      </c>
      <c r="K8" s="96">
        <v>318.8983298612751</v>
      </c>
      <c r="L8" s="96">
        <v>336.26128455137422</v>
      </c>
      <c r="M8" s="96">
        <v>398.37845896453979</v>
      </c>
      <c r="N8" s="96">
        <v>377.50286925740198</v>
      </c>
      <c r="O8" s="96">
        <v>389.12269481692027</v>
      </c>
      <c r="P8" s="96">
        <v>387.38226252014175</v>
      </c>
      <c r="Q8" s="96">
        <v>397.67167903789652</v>
      </c>
      <c r="R8" s="96">
        <v>408.62160566877282</v>
      </c>
      <c r="S8" s="96">
        <v>440.36352692939636</v>
      </c>
      <c r="T8" s="96">
        <v>504.17486308631055</v>
      </c>
      <c r="U8" s="96">
        <v>535.90228338199097</v>
      </c>
      <c r="V8" s="96">
        <v>160.56446440586052</v>
      </c>
      <c r="W8" s="96">
        <v>165.49030886964297</v>
      </c>
      <c r="DA8" s="171" t="s">
        <v>281</v>
      </c>
    </row>
    <row r="9" spans="1:105" ht="11.45" customHeight="1" x14ac:dyDescent="0.25">
      <c r="A9" s="83" t="s">
        <v>174</v>
      </c>
      <c r="B9" s="96">
        <v>117.92373318924766</v>
      </c>
      <c r="C9" s="96">
        <v>119.26285426651579</v>
      </c>
      <c r="D9" s="96">
        <v>123.28488109772415</v>
      </c>
      <c r="E9" s="96">
        <v>122.82739891057275</v>
      </c>
      <c r="F9" s="96">
        <v>148.26295601923528</v>
      </c>
      <c r="G9" s="96">
        <v>149.27192053068146</v>
      </c>
      <c r="H9" s="96">
        <v>161.57766294145318</v>
      </c>
      <c r="I9" s="96">
        <v>182.59547733395348</v>
      </c>
      <c r="J9" s="96">
        <v>201.32412019295271</v>
      </c>
      <c r="K9" s="96">
        <v>182.81004185105056</v>
      </c>
      <c r="L9" s="96">
        <v>192.76331849643984</v>
      </c>
      <c r="M9" s="96">
        <v>228.40074706777895</v>
      </c>
      <c r="N9" s="96">
        <v>226.30497162888392</v>
      </c>
      <c r="O9" s="96">
        <v>233.55436823299047</v>
      </c>
      <c r="P9" s="96">
        <v>227.40603273549985</v>
      </c>
      <c r="Q9" s="96">
        <v>229.86963370678072</v>
      </c>
      <c r="R9" s="96">
        <v>221.63691128269005</v>
      </c>
      <c r="S9" s="96">
        <v>227.14058852985181</v>
      </c>
      <c r="T9" s="96">
        <v>261.93116606886281</v>
      </c>
      <c r="U9" s="96">
        <v>286.00001760588174</v>
      </c>
      <c r="V9" s="96">
        <v>112.66887625587358</v>
      </c>
      <c r="W9" s="96">
        <v>101.43968889115563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10.184666526707971</v>
      </c>
      <c r="C10" s="22">
        <f t="shared" si="29"/>
        <v>8.3340742145497977</v>
      </c>
      <c r="D10" s="22">
        <f t="shared" ref="D10:V10" si="30">SUM(D11:D13)</f>
        <v>8.3194684317243688</v>
      </c>
      <c r="E10" s="22">
        <f t="shared" si="30"/>
        <v>10.035898422307993</v>
      </c>
      <c r="F10" s="22">
        <f t="shared" si="30"/>
        <v>13.428395449046747</v>
      </c>
      <c r="G10" s="22">
        <f t="shared" si="30"/>
        <v>14.268860795289875</v>
      </c>
      <c r="H10" s="22">
        <f t="shared" si="30"/>
        <v>14.988409510561031</v>
      </c>
      <c r="I10" s="22">
        <f t="shared" si="30"/>
        <v>16.354973961092526</v>
      </c>
      <c r="J10" s="22">
        <f t="shared" si="30"/>
        <v>13.961738076893393</v>
      </c>
      <c r="K10" s="22">
        <f t="shared" si="30"/>
        <v>10.713545126809903</v>
      </c>
      <c r="L10" s="22">
        <f t="shared" si="30"/>
        <v>11.206999524276512</v>
      </c>
      <c r="M10" s="22">
        <f t="shared" si="30"/>
        <v>11.671036644135244</v>
      </c>
      <c r="N10" s="22">
        <f t="shared" si="30"/>
        <v>12.955423370597028</v>
      </c>
      <c r="O10" s="22">
        <f t="shared" si="30"/>
        <v>13.671460876179509</v>
      </c>
      <c r="P10" s="22">
        <f t="shared" si="30"/>
        <v>12.187102590336956</v>
      </c>
      <c r="Q10" s="22">
        <f t="shared" si="30"/>
        <v>12.868713043781165</v>
      </c>
      <c r="R10" s="22">
        <f t="shared" si="30"/>
        <v>12.24399881678543</v>
      </c>
      <c r="S10" s="22">
        <f t="shared" si="30"/>
        <v>13.2087748718551</v>
      </c>
      <c r="T10" s="22">
        <f t="shared" si="30"/>
        <v>12.790484287056008</v>
      </c>
      <c r="U10" s="22">
        <f t="shared" si="30"/>
        <v>18.020074922009872</v>
      </c>
      <c r="V10" s="22">
        <f t="shared" si="30"/>
        <v>10.301054490987191</v>
      </c>
      <c r="W10" s="22">
        <f t="shared" ref="W10" si="31">SUM(W11:W13)</f>
        <v>10.352820274043193</v>
      </c>
      <c r="DA10" s="193" t="s">
        <v>283</v>
      </c>
    </row>
    <row r="11" spans="1:105" ht="11.45" customHeight="1" x14ac:dyDescent="0.25">
      <c r="A11" s="92" t="s">
        <v>27</v>
      </c>
      <c r="B11" s="97">
        <v>1.5581249467200677</v>
      </c>
      <c r="C11" s="97">
        <v>1.1931680064753614</v>
      </c>
      <c r="D11" s="97">
        <v>1.0524949127189105</v>
      </c>
      <c r="E11" s="97">
        <v>0.87351594805202537</v>
      </c>
      <c r="F11" s="97">
        <v>0.87638929766893348</v>
      </c>
      <c r="G11" s="97">
        <v>0.8175001247370226</v>
      </c>
      <c r="H11" s="97">
        <v>0.77402524728467037</v>
      </c>
      <c r="I11" s="97">
        <v>0.63082410501955921</v>
      </c>
      <c r="J11" s="97">
        <v>0.50500438180805274</v>
      </c>
      <c r="K11" s="97">
        <v>0.49156430259211514</v>
      </c>
      <c r="L11" s="97">
        <v>0.37777626082663807</v>
      </c>
      <c r="M11" s="97">
        <v>0.34714723363369765</v>
      </c>
      <c r="N11" s="97">
        <v>0.37839753289336825</v>
      </c>
      <c r="O11" s="97">
        <v>0.31387216340762181</v>
      </c>
      <c r="P11" s="97">
        <v>0.2485706748695001</v>
      </c>
      <c r="Q11" s="97">
        <v>0.23857265002348824</v>
      </c>
      <c r="R11" s="97">
        <v>0.26261894967585431</v>
      </c>
      <c r="S11" s="97">
        <v>0.20747330616782977</v>
      </c>
      <c r="T11" s="97">
        <v>0.14182728573753822</v>
      </c>
      <c r="U11" s="97">
        <v>0.14971898812835494</v>
      </c>
      <c r="V11" s="97">
        <v>0.16285602976345898</v>
      </c>
      <c r="W11" s="97">
        <v>0.1165239677738845</v>
      </c>
      <c r="DA11" s="175" t="s">
        <v>284</v>
      </c>
    </row>
    <row r="12" spans="1:105" ht="11.45" customHeight="1" x14ac:dyDescent="0.25">
      <c r="A12" s="92" t="s">
        <v>173</v>
      </c>
      <c r="B12" s="97">
        <v>4.563849640169896</v>
      </c>
      <c r="C12" s="97">
        <v>4.0637338951354263</v>
      </c>
      <c r="D12" s="97">
        <v>3.8217459705385841</v>
      </c>
      <c r="E12" s="97">
        <v>5.7196363755623718</v>
      </c>
      <c r="F12" s="97">
        <v>7.8779444928807711</v>
      </c>
      <c r="G12" s="97">
        <v>8.0028043235305688</v>
      </c>
      <c r="H12" s="97">
        <v>9.9169518116878397</v>
      </c>
      <c r="I12" s="97">
        <v>11.433909465410485</v>
      </c>
      <c r="J12" s="97">
        <v>9.7170585172855652</v>
      </c>
      <c r="K12" s="97">
        <v>8.0017037184725925</v>
      </c>
      <c r="L12" s="97">
        <v>8.374231520293284</v>
      </c>
      <c r="M12" s="97">
        <v>7.6727031715018086</v>
      </c>
      <c r="N12" s="97">
        <v>7.5431763680382211</v>
      </c>
      <c r="O12" s="97">
        <v>9.0103639297636118</v>
      </c>
      <c r="P12" s="97">
        <v>8.9421726601718827</v>
      </c>
      <c r="Q12" s="97">
        <v>10.160595329076649</v>
      </c>
      <c r="R12" s="97">
        <v>9.6085252742751628</v>
      </c>
      <c r="S12" s="97">
        <v>10.692450507079688</v>
      </c>
      <c r="T12" s="97">
        <v>10.276292023985683</v>
      </c>
      <c r="U12" s="97">
        <v>15.7220403788745</v>
      </c>
      <c r="V12" s="97">
        <v>7.3450491101301374</v>
      </c>
      <c r="W12" s="97">
        <v>7.0038588740679906</v>
      </c>
      <c r="DA12" s="175" t="s">
        <v>285</v>
      </c>
    </row>
    <row r="13" spans="1:105" ht="11.45" customHeight="1" x14ac:dyDescent="0.25">
      <c r="A13" s="85" t="s">
        <v>174</v>
      </c>
      <c r="B13" s="98">
        <v>4.0626919398180075</v>
      </c>
      <c r="C13" s="98">
        <v>3.0771723129390103</v>
      </c>
      <c r="D13" s="98">
        <v>3.4452275484668751</v>
      </c>
      <c r="E13" s="98">
        <v>3.4427460986935956</v>
      </c>
      <c r="F13" s="98">
        <v>4.6740616584970409</v>
      </c>
      <c r="G13" s="98">
        <v>5.448556347022282</v>
      </c>
      <c r="H13" s="98">
        <v>4.2974324515885209</v>
      </c>
      <c r="I13" s="98">
        <v>4.29024039066248</v>
      </c>
      <c r="J13" s="98">
        <v>3.7396751777997745</v>
      </c>
      <c r="K13" s="98">
        <v>2.2202771057451951</v>
      </c>
      <c r="L13" s="98">
        <v>2.4549917431565906</v>
      </c>
      <c r="M13" s="98">
        <v>3.6511862389997387</v>
      </c>
      <c r="N13" s="98">
        <v>5.0338494696654381</v>
      </c>
      <c r="O13" s="98">
        <v>4.3472247830082758</v>
      </c>
      <c r="P13" s="98">
        <v>2.9963592552955736</v>
      </c>
      <c r="Q13" s="98">
        <v>2.4695450646810273</v>
      </c>
      <c r="R13" s="98">
        <v>2.3728545928344125</v>
      </c>
      <c r="S13" s="98">
        <v>2.308851058607583</v>
      </c>
      <c r="T13" s="98">
        <v>2.3723649773327882</v>
      </c>
      <c r="U13" s="98">
        <v>2.1483155550070197</v>
      </c>
      <c r="V13" s="98">
        <v>2.7931493510935952</v>
      </c>
      <c r="W13" s="98">
        <v>3.2324374322013183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444.27675475806592</v>
      </c>
      <c r="C17" s="62">
        <f>IF(C3=0,0,C3/TrAvia_act!C13*100)</f>
        <v>447.53479585046244</v>
      </c>
      <c r="D17" s="62">
        <f>IF(D3=0,0,D3/TrAvia_act!D13*100)</f>
        <v>459.58903846176258</v>
      </c>
      <c r="E17" s="62">
        <f>IF(E3=0,0,E3/TrAvia_act!E13*100)</f>
        <v>440.84725265591533</v>
      </c>
      <c r="F17" s="62">
        <f>IF(F3=0,0,F3/TrAvia_act!F13*100)</f>
        <v>454.10853425350331</v>
      </c>
      <c r="G17" s="62">
        <f>IF(G3=0,0,G3/TrAvia_act!G13*100)</f>
        <v>443.82355366837879</v>
      </c>
      <c r="H17" s="62">
        <f>IF(H3=0,0,H3/TrAvia_act!H13*100)</f>
        <v>451.59357048850353</v>
      </c>
      <c r="I17" s="62">
        <f>IF(I3=0,0,I3/TrAvia_act!I13*100)</f>
        <v>457.84554611085645</v>
      </c>
      <c r="J17" s="62">
        <f>IF(J3=0,0,J3/TrAvia_act!J13*100)</f>
        <v>466.78846005432996</v>
      </c>
      <c r="K17" s="62">
        <f>IF(K3=0,0,K3/TrAvia_act!K13*100)</f>
        <v>435.66448087772523</v>
      </c>
      <c r="L17" s="62">
        <f>IF(L3=0,0,L3/TrAvia_act!L13*100)</f>
        <v>447.67301890433441</v>
      </c>
      <c r="M17" s="62">
        <f>IF(M3=0,0,M3/TrAvia_act!M13*100)</f>
        <v>458.02510697839995</v>
      </c>
      <c r="N17" s="62">
        <f>IF(N3=0,0,N3/TrAvia_act!N13*100)</f>
        <v>468.60772076380835</v>
      </c>
      <c r="O17" s="62">
        <f>IF(O3=0,0,O3/TrAvia_act!O13*100)</f>
        <v>474.87657319300973</v>
      </c>
      <c r="P17" s="62">
        <f>IF(P3=0,0,P3/TrAvia_act!P13*100)</f>
        <v>463.63452560760823</v>
      </c>
      <c r="Q17" s="62">
        <f>IF(Q3=0,0,Q3/TrAvia_act!Q13*100)</f>
        <v>473.51557525523378</v>
      </c>
      <c r="R17" s="62">
        <f>IF(R3=0,0,R3/TrAvia_act!R13*100)</f>
        <v>477.11997427048766</v>
      </c>
      <c r="S17" s="62">
        <f>IF(S3=0,0,S3/TrAvia_act!S13*100)</f>
        <v>471.00332972449024</v>
      </c>
      <c r="T17" s="62">
        <f>IF(T3=0,0,T3/TrAvia_act!T13*100)</f>
        <v>479.12237731857942</v>
      </c>
      <c r="U17" s="62">
        <f>IF(U3=0,0,U3/TrAvia_act!U13*100)</f>
        <v>491.36928709893436</v>
      </c>
      <c r="V17" s="62">
        <f>IF(V3=0,0,V3/TrAvia_act!V13*100)</f>
        <v>525.04845078799076</v>
      </c>
      <c r="W17" s="62">
        <f>IF(W3=0,0,W3/TrAvia_act!W13*100)</f>
        <v>524.0258894817747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445.25625827913416</v>
      </c>
      <c r="C18" s="14">
        <f>IF(C6=0,0,C6/TrAvia_act!C14*100)</f>
        <v>448.45729148489352</v>
      </c>
      <c r="D18" s="14">
        <f>IF(D6=0,0,D6/TrAvia_act!D14*100)</f>
        <v>460.4216840702166</v>
      </c>
      <c r="E18" s="14">
        <f>IF(E6=0,0,E6/TrAvia_act!E14*100)</f>
        <v>442.24472826249144</v>
      </c>
      <c r="F18" s="14">
        <f>IF(F6=0,0,F6/TrAvia_act!F14*100)</f>
        <v>456.02291982192139</v>
      </c>
      <c r="G18" s="14">
        <f>IF(G6=0,0,G6/TrAvia_act!G14*100)</f>
        <v>445.89125478831374</v>
      </c>
      <c r="H18" s="14">
        <f>IF(H6=0,0,H6/TrAvia_act!H14*100)</f>
        <v>454.04140636141079</v>
      </c>
      <c r="I18" s="14">
        <f>IF(I6=0,0,I6/TrAvia_act!I14*100)</f>
        <v>460.65833519177312</v>
      </c>
      <c r="J18" s="14">
        <f>IF(J6=0,0,J6/TrAvia_act!J14*100)</f>
        <v>468.78785900566095</v>
      </c>
      <c r="K18" s="14">
        <f>IF(K6=0,0,K6/TrAvia_act!K14*100)</f>
        <v>436.60360438176735</v>
      </c>
      <c r="L18" s="14">
        <f>IF(L6=0,0,L6/TrAvia_act!L14*100)</f>
        <v>448.16326169135044</v>
      </c>
      <c r="M18" s="14">
        <f>IF(M6=0,0,M6/TrAvia_act!M14*100)</f>
        <v>458.90178449831075</v>
      </c>
      <c r="N18" s="14">
        <f>IF(N6=0,0,N6/TrAvia_act!N14*100)</f>
        <v>469.92618001172417</v>
      </c>
      <c r="O18" s="14">
        <f>IF(O6=0,0,O6/TrAvia_act!O14*100)</f>
        <v>476.30970383476131</v>
      </c>
      <c r="P18" s="14">
        <f>IF(P6=0,0,P6/TrAvia_act!P14*100)</f>
        <v>464.39523880558687</v>
      </c>
      <c r="Q18" s="14">
        <f>IF(Q6=0,0,Q6/TrAvia_act!Q14*100)</f>
        <v>473.88567170711866</v>
      </c>
      <c r="R18" s="14">
        <f>IF(R6=0,0,R6/TrAvia_act!R14*100)</f>
        <v>477.87312615392369</v>
      </c>
      <c r="S18" s="14">
        <f>IF(S6=0,0,S6/TrAvia_act!S14*100)</f>
        <v>471.49946114037039</v>
      </c>
      <c r="T18" s="14">
        <f>IF(T6=0,0,T6/TrAvia_act!T14*100)</f>
        <v>479.30491390126423</v>
      </c>
      <c r="U18" s="14">
        <f>IF(U6=0,0,U6/TrAvia_act!U14*100)</f>
        <v>490.46650279146047</v>
      </c>
      <c r="V18" s="14">
        <f>IF(V6=0,0,V6/TrAvia_act!V14*100)</f>
        <v>529.37820690077103</v>
      </c>
      <c r="W18" s="14">
        <f>IF(W6=0,0,W6/TrAvia_act!W14*100)</f>
        <v>528.27353740384638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435.44542644397353</v>
      </c>
      <c r="C19" s="87">
        <f>IF(C7=0,0,C7/TrAvia_act!C15*100)</f>
        <v>440.6162953464227</v>
      </c>
      <c r="D19" s="87">
        <f>IF(D7=0,0,D7/TrAvia_act!D15*100)</f>
        <v>410.76445097121643</v>
      </c>
      <c r="E19" s="87">
        <f>IF(E7=0,0,E7/TrAvia_act!E15*100)</f>
        <v>406.72414537963573</v>
      </c>
      <c r="F19" s="87">
        <f>IF(F7=0,0,F7/TrAvia_act!F15*100)</f>
        <v>408.06202669699456</v>
      </c>
      <c r="G19" s="87">
        <f>IF(G7=0,0,G7/TrAvia_act!G15*100)</f>
        <v>380.8847755957155</v>
      </c>
      <c r="H19" s="87">
        <f>IF(H7=0,0,H7/TrAvia_act!H15*100)</f>
        <v>372.35109244561363</v>
      </c>
      <c r="I19" s="87">
        <f>IF(I7=0,0,I7/TrAvia_act!I15*100)</f>
        <v>358.23519022401143</v>
      </c>
      <c r="J19" s="87">
        <f>IF(J7=0,0,J7/TrAvia_act!J15*100)</f>
        <v>357.20486219857258</v>
      </c>
      <c r="K19" s="87">
        <f>IF(K7=0,0,K7/TrAvia_act!K15*100)</f>
        <v>320.56586172879679</v>
      </c>
      <c r="L19" s="87">
        <f>IF(L7=0,0,L7/TrAvia_act!L15*100)</f>
        <v>327.76027186806135</v>
      </c>
      <c r="M19" s="87">
        <f>IF(M7=0,0,M7/TrAvia_act!M15*100)</f>
        <v>338.09594857571165</v>
      </c>
      <c r="N19" s="87">
        <f>IF(N7=0,0,N7/TrAvia_act!N15*100)</f>
        <v>332.2799651270517</v>
      </c>
      <c r="O19" s="87">
        <f>IF(O7=0,0,O7/TrAvia_act!O15*100)</f>
        <v>328.04003125111757</v>
      </c>
      <c r="P19" s="87">
        <f>IF(P7=0,0,P7/TrAvia_act!P15*100)</f>
        <v>335.22863239079555</v>
      </c>
      <c r="Q19" s="87">
        <f>IF(Q7=0,0,Q7/TrAvia_act!Q15*100)</f>
        <v>337.57482926408494</v>
      </c>
      <c r="R19" s="87">
        <f>IF(R7=0,0,R7/TrAvia_act!R15*100)</f>
        <v>353.3067918349708</v>
      </c>
      <c r="S19" s="87">
        <f>IF(S7=0,0,S7/TrAvia_act!S15*100)</f>
        <v>351.21786585114864</v>
      </c>
      <c r="T19" s="87">
        <f>IF(T7=0,0,T7/TrAvia_act!T15*100)</f>
        <v>357.02254008729182</v>
      </c>
      <c r="U19" s="87">
        <f>IF(U7=0,0,U7/TrAvia_act!U15*100)</f>
        <v>341.43403819588468</v>
      </c>
      <c r="V19" s="87">
        <f>IF(V7=0,0,V7/TrAvia_act!V15*100)</f>
        <v>333.79177612918312</v>
      </c>
      <c r="W19" s="87">
        <f>IF(W7=0,0,W7/TrAvia_act!W15*100)</f>
        <v>296.03517586973123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374.4053829559665</v>
      </c>
      <c r="C20" s="87">
        <f>IF(C8=0,0,C8/TrAvia_act!C16*100)</f>
        <v>377.84514071027269</v>
      </c>
      <c r="D20" s="87">
        <f>IF(D8=0,0,D8/TrAvia_act!D16*100)</f>
        <v>396.75707980191106</v>
      </c>
      <c r="E20" s="87">
        <f>IF(E8=0,0,E8/TrAvia_act!E16*100)</f>
        <v>379.18061654670601</v>
      </c>
      <c r="F20" s="87">
        <f>IF(F8=0,0,F8/TrAvia_act!F16*100)</f>
        <v>389.04353181283255</v>
      </c>
      <c r="G20" s="87">
        <f>IF(G8=0,0,G8/TrAvia_act!G16*100)</f>
        <v>390.61549140645451</v>
      </c>
      <c r="H20" s="87">
        <f>IF(H8=0,0,H8/TrAvia_act!H16*100)</f>
        <v>421.92788510642367</v>
      </c>
      <c r="I20" s="87">
        <f>IF(I8=0,0,I8/TrAvia_act!I16*100)</f>
        <v>454.69546027673726</v>
      </c>
      <c r="J20" s="87">
        <f>IF(J8=0,0,J8/TrAvia_act!J16*100)</f>
        <v>480.53610556955766</v>
      </c>
      <c r="K20" s="87">
        <f>IF(K8=0,0,K8/TrAvia_act!K16*100)</f>
        <v>446.90544487750321</v>
      </c>
      <c r="L20" s="87">
        <f>IF(L8=0,0,L8/TrAvia_act!L16*100)</f>
        <v>465.13027043710673</v>
      </c>
      <c r="M20" s="87">
        <f>IF(M8=0,0,M8/TrAvia_act!M16*100)</f>
        <v>486.90819041211302</v>
      </c>
      <c r="N20" s="87">
        <f>IF(N8=0,0,N8/TrAvia_act!N16*100)</f>
        <v>508.57453781522668</v>
      </c>
      <c r="O20" s="87">
        <f>IF(O8=0,0,O8/TrAvia_act!O16*100)</f>
        <v>516.27696422818826</v>
      </c>
      <c r="P20" s="87">
        <f>IF(P8=0,0,P8/TrAvia_act!P16*100)</f>
        <v>511.77019808346421</v>
      </c>
      <c r="Q20" s="87">
        <f>IF(Q8=0,0,Q8/TrAvia_act!Q16*100)</f>
        <v>534.71698590839571</v>
      </c>
      <c r="R20" s="87">
        <f>IF(R8=0,0,R8/TrAvia_act!R16*100)</f>
        <v>541.75349163220221</v>
      </c>
      <c r="S20" s="87">
        <f>IF(S8=0,0,S8/TrAvia_act!S16*100)</f>
        <v>537.64708495152354</v>
      </c>
      <c r="T20" s="87">
        <f>IF(T8=0,0,T8/TrAvia_act!T16*100)</f>
        <v>552.45278488470001</v>
      </c>
      <c r="U20" s="87">
        <f>IF(U8=0,0,U8/TrAvia_act!U16*100)</f>
        <v>590.21440562216071</v>
      </c>
      <c r="V20" s="87">
        <f>IF(V8=0,0,V8/TrAvia_act!V16*100)</f>
        <v>602.19692020540435</v>
      </c>
      <c r="W20" s="87">
        <f>IF(W8=0,0,W8/TrAvia_act!W16*100)</f>
        <v>636.11093431040638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713.90613167940592</v>
      </c>
      <c r="C21" s="87">
        <f>IF(C9=0,0,C9/TrAvia_act!C17*100)</f>
        <v>720.34074109339292</v>
      </c>
      <c r="D21" s="87">
        <f>IF(D9=0,0,D9/TrAvia_act!D17*100)</f>
        <v>756.25849686413039</v>
      </c>
      <c r="E21" s="87">
        <f>IF(E9=0,0,E9/TrAvia_act!E17*100)</f>
        <v>722.54767355439878</v>
      </c>
      <c r="F21" s="87">
        <f>IF(F9=0,0,F9/TrAvia_act!F17*100)</f>
        <v>741.53931503410956</v>
      </c>
      <c r="G21" s="87">
        <f>IF(G9=0,0,G9/TrAvia_act!G17*100)</f>
        <v>698.97982462181199</v>
      </c>
      <c r="H21" s="87">
        <f>IF(H9=0,0,H9/TrAvia_act!H17*100)</f>
        <v>622.1813754166734</v>
      </c>
      <c r="I21" s="87">
        <f>IF(I9=0,0,I9/TrAvia_act!I17*100)</f>
        <v>553.46292843276319</v>
      </c>
      <c r="J21" s="87">
        <f>IF(J9=0,0,J9/TrAvia_act!J17*100)</f>
        <v>516.48988462608474</v>
      </c>
      <c r="K21" s="87">
        <f>IF(K9=0,0,K9/TrAvia_act!K17*100)</f>
        <v>495.33129841482344</v>
      </c>
      <c r="L21" s="87">
        <f>IF(L9=0,0,L9/TrAvia_act!L17*100)</f>
        <v>490.03837378335442</v>
      </c>
      <c r="M21" s="87">
        <f>IF(M9=0,0,M9/TrAvia_act!M17*100)</f>
        <v>476.37021605526382</v>
      </c>
      <c r="N21" s="87">
        <f>IF(N9=0,0,N9/TrAvia_act!N17*100)</f>
        <v>473.22377736207073</v>
      </c>
      <c r="O21" s="87">
        <f>IF(O9=0,0,O9/TrAvia_act!O17*100)</f>
        <v>472.77326256021934</v>
      </c>
      <c r="P21" s="87">
        <f>IF(P9=0,0,P9/TrAvia_act!P17*100)</f>
        <v>441.77366806143124</v>
      </c>
      <c r="Q21" s="87">
        <f>IF(Q9=0,0,Q9/TrAvia_act!Q17*100)</f>
        <v>434.74700644019151</v>
      </c>
      <c r="R21" s="87">
        <f>IF(R9=0,0,R9/TrAvia_act!R17*100)</f>
        <v>427.02142070213284</v>
      </c>
      <c r="S21" s="87">
        <f>IF(S9=0,0,S9/TrAvia_act!S17*100)</f>
        <v>412.81897546725821</v>
      </c>
      <c r="T21" s="87">
        <f>IF(T9=0,0,T9/TrAvia_act!T17*100)</f>
        <v>412.10217741022603</v>
      </c>
      <c r="U21" s="87">
        <f>IF(U9=0,0,U9/TrAvia_act!U17*100)</f>
        <v>403.91100687429366</v>
      </c>
      <c r="V21" s="87">
        <f>IF(V9=0,0,V9/TrAvia_act!V17*100)</f>
        <v>517.71733783994978</v>
      </c>
      <c r="W21" s="87">
        <f>IF(W9=0,0,W9/TrAvia_act!W17*100)</f>
        <v>490.30378789610677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404.09197093820717</v>
      </c>
      <c r="C22" s="15">
        <f>IF(C10=0,0,C10/TrAvia_act!C18*100)</f>
        <v>401.05989926303079</v>
      </c>
      <c r="D22" s="15">
        <f>IF(D10=0,0,D10/TrAvia_act!D18*100)</f>
        <v>418.65073426629129</v>
      </c>
      <c r="E22" s="15">
        <f>IF(E10=0,0,E10/TrAvia_act!E18*100)</f>
        <v>385.1266296226309</v>
      </c>
      <c r="F22" s="15">
        <f>IF(F10=0,0,F10/TrAvia_act!F18*100)</f>
        <v>391.23845185023885</v>
      </c>
      <c r="G22" s="15">
        <f>IF(G10=0,0,G10/TrAvia_act!G18*100)</f>
        <v>380.71341233394833</v>
      </c>
      <c r="H22" s="15">
        <f>IF(H10=0,0,H10/TrAvia_act!H18*100)</f>
        <v>376.80985099495297</v>
      </c>
      <c r="I22" s="15">
        <f>IF(I10=0,0,I10/TrAvia_act!I18*100)</f>
        <v>372.28893901737337</v>
      </c>
      <c r="J22" s="15">
        <f>IF(J10=0,0,J10/TrAvia_act!J18*100)</f>
        <v>388.5346471045101</v>
      </c>
      <c r="K22" s="15">
        <f>IF(K10=0,0,K10/TrAvia_act!K18*100)</f>
        <v>390.09100533817616</v>
      </c>
      <c r="L22" s="15">
        <f>IF(L10=0,0,L10/TrAvia_act!L18*100)</f>
        <v>422.62287329487799</v>
      </c>
      <c r="M22" s="15">
        <f>IF(M10=0,0,M10/TrAvia_act!M18*100)</f>
        <v>410.07551999760227</v>
      </c>
      <c r="N22" s="15">
        <f>IF(N10=0,0,N10/TrAvia_act!N18*100)</f>
        <v>408.69869166865794</v>
      </c>
      <c r="O22" s="15">
        <f>IF(O10=0,0,O10/TrAvia_act!O18*100)</f>
        <v>412.62895902592982</v>
      </c>
      <c r="P22" s="15">
        <f>IF(P10=0,0,P10/TrAvia_act!P18*100)</f>
        <v>424.93125481213508</v>
      </c>
      <c r="Q22" s="15">
        <f>IF(Q10=0,0,Q10/TrAvia_act!Q18*100)</f>
        <v>454.52824256907638</v>
      </c>
      <c r="R22" s="15">
        <f>IF(R10=0,0,R10/TrAvia_act!R18*100)</f>
        <v>438.09379413183427</v>
      </c>
      <c r="S22" s="15">
        <f>IF(S10=0,0,S10/TrAvia_act!S18*100)</f>
        <v>445.07034641978953</v>
      </c>
      <c r="T22" s="15">
        <f>IF(T10=0,0,T10/TrAvia_act!T18*100)</f>
        <v>467.48171913213366</v>
      </c>
      <c r="U22" s="15">
        <f>IF(U10=0,0,U10/TrAvia_act!U18*100)</f>
        <v>540.44469470098784</v>
      </c>
      <c r="V22" s="15">
        <f>IF(V10=0,0,V10/TrAvia_act!V18*100)</f>
        <v>423.4892506362122</v>
      </c>
      <c r="W22" s="15">
        <f>IF(W10=0,0,W10/TrAvia_act!W18*100)</f>
        <v>426.97059616008744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626.08117645297762</v>
      </c>
      <c r="C23" s="101">
        <f>IF(C11=0,0,C11/TrAvia_act!C19*100)</f>
        <v>633.51582495110802</v>
      </c>
      <c r="D23" s="101">
        <f>IF(D11=0,0,D11/TrAvia_act!D19*100)</f>
        <v>590.59499788364315</v>
      </c>
      <c r="E23" s="101">
        <f>IF(E11=0,0,E11/TrAvia_act!E19*100)</f>
        <v>584.78586745215864</v>
      </c>
      <c r="F23" s="101">
        <f>IF(F11=0,0,F11/TrAvia_act!F19*100)</f>
        <v>586.70946627363878</v>
      </c>
      <c r="G23" s="101">
        <f>IF(G11=0,0,G11/TrAvia_act!G19*100)</f>
        <v>539.94926587692578</v>
      </c>
      <c r="H23" s="101">
        <f>IF(H11=0,0,H11/TrAvia_act!H19*100)</f>
        <v>595.90663205696512</v>
      </c>
      <c r="I23" s="101">
        <f>IF(I11=0,0,I11/TrAvia_act!I19*100)</f>
        <v>597.32200268799488</v>
      </c>
      <c r="J23" s="101">
        <f>IF(J11=0,0,J11/TrAvia_act!J19*100)</f>
        <v>674.31013164750368</v>
      </c>
      <c r="K23" s="101">
        <f>IF(K11=0,0,K11/TrAvia_act!K19*100)</f>
        <v>655.42361121200554</v>
      </c>
      <c r="L23" s="101">
        <f>IF(L11=0,0,L11/TrAvia_act!L19*100)</f>
        <v>737.57055160514267</v>
      </c>
      <c r="M23" s="101">
        <f>IF(M11=0,0,M11/TrAvia_act!M19*100)</f>
        <v>574.65890675610797</v>
      </c>
      <c r="N23" s="101">
        <f>IF(N11=0,0,N11/TrAvia_act!N19*100)</f>
        <v>458.21510028513978</v>
      </c>
      <c r="O23" s="101">
        <f>IF(O11=0,0,O11/TrAvia_act!O19*100)</f>
        <v>464.61585693664142</v>
      </c>
      <c r="P23" s="101">
        <f>IF(P11=0,0,P11/TrAvia_act!P19*100)</f>
        <v>473.03231934595652</v>
      </c>
      <c r="Q23" s="101">
        <f>IF(Q11=0,0,Q11/TrAvia_act!Q19*100)</f>
        <v>482.99501281337643</v>
      </c>
      <c r="R23" s="101">
        <f>IF(R11=0,0,R11/TrAvia_act!R19*100)</f>
        <v>509.2726332035096</v>
      </c>
      <c r="S23" s="101">
        <f>IF(S11=0,0,S11/TrAvia_act!S19*100)</f>
        <v>507.48175875146472</v>
      </c>
      <c r="T23" s="101">
        <f>IF(T11=0,0,T11/TrAvia_act!T19*100)</f>
        <v>508.62069184793353</v>
      </c>
      <c r="U23" s="101">
        <f>IF(U11=0,0,U11/TrAvia_act!U19*100)</f>
        <v>524.15757066000936</v>
      </c>
      <c r="V23" s="101">
        <f>IF(V11=0,0,V11/TrAvia_act!V19*100)</f>
        <v>487.22545820816327</v>
      </c>
      <c r="W23" s="101">
        <f>IF(W11=0,0,W11/TrAvia_act!W19*100)</f>
        <v>427.10176670494582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342.60748864511726</v>
      </c>
      <c r="C24" s="101">
        <f>IF(C12=0,0,C12/TrAvia_act!C20*100)</f>
        <v>343.07893696246879</v>
      </c>
      <c r="D24" s="101">
        <f>IF(D12=0,0,D12/TrAvia_act!D20*100)</f>
        <v>361.57542995353867</v>
      </c>
      <c r="E24" s="101">
        <f>IF(E12=0,0,E12/TrAvia_act!E20*100)</f>
        <v>342.50411486897588</v>
      </c>
      <c r="F24" s="101">
        <f>IF(F12=0,0,F12/TrAvia_act!F20*100)</f>
        <v>351.31881850669117</v>
      </c>
      <c r="G24" s="101">
        <f>IF(G12=0,0,G12/TrAvia_act!G20*100)</f>
        <v>352.3781100648381</v>
      </c>
      <c r="H24" s="101">
        <f>IF(H12=0,0,H12/TrAvia_act!H20*100)</f>
        <v>381.45917035556221</v>
      </c>
      <c r="I24" s="101">
        <f>IF(I12=0,0,I12/TrAvia_act!I20*100)</f>
        <v>408.97026849507751</v>
      </c>
      <c r="J24" s="101">
        <f>IF(J12=0,0,J12/TrAvia_act!J20*100)</f>
        <v>438.05940055566219</v>
      </c>
      <c r="K24" s="101">
        <f>IF(K12=0,0,K12/TrAvia_act!K20*100)</f>
        <v>408.64320835882779</v>
      </c>
      <c r="L24" s="101">
        <f>IF(L12=0,0,L12/TrAvia_act!L20*100)</f>
        <v>436.79875206029777</v>
      </c>
      <c r="M24" s="101">
        <f>IF(M12=0,0,M12/TrAvia_act!M20*100)</f>
        <v>457.77926793522818</v>
      </c>
      <c r="N24" s="101">
        <f>IF(N12=0,0,N12/TrAvia_act!N20*100)</f>
        <v>483.36516364941662</v>
      </c>
      <c r="O24" s="101">
        <f>IF(O12=0,0,O12/TrAvia_act!O20*100)</f>
        <v>479.17137095259312</v>
      </c>
      <c r="P24" s="101">
        <f>IF(P12=0,0,P12/TrAvia_act!P20*100)</f>
        <v>470.22521431869137</v>
      </c>
      <c r="Q24" s="101">
        <f>IF(Q12=0,0,Q12/TrAvia_act!Q20*100)</f>
        <v>491.95136062539763</v>
      </c>
      <c r="R24" s="101">
        <f>IF(R12=0,0,R12/TrAvia_act!R20*100)</f>
        <v>508.25946979509291</v>
      </c>
      <c r="S24" s="101">
        <f>IF(S12=0,0,S12/TrAvia_act!S20*100)</f>
        <v>528.53018445099019</v>
      </c>
      <c r="T24" s="101">
        <f>IF(T12=0,0,T12/TrAvia_act!T20*100)</f>
        <v>567.25599046342063</v>
      </c>
      <c r="U24" s="101">
        <f>IF(U12=0,0,U12/TrAvia_act!U20*100)</f>
        <v>658.36912185711981</v>
      </c>
      <c r="V24" s="101">
        <f>IF(V12=0,0,V12/TrAvia_act!V20*100)</f>
        <v>544.36225280062479</v>
      </c>
      <c r="W24" s="101">
        <f>IF(W12=0,0,W12/TrAvia_act!W20*100)</f>
        <v>602.41132884470926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432.46763748241921</v>
      </c>
      <c r="C25" s="88">
        <f>IF(C13=0,0,C13/TrAvia_act!C21*100)</f>
        <v>436.36557337049294</v>
      </c>
      <c r="D25" s="88">
        <f>IF(D13=0,0,D13/TrAvia_act!D21*100)</f>
        <v>458.12370975923722</v>
      </c>
      <c r="E25" s="88">
        <f>IF(E13=0,0,E13/TrAvia_act!E21*100)</f>
        <v>437.70248143885374</v>
      </c>
      <c r="F25" s="88">
        <f>IF(F13=0,0,F13/TrAvia_act!F21*100)</f>
        <v>449.20717366403824</v>
      </c>
      <c r="G25" s="88">
        <f>IF(G13=0,0,G13/TrAvia_act!G21*100)</f>
        <v>411.07545965062104</v>
      </c>
      <c r="H25" s="88">
        <f>IF(H13=0,0,H13/TrAvia_act!H21*100)</f>
        <v>344.32348204137975</v>
      </c>
      <c r="I25" s="88">
        <f>IF(I13=0,0,I13/TrAvia_act!I21*100)</f>
        <v>287.6079647634557</v>
      </c>
      <c r="J25" s="88">
        <f>IF(J13=0,0,J13/TrAvia_act!J21*100)</f>
        <v>287.59280882577309</v>
      </c>
      <c r="K25" s="88">
        <f>IF(K13=0,0,K13/TrAvia_act!K21*100)</f>
        <v>311.26504516872353</v>
      </c>
      <c r="L25" s="88">
        <f>IF(L13=0,0,L13/TrAvia_act!L21*100)</f>
        <v>359.24725954639689</v>
      </c>
      <c r="M25" s="88">
        <f>IF(M13=0,0,M13/TrAvia_act!M21*100)</f>
        <v>329.05714460851601</v>
      </c>
      <c r="N25" s="88">
        <f>IF(N13=0,0,N13/TrAvia_act!N21*100)</f>
        <v>329.70251760191172</v>
      </c>
      <c r="O25" s="88">
        <f>IF(O13=0,0,O13/TrAvia_act!O21*100)</f>
        <v>318.4086757970922</v>
      </c>
      <c r="P25" s="88">
        <f>IF(P13=0,0,P13/TrAvia_act!P21*100)</f>
        <v>327.90442480301147</v>
      </c>
      <c r="Q25" s="88">
        <f>IF(Q13=0,0,Q13/TrAvia_act!Q21*100)</f>
        <v>344.68524911644613</v>
      </c>
      <c r="R25" s="88">
        <f>IF(R13=0,0,R13/TrAvia_act!R21*100)</f>
        <v>278.24567662315832</v>
      </c>
      <c r="S25" s="88">
        <f>IF(S13=0,0,S13/TrAvia_act!S21*100)</f>
        <v>255.44398824967257</v>
      </c>
      <c r="T25" s="88">
        <f>IF(T13=0,0,T13/TrAvia_act!T21*100)</f>
        <v>264.6029275879136</v>
      </c>
      <c r="U25" s="88">
        <f>IF(U13=0,0,U13/TrAvia_act!U21*100)</f>
        <v>234.09445500125466</v>
      </c>
      <c r="V25" s="88">
        <f>IF(V13=0,0,V13/TrAvia_act!V21*100)</f>
        <v>266.0890991457062</v>
      </c>
      <c r="W25" s="88">
        <f>IF(W13=0,0,W13/TrAvia_act!W21*100)</f>
        <v>261.77922494993487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44.469881395486077</v>
      </c>
      <c r="C28" s="14">
        <f>IF(C6=0,0,C6/TrAvia_act!C4*1000)</f>
        <v>45.109020348968194</v>
      </c>
      <c r="D28" s="14">
        <f>IF(D6=0,0,D6/TrAvia_act!D4*1000)</f>
        <v>43.959342772832301</v>
      </c>
      <c r="E28" s="14">
        <f>IF(E6=0,0,E6/TrAvia_act!E4*1000)</f>
        <v>45.44694360420155</v>
      </c>
      <c r="F28" s="14">
        <f>IF(F6=0,0,F6/TrAvia_act!F4*1000)</f>
        <v>44.810570148484601</v>
      </c>
      <c r="G28" s="14">
        <f>IF(G6=0,0,G6/TrAvia_act!G4*1000)</f>
        <v>41.050035836782776</v>
      </c>
      <c r="H28" s="14">
        <f>IF(H6=0,0,H6/TrAvia_act!H4*1000)</f>
        <v>40.324397281742939</v>
      </c>
      <c r="I28" s="14">
        <f>IF(I6=0,0,I6/TrAvia_act!I4*1000)</f>
        <v>38.817704227627416</v>
      </c>
      <c r="J28" s="14">
        <f>IF(J6=0,0,J6/TrAvia_act!J4*1000)</f>
        <v>40.02163034614032</v>
      </c>
      <c r="K28" s="14">
        <f>IF(K6=0,0,K6/TrAvia_act!K4*1000)</f>
        <v>37.120433232699838</v>
      </c>
      <c r="L28" s="14">
        <f>IF(L6=0,0,L6/TrAvia_act!L4*1000)</f>
        <v>36.764388004690375</v>
      </c>
      <c r="M28" s="14">
        <f>IF(M6=0,0,M6/TrAvia_act!M4*1000)</f>
        <v>37.706776008452067</v>
      </c>
      <c r="N28" s="14">
        <f>IF(N6=0,0,N6/TrAvia_act!N4*1000)</f>
        <v>34.206735887791282</v>
      </c>
      <c r="O28" s="14">
        <f>IF(O6=0,0,O6/TrAvia_act!O4*1000)</f>
        <v>34.062849511480792</v>
      </c>
      <c r="P28" s="14">
        <f>IF(P6=0,0,P6/TrAvia_act!P4*1000)</f>
        <v>32.4797792483092</v>
      </c>
      <c r="Q28" s="14">
        <f>IF(Q6=0,0,Q6/TrAvia_act!Q4*1000)</f>
        <v>33.200640501201718</v>
      </c>
      <c r="R28" s="14">
        <f>IF(R6=0,0,R6/TrAvia_act!R4*1000)</f>
        <v>31.907767236413019</v>
      </c>
      <c r="S28" s="14">
        <f>IF(S6=0,0,S6/TrAvia_act!S4*1000)</f>
        <v>29.381991542340135</v>
      </c>
      <c r="T28" s="14">
        <f>IF(T6=0,0,T6/TrAvia_act!T4*1000)</f>
        <v>30.213163974641763</v>
      </c>
      <c r="U28" s="14">
        <f>IF(U6=0,0,U6/TrAvia_act!U4*1000)</f>
        <v>29.924807272369993</v>
      </c>
      <c r="V28" s="14">
        <f>IF(V6=0,0,V6/TrAvia_act!V4*1000)</f>
        <v>42.955332229118895</v>
      </c>
      <c r="W28" s="14">
        <f>IF(W6=0,0,W6/TrAvia_act!W4*1000)</f>
        <v>61.040181324165459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77.488461876865614</v>
      </c>
      <c r="C29" s="87">
        <f>IF(C7=0,0,C7/TrAvia_act!C5*1000)</f>
        <v>77.720012326408636</v>
      </c>
      <c r="D29" s="87">
        <f>IF(D7=0,0,D7/TrAvia_act!D5*1000)</f>
        <v>67.599768153477797</v>
      </c>
      <c r="E29" s="87">
        <f>IF(E7=0,0,E7/TrAvia_act!E5*1000)</f>
        <v>78.30289983338902</v>
      </c>
      <c r="F29" s="87">
        <f>IF(F7=0,0,F7/TrAvia_act!F5*1000)</f>
        <v>75.456484478103292</v>
      </c>
      <c r="G29" s="87">
        <f>IF(G7=0,0,G7/TrAvia_act!G5*1000)</f>
        <v>72.432097670723735</v>
      </c>
      <c r="H29" s="87">
        <f>IF(H7=0,0,H7/TrAvia_act!H5*1000)</f>
        <v>70.474312848883713</v>
      </c>
      <c r="I29" s="87">
        <f>IF(I7=0,0,I7/TrAvia_act!I5*1000)</f>
        <v>62.835721335254242</v>
      </c>
      <c r="J29" s="87">
        <f>IF(J7=0,0,J7/TrAvia_act!J5*1000)</f>
        <v>65.580343089479825</v>
      </c>
      <c r="K29" s="87">
        <f>IF(K7=0,0,K7/TrAvia_act!K5*1000)</f>
        <v>65.29807040810914</v>
      </c>
      <c r="L29" s="87">
        <f>IF(L7=0,0,L7/TrAvia_act!L5*1000)</f>
        <v>65.574517381777511</v>
      </c>
      <c r="M29" s="87">
        <f>IF(M7=0,0,M7/TrAvia_act!M5*1000)</f>
        <v>61.878995387885261</v>
      </c>
      <c r="N29" s="87">
        <f>IF(N7=0,0,N7/TrAvia_act!N5*1000)</f>
        <v>51.67201264000569</v>
      </c>
      <c r="O29" s="87">
        <f>IF(O7=0,0,O7/TrAvia_act!O5*1000)</f>
        <v>49.197423543167631</v>
      </c>
      <c r="P29" s="87">
        <f>IF(P7=0,0,P7/TrAvia_act!P5*1000)</f>
        <v>47.267519569141285</v>
      </c>
      <c r="Q29" s="87">
        <f>IF(Q7=0,0,Q7/TrAvia_act!Q5*1000)</f>
        <v>45.39106943583446</v>
      </c>
      <c r="R29" s="87">
        <f>IF(R7=0,0,R7/TrAvia_act!R5*1000)</f>
        <v>43.844225363476291</v>
      </c>
      <c r="S29" s="87">
        <f>IF(S7=0,0,S7/TrAvia_act!S5*1000)</f>
        <v>42.336947315221536</v>
      </c>
      <c r="T29" s="87">
        <f>IF(T7=0,0,T7/TrAvia_act!T5*1000)</f>
        <v>41.525629951173315</v>
      </c>
      <c r="U29" s="87">
        <f>IF(U7=0,0,U7/TrAvia_act!U5*1000)</f>
        <v>39.587780550075664</v>
      </c>
      <c r="V29" s="87">
        <f>IF(V7=0,0,V7/TrAvia_act!V5*1000)</f>
        <v>45.423444499430865</v>
      </c>
      <c r="W29" s="87">
        <f>IF(W7=0,0,W7/TrAvia_act!W5*1000)</f>
        <v>46.080156675608748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37.744820538785319</v>
      </c>
      <c r="C30" s="87">
        <f>IF(C8=0,0,C8/TrAvia_act!C6*1000)</f>
        <v>38.273943738201901</v>
      </c>
      <c r="D30" s="87">
        <f>IF(D8=0,0,D8/TrAvia_act!D6*1000)</f>
        <v>37.815834075154761</v>
      </c>
      <c r="E30" s="87">
        <f>IF(E8=0,0,E8/TrAvia_act!E6*1000)</f>
        <v>38.970796203559743</v>
      </c>
      <c r="F30" s="87">
        <f>IF(F8=0,0,F8/TrAvia_act!F6*1000)</f>
        <v>40.1374963254992</v>
      </c>
      <c r="G30" s="87">
        <f>IF(G8=0,0,G8/TrAvia_act!G6*1000)</f>
        <v>37.912259808227205</v>
      </c>
      <c r="H30" s="87">
        <f>IF(H8=0,0,H8/TrAvia_act!H6*1000)</f>
        <v>39.727783854623816</v>
      </c>
      <c r="I30" s="87">
        <f>IF(I8=0,0,I8/TrAvia_act!I6*1000)</f>
        <v>44.239479766529371</v>
      </c>
      <c r="J30" s="87">
        <f>IF(J8=0,0,J8/TrAvia_act!J6*1000)</f>
        <v>49.633781165922692</v>
      </c>
      <c r="K30" s="87">
        <f>IF(K8=0,0,K8/TrAvia_act!K6*1000)</f>
        <v>45.066427811055256</v>
      </c>
      <c r="L30" s="87">
        <f>IF(L8=0,0,L8/TrAvia_act!L6*1000)</f>
        <v>46.712923449335804</v>
      </c>
      <c r="M30" s="87">
        <f>IF(M8=0,0,M8/TrAvia_act!M6*1000)</f>
        <v>48.71346224406728</v>
      </c>
      <c r="N30" s="87">
        <f>IF(N8=0,0,N8/TrAvia_act!N6*1000)</f>
        <v>45.993337773727376</v>
      </c>
      <c r="O30" s="87">
        <f>IF(O8=0,0,O8/TrAvia_act!O6*1000)</f>
        <v>44.924839429512602</v>
      </c>
      <c r="P30" s="87">
        <f>IF(P8=0,0,P8/TrAvia_act!P6*1000)</f>
        <v>40.138250865506244</v>
      </c>
      <c r="Q30" s="87">
        <f>IF(Q8=0,0,Q8/TrAvia_act!Q6*1000)</f>
        <v>42.419440876141053</v>
      </c>
      <c r="R30" s="87">
        <f>IF(R8=0,0,R8/TrAvia_act!R6*1000)</f>
        <v>41.712172078014284</v>
      </c>
      <c r="S30" s="87">
        <f>IF(S8=0,0,S8/TrAvia_act!S6*1000)</f>
        <v>39.641284491843464</v>
      </c>
      <c r="T30" s="87">
        <f>IF(T8=0,0,T8/TrAvia_act!T6*1000)</f>
        <v>41.792449343018177</v>
      </c>
      <c r="U30" s="87">
        <f>IF(U8=0,0,U8/TrAvia_act!U6*1000)</f>
        <v>43.173040362058401</v>
      </c>
      <c r="V30" s="87">
        <f>IF(V8=0,0,V8/TrAvia_act!V6*1000)</f>
        <v>58.895002608224466</v>
      </c>
      <c r="W30" s="87">
        <f>IF(W8=0,0,W8/TrAvia_act!W6*1000)</f>
        <v>67.721610359859952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40.040525036147379</v>
      </c>
      <c r="C31" s="87">
        <f>IF(C9=0,0,C9/TrAvia_act!C7*1000)</f>
        <v>41.698997740843865</v>
      </c>
      <c r="D31" s="87">
        <f>IF(D9=0,0,D9/TrAvia_act!D7*1000)</f>
        <v>43.614399917788568</v>
      </c>
      <c r="E31" s="87">
        <f>IF(E9=0,0,E9/TrAvia_act!E7*1000)</f>
        <v>43.348963576517868</v>
      </c>
      <c r="F31" s="87">
        <f>IF(F9=0,0,F9/TrAvia_act!F7*1000)</f>
        <v>41.01792772050571</v>
      </c>
      <c r="G31" s="87">
        <f>IF(G9=0,0,G9/TrAvia_act!G7*1000)</f>
        <v>35.552034851215836</v>
      </c>
      <c r="H31" s="87">
        <f>IF(H9=0,0,H9/TrAvia_act!H7*1000)</f>
        <v>32.759854794971552</v>
      </c>
      <c r="I31" s="87">
        <f>IF(I9=0,0,I9/TrAvia_act!I7*1000)</f>
        <v>27.324645209379451</v>
      </c>
      <c r="J31" s="87">
        <f>IF(J9=0,0,J9/TrAvia_act!J7*1000)</f>
        <v>26.214544379652367</v>
      </c>
      <c r="K31" s="87">
        <f>IF(K9=0,0,K9/TrAvia_act!K7*1000)</f>
        <v>24.799015530762169</v>
      </c>
      <c r="L31" s="87">
        <f>IF(L9=0,0,L9/TrAvia_act!L7*1000)</f>
        <v>23.721725507236521</v>
      </c>
      <c r="M31" s="87">
        <f>IF(M9=0,0,M9/TrAvia_act!M7*1000)</f>
        <v>24.423526954482437</v>
      </c>
      <c r="N31" s="87">
        <f>IF(N9=0,0,N9/TrAvia_act!N7*1000)</f>
        <v>22.261262375027169</v>
      </c>
      <c r="O31" s="87">
        <f>IF(O9=0,0,O9/TrAvia_act!O7*1000)</f>
        <v>22.92985545370135</v>
      </c>
      <c r="P31" s="87">
        <f>IF(P9=0,0,P9/TrAvia_act!P7*1000)</f>
        <v>23.010983387359396</v>
      </c>
      <c r="Q31" s="87">
        <f>IF(Q9=0,0,Q9/TrAvia_act!Q7*1000)</f>
        <v>22.944604180128415</v>
      </c>
      <c r="R31" s="87">
        <f>IF(R9=0,0,R9/TrAvia_act!R7*1000)</f>
        <v>21.14133771761885</v>
      </c>
      <c r="S31" s="87">
        <f>IF(S9=0,0,S9/TrAvia_act!S7*1000)</f>
        <v>18.504107071093998</v>
      </c>
      <c r="T31" s="87">
        <f>IF(T9=0,0,T9/TrAvia_act!T7*1000)</f>
        <v>18.809019819092317</v>
      </c>
      <c r="U31" s="87">
        <f>IF(U9=0,0,U9/TrAvia_act!U7*1000)</f>
        <v>18.33348388219747</v>
      </c>
      <c r="V31" s="87">
        <f>IF(V9=0,0,V9/TrAvia_act!V7*1000)</f>
        <v>30.691406034147651</v>
      </c>
      <c r="W31" s="87">
        <f>IF(W9=0,0,W9/TrAvia_act!W7*1000)</f>
        <v>56.594652662573715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79.106601480170255</v>
      </c>
      <c r="C32" s="15">
        <f>IF(C10=0,0,C10/TrAvia_act!C8*1000)</f>
        <v>77.837834731609775</v>
      </c>
      <c r="D32" s="15">
        <f>IF(D10=0,0,D10/TrAvia_act!D8*1000)</f>
        <v>81.740941221188322</v>
      </c>
      <c r="E32" s="15">
        <f>IF(E10=0,0,E10/TrAvia_act!E8*1000)</f>
        <v>86.029903564632974</v>
      </c>
      <c r="F32" s="15">
        <f>IF(F10=0,0,F10/TrAvia_act!F8*1000)</f>
        <v>91.864403626810685</v>
      </c>
      <c r="G32" s="15">
        <f>IF(G10=0,0,G10/TrAvia_act!G8*1000)</f>
        <v>87.66494012783059</v>
      </c>
      <c r="H32" s="15">
        <f>IF(H10=0,0,H10/TrAvia_act!H8*1000)</f>
        <v>98.965458603637643</v>
      </c>
      <c r="I32" s="15">
        <f>IF(I10=0,0,I10/TrAvia_act!I8*1000)</f>
        <v>96.302374239034307</v>
      </c>
      <c r="J32" s="15">
        <f>IF(J10=0,0,J10/TrAvia_act!J8*1000)</f>
        <v>99.72103990561645</v>
      </c>
      <c r="K32" s="15">
        <f>IF(K10=0,0,K10/TrAvia_act!K8*1000)</f>
        <v>107.88583867009841</v>
      </c>
      <c r="L32" s="15">
        <f>IF(L10=0,0,L10/TrAvia_act!L8*1000)</f>
        <v>115.98637626239694</v>
      </c>
      <c r="M32" s="15">
        <f>IF(M10=0,0,M10/TrAvia_act!M8*1000)</f>
        <v>89.345791634178198</v>
      </c>
      <c r="N32" s="15">
        <f>IF(N10=0,0,N10/TrAvia_act!N8*1000)</f>
        <v>73.424107099461082</v>
      </c>
      <c r="O32" s="15">
        <f>IF(O10=0,0,O10/TrAvia_act!O8*1000)</f>
        <v>83.876702447798692</v>
      </c>
      <c r="P32" s="15">
        <f>IF(P10=0,0,P10/TrAvia_act!P8*1000)</f>
        <v>83.491890919480937</v>
      </c>
      <c r="Q32" s="15">
        <f>IF(Q10=0,0,Q10/TrAvia_act!Q8*1000)</f>
        <v>99.28096201344465</v>
      </c>
      <c r="R32" s="15">
        <f>IF(R10=0,0,R10/TrAvia_act!R8*1000)</f>
        <v>82.566046128320792</v>
      </c>
      <c r="S32" s="15">
        <f>IF(S10=0,0,S10/TrAvia_act!S8*1000)</f>
        <v>87.807061040164456</v>
      </c>
      <c r="T32" s="15">
        <f>IF(T10=0,0,T10/TrAvia_act!T8*1000)</f>
        <v>89.874744450915756</v>
      </c>
      <c r="U32" s="15">
        <f>IF(U10=0,0,U10/TrAvia_act!U8*1000)</f>
        <v>109.57622430911292</v>
      </c>
      <c r="V32" s="15">
        <f>IF(V10=0,0,V10/TrAvia_act!V8*1000)</f>
        <v>91.412078091815985</v>
      </c>
      <c r="W32" s="15">
        <f>IF(W10=0,0,W10/TrAvia_act!W8*1000)</f>
        <v>99.690757457806043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531.49937488354681</v>
      </c>
      <c r="C33" s="101">
        <f>IF(C11=0,0,C11/TrAvia_act!C9*1000)</f>
        <v>541.94300061983245</v>
      </c>
      <c r="D33" s="101">
        <f>IF(D11=0,0,D11/TrAvia_act!D9*1000)</f>
        <v>491.30796504130473</v>
      </c>
      <c r="E33" s="101">
        <f>IF(E11=0,0,E11/TrAvia_act!E9*1000)</f>
        <v>457.34809982718838</v>
      </c>
      <c r="F33" s="101">
        <f>IF(F11=0,0,F11/TrAvia_act!F9*1000)</f>
        <v>487.28140571184258</v>
      </c>
      <c r="G33" s="101">
        <f>IF(G11=0,0,G11/TrAvia_act!G9*1000)</f>
        <v>458.23739635494991</v>
      </c>
      <c r="H33" s="101">
        <f>IF(H11=0,0,H11/TrAvia_act!H9*1000)</f>
        <v>525.76145048786771</v>
      </c>
      <c r="I33" s="101">
        <f>IF(I11=0,0,I11/TrAvia_act!I9*1000)</f>
        <v>528.9742549829856</v>
      </c>
      <c r="J33" s="101">
        <f>IF(J11=0,0,J11/TrAvia_act!J9*1000)</f>
        <v>620.68177465983433</v>
      </c>
      <c r="K33" s="101">
        <f>IF(K11=0,0,K11/TrAvia_act!K9*1000)</f>
        <v>598.1302180742224</v>
      </c>
      <c r="L33" s="101">
        <f>IF(L11=0,0,L11/TrAvia_act!L9*1000)</f>
        <v>629.32129060159775</v>
      </c>
      <c r="M33" s="101">
        <f>IF(M11=0,0,M11/TrAvia_act!M9*1000)</f>
        <v>458.80635365276117</v>
      </c>
      <c r="N33" s="101">
        <f>IF(N11=0,0,N11/TrAvia_act!N9*1000)</f>
        <v>358.49082072869817</v>
      </c>
      <c r="O33" s="101">
        <f>IF(O11=0,0,O11/TrAvia_act!O9*1000)</f>
        <v>342.04447706920439</v>
      </c>
      <c r="P33" s="101">
        <f>IF(P11=0,0,P11/TrAvia_act!P9*1000)</f>
        <v>315.24678178989006</v>
      </c>
      <c r="Q33" s="101">
        <f>IF(Q11=0,0,Q11/TrAvia_act!Q9*1000)</f>
        <v>313.36588746742814</v>
      </c>
      <c r="R33" s="101">
        <f>IF(R11=0,0,R11/TrAvia_act!R9*1000)</f>
        <v>282.64385225701886</v>
      </c>
      <c r="S33" s="101">
        <f>IF(S11=0,0,S11/TrAvia_act!S9*1000)</f>
        <v>303.65066327995549</v>
      </c>
      <c r="T33" s="101">
        <f>IF(T11=0,0,T11/TrAvia_act!T9*1000)</f>
        <v>302.54338692680574</v>
      </c>
      <c r="U33" s="101">
        <f>IF(U11=0,0,U11/TrAvia_act!U9*1000)</f>
        <v>282.44986470228304</v>
      </c>
      <c r="V33" s="101">
        <f>IF(V11=0,0,V11/TrAvia_act!V9*1000)</f>
        <v>281.96518938075883</v>
      </c>
      <c r="W33" s="101">
        <f>IF(W11=0,0,W11/TrAvia_act!W9*1000)</f>
        <v>242.72222403267153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129.76406059170031</v>
      </c>
      <c r="C34" s="101">
        <f>IF(C12=0,0,C12/TrAvia_act!C10*1000)</f>
        <v>120.98497764362713</v>
      </c>
      <c r="D34" s="101">
        <f>IF(D12=0,0,D12/TrAvia_act!D10*1000)</f>
        <v>137.24407047538512</v>
      </c>
      <c r="E34" s="101">
        <f>IF(E12=0,0,E12/TrAvia_act!E10*1000)</f>
        <v>122.97505327684117</v>
      </c>
      <c r="F34" s="101">
        <f>IF(F12=0,0,F12/TrAvia_act!F10*1000)</f>
        <v>138.80196883937467</v>
      </c>
      <c r="G34" s="101">
        <f>IF(G12=0,0,G12/TrAvia_act!G10*1000)</f>
        <v>142.86927640137739</v>
      </c>
      <c r="H34" s="101">
        <f>IF(H12=0,0,H12/TrAvia_act!H10*1000)</f>
        <v>182.19366788684925</v>
      </c>
      <c r="I34" s="101">
        <f>IF(I12=0,0,I12/TrAvia_act!I10*1000)</f>
        <v>202.94216323939574</v>
      </c>
      <c r="J34" s="101">
        <f>IF(J12=0,0,J12/TrAvia_act!J10*1000)</f>
        <v>224.52216739382595</v>
      </c>
      <c r="K34" s="101">
        <f>IF(K12=0,0,K12/TrAvia_act!K10*1000)</f>
        <v>204.41253491109086</v>
      </c>
      <c r="L34" s="101">
        <f>IF(L12=0,0,L12/TrAvia_act!L10*1000)</f>
        <v>219.05459279088231</v>
      </c>
      <c r="M34" s="101">
        <f>IF(M12=0,0,M12/TrAvia_act!M10*1000)</f>
        <v>219.8854007003244</v>
      </c>
      <c r="N34" s="101">
        <f>IF(N12=0,0,N12/TrAvia_act!N10*1000)</f>
        <v>204.6804846490945</v>
      </c>
      <c r="O34" s="101">
        <f>IF(O12=0,0,O12/TrAvia_act!O10*1000)</f>
        <v>204.52955397211934</v>
      </c>
      <c r="P34" s="101">
        <f>IF(P12=0,0,P12/TrAvia_act!P10*1000)</f>
        <v>162.59229797210472</v>
      </c>
      <c r="Q34" s="101">
        <f>IF(Q12=0,0,Q12/TrAvia_act!Q10*1000)</f>
        <v>177.49936435347564</v>
      </c>
      <c r="R34" s="101">
        <f>IF(R12=0,0,R12/TrAvia_act!R10*1000)</f>
        <v>174.88761573673466</v>
      </c>
      <c r="S34" s="101">
        <f>IF(S12=0,0,S12/TrAvia_act!S10*1000)</f>
        <v>204.5096623640693</v>
      </c>
      <c r="T34" s="101">
        <f>IF(T12=0,0,T12/TrAvia_act!T10*1000)</f>
        <v>224.87078001234397</v>
      </c>
      <c r="U34" s="101">
        <f>IF(U12=0,0,U12/TrAvia_act!U10*1000)</f>
        <v>259.17709743890214</v>
      </c>
      <c r="V34" s="101">
        <f>IF(V12=0,0,V12/TrAvia_act!V10*1000)</f>
        <v>222.3330888781087</v>
      </c>
      <c r="W34" s="101">
        <f>IF(W12=0,0,W12/TrAvia_act!W10*1000)</f>
        <v>269.86502309073973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44.820223652381415</v>
      </c>
      <c r="C35" s="88">
        <f>IF(C13=0,0,C13/TrAvia_act!C11*1000)</f>
        <v>43.170623426570373</v>
      </c>
      <c r="D35" s="88">
        <f>IF(D13=0,0,D13/TrAvia_act!D11*1000)</f>
        <v>47.990422089194908</v>
      </c>
      <c r="E35" s="88">
        <f>IF(E13=0,0,E13/TrAvia_act!E11*1000)</f>
        <v>50.453937491986487</v>
      </c>
      <c r="F35" s="88">
        <f>IF(F13=0,0,F13/TrAvia_act!F11*1000)</f>
        <v>53.344069775329743</v>
      </c>
      <c r="G35" s="88">
        <f>IF(G13=0,0,G13/TrAvia_act!G11*1000)</f>
        <v>51.90732976110975</v>
      </c>
      <c r="H35" s="88">
        <f>IF(H13=0,0,H13/TrAvia_act!H11*1000)</f>
        <v>44.976736915982841</v>
      </c>
      <c r="I35" s="88">
        <f>IF(I13=0,0,I13/TrAvia_act!I11*1000)</f>
        <v>38.204706001524009</v>
      </c>
      <c r="J35" s="88">
        <f>IF(J13=0,0,J13/TrAvia_act!J11*1000)</f>
        <v>38.989276359316897</v>
      </c>
      <c r="K35" s="88">
        <f>IF(K13=0,0,K13/TrAvia_act!K11*1000)</f>
        <v>37.417616105089088</v>
      </c>
      <c r="L35" s="88">
        <f>IF(L13=0,0,L13/TrAvia_act!L11*1000)</f>
        <v>42.478204088346743</v>
      </c>
      <c r="M35" s="88">
        <f>IF(M13=0,0,M13/TrAvia_act!M11*1000)</f>
        <v>38.442853005974193</v>
      </c>
      <c r="N35" s="88">
        <f>IF(N13=0,0,N13/TrAvia_act!N11*1000)</f>
        <v>36.335644626449586</v>
      </c>
      <c r="O35" s="88">
        <f>IF(O13=0,0,O13/TrAvia_act!O11*1000)</f>
        <v>36.833706468943546</v>
      </c>
      <c r="P35" s="88">
        <f>IF(P13=0,0,P13/TrAvia_act!P11*1000)</f>
        <v>33.225879674517941</v>
      </c>
      <c r="Q35" s="88">
        <f>IF(Q13=0,0,Q13/TrAvia_act!Q11*1000)</f>
        <v>34.483713985315653</v>
      </c>
      <c r="R35" s="88">
        <f>IF(R13=0,0,R13/TrAvia_act!R11*1000)</f>
        <v>25.67382713880712</v>
      </c>
      <c r="S35" s="88">
        <f>IF(S13=0,0,S13/TrAvia_act!S11*1000)</f>
        <v>23.689534193414318</v>
      </c>
      <c r="T35" s="88">
        <f>IF(T13=0,0,T13/TrAvia_act!T11*1000)</f>
        <v>24.674322361603902</v>
      </c>
      <c r="U35" s="88">
        <f>IF(U13=0,0,U13/TrAvia_act!U11*1000)</f>
        <v>20.804721051411722</v>
      </c>
      <c r="V35" s="88">
        <f>IF(V13=0,0,V13/TrAvia_act!V11*1000)</f>
        <v>35.323100284570629</v>
      </c>
      <c r="W35" s="88">
        <f>IF(W13=0,0,W13/TrAvia_act!W11*1000)</f>
        <v>41.754080116211362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3857.5726282130213</v>
      </c>
      <c r="C37" s="62">
        <f>IF(C3=0,0,C3/TrAvia_act!C23*1000000)</f>
        <v>3932.2931747853218</v>
      </c>
      <c r="D37" s="62">
        <f>IF(D3=0,0,D3/TrAvia_act!D23*1000000)</f>
        <v>4047.1246741098194</v>
      </c>
      <c r="E37" s="62">
        <f>IF(E3=0,0,E3/TrAvia_act!E23*1000000)</f>
        <v>3950.1752007441828</v>
      </c>
      <c r="F37" s="62">
        <f>IF(F3=0,0,F3/TrAvia_act!F23*1000000)</f>
        <v>4198.0958959737354</v>
      </c>
      <c r="G37" s="62">
        <f>IF(G3=0,0,G3/TrAvia_act!G23*1000000)</f>
        <v>4208.6658424568022</v>
      </c>
      <c r="H37" s="62">
        <f>IF(H3=0,0,H3/TrAvia_act!H23*1000000)</f>
        <v>4401.7911733753645</v>
      </c>
      <c r="I37" s="62">
        <f>IF(I3=0,0,I3/TrAvia_act!I23*1000000)</f>
        <v>4964.0399590639172</v>
      </c>
      <c r="J37" s="62">
        <f>IF(J3=0,0,J3/TrAvia_act!J23*1000000)</f>
        <v>5167.9113786537146</v>
      </c>
      <c r="K37" s="62">
        <f>IF(K3=0,0,K3/TrAvia_act!K23*1000000)</f>
        <v>4807.8252996296478</v>
      </c>
      <c r="L37" s="62">
        <f>IF(L3=0,0,L3/TrAvia_act!L23*1000000)</f>
        <v>5069.7825125144163</v>
      </c>
      <c r="M37" s="62">
        <f>IF(M3=0,0,M3/TrAvia_act!M23*1000000)</f>
        <v>5371.0817508416203</v>
      </c>
      <c r="N37" s="62">
        <f>IF(N3=0,0,N3/TrAvia_act!N23*1000000)</f>
        <v>5703.6073082685371</v>
      </c>
      <c r="O37" s="62">
        <f>IF(O3=0,0,O3/TrAvia_act!O23*1000000)</f>
        <v>6110.9610552777976</v>
      </c>
      <c r="P37" s="62">
        <f>IF(P3=0,0,P3/TrAvia_act!P23*1000000)</f>
        <v>6135.7940858746033</v>
      </c>
      <c r="Q37" s="62">
        <f>IF(Q3=0,0,Q3/TrAvia_act!Q23*1000000)</f>
        <v>6330.8531874224791</v>
      </c>
      <c r="R37" s="62">
        <f>IF(R3=0,0,R3/TrAvia_act!R23*1000000)</f>
        <v>6498.2066883113075</v>
      </c>
      <c r="S37" s="62">
        <f>IF(S3=0,0,S3/TrAvia_act!S23*1000000)</f>
        <v>6496.7283353072453</v>
      </c>
      <c r="T37" s="62">
        <f>IF(T3=0,0,T3/TrAvia_act!T23*1000000)</f>
        <v>6909.0127082684294</v>
      </c>
      <c r="U37" s="62">
        <f>IF(U3=0,0,U3/TrAvia_act!U23*1000000)</f>
        <v>7274.3747605961862</v>
      </c>
      <c r="V37" s="62">
        <f>IF(V3=0,0,V3/TrAvia_act!V23*1000000)</f>
        <v>6993.0767289041833</v>
      </c>
      <c r="W37" s="62">
        <f>IF(W3=0,0,W3/TrAvia_act!W23*1000000)</f>
        <v>7053.9573646547378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3856.8883372402638</v>
      </c>
      <c r="C38" s="14">
        <f>IF(C6=0,0,C6/TrAvia_act!C24*1000000)</f>
        <v>3933.9277045152553</v>
      </c>
      <c r="D38" s="14">
        <f>IF(D6=0,0,D6/TrAvia_act!D24*1000000)</f>
        <v>4045.6451679009133</v>
      </c>
      <c r="E38" s="14">
        <f>IF(E6=0,0,E6/TrAvia_act!E24*1000000)</f>
        <v>3950.9692677977782</v>
      </c>
      <c r="F38" s="14">
        <f>IF(F6=0,0,F6/TrAvia_act!F24*1000000)</f>
        <v>4199.4785299013847</v>
      </c>
      <c r="G38" s="14">
        <f>IF(G6=0,0,G6/TrAvia_act!G24*1000000)</f>
        <v>4204.2826680489379</v>
      </c>
      <c r="H38" s="14">
        <f>IF(H6=0,0,H6/TrAvia_act!H24*1000000)</f>
        <v>4410.7262663665033</v>
      </c>
      <c r="I38" s="14">
        <f>IF(I6=0,0,I6/TrAvia_act!I24*1000000)</f>
        <v>4986.9759925130202</v>
      </c>
      <c r="J38" s="14">
        <f>IF(J6=0,0,J6/TrAvia_act!J24*1000000)</f>
        <v>5200.0864139169216</v>
      </c>
      <c r="K38" s="14">
        <f>IF(K6=0,0,K6/TrAvia_act!K24*1000000)</f>
        <v>4842.3793011412517</v>
      </c>
      <c r="L38" s="14">
        <f>IF(L6=0,0,L6/TrAvia_act!L24*1000000)</f>
        <v>5116.1023562690689</v>
      </c>
      <c r="M38" s="14">
        <f>IF(M6=0,0,M6/TrAvia_act!M24*1000000)</f>
        <v>5410.3399562281556</v>
      </c>
      <c r="N38" s="14">
        <f>IF(N6=0,0,N6/TrAvia_act!N24*1000000)</f>
        <v>5746.9761969802603</v>
      </c>
      <c r="O38" s="14">
        <f>IF(O6=0,0,O6/TrAvia_act!O24*1000000)</f>
        <v>6164.9217050008738</v>
      </c>
      <c r="P38" s="14">
        <f>IF(P6=0,0,P6/TrAvia_act!P24*1000000)</f>
        <v>6191.7333684344321</v>
      </c>
      <c r="Q38" s="14">
        <f>IF(Q6=0,0,Q6/TrAvia_act!Q24*1000000)</f>
        <v>6391.8937592112889</v>
      </c>
      <c r="R38" s="14">
        <f>IF(R6=0,0,R6/TrAvia_act!R24*1000000)</f>
        <v>6552.8934948930246</v>
      </c>
      <c r="S38" s="14">
        <f>IF(S6=0,0,S6/TrAvia_act!S24*1000000)</f>
        <v>6538.3017193125406</v>
      </c>
      <c r="T38" s="14">
        <f>IF(T6=0,0,T6/TrAvia_act!T24*1000000)</f>
        <v>6948.2601632447459</v>
      </c>
      <c r="U38" s="14">
        <f>IF(U6=0,0,U6/TrAvia_act!U24*1000000)</f>
        <v>7314.8252485182984</v>
      </c>
      <c r="V38" s="14">
        <f>IF(V6=0,0,V6/TrAvia_act!V24*1000000)</f>
        <v>7178.2143339303948</v>
      </c>
      <c r="W38" s="14">
        <f>IF(W6=0,0,W6/TrAvia_act!W24*1000000)</f>
        <v>7263.9266890241161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1809.7771665583907</v>
      </c>
      <c r="C39" s="87">
        <f>IF(C7=0,0,C7/TrAvia_act!C25*1000000)</f>
        <v>1831.2680811543748</v>
      </c>
      <c r="D39" s="87">
        <f>IF(D7=0,0,D7/TrAvia_act!D25*1000000)</f>
        <v>1707.1992930835145</v>
      </c>
      <c r="E39" s="87">
        <f>IF(E7=0,0,E7/TrAvia_act!E25*1000000)</f>
        <v>1690.4071708989406</v>
      </c>
      <c r="F39" s="87">
        <f>IF(F7=0,0,F7/TrAvia_act!F25*1000000)</f>
        <v>1695.9676083560389</v>
      </c>
      <c r="G39" s="87">
        <f>IF(G7=0,0,G7/TrAvia_act!G25*1000000)</f>
        <v>1621.4863571699111</v>
      </c>
      <c r="H39" s="87">
        <f>IF(H7=0,0,H7/TrAvia_act!H25*1000000)</f>
        <v>1501.0360792409097</v>
      </c>
      <c r="I39" s="87">
        <f>IF(I7=0,0,I7/TrAvia_act!I25*1000000)</f>
        <v>1535.2781663981334</v>
      </c>
      <c r="J39" s="87">
        <f>IF(J7=0,0,J7/TrAvia_act!J25*1000000)</f>
        <v>1499.8216825253767</v>
      </c>
      <c r="K39" s="87">
        <f>IF(K7=0,0,K7/TrAvia_act!K25*1000000)</f>
        <v>1384.686694087537</v>
      </c>
      <c r="L39" s="87">
        <f>IF(L7=0,0,L7/TrAvia_act!L25*1000000)</f>
        <v>1445.0858232884418</v>
      </c>
      <c r="M39" s="87">
        <f>IF(M7=0,0,M7/TrAvia_act!M25*1000000)</f>
        <v>1495.2807142324559</v>
      </c>
      <c r="N39" s="87">
        <f>IF(N7=0,0,N7/TrAvia_act!N25*1000000)</f>
        <v>1495.0380953109436</v>
      </c>
      <c r="O39" s="87">
        <f>IF(O7=0,0,O7/TrAvia_act!O25*1000000)</f>
        <v>1429.7576134458661</v>
      </c>
      <c r="P39" s="87">
        <f>IF(P7=0,0,P7/TrAvia_act!P25*1000000)</f>
        <v>1493.947609883036</v>
      </c>
      <c r="Q39" s="87">
        <f>IF(Q7=0,0,Q7/TrAvia_act!Q25*1000000)</f>
        <v>1492.4124127778648</v>
      </c>
      <c r="R39" s="87">
        <f>IF(R7=0,0,R7/TrAvia_act!R25*1000000)</f>
        <v>1566.7955768497432</v>
      </c>
      <c r="S39" s="87">
        <f>IF(S7=0,0,S7/TrAvia_act!S25*1000000)</f>
        <v>1574.9530952474245</v>
      </c>
      <c r="T39" s="87">
        <f>IF(T7=0,0,T7/TrAvia_act!T25*1000000)</f>
        <v>1662.5654275965767</v>
      </c>
      <c r="U39" s="87">
        <f>IF(U7=0,0,U7/TrAvia_act!U25*1000000)</f>
        <v>1608.3588941248429</v>
      </c>
      <c r="V39" s="87">
        <f>IF(V7=0,0,V7/TrAvia_act!V25*1000000)</f>
        <v>1686.4393364786363</v>
      </c>
      <c r="W39" s="87">
        <f>IF(W7=0,0,W7/TrAvia_act!W25*1000000)</f>
        <v>1522.0273330591187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4688.0634177351858</v>
      </c>
      <c r="C40" s="87">
        <f>IF(C8=0,0,C8/TrAvia_act!C26*1000000)</f>
        <v>4719.8686631410801</v>
      </c>
      <c r="D40" s="87">
        <f>IF(D8=0,0,D8/TrAvia_act!D26*1000000)</f>
        <v>4942.8094033341504</v>
      </c>
      <c r="E40" s="87">
        <f>IF(E8=0,0,E8/TrAvia_act!E26*1000000)</f>
        <v>4722.3094375825494</v>
      </c>
      <c r="F40" s="87">
        <f>IF(F8=0,0,F8/TrAvia_act!F26*1000000)</f>
        <v>4854.976470868598</v>
      </c>
      <c r="G40" s="87">
        <f>IF(G8=0,0,G8/TrAvia_act!G26*1000000)</f>
        <v>4930.8163833876606</v>
      </c>
      <c r="H40" s="87">
        <f>IF(H8=0,0,H8/TrAvia_act!H26*1000000)</f>
        <v>5483.2573745270784</v>
      </c>
      <c r="I40" s="87">
        <f>IF(I8=0,0,I8/TrAvia_act!I26*1000000)</f>
        <v>6133.1046585601234</v>
      </c>
      <c r="J40" s="87">
        <f>IF(J8=0,0,J8/TrAvia_act!J26*1000000)</f>
        <v>6396.1446223510793</v>
      </c>
      <c r="K40" s="87">
        <f>IF(K8=0,0,K8/TrAvia_act!K26*1000000)</f>
        <v>6041.2285195460081</v>
      </c>
      <c r="L40" s="87">
        <f>IF(L8=0,0,L8/TrAvia_act!L26*1000000)</f>
        <v>6133.3567633629591</v>
      </c>
      <c r="M40" s="87">
        <f>IF(M8=0,0,M8/TrAvia_act!M26*1000000)</f>
        <v>6409.6416740067216</v>
      </c>
      <c r="N40" s="87">
        <f>IF(N8=0,0,N8/TrAvia_act!N26*1000000)</f>
        <v>6485.0778934806476</v>
      </c>
      <c r="O40" s="87">
        <f>IF(O8=0,0,O8/TrAvia_act!O26*1000000)</f>
        <v>6904.7252256533511</v>
      </c>
      <c r="P40" s="87">
        <f>IF(P8=0,0,P8/TrAvia_act!P26*1000000)</f>
        <v>6999.7879100889331</v>
      </c>
      <c r="Q40" s="87">
        <f>IF(Q8=0,0,Q8/TrAvia_act!Q26*1000000)</f>
        <v>7324.1431972501932</v>
      </c>
      <c r="R40" s="87">
        <f>IF(R8=0,0,R8/TrAvia_act!R26*1000000)</f>
        <v>7510.3221156589625</v>
      </c>
      <c r="S40" s="87">
        <f>IF(S8=0,0,S8/TrAvia_act!S26*1000000)</f>
        <v>7469.485657355548</v>
      </c>
      <c r="T40" s="87">
        <f>IF(T8=0,0,T8/TrAvia_act!T26*1000000)</f>
        <v>7919.8062061940082</v>
      </c>
      <c r="U40" s="87">
        <f>IF(U8=0,0,U8/TrAvia_act!U26*1000000)</f>
        <v>8400.7756988649198</v>
      </c>
      <c r="V40" s="87">
        <f>IF(V8=0,0,V8/TrAvia_act!V26*1000000)</f>
        <v>7913.8678301473965</v>
      </c>
      <c r="W40" s="87">
        <f>IF(W8=0,0,W8/TrAvia_act!W26*1000000)</f>
        <v>8795.190734993781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24888.926380170462</v>
      </c>
      <c r="C41" s="87">
        <f>IF(C9=0,0,C9/TrAvia_act!C27*1000000)</f>
        <v>25113.256320597131</v>
      </c>
      <c r="D41" s="87">
        <f>IF(D9=0,0,D9/TrAvia_act!D27*1000000)</f>
        <v>26365.457890873429</v>
      </c>
      <c r="E41" s="87">
        <f>IF(E9=0,0,E9/TrAvia_act!E27*1000000)</f>
        <v>25190.196659264304</v>
      </c>
      <c r="F41" s="87">
        <f>IF(F9=0,0,F9/TrAvia_act!F27*1000000)</f>
        <v>25852.302706056718</v>
      </c>
      <c r="G41" s="87">
        <f>IF(G9=0,0,G9/TrAvia_act!G27*1000000)</f>
        <v>26275.641705805574</v>
      </c>
      <c r="H41" s="87">
        <f>IF(H9=0,0,H9/TrAvia_act!H27*1000000)</f>
        <v>23866.715353242718</v>
      </c>
      <c r="I41" s="87">
        <f>IF(I9=0,0,I9/TrAvia_act!I27*1000000)</f>
        <v>22275.890854453275</v>
      </c>
      <c r="J41" s="87">
        <f>IF(J9=0,0,J9/TrAvia_act!J27*1000000)</f>
        <v>20048.209539230502</v>
      </c>
      <c r="K41" s="87">
        <f>IF(K9=0,0,K9/TrAvia_act!K27*1000000)</f>
        <v>19302.084452650255</v>
      </c>
      <c r="L41" s="87">
        <f>IF(L9=0,0,L9/TrAvia_act!L27*1000000)</f>
        <v>19803.094154144219</v>
      </c>
      <c r="M41" s="87">
        <f>IF(M9=0,0,M9/TrAvia_act!M27*1000000)</f>
        <v>20182.093051849341</v>
      </c>
      <c r="N41" s="87">
        <f>IF(N9=0,0,N9/TrAvia_act!N27*1000000)</f>
        <v>21151.974168509572</v>
      </c>
      <c r="O41" s="87">
        <f>IF(O9=0,0,O9/TrAvia_act!O27*1000000)</f>
        <v>21387.762658698761</v>
      </c>
      <c r="P41" s="87">
        <f>IF(P9=0,0,P9/TrAvia_act!P27*1000000)</f>
        <v>18900.102454745665</v>
      </c>
      <c r="Q41" s="87">
        <f>IF(Q9=0,0,Q9/TrAvia_act!Q27*1000000)</f>
        <v>18157.159060567195</v>
      </c>
      <c r="R41" s="87">
        <f>IF(R9=0,0,R9/TrAvia_act!R27*1000000)</f>
        <v>18846.676129480446</v>
      </c>
      <c r="S41" s="87">
        <f>IF(S9=0,0,S9/TrAvia_act!S27*1000000)</f>
        <v>18427.761522785317</v>
      </c>
      <c r="T41" s="87">
        <f>IF(T9=0,0,T9/TrAvia_act!T27*1000000)</f>
        <v>18087.919761678255</v>
      </c>
      <c r="U41" s="87">
        <f>IF(U9=0,0,U9/TrAvia_act!U27*1000000)</f>
        <v>17840.435257057063</v>
      </c>
      <c r="V41" s="87">
        <f>IF(V9=0,0,V9/TrAvia_act!V27*1000000)</f>
        <v>23931.367089183004</v>
      </c>
      <c r="W41" s="87">
        <f>IF(W9=0,0,W9/TrAvia_act!W27*1000000)</f>
        <v>22250.425288693932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3888.7615604077787</v>
      </c>
      <c r="C42" s="15">
        <f>IF(C10=0,0,C10/TrAvia_act!C28*1000000)</f>
        <v>3842.3578674733967</v>
      </c>
      <c r="D42" s="15">
        <f>IF(D10=0,0,D10/TrAvia_act!D28*1000000)</f>
        <v>4128.7684524686692</v>
      </c>
      <c r="E42" s="15">
        <f>IF(E10=0,0,E10/TrAvia_act!E28*1000000)</f>
        <v>3914.1569509781557</v>
      </c>
      <c r="F42" s="15">
        <f>IF(F10=0,0,F10/TrAvia_act!F28*1000000)</f>
        <v>4145.8460787424356</v>
      </c>
      <c r="G42" s="15">
        <f>IF(G10=0,0,G10/TrAvia_act!G28*1000000)</f>
        <v>4371.587253458908</v>
      </c>
      <c r="H42" s="15">
        <f>IF(H10=0,0,H10/TrAvia_act!H28*1000000)</f>
        <v>4096.3130665649169</v>
      </c>
      <c r="I42" s="15">
        <f>IF(I10=0,0,I10/TrAvia_act!I28*1000000)</f>
        <v>4231.5585927794373</v>
      </c>
      <c r="J42" s="15">
        <f>IF(J10=0,0,J10/TrAvia_act!J28*1000000)</f>
        <v>3999.352070149926</v>
      </c>
      <c r="K42" s="15">
        <f>IF(K10=0,0,K10/TrAvia_act!K28*1000000)</f>
        <v>3464.9240384249365</v>
      </c>
      <c r="L42" s="15">
        <f>IF(L10=0,0,L10/TrAvia_act!L28*1000000)</f>
        <v>3401.2138161688958</v>
      </c>
      <c r="M42" s="15">
        <f>IF(M10=0,0,M10/TrAvia_act!M28*1000000)</f>
        <v>3719.2596061616455</v>
      </c>
      <c r="N42" s="15">
        <f>IF(N10=0,0,N10/TrAvia_act!N28*1000000)</f>
        <v>4090.7557216915152</v>
      </c>
      <c r="O42" s="15">
        <f>IF(O10=0,0,O10/TrAvia_act!O28*1000000)</f>
        <v>4247.1142827522553</v>
      </c>
      <c r="P42" s="15">
        <f>IF(P10=0,0,P10/TrAvia_act!P28*1000000)</f>
        <v>4084.1496616410705</v>
      </c>
      <c r="Q42" s="15">
        <f>IF(Q10=0,0,Q10/TrAvia_act!Q28*1000000)</f>
        <v>4190.3982558714315</v>
      </c>
      <c r="R42" s="15">
        <f>IF(R10=0,0,R10/TrAvia_act!R28*1000000)</f>
        <v>4415.4341207304115</v>
      </c>
      <c r="S42" s="15">
        <f>IF(S10=0,0,S10/TrAvia_act!S28*1000000)</f>
        <v>4804.9381127155693</v>
      </c>
      <c r="T42" s="15">
        <f>IF(T10=0,0,T10/TrAvia_act!T28*1000000)</f>
        <v>5045.5559317775178</v>
      </c>
      <c r="U42" s="15">
        <f>IF(U10=0,0,U10/TrAvia_act!U28*1000000)</f>
        <v>5715.2156428829285</v>
      </c>
      <c r="V42" s="15">
        <f>IF(V10=0,0,V10/TrAvia_act!V28*1000000)</f>
        <v>3981.8533015025864</v>
      </c>
      <c r="W42" s="15">
        <f>IF(W10=0,0,W10/TrAvia_act!W28*1000000)</f>
        <v>3881.8223749693261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1626.4352262213652</v>
      </c>
      <c r="C43" s="101">
        <f>IF(C11=0,0,C11/TrAvia_act!C29*1000000)</f>
        <v>1645.7489744487743</v>
      </c>
      <c r="D43" s="101">
        <f>IF(D11=0,0,D11/TrAvia_act!D29*1000000)</f>
        <v>1534.2491439051173</v>
      </c>
      <c r="E43" s="101">
        <f>IF(E11=0,0,E11/TrAvia_act!E29*1000000)</f>
        <v>1519.1581705252615</v>
      </c>
      <c r="F43" s="101">
        <f>IF(F11=0,0,F11/TrAvia_act!F29*1000000)</f>
        <v>1524.1553002937974</v>
      </c>
      <c r="G43" s="101">
        <f>IF(G11=0,0,G11/TrAvia_act!G29*1000000)</f>
        <v>1457.2194736845322</v>
      </c>
      <c r="H43" s="101">
        <f>IF(H11=0,0,H11/TrAvia_act!H29*1000000)</f>
        <v>1327.6590862515786</v>
      </c>
      <c r="I43" s="101">
        <f>IF(I11=0,0,I11/TrAvia_act!I29*1000000)</f>
        <v>1336.491747922795</v>
      </c>
      <c r="J43" s="101">
        <f>IF(J11=0,0,J11/TrAvia_act!J29*1000000)</f>
        <v>1284.9984269925008</v>
      </c>
      <c r="K43" s="101">
        <f>IF(K11=0,0,K11/TrAvia_act!K29*1000000)</f>
        <v>1167.61117005253</v>
      </c>
      <c r="L43" s="101">
        <f>IF(L11=0,0,L11/TrAvia_act!L29*1000000)</f>
        <v>1199.289716909962</v>
      </c>
      <c r="M43" s="101">
        <f>IF(M11=0,0,M11/TrAvia_act!M29*1000000)</f>
        <v>1290.5101622070545</v>
      </c>
      <c r="N43" s="101">
        <f>IF(N11=0,0,N11/TrAvia_act!N29*1000000)</f>
        <v>1341.8352230261287</v>
      </c>
      <c r="O43" s="101">
        <f>IF(O11=0,0,O11/TrAvia_act!O29*1000000)</f>
        <v>1281.1108710515175</v>
      </c>
      <c r="P43" s="101">
        <f>IF(P11=0,0,P11/TrAvia_act!P29*1000000)</f>
        <v>1336.4014777930115</v>
      </c>
      <c r="Q43" s="101">
        <f>IF(Q11=0,0,Q11/TrAvia_act!Q29*1000000)</f>
        <v>1332.8081006898785</v>
      </c>
      <c r="R43" s="101">
        <f>IF(R11=0,0,R11/TrAvia_act!R29*1000000)</f>
        <v>1396.9093067864592</v>
      </c>
      <c r="S43" s="101">
        <f>IF(S11=0,0,S11/TrAvia_act!S29*1000000)</f>
        <v>1401.8466632961472</v>
      </c>
      <c r="T43" s="101">
        <f>IF(T11=0,0,T11/TrAvia_act!T29*1000000)</f>
        <v>1477.3675597660231</v>
      </c>
      <c r="U43" s="101">
        <f>IF(U11=0,0,U11/TrAvia_act!U29*1000000)</f>
        <v>1399.2428797042517</v>
      </c>
      <c r="V43" s="101">
        <f>IF(V11=0,0,V11/TrAvia_act!V29*1000000)</f>
        <v>1467.1714393104412</v>
      </c>
      <c r="W43" s="101">
        <f>IF(W11=0,0,W11/TrAvia_act!W29*1000000)</f>
        <v>1324.1359974305058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3565.507531382731</v>
      </c>
      <c r="C44" s="101">
        <f>IF(C12=0,0,C12/TrAvia_act!C30*1000000)</f>
        <v>3509.2693394951871</v>
      </c>
      <c r="D44" s="101">
        <f>IF(D12=0,0,D12/TrAvia_act!D30*1000000)</f>
        <v>3732.173799354086</v>
      </c>
      <c r="E44" s="101">
        <f>IF(E12=0,0,E12/TrAvia_act!E30*1000000)</f>
        <v>3424.9319614145938</v>
      </c>
      <c r="F44" s="101">
        <f>IF(F12=0,0,F12/TrAvia_act!F30*1000000)</f>
        <v>3513.8021823732252</v>
      </c>
      <c r="G44" s="101">
        <f>IF(G12=0,0,G12/TrAvia_act!G30*1000000)</f>
        <v>3606.49135805794</v>
      </c>
      <c r="H44" s="101">
        <f>IF(H12=0,0,H12/TrAvia_act!H30*1000000)</f>
        <v>3893.581394459301</v>
      </c>
      <c r="I44" s="101">
        <f>IF(I12=0,0,I12/TrAvia_act!I30*1000000)</f>
        <v>4266.3841288845097</v>
      </c>
      <c r="J44" s="101">
        <f>IF(J12=0,0,J12/TrAvia_act!J30*1000000)</f>
        <v>4363.2952479953137</v>
      </c>
      <c r="K44" s="101">
        <f>IF(K12=0,0,K12/TrAvia_act!K30*1000000)</f>
        <v>4014.9040233179089</v>
      </c>
      <c r="L44" s="101">
        <f>IF(L12=0,0,L12/TrAvia_act!L30*1000000)</f>
        <v>4071.0897035942071</v>
      </c>
      <c r="M44" s="101">
        <f>IF(M12=0,0,M12/TrAvia_act!M30*1000000)</f>
        <v>4229.7150890307657</v>
      </c>
      <c r="N44" s="101">
        <f>IF(N12=0,0,N12/TrAvia_act!N30*1000000)</f>
        <v>4202.3266674307633</v>
      </c>
      <c r="O44" s="101">
        <f>IF(O12=0,0,O12/TrAvia_act!O30*1000000)</f>
        <v>4523.2750651423748</v>
      </c>
      <c r="P44" s="101">
        <f>IF(P12=0,0,P12/TrAvia_act!P30*1000000)</f>
        <v>4581.0310759077265</v>
      </c>
      <c r="Q44" s="101">
        <f>IF(Q12=0,0,Q12/TrAvia_act!Q30*1000000)</f>
        <v>4820.0167595240273</v>
      </c>
      <c r="R44" s="101">
        <f>IF(R12=0,0,R12/TrAvia_act!R30*1000000)</f>
        <v>5338.069596819535</v>
      </c>
      <c r="S44" s="101">
        <f>IF(S12=0,0,S12/TrAvia_act!S30*1000000)</f>
        <v>6082.1675239361139</v>
      </c>
      <c r="T44" s="101">
        <f>IF(T12=0,0,T12/TrAvia_act!T30*1000000)</f>
        <v>6952.8362814517468</v>
      </c>
      <c r="U44" s="101">
        <f>IF(U12=0,0,U12/TrAvia_act!U30*1000000)</f>
        <v>8197.1013445643894</v>
      </c>
      <c r="V44" s="101">
        <f>IF(V12=0,0,V12/TrAvia_act!V30*1000000)</f>
        <v>5079.5636999516855</v>
      </c>
      <c r="W44" s="101">
        <f>IF(W12=0,0,W12/TrAvia_act!W30*1000000)</f>
        <v>5567.455384791725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10663.23343784254</v>
      </c>
      <c r="C45" s="88">
        <f>IF(C13=0,0,C13/TrAvia_act!C31*1000000)</f>
        <v>10759.343751535</v>
      </c>
      <c r="D45" s="88">
        <f>IF(D13=0,0,D13/TrAvia_act!D31*1000000)</f>
        <v>11295.828027760246</v>
      </c>
      <c r="E45" s="88">
        <f>IF(E13=0,0,E13/TrAvia_act!E31*1000000)</f>
        <v>10792.307519415661</v>
      </c>
      <c r="F45" s="88">
        <f>IF(F13=0,0,F13/TrAvia_act!F31*1000000)</f>
        <v>11075.975494068816</v>
      </c>
      <c r="G45" s="88">
        <f>IF(G13=0,0,G13/TrAvia_act!G31*1000000)</f>
        <v>11257.347824426202</v>
      </c>
      <c r="H45" s="88">
        <f>IF(H13=0,0,H13/TrAvia_act!H31*1000000)</f>
        <v>8123.6908347609087</v>
      </c>
      <c r="I45" s="88">
        <f>IF(I13=0,0,I13/TrAvia_act!I31*1000000)</f>
        <v>6017.1674483344741</v>
      </c>
      <c r="J45" s="88">
        <f>IF(J13=0,0,J13/TrAvia_act!J31*1000000)</f>
        <v>4293.5421099882597</v>
      </c>
      <c r="K45" s="88">
        <f>IF(K13=0,0,K13/TrAvia_act!K31*1000000)</f>
        <v>3274.7449937244764</v>
      </c>
      <c r="L45" s="88">
        <f>IF(L13=0,0,L13/TrAvia_act!L31*1000000)</f>
        <v>2659.7960380894806</v>
      </c>
      <c r="M45" s="88">
        <f>IF(M13=0,0,M13/TrAvia_act!M31*1000000)</f>
        <v>3460.8400369665769</v>
      </c>
      <c r="N45" s="88">
        <f>IF(N13=0,0,N13/TrAvia_act!N31*1000000)</f>
        <v>4618.2105226288422</v>
      </c>
      <c r="O45" s="88">
        <f>IF(O13=0,0,O13/TrAvia_act!O31*1000000)</f>
        <v>4426.9091476662688</v>
      </c>
      <c r="P45" s="88">
        <f>IF(P13=0,0,P13/TrAvia_act!P31*1000000)</f>
        <v>3541.7958100420492</v>
      </c>
      <c r="Q45" s="88">
        <f>IF(Q13=0,0,Q13/TrAvia_act!Q31*1000000)</f>
        <v>3149.9299294400857</v>
      </c>
      <c r="R45" s="88">
        <f>IF(R13=0,0,R13/TrAvia_act!R31*1000000)</f>
        <v>3022.7447042476592</v>
      </c>
      <c r="S45" s="88">
        <f>IF(S13=0,0,S13/TrAvia_act!S31*1000000)</f>
        <v>2738.8506033304661</v>
      </c>
      <c r="T45" s="88">
        <f>IF(T13=0,0,T13/TrAvia_act!T31*1000000)</f>
        <v>2468.6420159550348</v>
      </c>
      <c r="U45" s="88">
        <f>IF(U13=0,0,U13/TrAvia_act!U31*1000000)</f>
        <v>1904.5350664955847</v>
      </c>
      <c r="V45" s="88">
        <f>IF(V13=0,0,V13/TrAvia_act!V31*1000000)</f>
        <v>2711.7954864986359</v>
      </c>
      <c r="W45" s="88">
        <f>IF(W13=0,0,W13/TrAvia_act!W31*1000000)</f>
        <v>2446.9624770638288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0.97835727052763</v>
      </c>
      <c r="C48" s="16">
        <f t="shared" si="35"/>
        <v>0.9825581597314812</v>
      </c>
      <c r="D48" s="16">
        <f t="shared" ref="D48:V48" si="36">IF(D6=0,0,D6/D$3)</f>
        <v>0.98184199879198264</v>
      </c>
      <c r="E48" s="16">
        <f t="shared" si="36"/>
        <v>0.97862599512455661</v>
      </c>
      <c r="F48" s="16">
        <f t="shared" si="36"/>
        <v>0.97454105616465148</v>
      </c>
      <c r="G48" s="16">
        <f t="shared" si="36"/>
        <v>0.97278705064587145</v>
      </c>
      <c r="H48" s="16">
        <f t="shared" si="36"/>
        <v>0.97355387709772445</v>
      </c>
      <c r="I48" s="16">
        <f t="shared" si="36"/>
        <v>0.9741180842334336</v>
      </c>
      <c r="J48" s="16">
        <f t="shared" si="36"/>
        <v>0.97926296413163338</v>
      </c>
      <c r="K48" s="16">
        <f t="shared" si="36"/>
        <v>0.98192135466878561</v>
      </c>
      <c r="L48" s="16">
        <f t="shared" si="36"/>
        <v>0.98187926567058537</v>
      </c>
      <c r="M48" s="16">
        <f t="shared" si="36"/>
        <v>0.98392463175159395</v>
      </c>
      <c r="N48" s="16">
        <f t="shared" si="36"/>
        <v>0.98121920058972556</v>
      </c>
      <c r="O48" s="16">
        <f t="shared" si="36"/>
        <v>0.98044505465638887</v>
      </c>
      <c r="P48" s="16">
        <f t="shared" si="36"/>
        <v>0.98233299502500104</v>
      </c>
      <c r="Q48" s="16">
        <f t="shared" si="36"/>
        <v>0.98164755849958329</v>
      </c>
      <c r="R48" s="16">
        <f t="shared" si="36"/>
        <v>0.98261540477712739</v>
      </c>
      <c r="S48" s="16">
        <f t="shared" si="36"/>
        <v>0.98226142231206093</v>
      </c>
      <c r="T48" s="16">
        <f t="shared" si="36"/>
        <v>0.98493624480504893</v>
      </c>
      <c r="U48" s="16">
        <f t="shared" si="36"/>
        <v>0.98013234035457342</v>
      </c>
      <c r="V48" s="16">
        <f t="shared" si="36"/>
        <v>0.96701961081068655</v>
      </c>
      <c r="W48" s="16">
        <f t="shared" ref="W48" si="37">IF(W6=0,0,W6/W$3)</f>
        <v>0.96583576653554015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0.26045513423682992</v>
      </c>
      <c r="C49" s="103">
        <f t="shared" si="38"/>
        <v>0.25294390700484065</v>
      </c>
      <c r="D49" s="103">
        <f t="shared" ref="D49:V49" si="39">IF(D7=0,0,D7/D$3)</f>
        <v>0.23024060006160785</v>
      </c>
      <c r="E49" s="103">
        <f t="shared" si="39"/>
        <v>0.22502757135854118</v>
      </c>
      <c r="F49" s="103">
        <f t="shared" si="39"/>
        <v>0.20423521602185454</v>
      </c>
      <c r="G49" s="103">
        <f t="shared" si="39"/>
        <v>0.19567957305102862</v>
      </c>
      <c r="H49" s="103">
        <f t="shared" si="39"/>
        <v>0.17200588809184411</v>
      </c>
      <c r="I49" s="103">
        <f t="shared" si="39"/>
        <v>0.14467744011853215</v>
      </c>
      <c r="J49" s="103">
        <f t="shared" si="39"/>
        <v>0.13136670675586995</v>
      </c>
      <c r="K49" s="103">
        <f t="shared" si="39"/>
        <v>0.13531011585571817</v>
      </c>
      <c r="L49" s="103">
        <f t="shared" si="39"/>
        <v>0.12649292744618604</v>
      </c>
      <c r="M49" s="103">
        <f t="shared" si="39"/>
        <v>0.12061601104940056</v>
      </c>
      <c r="N49" s="103">
        <f t="shared" si="39"/>
        <v>0.10591056592381259</v>
      </c>
      <c r="O49" s="103">
        <f t="shared" si="39"/>
        <v>8.980022562595176E-2</v>
      </c>
      <c r="P49" s="103">
        <f t="shared" si="39"/>
        <v>9.1106570176131288E-2</v>
      </c>
      <c r="Q49" s="103">
        <f t="shared" si="39"/>
        <v>8.6692857741294968E-2</v>
      </c>
      <c r="R49" s="103">
        <f t="shared" si="39"/>
        <v>8.7745242918870495E-2</v>
      </c>
      <c r="S49" s="103">
        <f t="shared" si="39"/>
        <v>8.5844175143859933E-2</v>
      </c>
      <c r="T49" s="103">
        <f t="shared" si="39"/>
        <v>8.2669104830640328E-2</v>
      </c>
      <c r="U49" s="103">
        <f t="shared" si="39"/>
        <v>7.3961014847179041E-2</v>
      </c>
      <c r="V49" s="103">
        <f t="shared" si="39"/>
        <v>9.222160615935332E-2</v>
      </c>
      <c r="W49" s="103">
        <f t="shared" ref="W49" si="40">IF(W7=0,0,W7/W$3)</f>
        <v>8.4968667448333618E-2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0.4673105779816466</v>
      </c>
      <c r="C50" s="103">
        <f t="shared" si="41"/>
        <v>0.48001680488382958</v>
      </c>
      <c r="D50" s="103">
        <f t="shared" ref="D50:V50" si="42">IF(D8=0,0,D8/D$3)</f>
        <v>0.48252086332424921</v>
      </c>
      <c r="E50" s="103">
        <f t="shared" si="42"/>
        <v>0.49200615641932355</v>
      </c>
      <c r="F50" s="103">
        <f t="shared" si="42"/>
        <v>0.4892135618822247</v>
      </c>
      <c r="G50" s="103">
        <f t="shared" si="42"/>
        <v>0.49242257726027461</v>
      </c>
      <c r="H50" s="103">
        <f t="shared" si="42"/>
        <v>0.51645418172758017</v>
      </c>
      <c r="I50" s="103">
        <f t="shared" si="42"/>
        <v>0.54048140914723553</v>
      </c>
      <c r="J50" s="103">
        <f t="shared" si="42"/>
        <v>0.54887435346839653</v>
      </c>
      <c r="K50" s="103">
        <f t="shared" si="42"/>
        <v>0.53812717770250351</v>
      </c>
      <c r="L50" s="103">
        <f t="shared" si="42"/>
        <v>0.54370497557565589</v>
      </c>
      <c r="M50" s="103">
        <f t="shared" si="42"/>
        <v>0.54871564757751135</v>
      </c>
      <c r="N50" s="103">
        <f t="shared" si="42"/>
        <v>0.54724615796168641</v>
      </c>
      <c r="O50" s="103">
        <f t="shared" si="42"/>
        <v>0.55658082907303041</v>
      </c>
      <c r="P50" s="103">
        <f t="shared" si="42"/>
        <v>0.56156779746779695</v>
      </c>
      <c r="Q50" s="103">
        <f t="shared" si="42"/>
        <v>0.5671310099996687</v>
      </c>
      <c r="R50" s="103">
        <f t="shared" si="42"/>
        <v>0.58017983504974335</v>
      </c>
      <c r="S50" s="103">
        <f t="shared" si="42"/>
        <v>0.59138131349458223</v>
      </c>
      <c r="T50" s="103">
        <f t="shared" si="42"/>
        <v>0.59378257636938025</v>
      </c>
      <c r="U50" s="103">
        <f t="shared" si="42"/>
        <v>0.59084794128330753</v>
      </c>
      <c r="V50" s="103">
        <f t="shared" si="42"/>
        <v>0.51407149925400075</v>
      </c>
      <c r="W50" s="103">
        <f t="shared" ref="W50" si="43">IF(W8=0,0,W8/W$3)</f>
        <v>0.54611684532991356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0.25059155830915347</v>
      </c>
      <c r="C51" s="103">
        <f t="shared" si="44"/>
        <v>0.24959744784281088</v>
      </c>
      <c r="D51" s="103">
        <f t="shared" ref="D51:V51" si="45">IF(D9=0,0,D9/D$3)</f>
        <v>0.26908053540612553</v>
      </c>
      <c r="E51" s="103">
        <f t="shared" si="45"/>
        <v>0.26159226734669178</v>
      </c>
      <c r="F51" s="103">
        <f t="shared" si="45"/>
        <v>0.2810922782605722</v>
      </c>
      <c r="G51" s="103">
        <f t="shared" si="45"/>
        <v>0.28468490033456828</v>
      </c>
      <c r="H51" s="103">
        <f t="shared" si="45"/>
        <v>0.28509380727830019</v>
      </c>
      <c r="I51" s="103">
        <f t="shared" si="45"/>
        <v>0.2889592349676659</v>
      </c>
      <c r="J51" s="103">
        <f t="shared" si="45"/>
        <v>0.29902190390736683</v>
      </c>
      <c r="K51" s="103">
        <f t="shared" si="45"/>
        <v>0.30848406111056398</v>
      </c>
      <c r="L51" s="103">
        <f t="shared" si="45"/>
        <v>0.31168136264874347</v>
      </c>
      <c r="M51" s="103">
        <f t="shared" si="45"/>
        <v>0.31459297312468204</v>
      </c>
      <c r="N51" s="103">
        <f t="shared" si="45"/>
        <v>0.32806247670422667</v>
      </c>
      <c r="O51" s="103">
        <f t="shared" si="45"/>
        <v>0.33406399995740677</v>
      </c>
      <c r="P51" s="103">
        <f t="shared" si="45"/>
        <v>0.32965862738107293</v>
      </c>
      <c r="Q51" s="103">
        <f t="shared" si="45"/>
        <v>0.32782369075861961</v>
      </c>
      <c r="R51" s="103">
        <f t="shared" si="45"/>
        <v>0.31469032680851367</v>
      </c>
      <c r="S51" s="103">
        <f t="shared" si="45"/>
        <v>0.30503593367361881</v>
      </c>
      <c r="T51" s="103">
        <f t="shared" si="45"/>
        <v>0.30848456360502824</v>
      </c>
      <c r="U51" s="103">
        <f t="shared" si="45"/>
        <v>0.31532338422408673</v>
      </c>
      <c r="V51" s="103">
        <f t="shared" si="45"/>
        <v>0.36072650539733236</v>
      </c>
      <c r="W51" s="103">
        <f t="shared" ref="W51" si="46">IF(W9=0,0,W9/W$3)</f>
        <v>0.33475025375729306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2.1642729472369979E-2</v>
      </c>
      <c r="C52" s="17">
        <f t="shared" si="47"/>
        <v>1.7441840268518832E-2</v>
      </c>
      <c r="D52" s="17">
        <f t="shared" ref="D52:V52" si="48">IF(D10=0,0,D10/D$3)</f>
        <v>1.8158001208017371E-2</v>
      </c>
      <c r="E52" s="17">
        <f t="shared" si="48"/>
        <v>2.1374004875443574E-2</v>
      </c>
      <c r="F52" s="17">
        <f t="shared" si="48"/>
        <v>2.5458943835348458E-2</v>
      </c>
      <c r="G52" s="17">
        <f t="shared" si="48"/>
        <v>2.7212949354128487E-2</v>
      </c>
      <c r="H52" s="17">
        <f t="shared" si="48"/>
        <v>2.6446122902275573E-2</v>
      </c>
      <c r="I52" s="17">
        <f t="shared" si="48"/>
        <v>2.5881915766566534E-2</v>
      </c>
      <c r="J52" s="17">
        <f t="shared" si="48"/>
        <v>2.0737035868366758E-2</v>
      </c>
      <c r="K52" s="17">
        <f t="shared" si="48"/>
        <v>1.8078645331214439E-2</v>
      </c>
      <c r="L52" s="17">
        <f t="shared" si="48"/>
        <v>1.8120734329414627E-2</v>
      </c>
      <c r="M52" s="17">
        <f t="shared" si="48"/>
        <v>1.6075368248406149E-2</v>
      </c>
      <c r="N52" s="17">
        <f t="shared" si="48"/>
        <v>1.8780799410274281E-2</v>
      </c>
      <c r="O52" s="17">
        <f t="shared" si="48"/>
        <v>1.9554945343610977E-2</v>
      </c>
      <c r="P52" s="17">
        <f t="shared" si="48"/>
        <v>1.7667004974998728E-2</v>
      </c>
      <c r="Q52" s="17">
        <f t="shared" si="48"/>
        <v>1.8352441500416802E-2</v>
      </c>
      <c r="R52" s="17">
        <f t="shared" si="48"/>
        <v>1.7384595222872463E-2</v>
      </c>
      <c r="S52" s="17">
        <f t="shared" si="48"/>
        <v>1.7738577687938968E-2</v>
      </c>
      <c r="T52" s="17">
        <f t="shared" si="48"/>
        <v>1.5063755194951145E-2</v>
      </c>
      <c r="U52" s="17">
        <f t="shared" si="48"/>
        <v>1.9867659645426861E-2</v>
      </c>
      <c r="V52" s="17">
        <f t="shared" si="48"/>
        <v>3.2980389189313432E-2</v>
      </c>
      <c r="W52" s="17">
        <f t="shared" ref="W52" si="49">IF(W10=0,0,W10/W$3)</f>
        <v>3.4164233464459771E-2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3.3110634125900467E-3</v>
      </c>
      <c r="C53" s="104">
        <f t="shared" si="50"/>
        <v>2.4971034870457415E-3</v>
      </c>
      <c r="D53" s="104">
        <f t="shared" ref="D53:V53" si="51">IF(D11=0,0,D11/D$3)</f>
        <v>2.2971664660335696E-3</v>
      </c>
      <c r="E53" s="104">
        <f t="shared" si="51"/>
        <v>1.8603749606453245E-3</v>
      </c>
      <c r="F53" s="104">
        <f t="shared" si="51"/>
        <v>1.6615496610831294E-3</v>
      </c>
      <c r="G53" s="104">
        <f t="shared" si="51"/>
        <v>1.5591006044999665E-3</v>
      </c>
      <c r="H53" s="104">
        <f t="shared" si="51"/>
        <v>1.3657197452959387E-3</v>
      </c>
      <c r="I53" s="104">
        <f t="shared" si="51"/>
        <v>9.9828568290458468E-4</v>
      </c>
      <c r="J53" s="104">
        <f t="shared" si="51"/>
        <v>7.5007093827147238E-4</v>
      </c>
      <c r="K53" s="104">
        <f t="shared" si="51"/>
        <v>8.2949355968175108E-4</v>
      </c>
      <c r="L53" s="104">
        <f t="shared" si="51"/>
        <v>6.1083104746906681E-4</v>
      </c>
      <c r="M53" s="104">
        <f t="shared" si="51"/>
        <v>4.7815115205566717E-4</v>
      </c>
      <c r="N53" s="104">
        <f t="shared" si="51"/>
        <v>5.4854310502440321E-4</v>
      </c>
      <c r="O53" s="104">
        <f t="shared" si="51"/>
        <v>4.4894638955600571E-4</v>
      </c>
      <c r="P53" s="104">
        <f t="shared" si="51"/>
        <v>3.6033990171217806E-4</v>
      </c>
      <c r="Q53" s="104">
        <f t="shared" si="51"/>
        <v>3.4023531244030235E-4</v>
      </c>
      <c r="R53" s="104">
        <f t="shared" si="51"/>
        <v>3.7287851838990006E-4</v>
      </c>
      <c r="S53" s="104">
        <f t="shared" si="51"/>
        <v>2.786239749966092E-4</v>
      </c>
      <c r="T53" s="104">
        <f t="shared" si="51"/>
        <v>1.6703445032779208E-4</v>
      </c>
      <c r="U53" s="104">
        <f t="shared" si="51"/>
        <v>1.6506956333232003E-4</v>
      </c>
      <c r="V53" s="104">
        <f t="shared" si="51"/>
        <v>5.2140829350282947E-4</v>
      </c>
      <c r="W53" s="104">
        <f t="shared" ref="W53" si="52">IF(W11=0,0,W11/W$3)</f>
        <v>3.8452826706683038E-4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9.6983207899588725E-3</v>
      </c>
      <c r="C54" s="104">
        <f t="shared" si="53"/>
        <v>8.5047235803319288E-3</v>
      </c>
      <c r="D54" s="104">
        <f t="shared" ref="D54:V54" si="54">IF(D12=0,0,D12/D$3)</f>
        <v>8.3413103276108753E-3</v>
      </c>
      <c r="E54" s="104">
        <f t="shared" si="54"/>
        <v>1.2181424186726663E-2</v>
      </c>
      <c r="F54" s="104">
        <f t="shared" si="54"/>
        <v>1.4935823653933417E-2</v>
      </c>
      <c r="G54" s="104">
        <f t="shared" si="54"/>
        <v>1.5262599577614956E-2</v>
      </c>
      <c r="H54" s="104">
        <f t="shared" si="54"/>
        <v>1.7497849004128537E-2</v>
      </c>
      <c r="I54" s="104">
        <f t="shared" si="54"/>
        <v>1.809428020920759E-2</v>
      </c>
      <c r="J54" s="104">
        <f t="shared" si="54"/>
        <v>1.4432514769880686E-2</v>
      </c>
      <c r="K54" s="104">
        <f t="shared" si="54"/>
        <v>1.350252991511878E-2</v>
      </c>
      <c r="L54" s="104">
        <f t="shared" si="54"/>
        <v>1.3540397165497415E-2</v>
      </c>
      <c r="M54" s="104">
        <f t="shared" si="54"/>
        <v>1.0568172537148625E-2</v>
      </c>
      <c r="N54" s="104">
        <f t="shared" si="54"/>
        <v>1.0934948108756299E-2</v>
      </c>
      <c r="O54" s="104">
        <f t="shared" si="54"/>
        <v>1.288795511821042E-2</v>
      </c>
      <c r="P54" s="104">
        <f t="shared" si="54"/>
        <v>1.2962999835565205E-2</v>
      </c>
      <c r="Q54" s="104">
        <f t="shared" si="54"/>
        <v>1.449031699998939E-2</v>
      </c>
      <c r="R54" s="104">
        <f t="shared" si="54"/>
        <v>1.3642628121869461E-2</v>
      </c>
      <c r="S54" s="104">
        <f t="shared" si="54"/>
        <v>1.4359307796093696E-2</v>
      </c>
      <c r="T54" s="104">
        <f t="shared" si="54"/>
        <v>1.2102711976106077E-2</v>
      </c>
      <c r="U54" s="104">
        <f t="shared" si="54"/>
        <v>1.7334009349629129E-2</v>
      </c>
      <c r="V54" s="104">
        <f t="shared" si="54"/>
        <v>2.3516289373933515E-2</v>
      </c>
      <c r="W54" s="104">
        <f t="shared" ref="W54" si="55">IF(W12=0,0,W12/W$3)</f>
        <v>2.3112684601095477E-2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8.6333452698210602E-3</v>
      </c>
      <c r="C55" s="105">
        <f t="shared" si="56"/>
        <v>6.4400132011411633E-3</v>
      </c>
      <c r="D55" s="105">
        <f t="shared" ref="D55:V55" si="57">IF(D13=0,0,D13/D$3)</f>
        <v>7.5195244143729271E-3</v>
      </c>
      <c r="E55" s="105">
        <f t="shared" si="57"/>
        <v>7.3322057280715862E-3</v>
      </c>
      <c r="F55" s="105">
        <f t="shared" si="57"/>
        <v>8.8615705203319104E-3</v>
      </c>
      <c r="G55" s="105">
        <f t="shared" si="57"/>
        <v>1.0391249172013561E-2</v>
      </c>
      <c r="H55" s="105">
        <f t="shared" si="57"/>
        <v>7.582554152851099E-3</v>
      </c>
      <c r="I55" s="105">
        <f t="shared" si="57"/>
        <v>6.7893498744543562E-3</v>
      </c>
      <c r="J55" s="105">
        <f t="shared" si="57"/>
        <v>5.5544501602145975E-3</v>
      </c>
      <c r="K55" s="105">
        <f t="shared" si="57"/>
        <v>3.7466218564139063E-3</v>
      </c>
      <c r="L55" s="105">
        <f t="shared" si="57"/>
        <v>3.9695061164481474E-3</v>
      </c>
      <c r="M55" s="105">
        <f t="shared" si="57"/>
        <v>5.0290445592018592E-3</v>
      </c>
      <c r="N55" s="105">
        <f t="shared" si="57"/>
        <v>7.297308196493579E-3</v>
      </c>
      <c r="O55" s="105">
        <f t="shared" si="57"/>
        <v>6.2180438358445493E-3</v>
      </c>
      <c r="P55" s="105">
        <f t="shared" si="57"/>
        <v>4.3436652377213435E-3</v>
      </c>
      <c r="Q55" s="105">
        <f t="shared" si="57"/>
        <v>3.5218891879871101E-3</v>
      </c>
      <c r="R55" s="105">
        <f t="shared" si="57"/>
        <v>3.3690885826131011E-3</v>
      </c>
      <c r="S55" s="105">
        <f t="shared" si="57"/>
        <v>3.1006459168486629E-3</v>
      </c>
      <c r="T55" s="105">
        <f t="shared" si="57"/>
        <v>2.7940087685172773E-3</v>
      </c>
      <c r="U55" s="105">
        <f t="shared" si="57"/>
        <v>2.3685807324654137E-3</v>
      </c>
      <c r="V55" s="105">
        <f t="shared" si="57"/>
        <v>8.9426915218770858E-3</v>
      </c>
      <c r="W55" s="105">
        <f t="shared" ref="W55" si="58">IF(W13=0,0,W13/W$3)</f>
        <v>1.0667020596297464E-2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470.1326910519337</v>
      </c>
      <c r="C57" s="62">
        <v>468.62235240542947</v>
      </c>
      <c r="D57" s="62">
        <v>471.33901666966068</v>
      </c>
      <c r="E57" s="62">
        <v>467.80839835088926</v>
      </c>
      <c r="F57" s="62">
        <v>468.78982994894926</v>
      </c>
      <c r="G57" s="62">
        <v>482.19440059087725</v>
      </c>
      <c r="H57" s="62">
        <v>490.9568386654376</v>
      </c>
      <c r="I57" s="62">
        <v>501.35700415339511</v>
      </c>
      <c r="J57" s="62">
        <v>496.5760858832046</v>
      </c>
      <c r="K57" s="62">
        <v>491.58102991128072</v>
      </c>
      <c r="L57" s="62">
        <v>499.73464987318721</v>
      </c>
      <c r="M57" s="62">
        <v>510.80132654205408</v>
      </c>
      <c r="N57" s="62">
        <v>526.83030069297638</v>
      </c>
      <c r="O57" s="62">
        <v>528.61742537211319</v>
      </c>
      <c r="P57" s="62">
        <v>509.63884830021476</v>
      </c>
      <c r="Q57" s="62">
        <v>502.59535410880926</v>
      </c>
      <c r="R57" s="62">
        <v>524.73184825439159</v>
      </c>
      <c r="S57" s="62">
        <v>527.26898337048374</v>
      </c>
      <c r="T57" s="62">
        <v>521.87984410948991</v>
      </c>
      <c r="U57" s="62">
        <v>529.67794745186552</v>
      </c>
      <c r="V57" s="62">
        <v>533.89748178973775</v>
      </c>
      <c r="W57" s="62">
        <v>528.79515426831915</v>
      </c>
      <c r="DA57" s="172" t="s">
        <v>313</v>
      </c>
    </row>
    <row r="58" spans="1:105" ht="11.45" customHeight="1" x14ac:dyDescent="0.25">
      <c r="A58" s="10" t="s">
        <v>33</v>
      </c>
      <c r="B58" s="14">
        <v>471.92720578474979</v>
      </c>
      <c r="C58" s="14">
        <v>470.12015512317646</v>
      </c>
      <c r="D58" s="14">
        <v>472.85816117330586</v>
      </c>
      <c r="E58" s="14">
        <v>469.84992128658519</v>
      </c>
      <c r="F58" s="14">
        <v>471.34052696987214</v>
      </c>
      <c r="G58" s="14">
        <v>484.8749549838426</v>
      </c>
      <c r="H58" s="14">
        <v>494.42068548976931</v>
      </c>
      <c r="I58" s="14">
        <v>505.2773649953337</v>
      </c>
      <c r="J58" s="14">
        <v>499.44439543232306</v>
      </c>
      <c r="K58" s="14">
        <v>493.73349294211295</v>
      </c>
      <c r="L58" s="14">
        <v>501.36938088930731</v>
      </c>
      <c r="M58" s="14">
        <v>512.09838406057236</v>
      </c>
      <c r="N58" s="14">
        <v>527.9662895083934</v>
      </c>
      <c r="O58" s="14">
        <v>530.54084640401697</v>
      </c>
      <c r="P58" s="14">
        <v>511.29176982070032</v>
      </c>
      <c r="Q58" s="14">
        <v>504.30743888345728</v>
      </c>
      <c r="R58" s="14">
        <v>526.98366705541423</v>
      </c>
      <c r="S58" s="14">
        <v>529.72919586061289</v>
      </c>
      <c r="T58" s="14">
        <v>523.77999312090424</v>
      </c>
      <c r="U58" s="14">
        <v>532.47033710263497</v>
      </c>
      <c r="V58" s="14">
        <v>539.75928985065946</v>
      </c>
      <c r="W58" s="14">
        <v>534.17080321447486</v>
      </c>
      <c r="DA58" s="189" t="s">
        <v>314</v>
      </c>
    </row>
    <row r="59" spans="1:105" ht="11.45" customHeight="1" x14ac:dyDescent="0.25">
      <c r="A59" s="83" t="s">
        <v>27</v>
      </c>
      <c r="B59" s="87">
        <v>534.89272496425031</v>
      </c>
      <c r="C59" s="87">
        <v>534.89272496425019</v>
      </c>
      <c r="D59" s="87">
        <v>534.89272496425019</v>
      </c>
      <c r="E59" s="87">
        <v>534.89272496425031</v>
      </c>
      <c r="F59" s="87">
        <v>534.89272496425019</v>
      </c>
      <c r="G59" s="87">
        <v>525.6306479833695</v>
      </c>
      <c r="H59" s="87">
        <v>546.96236416560339</v>
      </c>
      <c r="I59" s="87">
        <v>522.98566073563109</v>
      </c>
      <c r="J59" s="87">
        <v>530.75478851405342</v>
      </c>
      <c r="K59" s="87">
        <v>519.91502842786701</v>
      </c>
      <c r="L59" s="87">
        <v>512.27095276592809</v>
      </c>
      <c r="M59" s="87">
        <v>511.19108544660367</v>
      </c>
      <c r="N59" s="87">
        <v>505.03298599235069</v>
      </c>
      <c r="O59" s="87">
        <v>516.72297586492778</v>
      </c>
      <c r="P59" s="87">
        <v>508.68186797845868</v>
      </c>
      <c r="Q59" s="87">
        <v>511.69488188458678</v>
      </c>
      <c r="R59" s="87">
        <v>510.6734809660926</v>
      </c>
      <c r="S59" s="87">
        <v>506.75415481485237</v>
      </c>
      <c r="T59" s="87">
        <v>493.56908914050473</v>
      </c>
      <c r="U59" s="87">
        <v>489.64464572224904</v>
      </c>
      <c r="V59" s="87">
        <v>466.74480482742911</v>
      </c>
      <c r="W59" s="87">
        <v>461.31759920345309</v>
      </c>
      <c r="DA59" s="171" t="s">
        <v>315</v>
      </c>
    </row>
    <row r="60" spans="1:105" ht="11.45" customHeight="1" x14ac:dyDescent="0.25">
      <c r="A60" s="83" t="s">
        <v>173</v>
      </c>
      <c r="B60" s="87">
        <v>386.8834675907666</v>
      </c>
      <c r="C60" s="87">
        <v>387.14379072135034</v>
      </c>
      <c r="D60" s="87">
        <v>387.45877718881235</v>
      </c>
      <c r="E60" s="87">
        <v>387.09845783163098</v>
      </c>
      <c r="F60" s="87">
        <v>387.05443187684187</v>
      </c>
      <c r="G60" s="87">
        <v>386.40683686989684</v>
      </c>
      <c r="H60" s="87">
        <v>381.66230693352617</v>
      </c>
      <c r="I60" s="87">
        <v>378.21788065235268</v>
      </c>
      <c r="J60" s="87">
        <v>377.63011477882424</v>
      </c>
      <c r="K60" s="87">
        <v>374.7596205316039</v>
      </c>
      <c r="L60" s="87">
        <v>374.27845898794209</v>
      </c>
      <c r="M60" s="87">
        <v>380.04170436303684</v>
      </c>
      <c r="N60" s="87">
        <v>387.78997798411115</v>
      </c>
      <c r="O60" s="87">
        <v>385.65432775172081</v>
      </c>
      <c r="P60" s="87">
        <v>384.63782147917499</v>
      </c>
      <c r="Q60" s="87">
        <v>385.0808097373104</v>
      </c>
      <c r="R60" s="87">
        <v>385.34992833200704</v>
      </c>
      <c r="S60" s="87">
        <v>386.2340452107461</v>
      </c>
      <c r="T60" s="87">
        <v>386.6734954445767</v>
      </c>
      <c r="U60" s="87">
        <v>385.48374055329668</v>
      </c>
      <c r="V60" s="87">
        <v>388.78286841139794</v>
      </c>
      <c r="W60" s="87">
        <v>387.73488798281966</v>
      </c>
      <c r="DA60" s="171" t="s">
        <v>316</v>
      </c>
    </row>
    <row r="61" spans="1:105" ht="11.45" customHeight="1" x14ac:dyDescent="0.25">
      <c r="A61" s="83" t="s">
        <v>174</v>
      </c>
      <c r="B61" s="87">
        <v>667.03204028333334</v>
      </c>
      <c r="C61" s="87">
        <v>667.03204028333334</v>
      </c>
      <c r="D61" s="87">
        <v>667.03204028333334</v>
      </c>
      <c r="E61" s="87">
        <v>667.03204028333334</v>
      </c>
      <c r="F61" s="87">
        <v>667.03204028333334</v>
      </c>
      <c r="G61" s="87">
        <v>738.24432002109938</v>
      </c>
      <c r="H61" s="87">
        <v>742.66297803516488</v>
      </c>
      <c r="I61" s="87">
        <v>780.85975386314442</v>
      </c>
      <c r="J61" s="87">
        <v>719.88304738100237</v>
      </c>
      <c r="K61" s="87">
        <v>706.01839429422944</v>
      </c>
      <c r="L61" s="87">
        <v>728.32747622656245</v>
      </c>
      <c r="M61" s="87">
        <v>737.93781762121375</v>
      </c>
      <c r="N61" s="87">
        <v>756.08731876303943</v>
      </c>
      <c r="O61" s="87">
        <v>756.94721209630029</v>
      </c>
      <c r="P61" s="87">
        <v>698.48588739686841</v>
      </c>
      <c r="Q61" s="87">
        <v>669.48988914424751</v>
      </c>
      <c r="R61" s="87">
        <v>738.3032977985265</v>
      </c>
      <c r="S61" s="87">
        <v>750.93628534296818</v>
      </c>
      <c r="T61" s="87">
        <v>729.98702230186643</v>
      </c>
      <c r="U61" s="87">
        <v>732.83686705633693</v>
      </c>
      <c r="V61" s="87">
        <v>753.68462058381112</v>
      </c>
      <c r="W61" s="87">
        <v>748.93660809623577</v>
      </c>
      <c r="DA61" s="171" t="s">
        <v>317</v>
      </c>
    </row>
    <row r="62" spans="1:105" ht="11.45" customHeight="1" x14ac:dyDescent="0.25">
      <c r="A62" s="12" t="s">
        <v>34</v>
      </c>
      <c r="B62" s="15">
        <v>388.44551693119757</v>
      </c>
      <c r="C62" s="15">
        <v>385.64291255697435</v>
      </c>
      <c r="D62" s="15">
        <v>389.28992817878265</v>
      </c>
      <c r="E62" s="15">
        <v>381.45834401667651</v>
      </c>
      <c r="F62" s="15">
        <v>381.21128753257818</v>
      </c>
      <c r="G62" s="15">
        <v>396.93462384664116</v>
      </c>
      <c r="H62" s="15">
        <v>381.56073632902263</v>
      </c>
      <c r="I62" s="15">
        <v>379.17414000323487</v>
      </c>
      <c r="J62" s="15">
        <v>381.92478170500539</v>
      </c>
      <c r="K62" s="15">
        <v>384.19449528702984</v>
      </c>
      <c r="L62" s="15">
        <v>414.55893002009992</v>
      </c>
      <c r="M62" s="15">
        <v>438.32075810527755</v>
      </c>
      <c r="N62" s="15">
        <v>473.83180116886621</v>
      </c>
      <c r="O62" s="15">
        <v>443.33534326212765</v>
      </c>
      <c r="P62" s="15">
        <v>423.9725550547289</v>
      </c>
      <c r="Q62" s="15">
        <v>413.19936873676085</v>
      </c>
      <c r="R62" s="15">
        <v>405.85564457580415</v>
      </c>
      <c r="S62" s="15">
        <v>396.87648949094034</v>
      </c>
      <c r="T62" s="15">
        <v>399.4565230221113</v>
      </c>
      <c r="U62" s="15">
        <v>376.57188114898946</v>
      </c>
      <c r="V62" s="15">
        <v>394.48659861012521</v>
      </c>
      <c r="W62" s="15">
        <v>404.56817589980153</v>
      </c>
      <c r="DA62" s="193" t="s">
        <v>318</v>
      </c>
    </row>
    <row r="63" spans="1:105" ht="11.45" customHeight="1" x14ac:dyDescent="0.25">
      <c r="A63" s="92" t="s">
        <v>27</v>
      </c>
      <c r="B63" s="101">
        <v>769.06598665319734</v>
      </c>
      <c r="C63" s="101">
        <v>769.06598665319723</v>
      </c>
      <c r="D63" s="101">
        <v>769.06598665319734</v>
      </c>
      <c r="E63" s="101">
        <v>769.06598665319723</v>
      </c>
      <c r="F63" s="101">
        <v>769.06598665319723</v>
      </c>
      <c r="G63" s="101">
        <v>745.14367778848464</v>
      </c>
      <c r="H63" s="101">
        <v>875.35260914924606</v>
      </c>
      <c r="I63" s="101">
        <v>872.0272345449016</v>
      </c>
      <c r="J63" s="101">
        <v>1001.9273789070068</v>
      </c>
      <c r="K63" s="101">
        <v>1063.0095906590227</v>
      </c>
      <c r="L63" s="101">
        <v>1152.7814736343457</v>
      </c>
      <c r="M63" s="101">
        <v>868.86728913413799</v>
      </c>
      <c r="N63" s="101">
        <v>696.44205071258034</v>
      </c>
      <c r="O63" s="101">
        <v>731.85485111283037</v>
      </c>
      <c r="P63" s="101">
        <v>717.78762483085211</v>
      </c>
      <c r="Q63" s="101">
        <v>732.12234623998768</v>
      </c>
      <c r="R63" s="101">
        <v>736.10820501940316</v>
      </c>
      <c r="S63" s="101">
        <v>732.21927112627327</v>
      </c>
      <c r="T63" s="101">
        <v>703.14734619281717</v>
      </c>
      <c r="U63" s="101">
        <v>751.68530163126684</v>
      </c>
      <c r="V63" s="101">
        <v>681.29285279428905</v>
      </c>
      <c r="W63" s="101">
        <v>665.56131734351993</v>
      </c>
      <c r="DA63" s="175" t="s">
        <v>319</v>
      </c>
    </row>
    <row r="64" spans="1:105" ht="11.45" customHeight="1" x14ac:dyDescent="0.25">
      <c r="A64" s="92" t="s">
        <v>173</v>
      </c>
      <c r="B64" s="101">
        <v>345.7627877341896</v>
      </c>
      <c r="C64" s="101">
        <v>347.94171521203185</v>
      </c>
      <c r="D64" s="101">
        <v>346.82828488757758</v>
      </c>
      <c r="E64" s="101">
        <v>349.66048362424431</v>
      </c>
      <c r="F64" s="101">
        <v>349.77022684966158</v>
      </c>
      <c r="G64" s="101">
        <v>347.0510502986113</v>
      </c>
      <c r="H64" s="101">
        <v>345.50420057839659</v>
      </c>
      <c r="I64" s="101">
        <v>340.92525980086685</v>
      </c>
      <c r="J64" s="101">
        <v>344.7236650056002</v>
      </c>
      <c r="K64" s="101">
        <v>344.57457982346307</v>
      </c>
      <c r="L64" s="101">
        <v>350.86054519867605</v>
      </c>
      <c r="M64" s="101">
        <v>353.54651060605954</v>
      </c>
      <c r="N64" s="101">
        <v>364.76694747434482</v>
      </c>
      <c r="O64" s="101">
        <v>353.9522186034734</v>
      </c>
      <c r="P64" s="101">
        <v>350.89511049998453</v>
      </c>
      <c r="Q64" s="101">
        <v>351.94568428463998</v>
      </c>
      <c r="R64" s="101">
        <v>347.81139518630835</v>
      </c>
      <c r="S64" s="101">
        <v>343.52349619551194</v>
      </c>
      <c r="T64" s="101">
        <v>339.40707866457734</v>
      </c>
      <c r="U64" s="101">
        <v>339.92906828763671</v>
      </c>
      <c r="V64" s="101">
        <v>366.54007337945995</v>
      </c>
      <c r="W64" s="101">
        <v>362.37460119084625</v>
      </c>
      <c r="DA64" s="175" t="s">
        <v>320</v>
      </c>
    </row>
    <row r="65" spans="1:105" ht="11.45" customHeight="1" x14ac:dyDescent="0.25">
      <c r="A65" s="85" t="s">
        <v>174</v>
      </c>
      <c r="B65" s="88">
        <v>448.96934358055267</v>
      </c>
      <c r="C65" s="88">
        <v>448.96934358055267</v>
      </c>
      <c r="D65" s="88">
        <v>448.96934358055262</v>
      </c>
      <c r="E65" s="88">
        <v>448.96934358055267</v>
      </c>
      <c r="F65" s="88">
        <v>448.96934358055262</v>
      </c>
      <c r="G65" s="88">
        <v>482.40801569682952</v>
      </c>
      <c r="H65" s="88">
        <v>456.66623321684773</v>
      </c>
      <c r="I65" s="88">
        <v>450.86124117998014</v>
      </c>
      <c r="J65" s="88">
        <v>445.38505396381839</v>
      </c>
      <c r="K65" s="88">
        <v>492.95592239246491</v>
      </c>
      <c r="L65" s="88">
        <v>593.26340295140324</v>
      </c>
      <c r="M65" s="88">
        <v>566.37487908238893</v>
      </c>
      <c r="N65" s="88">
        <v>585.30893005291489</v>
      </c>
      <c r="O65" s="88">
        <v>566.44150716300521</v>
      </c>
      <c r="P65" s="88">
        <v>576.05317860548109</v>
      </c>
      <c r="Q65" s="88">
        <v>589.77669976172444</v>
      </c>
      <c r="R65" s="88">
        <v>534.52874230077271</v>
      </c>
      <c r="S65" s="88">
        <v>516.29344969556587</v>
      </c>
      <c r="T65" s="88">
        <v>520.78967517800288</v>
      </c>
      <c r="U65" s="88">
        <v>471.92201604000945</v>
      </c>
      <c r="V65" s="88">
        <v>430.40917219821262</v>
      </c>
      <c r="W65" s="88">
        <v>444.29607757477618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0.94500289644607682</v>
      </c>
      <c r="C67" s="59">
        <f t="shared" ref="C67:W67" si="60">IF(C3=0,0,C17/C57)</f>
        <v>0.95500095877474689</v>
      </c>
      <c r="D67" s="59">
        <f t="shared" si="60"/>
        <v>0.97507106818586775</v>
      </c>
      <c r="E67" s="59">
        <f t="shared" si="60"/>
        <v>0.94236711912394699</v>
      </c>
      <c r="F67" s="59">
        <f t="shared" si="60"/>
        <v>0.96868256357642246</v>
      </c>
      <c r="G67" s="59">
        <f t="shared" si="60"/>
        <v>0.92042452820796106</v>
      </c>
      <c r="H67" s="59">
        <f t="shared" si="60"/>
        <v>0.9198233631210132</v>
      </c>
      <c r="I67" s="59">
        <f t="shared" si="60"/>
        <v>0.91321262557005012</v>
      </c>
      <c r="J67" s="59">
        <f t="shared" si="60"/>
        <v>0.94001397434212985</v>
      </c>
      <c r="K67" s="59">
        <f t="shared" si="60"/>
        <v>0.88625161340410719</v>
      </c>
      <c r="L67" s="59">
        <f t="shared" si="60"/>
        <v>0.89582145047964157</v>
      </c>
      <c r="M67" s="59">
        <f t="shared" si="60"/>
        <v>0.89667955656863574</v>
      </c>
      <c r="N67" s="59">
        <f t="shared" si="60"/>
        <v>0.88948513429735565</v>
      </c>
      <c r="O67" s="59">
        <f t="shared" si="60"/>
        <v>0.89833696431540577</v>
      </c>
      <c r="P67" s="59">
        <f t="shared" si="60"/>
        <v>0.90973152292835691</v>
      </c>
      <c r="Q67" s="59">
        <f t="shared" si="60"/>
        <v>0.94214077265966956</v>
      </c>
      <c r="R67" s="59">
        <f t="shared" si="60"/>
        <v>0.90926437161705964</v>
      </c>
      <c r="S67" s="59">
        <f t="shared" si="60"/>
        <v>0.89328851986262459</v>
      </c>
      <c r="T67" s="59">
        <f t="shared" si="60"/>
        <v>0.91807028519396128</v>
      </c>
      <c r="U67" s="59">
        <f t="shared" si="60"/>
        <v>0.92767556108910409</v>
      </c>
      <c r="V67" s="59">
        <f t="shared" si="60"/>
        <v>0.98342559891445236</v>
      </c>
      <c r="W67" s="59">
        <f t="shared" si="60"/>
        <v>0.99098088409462914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0.94348503926306704</v>
      </c>
      <c r="C68" s="23">
        <f t="shared" ref="C68:W68" si="62">IF(C6=0,0,C18/C58)</f>
        <v>0.95392058093615018</v>
      </c>
      <c r="D68" s="23">
        <f t="shared" si="62"/>
        <v>0.97369934977492922</v>
      </c>
      <c r="E68" s="23">
        <f t="shared" si="62"/>
        <v>0.94124678589175292</v>
      </c>
      <c r="F68" s="23">
        <f t="shared" si="62"/>
        <v>0.96750203669855483</v>
      </c>
      <c r="G68" s="23">
        <f t="shared" si="62"/>
        <v>0.9196005077291981</v>
      </c>
      <c r="H68" s="23">
        <f t="shared" si="62"/>
        <v>0.91833011782595808</v>
      </c>
      <c r="I68" s="23">
        <f t="shared" si="62"/>
        <v>0.91169398652169464</v>
      </c>
      <c r="J68" s="23">
        <f t="shared" si="62"/>
        <v>0.93861871970727473</v>
      </c>
      <c r="K68" s="23">
        <f t="shared" si="62"/>
        <v>0.88429002816901525</v>
      </c>
      <c r="L68" s="23">
        <f t="shared" si="62"/>
        <v>0.89387840337680347</v>
      </c>
      <c r="M68" s="23">
        <f t="shared" si="62"/>
        <v>0.89612035261573997</v>
      </c>
      <c r="N68" s="23">
        <f t="shared" si="62"/>
        <v>0.89006853155205745</v>
      </c>
      <c r="O68" s="23">
        <f t="shared" si="62"/>
        <v>0.89778139998676443</v>
      </c>
      <c r="P68" s="23">
        <f t="shared" si="62"/>
        <v>0.90827833776483613</v>
      </c>
      <c r="Q68" s="23">
        <f t="shared" si="62"/>
        <v>0.93967614825652235</v>
      </c>
      <c r="R68" s="23">
        <f t="shared" si="62"/>
        <v>0.90680822960623864</v>
      </c>
      <c r="S68" s="23">
        <f t="shared" si="62"/>
        <v>0.89007641040883001</v>
      </c>
      <c r="T68" s="23">
        <f t="shared" si="62"/>
        <v>0.9150882435301918</v>
      </c>
      <c r="U68" s="23">
        <f t="shared" si="62"/>
        <v>0.92111516570156249</v>
      </c>
      <c r="V68" s="23">
        <f t="shared" si="62"/>
        <v>0.9807671991106246</v>
      </c>
      <c r="W68" s="23">
        <f t="shared" si="62"/>
        <v>0.98895996229082428</v>
      </c>
      <c r="DA68" s="189"/>
    </row>
    <row r="69" spans="1:105" ht="11.45" customHeight="1" x14ac:dyDescent="0.25">
      <c r="A69" s="83" t="s">
        <v>27</v>
      </c>
      <c r="B69" s="91">
        <f t="shared" si="61"/>
        <v>0.81407991943258651</v>
      </c>
      <c r="C69" s="91">
        <f t="shared" ref="C69:W69" si="63">IF(C7=0,0,C19/C59)</f>
        <v>0.82374703334368871</v>
      </c>
      <c r="D69" s="91">
        <f t="shared" si="63"/>
        <v>0.76793800289332792</v>
      </c>
      <c r="E69" s="91">
        <f t="shared" si="63"/>
        <v>0.7603845152442843</v>
      </c>
      <c r="F69" s="91">
        <f t="shared" si="63"/>
        <v>0.76288572951570355</v>
      </c>
      <c r="G69" s="91">
        <f t="shared" si="63"/>
        <v>0.72462436704749822</v>
      </c>
      <c r="H69" s="91">
        <f t="shared" si="63"/>
        <v>0.68076181624240084</v>
      </c>
      <c r="I69" s="91">
        <f t="shared" si="63"/>
        <v>0.68498090314774251</v>
      </c>
      <c r="J69" s="91">
        <f t="shared" si="63"/>
        <v>0.67301298062450632</v>
      </c>
      <c r="K69" s="91">
        <f t="shared" si="63"/>
        <v>0.61657356337271574</v>
      </c>
      <c r="L69" s="91">
        <f t="shared" si="63"/>
        <v>0.63981818625157305</v>
      </c>
      <c r="M69" s="91">
        <f t="shared" si="63"/>
        <v>0.66138858481918372</v>
      </c>
      <c r="N69" s="91">
        <f t="shared" si="63"/>
        <v>0.65793715330127855</v>
      </c>
      <c r="O69" s="91">
        <f t="shared" si="63"/>
        <v>0.6348470003719513</v>
      </c>
      <c r="P69" s="91">
        <f t="shared" si="63"/>
        <v>0.65901431423734491</v>
      </c>
      <c r="Q69" s="91">
        <f t="shared" si="63"/>
        <v>0.65971898726207157</v>
      </c>
      <c r="R69" s="91">
        <f t="shared" si="63"/>
        <v>0.69184479908097962</v>
      </c>
      <c r="S69" s="91">
        <f t="shared" si="63"/>
        <v>0.69307348053114548</v>
      </c>
      <c r="T69" s="91">
        <f t="shared" si="63"/>
        <v>0.72334866170206602</v>
      </c>
      <c r="U69" s="91">
        <f t="shared" si="63"/>
        <v>0.69730985762593867</v>
      </c>
      <c r="V69" s="91">
        <f t="shared" si="63"/>
        <v>0.7151483480412747</v>
      </c>
      <c r="W69" s="91">
        <f t="shared" si="63"/>
        <v>0.64171663162404524</v>
      </c>
      <c r="DA69" s="171"/>
    </row>
    <row r="70" spans="1:105" ht="11.45" customHeight="1" x14ac:dyDescent="0.25">
      <c r="A70" s="83" t="s">
        <v>173</v>
      </c>
      <c r="B70" s="91">
        <f t="shared" si="61"/>
        <v>0.96774717536392885</v>
      </c>
      <c r="C70" s="91">
        <f t="shared" ref="C70:W70" si="64">IF(C8=0,0,C20/C60)</f>
        <v>0.9759814047546731</v>
      </c>
      <c r="D70" s="91">
        <f t="shared" si="64"/>
        <v>1.0239981726070631</v>
      </c>
      <c r="E70" s="91">
        <f t="shared" si="64"/>
        <v>0.97954566564465917</v>
      </c>
      <c r="F70" s="91">
        <f t="shared" si="64"/>
        <v>1.0051390703016769</v>
      </c>
      <c r="G70" s="91">
        <f t="shared" si="64"/>
        <v>1.0108917703699294</v>
      </c>
      <c r="H70" s="91">
        <f t="shared" si="64"/>
        <v>1.1055005365775106</v>
      </c>
      <c r="I70" s="91">
        <f t="shared" si="64"/>
        <v>1.2022050874286418</v>
      </c>
      <c r="J70" s="91">
        <f t="shared" si="64"/>
        <v>1.2725047255593078</v>
      </c>
      <c r="K70" s="91">
        <f t="shared" si="64"/>
        <v>1.1925122675798396</v>
      </c>
      <c r="L70" s="91">
        <f t="shared" si="64"/>
        <v>1.2427385527204267</v>
      </c>
      <c r="M70" s="91">
        <f t="shared" si="64"/>
        <v>1.281196733995781</v>
      </c>
      <c r="N70" s="91">
        <f t="shared" si="64"/>
        <v>1.3114690081961438</v>
      </c>
      <c r="O70" s="91">
        <f t="shared" si="64"/>
        <v>1.3387039301178556</v>
      </c>
      <c r="P70" s="91">
        <f t="shared" si="64"/>
        <v>1.3305248977216673</v>
      </c>
      <c r="Q70" s="91">
        <f t="shared" si="64"/>
        <v>1.3885838306852067</v>
      </c>
      <c r="R70" s="91">
        <f t="shared" si="64"/>
        <v>1.4058741206393637</v>
      </c>
      <c r="S70" s="91">
        <f t="shared" si="64"/>
        <v>1.3920240631769265</v>
      </c>
      <c r="T70" s="91">
        <f t="shared" si="64"/>
        <v>1.4287319699777175</v>
      </c>
      <c r="U70" s="91">
        <f t="shared" si="64"/>
        <v>1.5311006497317055</v>
      </c>
      <c r="V70" s="91">
        <f t="shared" si="64"/>
        <v>1.5489286414960504</v>
      </c>
      <c r="W70" s="91">
        <f t="shared" si="64"/>
        <v>1.6405821452378362</v>
      </c>
      <c r="DA70" s="171"/>
    </row>
    <row r="71" spans="1:105" ht="11.45" customHeight="1" x14ac:dyDescent="0.25">
      <c r="A71" s="83" t="s">
        <v>174</v>
      </c>
      <c r="B71" s="91">
        <f t="shared" si="61"/>
        <v>1.0702726234502349</v>
      </c>
      <c r="C71" s="91">
        <f t="shared" ref="C71:W71" si="65">IF(C9=0,0,C21/C61)</f>
        <v>1.0799192506366198</v>
      </c>
      <c r="D71" s="91">
        <f t="shared" si="65"/>
        <v>1.1337663728160592</v>
      </c>
      <c r="E71" s="91">
        <f t="shared" si="65"/>
        <v>1.0832278360234153</v>
      </c>
      <c r="F71" s="91">
        <f t="shared" si="65"/>
        <v>1.1116996939444288</v>
      </c>
      <c r="G71" s="91">
        <f t="shared" si="65"/>
        <v>0.94681368439358238</v>
      </c>
      <c r="H71" s="91">
        <f t="shared" si="65"/>
        <v>0.83777082447647377</v>
      </c>
      <c r="I71" s="91">
        <f t="shared" si="65"/>
        <v>0.70878659797052956</v>
      </c>
      <c r="J71" s="91">
        <f t="shared" si="65"/>
        <v>0.71746360260200626</v>
      </c>
      <c r="K71" s="91">
        <f t="shared" si="65"/>
        <v>0.70158412644472368</v>
      </c>
      <c r="L71" s="91">
        <f t="shared" si="65"/>
        <v>0.67282697657134261</v>
      </c>
      <c r="M71" s="91">
        <f t="shared" si="65"/>
        <v>0.64554248973290385</v>
      </c>
      <c r="N71" s="91">
        <f t="shared" si="65"/>
        <v>0.6258850871037831</v>
      </c>
      <c r="O71" s="91">
        <f t="shared" si="65"/>
        <v>0.62457890722777665</v>
      </c>
      <c r="P71" s="91">
        <f t="shared" si="65"/>
        <v>0.63247329120398188</v>
      </c>
      <c r="Q71" s="91">
        <f t="shared" si="65"/>
        <v>0.64937053343089612</v>
      </c>
      <c r="R71" s="91">
        <f t="shared" si="65"/>
        <v>0.57838211203366652</v>
      </c>
      <c r="S71" s="91">
        <f t="shared" si="65"/>
        <v>0.5497390171773564</v>
      </c>
      <c r="T71" s="91">
        <f t="shared" si="65"/>
        <v>0.56453356678964672</v>
      </c>
      <c r="U71" s="91">
        <f t="shared" si="65"/>
        <v>0.55116087226441757</v>
      </c>
      <c r="V71" s="91">
        <f t="shared" si="65"/>
        <v>0.68691508848743799</v>
      </c>
      <c r="W71" s="91">
        <f t="shared" si="65"/>
        <v>0.65466660675385813</v>
      </c>
      <c r="DA71" s="171"/>
    </row>
    <row r="72" spans="1:105" ht="11.45" customHeight="1" x14ac:dyDescent="0.25">
      <c r="A72" s="12" t="s">
        <v>34</v>
      </c>
      <c r="B72" s="24">
        <f t="shared" si="61"/>
        <v>1.0402796616900611</v>
      </c>
      <c r="C72" s="24">
        <f t="shared" ref="C72:W72" si="66">IF(C10=0,0,C22/C62)</f>
        <v>1.0399773630061948</v>
      </c>
      <c r="D72" s="24">
        <f t="shared" si="66"/>
        <v>1.0754214377568603</v>
      </c>
      <c r="E72" s="24">
        <f t="shared" si="66"/>
        <v>1.0096164775616863</v>
      </c>
      <c r="F72" s="24">
        <f t="shared" si="66"/>
        <v>1.0263034297398757</v>
      </c>
      <c r="G72" s="24">
        <f t="shared" si="66"/>
        <v>0.95913379549635858</v>
      </c>
      <c r="H72" s="24">
        <f t="shared" si="66"/>
        <v>0.98754880971302839</v>
      </c>
      <c r="I72" s="24">
        <f t="shared" si="66"/>
        <v>0.98184158606965455</v>
      </c>
      <c r="J72" s="24">
        <f t="shared" si="66"/>
        <v>1.0173067203704265</v>
      </c>
      <c r="K72" s="24">
        <f t="shared" si="66"/>
        <v>1.0153477213325013</v>
      </c>
      <c r="L72" s="24">
        <f t="shared" si="66"/>
        <v>1.0194518624273443</v>
      </c>
      <c r="M72" s="24">
        <f t="shared" si="66"/>
        <v>0.93556034573911007</v>
      </c>
      <c r="N72" s="24">
        <f t="shared" si="66"/>
        <v>0.86253959877843689</v>
      </c>
      <c r="O72" s="24">
        <f t="shared" si="66"/>
        <v>0.9307377931787354</v>
      </c>
      <c r="P72" s="24">
        <f t="shared" si="66"/>
        <v>1.0022612306999032</v>
      </c>
      <c r="Q72" s="24">
        <f t="shared" si="66"/>
        <v>1.1000216286841551</v>
      </c>
      <c r="R72" s="24">
        <f t="shared" si="66"/>
        <v>1.0794325519107295</v>
      </c>
      <c r="S72" s="24">
        <f t="shared" si="66"/>
        <v>1.1214328845497141</v>
      </c>
      <c r="T72" s="24">
        <f t="shared" si="66"/>
        <v>1.170294367946163</v>
      </c>
      <c r="U72" s="24">
        <f t="shared" si="66"/>
        <v>1.4351700744410139</v>
      </c>
      <c r="V72" s="24">
        <f t="shared" si="66"/>
        <v>1.0735199931462072</v>
      </c>
      <c r="W72" s="24">
        <f t="shared" si="66"/>
        <v>1.055373659113104</v>
      </c>
      <c r="DA72" s="193"/>
    </row>
    <row r="73" spans="1:105" ht="11.45" customHeight="1" x14ac:dyDescent="0.25">
      <c r="A73" s="92" t="s">
        <v>27</v>
      </c>
      <c r="B73" s="93">
        <f t="shared" si="61"/>
        <v>0.81407991943258662</v>
      </c>
      <c r="C73" s="93">
        <f t="shared" ref="C73:W73" si="67">IF(C11=0,0,C23/C63)</f>
        <v>0.82374703334368859</v>
      </c>
      <c r="D73" s="93">
        <f t="shared" si="67"/>
        <v>0.76793800289332792</v>
      </c>
      <c r="E73" s="93">
        <f t="shared" si="67"/>
        <v>0.76038451524428441</v>
      </c>
      <c r="F73" s="93">
        <f t="shared" si="67"/>
        <v>0.76288572951570366</v>
      </c>
      <c r="G73" s="93">
        <f t="shared" si="67"/>
        <v>0.72462436704749844</v>
      </c>
      <c r="H73" s="93">
        <f t="shared" si="67"/>
        <v>0.68076181624240073</v>
      </c>
      <c r="I73" s="93">
        <f t="shared" si="67"/>
        <v>0.6849809031477424</v>
      </c>
      <c r="J73" s="93">
        <f t="shared" si="67"/>
        <v>0.67301298062450621</v>
      </c>
      <c r="K73" s="93">
        <f t="shared" si="67"/>
        <v>0.61657356337271574</v>
      </c>
      <c r="L73" s="93">
        <f t="shared" si="67"/>
        <v>0.63981818625157305</v>
      </c>
      <c r="M73" s="93">
        <f t="shared" si="67"/>
        <v>0.66138858481918361</v>
      </c>
      <c r="N73" s="93">
        <f t="shared" si="67"/>
        <v>0.65793715330127855</v>
      </c>
      <c r="O73" s="93">
        <f t="shared" si="67"/>
        <v>0.6348470003719513</v>
      </c>
      <c r="P73" s="93">
        <f t="shared" si="67"/>
        <v>0.6590143142373448</v>
      </c>
      <c r="Q73" s="93">
        <f t="shared" si="67"/>
        <v>0.65971898726207168</v>
      </c>
      <c r="R73" s="93">
        <f t="shared" si="67"/>
        <v>0.69184479908097973</v>
      </c>
      <c r="S73" s="93">
        <f t="shared" si="67"/>
        <v>0.69307348053114548</v>
      </c>
      <c r="T73" s="93">
        <f t="shared" si="67"/>
        <v>0.72334866170206591</v>
      </c>
      <c r="U73" s="93">
        <f t="shared" si="67"/>
        <v>0.69730985762593856</v>
      </c>
      <c r="V73" s="93">
        <f t="shared" si="67"/>
        <v>0.71514834804127492</v>
      </c>
      <c r="W73" s="93">
        <f t="shared" si="67"/>
        <v>0.64171663162404524</v>
      </c>
      <c r="DA73" s="175"/>
    </row>
    <row r="74" spans="1:105" ht="11.45" customHeight="1" x14ac:dyDescent="0.25">
      <c r="A74" s="92" t="s">
        <v>173</v>
      </c>
      <c r="B74" s="93">
        <f t="shared" si="61"/>
        <v>0.99087438208793588</v>
      </c>
      <c r="C74" s="93">
        <f t="shared" ref="C74:W74" si="68">IF(C12=0,0,C24/C64)</f>
        <v>0.98602415853873759</v>
      </c>
      <c r="D74" s="93">
        <f t="shared" si="68"/>
        <v>1.0425200184314301</v>
      </c>
      <c r="E74" s="93">
        <f t="shared" si="68"/>
        <v>0.97953337854740574</v>
      </c>
      <c r="F74" s="93">
        <f t="shared" si="68"/>
        <v>1.0044274541917921</v>
      </c>
      <c r="G74" s="93">
        <f t="shared" si="68"/>
        <v>1.0153494990481753</v>
      </c>
      <c r="H74" s="93">
        <f t="shared" si="68"/>
        <v>1.1040652174907704</v>
      </c>
      <c r="I74" s="93">
        <f t="shared" si="68"/>
        <v>1.1995892259023444</v>
      </c>
      <c r="J74" s="93">
        <f t="shared" si="68"/>
        <v>1.2707552310008821</v>
      </c>
      <c r="K74" s="93">
        <f t="shared" si="68"/>
        <v>1.1859354470320742</v>
      </c>
      <c r="L74" s="93">
        <f t="shared" si="68"/>
        <v>1.2449355108108804</v>
      </c>
      <c r="M74" s="93">
        <f t="shared" si="68"/>
        <v>1.2948204951888505</v>
      </c>
      <c r="N74" s="93">
        <f t="shared" si="68"/>
        <v>1.3251342178786996</v>
      </c>
      <c r="O74" s="93">
        <f t="shared" si="68"/>
        <v>1.3537741699802723</v>
      </c>
      <c r="P74" s="93">
        <f t="shared" si="68"/>
        <v>1.340073430059129</v>
      </c>
      <c r="Q74" s="93">
        <f t="shared" si="68"/>
        <v>1.3978047823638788</v>
      </c>
      <c r="R74" s="93">
        <f t="shared" si="68"/>
        <v>1.4613076996020762</v>
      </c>
      <c r="S74" s="93">
        <f t="shared" si="68"/>
        <v>1.5385561404224417</v>
      </c>
      <c r="T74" s="93">
        <f t="shared" si="68"/>
        <v>1.6713145544734422</v>
      </c>
      <c r="U74" s="93">
        <f t="shared" si="68"/>
        <v>1.9367838272072386</v>
      </c>
      <c r="V74" s="93">
        <f t="shared" si="68"/>
        <v>1.4851370759591538</v>
      </c>
      <c r="W74" s="93">
        <f t="shared" si="68"/>
        <v>1.6623994255255394</v>
      </c>
      <c r="DA74" s="175"/>
    </row>
    <row r="75" spans="1:105" ht="11.45" customHeight="1" x14ac:dyDescent="0.25">
      <c r="A75" s="85" t="s">
        <v>174</v>
      </c>
      <c r="B75" s="94">
        <f t="shared" si="61"/>
        <v>0.96324536110521142</v>
      </c>
      <c r="C75" s="94">
        <f t="shared" ref="C75:W75" si="69">IF(C13=0,0,C25/C65)</f>
        <v>0.97192732557295769</v>
      </c>
      <c r="D75" s="94">
        <f t="shared" si="69"/>
        <v>1.0203897355344533</v>
      </c>
      <c r="E75" s="94">
        <f t="shared" si="69"/>
        <v>0.97490505242107361</v>
      </c>
      <c r="F75" s="94">
        <f t="shared" si="69"/>
        <v>1.0005297245499858</v>
      </c>
      <c r="G75" s="94">
        <f t="shared" si="69"/>
        <v>0.85213231595422412</v>
      </c>
      <c r="H75" s="94">
        <f t="shared" si="69"/>
        <v>0.75399374202882641</v>
      </c>
      <c r="I75" s="94">
        <f t="shared" si="69"/>
        <v>0.63790793817347657</v>
      </c>
      <c r="J75" s="94">
        <f t="shared" si="69"/>
        <v>0.64571724234180561</v>
      </c>
      <c r="K75" s="94">
        <f t="shared" si="69"/>
        <v>0.63142571380025148</v>
      </c>
      <c r="L75" s="94">
        <f t="shared" si="69"/>
        <v>0.60554427891420837</v>
      </c>
      <c r="M75" s="94">
        <f t="shared" si="69"/>
        <v>0.58098824075961364</v>
      </c>
      <c r="N75" s="94">
        <f t="shared" si="69"/>
        <v>0.56329657839340486</v>
      </c>
      <c r="O75" s="94">
        <f t="shared" si="69"/>
        <v>0.56212101650499902</v>
      </c>
      <c r="P75" s="94">
        <f t="shared" si="69"/>
        <v>0.56922596208358378</v>
      </c>
      <c r="Q75" s="94">
        <f t="shared" si="69"/>
        <v>0.58443348008780671</v>
      </c>
      <c r="R75" s="94">
        <f t="shared" si="69"/>
        <v>0.52054390083029978</v>
      </c>
      <c r="S75" s="94">
        <f t="shared" si="69"/>
        <v>0.49476511545962082</v>
      </c>
      <c r="T75" s="94">
        <f t="shared" si="69"/>
        <v>0.50808021011068216</v>
      </c>
      <c r="U75" s="94">
        <f t="shared" si="69"/>
        <v>0.49604478503797578</v>
      </c>
      <c r="V75" s="94">
        <f t="shared" si="69"/>
        <v>0.61822357963869434</v>
      </c>
      <c r="W75" s="94">
        <f t="shared" si="69"/>
        <v>0.58919994607847226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1416.4295385600003</v>
      </c>
      <c r="C3" s="79">
        <f t="shared" si="0"/>
        <v>1438.2223135199997</v>
      </c>
      <c r="D3" s="79">
        <f t="shared" ref="D3" si="1">SUM(D4:D5)</f>
        <v>1379.0701260000003</v>
      </c>
      <c r="E3" s="79">
        <f t="shared" ref="E3" si="2">SUM(E4:E5)</f>
        <v>1413.3702517199999</v>
      </c>
      <c r="F3" s="79">
        <f t="shared" ref="F3" si="3">SUM(F4:F5)</f>
        <v>1587.7134867599998</v>
      </c>
      <c r="G3" s="79">
        <f t="shared" ref="G3" si="4">SUM(G4:G5)</f>
        <v>1578.4280625600006</v>
      </c>
      <c r="H3" s="79">
        <f t="shared" ref="H3" si="5">SUM(H4:H5)</f>
        <v>1706.0176029600007</v>
      </c>
      <c r="I3" s="79">
        <f t="shared" ref="I3" si="6">SUM(I4:I5)</f>
        <v>1902.1536129600008</v>
      </c>
      <c r="J3" s="79">
        <f t="shared" ref="J3" si="7">SUM(J4:J5)</f>
        <v>2026.6843842000005</v>
      </c>
      <c r="K3" s="79">
        <f t="shared" ref="K3" si="8">SUM(K4:K5)</f>
        <v>1783.8494967600002</v>
      </c>
      <c r="L3" s="79">
        <f t="shared" ref="L3" si="9">SUM(L4:L5)</f>
        <v>1861.6811317200002</v>
      </c>
      <c r="M3" s="79">
        <f t="shared" ref="M3" si="10">SUM(M4:M5)</f>
        <v>2185.4612404800005</v>
      </c>
      <c r="N3" s="79">
        <f t="shared" ref="N3" si="11">SUM(N4:N5)</f>
        <v>2076.4968479999998</v>
      </c>
      <c r="O3" s="79">
        <f t="shared" ref="O3" si="12">SUM(O4:O5)</f>
        <v>2104.5162780000005</v>
      </c>
      <c r="P3" s="79">
        <f t="shared" ref="P3" si="13">SUM(P4:P5)</f>
        <v>2076.4968479999998</v>
      </c>
      <c r="Q3" s="79">
        <f t="shared" ref="Q3" si="14">SUM(Q4:Q5)</f>
        <v>2110.7426741999998</v>
      </c>
      <c r="R3" s="79">
        <f t="shared" ref="R3" si="15">SUM(R4:R5)</f>
        <v>2120.0826567600002</v>
      </c>
      <c r="S3" s="79">
        <f t="shared" ref="S3" si="16">SUM(S4:S5)</f>
        <v>2241.5001004800001</v>
      </c>
      <c r="T3" s="79">
        <f t="shared" ref="T3" si="17">SUM(T4:T5)</f>
        <v>2555.9404855200005</v>
      </c>
      <c r="U3" s="79">
        <f t="shared" ref="U3" si="18">SUM(U4:U5)</f>
        <v>2730.2837205600008</v>
      </c>
      <c r="V3" s="79">
        <f t="shared" ref="V3:W3" si="19">SUM(V4:V5)</f>
        <v>940.15326923999987</v>
      </c>
      <c r="W3" s="79">
        <f t="shared" si="19"/>
        <v>912.13383924000016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373.48397352000001</v>
      </c>
      <c r="C4" s="96">
        <f t="shared" si="20"/>
        <v>367.25731847999998</v>
      </c>
      <c r="D4" s="96">
        <f t="shared" ref="D4:V4" si="21">SUM(D7,D11)</f>
        <v>320.55844104000022</v>
      </c>
      <c r="E4" s="96">
        <f t="shared" si="21"/>
        <v>320.61248172000012</v>
      </c>
      <c r="F4" s="96">
        <f t="shared" si="21"/>
        <v>326.83913675999992</v>
      </c>
      <c r="G4" s="96">
        <f t="shared" si="21"/>
        <v>311.3270575200001</v>
      </c>
      <c r="H4" s="96">
        <f t="shared" si="21"/>
        <v>295.70637924000005</v>
      </c>
      <c r="I4" s="96">
        <f t="shared" si="21"/>
        <v>277.02667296000004</v>
      </c>
      <c r="J4" s="96">
        <f t="shared" si="21"/>
        <v>267.68694924000005</v>
      </c>
      <c r="K4" s="96">
        <f t="shared" si="21"/>
        <v>242.78084676000009</v>
      </c>
      <c r="L4" s="96">
        <f t="shared" si="21"/>
        <v>236.55419172000001</v>
      </c>
      <c r="M4" s="96">
        <f t="shared" si="21"/>
        <v>264.57362172000001</v>
      </c>
      <c r="N4" s="96">
        <f t="shared" si="21"/>
        <v>220.98781296000001</v>
      </c>
      <c r="O4" s="96">
        <f t="shared" si="21"/>
        <v>189.85531428000002</v>
      </c>
      <c r="P4" s="96">
        <f t="shared" si="21"/>
        <v>189.85531428000002</v>
      </c>
      <c r="Q4" s="96">
        <f t="shared" si="21"/>
        <v>183.62865924000005</v>
      </c>
      <c r="R4" s="96">
        <f t="shared" si="21"/>
        <v>186.74198676000003</v>
      </c>
      <c r="S4" s="96">
        <f t="shared" si="21"/>
        <v>192.96838296000001</v>
      </c>
      <c r="T4" s="96">
        <f t="shared" si="21"/>
        <v>211.64808924000002</v>
      </c>
      <c r="U4" s="96">
        <f t="shared" si="21"/>
        <v>202.30836552000005</v>
      </c>
      <c r="V4" s="96">
        <f t="shared" si="21"/>
        <v>87.117318000000012</v>
      </c>
      <c r="W4" s="96">
        <f t="shared" ref="W4" si="22">SUM(W7,W11)</f>
        <v>77.777594280000017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1042.9455650400002</v>
      </c>
      <c r="C5" s="96">
        <f t="shared" si="23"/>
        <v>1070.9649950399998</v>
      </c>
      <c r="D5" s="96">
        <f t="shared" ref="D5:V5" si="24">SUM(D8:D9,D12:D13)</f>
        <v>1058.5116849600001</v>
      </c>
      <c r="E5" s="96">
        <f t="shared" si="24"/>
        <v>1092.7577699999999</v>
      </c>
      <c r="F5" s="96">
        <f t="shared" si="24"/>
        <v>1260.8743499999998</v>
      </c>
      <c r="G5" s="96">
        <f t="shared" si="24"/>
        <v>1267.1010050400005</v>
      </c>
      <c r="H5" s="96">
        <f t="shared" si="24"/>
        <v>1410.3112237200005</v>
      </c>
      <c r="I5" s="96">
        <f t="shared" si="24"/>
        <v>1625.1269400000008</v>
      </c>
      <c r="J5" s="96">
        <f t="shared" si="24"/>
        <v>1758.9974349600004</v>
      </c>
      <c r="K5" s="96">
        <f t="shared" si="24"/>
        <v>1541.0686500000002</v>
      </c>
      <c r="L5" s="96">
        <f t="shared" si="24"/>
        <v>1625.1269400000001</v>
      </c>
      <c r="M5" s="96">
        <f t="shared" si="24"/>
        <v>1920.8876187600006</v>
      </c>
      <c r="N5" s="96">
        <f t="shared" si="24"/>
        <v>1855.5090350399996</v>
      </c>
      <c r="O5" s="96">
        <f t="shared" si="24"/>
        <v>1914.6609637200004</v>
      </c>
      <c r="P5" s="96">
        <f t="shared" si="24"/>
        <v>1886.6415337199999</v>
      </c>
      <c r="Q5" s="96">
        <f t="shared" si="24"/>
        <v>1927.1140149599996</v>
      </c>
      <c r="R5" s="96">
        <f t="shared" si="24"/>
        <v>1933.34067</v>
      </c>
      <c r="S5" s="96">
        <f t="shared" si="24"/>
        <v>2048.5317175200003</v>
      </c>
      <c r="T5" s="96">
        <f t="shared" si="24"/>
        <v>2344.2923962800005</v>
      </c>
      <c r="U5" s="96">
        <f t="shared" si="24"/>
        <v>2527.975355040001</v>
      </c>
      <c r="V5" s="96">
        <f t="shared" si="24"/>
        <v>853.0359512399998</v>
      </c>
      <c r="W5" s="96">
        <f t="shared" ref="W5" si="25">SUM(W8:W9,W12:W13)</f>
        <v>834.35624496000014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1385.7726277899671</v>
      </c>
      <c r="C6" s="21">
        <f t="shared" si="26"/>
        <v>1413.1357965987784</v>
      </c>
      <c r="D6" s="21">
        <f t="shared" ref="D6:V6" si="27">SUM(D7:D9)</f>
        <v>1354.0275941096893</v>
      </c>
      <c r="E6" s="21">
        <f t="shared" si="27"/>
        <v>1383.1597751824288</v>
      </c>
      <c r="F6" s="21">
        <f t="shared" si="27"/>
        <v>1547.2905344417127</v>
      </c>
      <c r="G6" s="21">
        <f t="shared" si="27"/>
        <v>1535.4743796344201</v>
      </c>
      <c r="H6" s="21">
        <f t="shared" si="27"/>
        <v>1660.8985099845736</v>
      </c>
      <c r="I6" s="21">
        <f t="shared" si="27"/>
        <v>1852.9206533718252</v>
      </c>
      <c r="J6" s="21">
        <f t="shared" si="27"/>
        <v>1984.6557070124095</v>
      </c>
      <c r="K6" s="21">
        <f t="shared" si="27"/>
        <v>1751.5989192034713</v>
      </c>
      <c r="L6" s="21">
        <f t="shared" si="27"/>
        <v>1827.9449969741609</v>
      </c>
      <c r="M6" s="21">
        <f t="shared" si="27"/>
        <v>2150.3281393510206</v>
      </c>
      <c r="N6" s="21">
        <f t="shared" si="27"/>
        <v>2037.4974456633722</v>
      </c>
      <c r="O6" s="21">
        <f t="shared" si="27"/>
        <v>2063.3613665852454</v>
      </c>
      <c r="P6" s="21">
        <f t="shared" si="27"/>
        <v>2039.8102280560988</v>
      </c>
      <c r="Q6" s="21">
        <f t="shared" si="27"/>
        <v>2072.0041935212821</v>
      </c>
      <c r="R6" s="21">
        <f t="shared" si="27"/>
        <v>2083.2247858280039</v>
      </c>
      <c r="S6" s="21">
        <f t="shared" si="27"/>
        <v>2201.7378725831541</v>
      </c>
      <c r="T6" s="21">
        <f t="shared" si="27"/>
        <v>2517.4373404251119</v>
      </c>
      <c r="U6" s="21">
        <f t="shared" si="27"/>
        <v>2676.0379081367528</v>
      </c>
      <c r="V6" s="21">
        <f t="shared" si="27"/>
        <v>909.14437694133881</v>
      </c>
      <c r="W6" s="21">
        <f t="shared" ref="W6" si="28">SUM(W7:W9)</f>
        <v>880.96902318846571</v>
      </c>
      <c r="DA6" s="189" t="s">
        <v>326</v>
      </c>
    </row>
    <row r="7" spans="1:105" ht="11.45" customHeight="1" x14ac:dyDescent="0.25">
      <c r="A7" s="83" t="s">
        <v>27</v>
      </c>
      <c r="B7" s="96">
        <v>368.79562023238708</v>
      </c>
      <c r="C7" s="96">
        <v>363.66713721328205</v>
      </c>
      <c r="D7" s="96">
        <v>317.39174639010747</v>
      </c>
      <c r="E7" s="96">
        <v>317.9836094386003</v>
      </c>
      <c r="F7" s="96">
        <v>324.20160403766204</v>
      </c>
      <c r="G7" s="96">
        <v>308.8661293735031</v>
      </c>
      <c r="H7" s="96">
        <v>293.37697798464916</v>
      </c>
      <c r="I7" s="96">
        <v>275.12826634573946</v>
      </c>
      <c r="J7" s="96">
        <v>266.16720129667448</v>
      </c>
      <c r="K7" s="96">
        <v>241.30159212083757</v>
      </c>
      <c r="L7" s="96">
        <v>235.41736739297792</v>
      </c>
      <c r="M7" s="96">
        <v>263.52892906323513</v>
      </c>
      <c r="N7" s="96">
        <v>219.84914721124952</v>
      </c>
      <c r="O7" s="96">
        <v>188.91087505711849</v>
      </c>
      <c r="P7" s="96">
        <v>189.10736679572437</v>
      </c>
      <c r="Q7" s="96">
        <v>182.91080638590302</v>
      </c>
      <c r="R7" s="96">
        <v>185.95177387065885</v>
      </c>
      <c r="S7" s="96">
        <v>192.34409277831674</v>
      </c>
      <c r="T7" s="96">
        <v>211.22131268382543</v>
      </c>
      <c r="U7" s="96">
        <v>201.85784997179005</v>
      </c>
      <c r="V7" s="96">
        <v>86.627537800586566</v>
      </c>
      <c r="W7" s="96">
        <v>77.427195173154161</v>
      </c>
      <c r="DA7" s="171" t="s">
        <v>327</v>
      </c>
    </row>
    <row r="8" spans="1:105" ht="11.45" customHeight="1" x14ac:dyDescent="0.25">
      <c r="A8" s="83" t="s">
        <v>173</v>
      </c>
      <c r="B8" s="96">
        <v>661.99010863964236</v>
      </c>
      <c r="C8" s="96">
        <v>690.45059196874445</v>
      </c>
      <c r="D8" s="96">
        <v>665.5102359301967</v>
      </c>
      <c r="E8" s="96">
        <v>695.42771679126122</v>
      </c>
      <c r="F8" s="96">
        <v>776.77158988015128</v>
      </c>
      <c r="G8" s="96">
        <v>777.25361458573752</v>
      </c>
      <c r="H8" s="96">
        <v>881.12280673276882</v>
      </c>
      <c r="I8" s="96">
        <v>1028.1235417292937</v>
      </c>
      <c r="J8" s="96">
        <v>1112.4406545169836</v>
      </c>
      <c r="K8" s="96">
        <v>959.98257624603116</v>
      </c>
      <c r="L8" s="96">
        <v>1012.2504384888198</v>
      </c>
      <c r="M8" s="96">
        <v>1199.242340102777</v>
      </c>
      <c r="N8" s="96">
        <v>1136.4003603519545</v>
      </c>
      <c r="O8" s="96">
        <v>1171.3796281361676</v>
      </c>
      <c r="P8" s="96">
        <v>1166.140388781198</v>
      </c>
      <c r="Q8" s="96">
        <v>1197.1147139872271</v>
      </c>
      <c r="R8" s="96">
        <v>1230.0773788634792</v>
      </c>
      <c r="S8" s="96">
        <v>1325.63037646001</v>
      </c>
      <c r="T8" s="96">
        <v>1517.7222287574612</v>
      </c>
      <c r="U8" s="96">
        <v>1613.2315739658147</v>
      </c>
      <c r="V8" s="96">
        <v>483.34868439403442</v>
      </c>
      <c r="W8" s="96">
        <v>498.17699930112792</v>
      </c>
      <c r="DA8" s="171" t="s">
        <v>328</v>
      </c>
    </row>
    <row r="9" spans="1:105" ht="11.45" customHeight="1" x14ac:dyDescent="0.25">
      <c r="A9" s="83" t="s">
        <v>174</v>
      </c>
      <c r="B9" s="96">
        <v>354.98689891793765</v>
      </c>
      <c r="C9" s="96">
        <v>359.01806741675188</v>
      </c>
      <c r="D9" s="96">
        <v>371.12561178938518</v>
      </c>
      <c r="E9" s="96">
        <v>369.74844895256717</v>
      </c>
      <c r="F9" s="96">
        <v>446.31734052389936</v>
      </c>
      <c r="G9" s="96">
        <v>449.35463567517945</v>
      </c>
      <c r="H9" s="96">
        <v>486.39872526715561</v>
      </c>
      <c r="I9" s="96">
        <v>549.6688452967918</v>
      </c>
      <c r="J9" s="96">
        <v>606.04785119875146</v>
      </c>
      <c r="K9" s="96">
        <v>550.31475083660257</v>
      </c>
      <c r="L9" s="96">
        <v>580.27719109236318</v>
      </c>
      <c r="M9" s="96">
        <v>687.55687018500828</v>
      </c>
      <c r="N9" s="96">
        <v>681.2479381001682</v>
      </c>
      <c r="O9" s="96">
        <v>703.07086339195916</v>
      </c>
      <c r="P9" s="96">
        <v>684.56247247917645</v>
      </c>
      <c r="Q9" s="96">
        <v>691.97867314815221</v>
      </c>
      <c r="R9" s="96">
        <v>667.19563309386592</v>
      </c>
      <c r="S9" s="96">
        <v>683.76340334482757</v>
      </c>
      <c r="T9" s="96">
        <v>788.49379898382551</v>
      </c>
      <c r="U9" s="96">
        <v>860.94848419914786</v>
      </c>
      <c r="V9" s="96">
        <v>339.16815474671779</v>
      </c>
      <c r="W9" s="96">
        <v>305.36482871418366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30.656910770033065</v>
      </c>
      <c r="C10" s="22">
        <f t="shared" si="29"/>
        <v>25.086516921221559</v>
      </c>
      <c r="D10" s="22">
        <f t="shared" ref="D10:V10" si="30">SUM(D11:D13)</f>
        <v>25.042531890311245</v>
      </c>
      <c r="E10" s="22">
        <f t="shared" si="30"/>
        <v>30.210476537571353</v>
      </c>
      <c r="F10" s="22">
        <f t="shared" si="30"/>
        <v>40.422952318287095</v>
      </c>
      <c r="G10" s="22">
        <f t="shared" si="30"/>
        <v>42.953682925580438</v>
      </c>
      <c r="H10" s="22">
        <f t="shared" si="30"/>
        <v>45.119092975426952</v>
      </c>
      <c r="I10" s="22">
        <f t="shared" si="30"/>
        <v>49.23295958817571</v>
      </c>
      <c r="J10" s="22">
        <f t="shared" si="30"/>
        <v>42.028677187590986</v>
      </c>
      <c r="K10" s="22">
        <f t="shared" si="30"/>
        <v>32.250577556528903</v>
      </c>
      <c r="L10" s="22">
        <f t="shared" si="30"/>
        <v>33.736134745839266</v>
      </c>
      <c r="M10" s="22">
        <f t="shared" si="30"/>
        <v>35.133101128980293</v>
      </c>
      <c r="N10" s="22">
        <f t="shared" si="30"/>
        <v>38.999402336627519</v>
      </c>
      <c r="O10" s="22">
        <f t="shared" si="30"/>
        <v>41.154911414754906</v>
      </c>
      <c r="P10" s="22">
        <f t="shared" si="30"/>
        <v>36.686619943900965</v>
      </c>
      <c r="Q10" s="22">
        <f t="shared" si="30"/>
        <v>38.73848067871738</v>
      </c>
      <c r="R10" s="22">
        <f t="shared" si="30"/>
        <v>36.857870931995933</v>
      </c>
      <c r="S10" s="22">
        <f t="shared" si="30"/>
        <v>39.762227896846078</v>
      </c>
      <c r="T10" s="22">
        <f t="shared" si="30"/>
        <v>38.503145094887998</v>
      </c>
      <c r="U10" s="22">
        <f t="shared" si="30"/>
        <v>54.245812423248132</v>
      </c>
      <c r="V10" s="22">
        <f t="shared" si="30"/>
        <v>31.008892298661081</v>
      </c>
      <c r="W10" s="22">
        <f t="shared" ref="W10" si="31">SUM(W11:W13)</f>
        <v>31.164816051534377</v>
      </c>
      <c r="DA10" s="193" t="s">
        <v>330</v>
      </c>
    </row>
    <row r="11" spans="1:105" ht="11.45" customHeight="1" x14ac:dyDescent="0.25">
      <c r="A11" s="92" t="s">
        <v>27</v>
      </c>
      <c r="B11" s="97">
        <v>4.6883532876129381</v>
      </c>
      <c r="C11" s="97">
        <v>3.5901812667179596</v>
      </c>
      <c r="D11" s="97">
        <v>3.1666946498927335</v>
      </c>
      <c r="E11" s="97">
        <v>2.6288722813998437</v>
      </c>
      <c r="F11" s="97">
        <v>2.6375327223378666</v>
      </c>
      <c r="G11" s="97">
        <v>2.460928146497007</v>
      </c>
      <c r="H11" s="97">
        <v>2.3294012553508949</v>
      </c>
      <c r="I11" s="97">
        <v>1.898406614260584</v>
      </c>
      <c r="J11" s="97">
        <v>1.519747943325584</v>
      </c>
      <c r="K11" s="97">
        <v>1.4792546391625077</v>
      </c>
      <c r="L11" s="97">
        <v>1.1368243270220768</v>
      </c>
      <c r="M11" s="97">
        <v>1.0446926567648938</v>
      </c>
      <c r="N11" s="97">
        <v>1.1386657487504874</v>
      </c>
      <c r="O11" s="97">
        <v>0.94443922288151994</v>
      </c>
      <c r="P11" s="97">
        <v>0.74794748427564739</v>
      </c>
      <c r="Q11" s="97">
        <v>0.71785285409701804</v>
      </c>
      <c r="R11" s="97">
        <v>0.79021288934118727</v>
      </c>
      <c r="S11" s="97">
        <v>0.62429018168327499</v>
      </c>
      <c r="T11" s="97">
        <v>0.42677655617459764</v>
      </c>
      <c r="U11" s="97">
        <v>0.45051554820999379</v>
      </c>
      <c r="V11" s="97">
        <v>0.48978019941343887</v>
      </c>
      <c r="W11" s="97">
        <v>0.35039910684585085</v>
      </c>
      <c r="DA11" s="175" t="s">
        <v>331</v>
      </c>
    </row>
    <row r="12" spans="1:105" ht="11.45" customHeight="1" x14ac:dyDescent="0.25">
      <c r="A12" s="92" t="s">
        <v>173</v>
      </c>
      <c r="B12" s="97">
        <v>13.738598559220129</v>
      </c>
      <c r="C12" s="97">
        <v>12.233095530878014</v>
      </c>
      <c r="D12" s="97">
        <v>11.50463705517523</v>
      </c>
      <c r="E12" s="97">
        <v>17.217874002010067</v>
      </c>
      <c r="F12" s="97">
        <v>23.715048784008324</v>
      </c>
      <c r="G12" s="97">
        <v>24.090915480923858</v>
      </c>
      <c r="H12" s="97">
        <v>29.853091274680576</v>
      </c>
      <c r="I12" s="97">
        <v>34.419602855692261</v>
      </c>
      <c r="J12" s="97">
        <v>29.251350651523101</v>
      </c>
      <c r="K12" s="97">
        <v>24.087602319392257</v>
      </c>
      <c r="L12" s="97">
        <v>25.209026188468865</v>
      </c>
      <c r="M12" s="97">
        <v>23.097208946041082</v>
      </c>
      <c r="N12" s="97">
        <v>22.707293217928044</v>
      </c>
      <c r="O12" s="97">
        <v>27.123981433115567</v>
      </c>
      <c r="P12" s="97">
        <v>26.918704626903899</v>
      </c>
      <c r="Q12" s="97">
        <v>30.586533596596468</v>
      </c>
      <c r="R12" s="97">
        <v>28.924632031583055</v>
      </c>
      <c r="S12" s="97">
        <v>32.187582132006654</v>
      </c>
      <c r="T12" s="97">
        <v>30.934816421690719</v>
      </c>
      <c r="U12" s="97">
        <v>47.3282027952974</v>
      </c>
      <c r="V12" s="97">
        <v>22.110868910676565</v>
      </c>
      <c r="W12" s="97">
        <v>21.083780804108518</v>
      </c>
      <c r="DA12" s="175" t="s">
        <v>332</v>
      </c>
    </row>
    <row r="13" spans="1:105" ht="11.45" customHeight="1" x14ac:dyDescent="0.25">
      <c r="A13" s="85" t="s">
        <v>174</v>
      </c>
      <c r="B13" s="98">
        <v>12.229958923199996</v>
      </c>
      <c r="C13" s="98">
        <v>9.2632401236255859</v>
      </c>
      <c r="D13" s="98">
        <v>10.37120018524328</v>
      </c>
      <c r="E13" s="98">
        <v>10.363730254161441</v>
      </c>
      <c r="F13" s="98">
        <v>14.070370811940903</v>
      </c>
      <c r="G13" s="98">
        <v>16.401839298159576</v>
      </c>
      <c r="H13" s="98">
        <v>12.936600445395481</v>
      </c>
      <c r="I13" s="98">
        <v>12.91495011822286</v>
      </c>
      <c r="J13" s="98">
        <v>11.2575785927423</v>
      </c>
      <c r="K13" s="98">
        <v>6.6837205979741343</v>
      </c>
      <c r="L13" s="98">
        <v>7.3902842303483229</v>
      </c>
      <c r="M13" s="98">
        <v>10.991199526174317</v>
      </c>
      <c r="N13" s="98">
        <v>15.15344336994899</v>
      </c>
      <c r="O13" s="98">
        <v>13.086490758757819</v>
      </c>
      <c r="P13" s="98">
        <v>9.0199678327214166</v>
      </c>
      <c r="Q13" s="98">
        <v>7.4340942280238931</v>
      </c>
      <c r="R13" s="98">
        <v>7.1430260110716883</v>
      </c>
      <c r="S13" s="98">
        <v>6.9503555831561474</v>
      </c>
      <c r="T13" s="98">
        <v>7.1415521170226839</v>
      </c>
      <c r="U13" s="98">
        <v>6.4670940797407379</v>
      </c>
      <c r="V13" s="98">
        <v>8.4082431885710793</v>
      </c>
      <c r="W13" s="98">
        <v>9.7306361405800068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3.0089713263895552</v>
      </c>
      <c r="C18" s="97">
        <f>IF(C4=0,0,C4/TrAvia_ene!C4)</f>
        <v>3.0089486536966543</v>
      </c>
      <c r="D18" s="97">
        <f>IF(D4=0,0,D4/TrAvia_ene!D4)</f>
        <v>3.0087505522589275</v>
      </c>
      <c r="E18" s="97">
        <f>IF(E4=0,0,E4/TrAvia_ene!E4)</f>
        <v>3.0095298056805158</v>
      </c>
      <c r="F18" s="97">
        <f>IF(F4=0,0,F4/TrAvia_ene!F4)</f>
        <v>3.0095446502522512</v>
      </c>
      <c r="G18" s="97">
        <f>IF(G4=0,0,G4/TrAvia_ene!G4)</f>
        <v>3.0103092</v>
      </c>
      <c r="H18" s="97">
        <f>IF(H4=0,0,H4/TrAvia_ene!H4)</f>
        <v>3.0094641790078325</v>
      </c>
      <c r="I18" s="97">
        <f>IF(I4=0,0,I4/TrAvia_ene!I4)</f>
        <v>3.0094072169320834</v>
      </c>
      <c r="J18" s="97">
        <f>IF(J4=0,0,J4/TrAvia_ene!J4)</f>
        <v>3.0093757560765595</v>
      </c>
      <c r="K18" s="97">
        <f>IF(K4=0,0,K4/TrAvia_ene!K4)</f>
        <v>3.0092800298193088</v>
      </c>
      <c r="L18" s="97">
        <f>IF(L4=0,0,L4/TrAvia_ene!L4)</f>
        <v>3.009252949178209</v>
      </c>
      <c r="M18" s="97">
        <f>IF(M4=0,0,M4/TrAvia_ene!M4)</f>
        <v>3.009364775371453</v>
      </c>
      <c r="N18" s="97">
        <f>IF(N4=0,0,N4/TrAvia_ene!N4)</f>
        <v>3.009178574827974</v>
      </c>
      <c r="O18" s="97">
        <f>IF(O4=0,0,O4/TrAvia_ene!O4)</f>
        <v>3.0089932558147527</v>
      </c>
      <c r="P18" s="97">
        <f>IF(P4=0,0,P4/TrAvia_ene!P4)</f>
        <v>3.0089932558147527</v>
      </c>
      <c r="Q18" s="97">
        <f>IF(Q4=0,0,Q4/TrAvia_ene!Q4)</f>
        <v>3.0089486536966548</v>
      </c>
      <c r="R18" s="97">
        <f>IF(R4=0,0,R4/TrAvia_ene!R4)</f>
        <v>3.0089713263895557</v>
      </c>
      <c r="S18" s="97">
        <f>IF(S4=0,0,S4/TrAvia_ene!S4)</f>
        <v>3.0090144761961466</v>
      </c>
      <c r="T18" s="97">
        <f>IF(T4=0,0,T4/TrAvia_ene!T4)</f>
        <v>3.00912870154181</v>
      </c>
      <c r="U18" s="97">
        <f>IF(U4=0,0,U4/TrAvia_ene!U4)</f>
        <v>3.0090742252663656</v>
      </c>
      <c r="V18" s="97">
        <f>IF(V4=0,0,V4/TrAvia_ene!V4)</f>
        <v>3.0074428323275626</v>
      </c>
      <c r="W18" s="97">
        <f>IF(W4=0,0,W4/TrAvia_ene!W4)</f>
        <v>3.007098998944171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3.0103092000000005</v>
      </c>
      <c r="C19" s="98">
        <f>IF(C5=0,0,C5/TrAvia_ene!C5)</f>
        <v>3.0103092000000014</v>
      </c>
      <c r="D19" s="98">
        <f>IF(D5=0,0,D5/TrAvia_ene!D5)</f>
        <v>3.0103091999999996</v>
      </c>
      <c r="E19" s="98">
        <f>IF(E5=0,0,E5/TrAvia_ene!E5)</f>
        <v>3.0103092000000009</v>
      </c>
      <c r="F19" s="98">
        <f>IF(F5=0,0,F5/TrAvia_ene!F5)</f>
        <v>3.0103091999999996</v>
      </c>
      <c r="G19" s="98">
        <f>IF(G5=0,0,G5/TrAvia_ene!G5)</f>
        <v>3.0103092000000018</v>
      </c>
      <c r="H19" s="98">
        <f>IF(H5=0,0,H5/TrAvia_ene!H5)</f>
        <v>3.0103092000000005</v>
      </c>
      <c r="I19" s="98">
        <f>IF(I5=0,0,I5/TrAvia_ene!I5)</f>
        <v>3.0103092000000014</v>
      </c>
      <c r="J19" s="98">
        <f>IF(J5=0,0,J5/TrAvia_ene!J5)</f>
        <v>3.0103092000000009</v>
      </c>
      <c r="K19" s="98">
        <f>IF(K5=0,0,K5/TrAvia_ene!K5)</f>
        <v>3.0103092000000005</v>
      </c>
      <c r="L19" s="98">
        <f>IF(L5=0,0,L5/TrAvia_ene!L5)</f>
        <v>3.0103092000000005</v>
      </c>
      <c r="M19" s="98">
        <f>IF(M5=0,0,M5/TrAvia_ene!M5)</f>
        <v>3.0103092000000014</v>
      </c>
      <c r="N19" s="98">
        <f>IF(N5=0,0,N5/TrAvia_ene!N5)</f>
        <v>3.0103091999999996</v>
      </c>
      <c r="O19" s="98">
        <f>IF(O5=0,0,O5/TrAvia_ene!O5)</f>
        <v>3.0103092000000009</v>
      </c>
      <c r="P19" s="98">
        <f>IF(P5=0,0,P5/TrAvia_ene!P5)</f>
        <v>3.0103092</v>
      </c>
      <c r="Q19" s="98">
        <f>IF(Q5=0,0,Q5/TrAvia_ene!Q5)</f>
        <v>3.0103092</v>
      </c>
      <c r="R19" s="98">
        <f>IF(R5=0,0,R5/TrAvia_ene!R5)</f>
        <v>3.0103092000000009</v>
      </c>
      <c r="S19" s="98">
        <f>IF(S5=0,0,S5/TrAvia_ene!S5)</f>
        <v>3.0103092000000005</v>
      </c>
      <c r="T19" s="98">
        <f>IF(T5=0,0,T5/TrAvia_ene!T5)</f>
        <v>3.0103092000000005</v>
      </c>
      <c r="U19" s="98">
        <f>IF(U5=0,0,U5/TrAvia_ene!U5)</f>
        <v>3.0103092000000009</v>
      </c>
      <c r="V19" s="98">
        <f>IF(V5=0,0,V5/TrAvia_ene!V5)</f>
        <v>3.0103091999999991</v>
      </c>
      <c r="W19" s="98">
        <f>IF(W5=0,0,W5/TrAvia_ene!W5)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13372.536232207036</v>
      </c>
      <c r="C21" s="54">
        <f>IF(C3=0,0,C3/TrAvia_act!C13*1000)</f>
        <v>13470.625773290029</v>
      </c>
      <c r="D21" s="54">
        <f>IF(D3=0,0,D3/TrAvia_act!D13*1000)</f>
        <v>13833.385351976563</v>
      </c>
      <c r="E21" s="54">
        <f>IF(E3=0,0,E3/TrAvia_act!E13*1000)</f>
        <v>13270.085831630846</v>
      </c>
      <c r="F21" s="54">
        <f>IF(F3=0,0,F3/TrAvia_act!F13*1000)</f>
        <v>13669.356134591559</v>
      </c>
      <c r="G21" s="54">
        <f>IF(G3=0,0,G3/TrAvia_act!G13*1000)</f>
        <v>13360.461267846151</v>
      </c>
      <c r="H21" s="54">
        <f>IF(H3=0,0,H3/TrAvia_act!H13*1000)</f>
        <v>13593.701202484639</v>
      </c>
      <c r="I21" s="54">
        <f>IF(I3=0,0,I3/TrAvia_act!I13*1000)</f>
        <v>13781.965000878792</v>
      </c>
      <c r="J21" s="54">
        <f>IF(J3=0,0,J3/TrAvia_act!J13*1000)</f>
        <v>14051.200297204987</v>
      </c>
      <c r="K21" s="54">
        <f>IF(K3=0,0,K3/TrAvia_act!K13*1000)</f>
        <v>13114.237535889823</v>
      </c>
      <c r="L21" s="54">
        <f>IF(L3=0,0,L3/TrAvia_act!L13*1000)</f>
        <v>13475.74105752518</v>
      </c>
      <c r="M21" s="54">
        <f>IF(M3=0,0,M3/TrAvia_act!M13*1000)</f>
        <v>13787.448116431262</v>
      </c>
      <c r="N21" s="54">
        <f>IF(N3=0,0,N3/TrAvia_act!N13*1000)</f>
        <v>14105.977288747226</v>
      </c>
      <c r="O21" s="54">
        <f>IF(O3=0,0,O3/TrAvia_act!O13*1000)</f>
        <v>14294.689194411731</v>
      </c>
      <c r="P21" s="54">
        <f>IF(P3=0,0,P3/TrAvia_act!P13*1000)</f>
        <v>13956.27472342986</v>
      </c>
      <c r="Q21" s="54">
        <f>IF(Q3=0,0,Q3/TrAvia_act!Q13*1000)</f>
        <v>14253.722223459607</v>
      </c>
      <c r="R21" s="54">
        <f>IF(R3=0,0,R3/TrAvia_act!R13*1000)</f>
        <v>14362.223999426136</v>
      </c>
      <c r="S21" s="54">
        <f>IF(S3=0,0,S3/TrAvia_act!S13*1000)</f>
        <v>14178.131373618522</v>
      </c>
      <c r="T21" s="54">
        <f>IF(T3=0,0,T3/TrAvia_act!T13*1000)</f>
        <v>14422.596479802429</v>
      </c>
      <c r="U21" s="54">
        <f>IF(U3=0,0,U3/TrAvia_act!U13*1000)</f>
        <v>14791.285037193014</v>
      </c>
      <c r="V21" s="54">
        <f>IF(V3=0,0,V3/TrAvia_act!V13*1000)</f>
        <v>15804.186052941945</v>
      </c>
      <c r="W21" s="54">
        <f>IF(W3=0,0,W3/TrAvia_act!W13*1000)</f>
        <v>15773.3637256987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13402.004262178218</v>
      </c>
      <c r="C22" s="11">
        <f>IF(C6=0,0,C6/TrAvia_act!C14*1000)</f>
        <v>13498.380377859417</v>
      </c>
      <c r="D22" s="11">
        <f>IF(D6=0,0,D6/TrAvia_act!D14*1000)</f>
        <v>13858.433469632299</v>
      </c>
      <c r="E22" s="11">
        <f>IF(E6=0,0,E6/TrAvia_act!E14*1000)</f>
        <v>13312.141169107615</v>
      </c>
      <c r="F22" s="11">
        <f>IF(F6=0,0,F6/TrAvia_act!F14*1000)</f>
        <v>13726.969236760668</v>
      </c>
      <c r="G22" s="11">
        <f>IF(G6=0,0,G6/TrAvia_act!G14*1000)</f>
        <v>13422.705464888057</v>
      </c>
      <c r="H22" s="11">
        <f>IF(H6=0,0,H6/TrAvia_act!H14*1000)</f>
        <v>13667.372357714112</v>
      </c>
      <c r="I22" s="11">
        <f>IF(I6=0,0,I6/TrAvia_act!I14*1000)</f>
        <v>13866.623129239664</v>
      </c>
      <c r="J22" s="11">
        <f>IF(J6=0,0,J6/TrAvia_act!J14*1000)</f>
        <v>14111.377031275451</v>
      </c>
      <c r="K22" s="11">
        <f>IF(K6=0,0,K6/TrAvia_act!K14*1000)</f>
        <v>13142.499274336067</v>
      </c>
      <c r="L22" s="11">
        <f>IF(L6=0,0,L6/TrAvia_act!L14*1000)</f>
        <v>13490.490063949681</v>
      </c>
      <c r="M22" s="11">
        <f>IF(M6=0,0,M6/TrAvia_act!M14*1000)</f>
        <v>13813.831349505877</v>
      </c>
      <c r="N22" s="11">
        <f>IF(N6=0,0,N6/TrAvia_act!N14*1000)</f>
        <v>14145.657545789994</v>
      </c>
      <c r="O22" s="11">
        <f>IF(O6=0,0,O6/TrAvia_act!O14*1000)</f>
        <v>14337.820743597104</v>
      </c>
      <c r="P22" s="11">
        <f>IF(P6=0,0,P6/TrAvia_act!P14*1000)</f>
        <v>13979.165815938168</v>
      </c>
      <c r="Q22" s="11">
        <f>IF(Q6=0,0,Q6/TrAvia_act!Q14*1000)</f>
        <v>14264.854576591531</v>
      </c>
      <c r="R22" s="11">
        <f>IF(R6=0,0,R6/TrAvia_act!R14*1000)</f>
        <v>14384.887770863577</v>
      </c>
      <c r="S22" s="11">
        <f>IF(S6=0,0,S6/TrAvia_act!S14*1000)</f>
        <v>14193.058147256666</v>
      </c>
      <c r="T22" s="11">
        <f>IF(T6=0,0,T6/TrAvia_act!T14*1000)</f>
        <v>14428.085008011562</v>
      </c>
      <c r="U22" s="11">
        <f>IF(U6=0,0,U6/TrAvia_act!U14*1000)</f>
        <v>14764.101183450646</v>
      </c>
      <c r="V22" s="11">
        <f>IF(V6=0,0,V6/TrAvia_act!V14*1000)</f>
        <v>15934.473775750172</v>
      </c>
      <c r="W22" s="11">
        <f>IF(W6=0,0,W6/TrAvia_act!W14*1000)</f>
        <v>15901.17497393399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13102.428023773886</v>
      </c>
      <c r="C23" s="84">
        <f>IF(C7=0,0,C7/TrAvia_act!C15*1000)</f>
        <v>13257.918086794261</v>
      </c>
      <c r="D23" s="84">
        <f>IF(D7=0,0,D7/TrAvia_act!D15*1000)</f>
        <v>12358.877687079825</v>
      </c>
      <c r="E23" s="84">
        <f>IF(E7=0,0,E7/TrAvia_act!E15*1000)</f>
        <v>12240.48438209949</v>
      </c>
      <c r="F23" s="84">
        <f>IF(F7=0,0,F7/TrAvia_act!F15*1000)</f>
        <v>12280.808894170314</v>
      </c>
      <c r="G23" s="84">
        <f>IF(G7=0,0,G7/TrAvia_act!G15*1000)</f>
        <v>11465.80944115718</v>
      </c>
      <c r="H23" s="84">
        <f>IF(H7=0,0,H7/TrAvia_act!H15*1000)</f>
        <v>11205.772747295081</v>
      </c>
      <c r="I23" s="84">
        <f>IF(I7=0,0,I7/TrAvia_act!I15*1000)</f>
        <v>10780.755668191776</v>
      </c>
      <c r="J23" s="84">
        <f>IF(J7=0,0,J7/TrAvia_act!J15*1000)</f>
        <v>10749.636522530525</v>
      </c>
      <c r="K23" s="84">
        <f>IF(K7=0,0,K7/TrAvia_act!K15*1000)</f>
        <v>9646.7244594228596</v>
      </c>
      <c r="L23" s="84">
        <f>IF(L7=0,0,L7/TrAvia_act!L15*1000)</f>
        <v>9863.1356474241511</v>
      </c>
      <c r="M23" s="84">
        <f>IF(M7=0,0,M7/TrAvia_act!M15*1000)</f>
        <v>10174.54038339545</v>
      </c>
      <c r="N23" s="84">
        <f>IF(N7=0,0,N7/TrAvia_act!N15*1000)</f>
        <v>9998.8975190491037</v>
      </c>
      <c r="O23" s="84">
        <f>IF(O7=0,0,O7/TrAvia_act!O15*1000)</f>
        <v>9870.7024167187355</v>
      </c>
      <c r="P23" s="84">
        <f>IF(P7=0,0,P7/TrAvia_act!P15*1000)</f>
        <v>10087.006940199068</v>
      </c>
      <c r="Q23" s="84">
        <f>IF(Q7=0,0,Q7/TrAvia_act!Q15*1000)</f>
        <v>10157.453280360463</v>
      </c>
      <c r="R23" s="84">
        <f>IF(R7=0,0,R7/TrAvia_act!R15*1000)</f>
        <v>10630.900060501108</v>
      </c>
      <c r="S23" s="84">
        <f>IF(S7=0,0,S7/TrAvia_act!S15*1000)</f>
        <v>10568.196426448227</v>
      </c>
      <c r="T23" s="84">
        <f>IF(T7=0,0,T7/TrAvia_act!T15*1000)</f>
        <v>10743.267724740313</v>
      </c>
      <c r="U23" s="84">
        <f>IF(U7=0,0,U7/TrAvia_act!U15*1000)</f>
        <v>10274.003639638484</v>
      </c>
      <c r="V23" s="84">
        <f>IF(V7=0,0,V7/TrAvia_act!V15*1000)</f>
        <v>10038.596846095983</v>
      </c>
      <c r="W23" s="84">
        <f>IF(W7=0,0,W7/TrAvia_act!W15*1000)</f>
        <v>8902.0708101013024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11270.759688418693</v>
      </c>
      <c r="C24" s="84">
        <f>IF(C8=0,0,C8/TrAvia_act!C16*1000)</f>
        <v>11374.30703255429</v>
      </c>
      <c r="D24" s="84">
        <f>IF(D8=0,0,D8/TrAvia_act!D16*1000)</f>
        <v>11943.614874928271</v>
      </c>
      <c r="E24" s="84">
        <f>IF(E8=0,0,E8/TrAvia_act!E16*1000)</f>
        <v>11414.508984522216</v>
      </c>
      <c r="F24" s="84">
        <f>IF(F8=0,0,F8/TrAvia_act!F16*1000)</f>
        <v>11711.413230166623</v>
      </c>
      <c r="G24" s="84">
        <f>IF(G8=0,0,G8/TrAvia_act!G16*1000)</f>
        <v>11758.734074433716</v>
      </c>
      <c r="H24" s="84">
        <f>IF(H8=0,0,H8/TrAvia_act!H16*1000)</f>
        <v>12701.333942724104</v>
      </c>
      <c r="I24" s="84">
        <f>IF(I8=0,0,I8/TrAvia_act!I16*1000)</f>
        <v>13687.73927269297</v>
      </c>
      <c r="J24" s="84">
        <f>IF(J8=0,0,J8/TrAvia_act!J16*1000)</f>
        <v>14465.62259528211</v>
      </c>
      <c r="K24" s="84">
        <f>IF(K8=0,0,K8/TrAvia_act!K16*1000)</f>
        <v>13453.235722448408</v>
      </c>
      <c r="L24" s="84">
        <f>IF(L8=0,0,L8/TrAvia_act!L16*1000)</f>
        <v>14001.859322953105</v>
      </c>
      <c r="M24" s="84">
        <f>IF(M8=0,0,M8/TrAvia_act!M16*1000)</f>
        <v>14657.442051529362</v>
      </c>
      <c r="N24" s="84">
        <f>IF(N8=0,0,N8/TrAvia_act!N16*1000)</f>
        <v>15309.666100709252</v>
      </c>
      <c r="O24" s="84">
        <f>IF(O8=0,0,O8/TrAvia_act!O16*1000)</f>
        <v>15541.532951641864</v>
      </c>
      <c r="P24" s="84">
        <f>IF(P8=0,0,P8/TrAvia_act!P16*1000)</f>
        <v>15405.86535576475</v>
      </c>
      <c r="Q24" s="84">
        <f>IF(Q8=0,0,Q8/TrAvia_act!Q16*1000)</f>
        <v>16096.63462076314</v>
      </c>
      <c r="R24" s="84">
        <f>IF(R8=0,0,R8/TrAvia_act!R16*1000)</f>
        <v>16308.455199925418</v>
      </c>
      <c r="S24" s="84">
        <f>IF(S8=0,0,S8/TrAvia_act!S16*1000)</f>
        <v>16184.839661827531</v>
      </c>
      <c r="T24" s="84">
        <f>IF(T8=0,0,T8/TrAvia_act!T16*1000)</f>
        <v>16630.537009040334</v>
      </c>
      <c r="U24" s="84">
        <f>IF(U8=0,0,U8/TrAvia_act!U16*1000)</f>
        <v>17767.278552169224</v>
      </c>
      <c r="V24" s="84">
        <f>IF(V8=0,0,V8/TrAvia_act!V16*1000)</f>
        <v>18127.989291059945</v>
      </c>
      <c r="W24" s="84">
        <f>IF(W8=0,0,W8/TrAvia_act!W16*1000)</f>
        <v>19148.905977752118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21490.781961309276</v>
      </c>
      <c r="C25" s="84">
        <f>IF(C9=0,0,C9/TrAvia_act!C17*1000)</f>
        <v>21684.483600482596</v>
      </c>
      <c r="D25" s="84">
        <f>IF(D9=0,0,D9/TrAvia_act!D17*1000)</f>
        <v>22765.719106882632</v>
      </c>
      <c r="E25" s="84">
        <f>IF(E9=0,0,E9/TrAvia_act!E17*1000)</f>
        <v>21750.919091394037</v>
      </c>
      <c r="F25" s="84">
        <f>IF(F9=0,0,F9/TrAvia_act!F17*1000)</f>
        <v>22322.626222088787</v>
      </c>
      <c r="G25" s="84">
        <f>IF(G9=0,0,G9/TrAvia_act!G17*1000)</f>
        <v>21041.45396673428</v>
      </c>
      <c r="H25" s="84">
        <f>IF(H9=0,0,H9/TrAvia_act!H17*1000)</f>
        <v>18729.583184854659</v>
      </c>
      <c r="I25" s="84">
        <f>IF(I9=0,0,I9/TrAvia_act!I17*1000)</f>
        <v>16660.945453200893</v>
      </c>
      <c r="J25" s="84">
        <f>IF(J9=0,0,J9/TrAvia_act!J17*1000)</f>
        <v>15547.942513968417</v>
      </c>
      <c r="K25" s="84">
        <f>IF(K9=0,0,K9/TrAvia_act!K17*1000)</f>
        <v>14911.003646660885</v>
      </c>
      <c r="L25" s="84">
        <f>IF(L9=0,0,L9/TrAvia_act!L17*1000)</f>
        <v>14751.670249530709</v>
      </c>
      <c r="M25" s="84">
        <f>IF(M9=0,0,M9/TrAvia_act!M17*1000)</f>
        <v>14340.216439971489</v>
      </c>
      <c r="N25" s="84">
        <f>IF(N9=0,0,N9/TrAvia_act!N17*1000)</f>
        <v>14245.498906517934</v>
      </c>
      <c r="O25" s="84">
        <f>IF(O9=0,0,O9/TrAvia_act!O17*1000)</f>
        <v>14231.937017990444</v>
      </c>
      <c r="P25" s="84">
        <f>IF(P9=0,0,P9/TrAvia_act!P17*1000)</f>
        <v>13298.753372830728</v>
      </c>
      <c r="Q25" s="84">
        <f>IF(Q9=0,0,Q9/TrAvia_act!Q17*1000)</f>
        <v>13087.22913159368</v>
      </c>
      <c r="R25" s="84">
        <f>IF(R9=0,0,R9/TrAvia_act!R17*1000)</f>
        <v>12854.665113367015</v>
      </c>
      <c r="S25" s="84">
        <f>IF(S9=0,0,S9/TrAvia_act!S17*1000)</f>
        <v>12427.127597836621</v>
      </c>
      <c r="T25" s="84">
        <f>IF(T9=0,0,T9/TrAvia_act!T17*1000)</f>
        <v>12405.549759980355</v>
      </c>
      <c r="U25" s="84">
        <f>IF(U9=0,0,U9/TrAvia_act!U17*1000)</f>
        <v>12158.970199749496</v>
      </c>
      <c r="V25" s="84">
        <f>IF(V9=0,0,V9/TrAvia_act!V17*1000)</f>
        <v>15584.892650991089</v>
      </c>
      <c r="W25" s="84">
        <f>IF(W9=0,0,W9/TrAvia_act!W17*1000)</f>
        <v>14759.660034984994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12163.590691411377</v>
      </c>
      <c r="C26" s="13">
        <f>IF(C10=0,0,C10/TrAvia_act!C18*1000)</f>
        <v>12072.361836807731</v>
      </c>
      <c r="D26" s="13">
        <f>IF(D10=0,0,D10/TrAvia_act!D18*1000)</f>
        <v>12601.856055835522</v>
      </c>
      <c r="E26" s="13">
        <f>IF(E10=0,0,E10/TrAvia_act!E18*1000)</f>
        <v>11593.241101709667</v>
      </c>
      <c r="F26" s="13">
        <f>IF(F10=0,0,F10/TrAvia_act!F18*1000)</f>
        <v>11777.291891821178</v>
      </c>
      <c r="G26" s="13">
        <f>IF(G10=0,0,G10/TrAvia_act!G18*1000)</f>
        <v>11460.650877122782</v>
      </c>
      <c r="H26" s="13">
        <f>IF(H10=0,0,H10/TrAvia_act!H18*1000)</f>
        <v>11342.977177877818</v>
      </c>
      <c r="I26" s="13">
        <f>IF(I10=0,0,I10/TrAvia_act!I18*1000)</f>
        <v>11206.918661790867</v>
      </c>
      <c r="J26" s="13">
        <f>IF(J10=0,0,J10/TrAvia_act!J18*1000)</f>
        <v>11695.963045156563</v>
      </c>
      <c r="K26" s="13">
        <f>IF(K10=0,0,K10/TrAvia_act!K18*1000)</f>
        <v>11742.761217555291</v>
      </c>
      <c r="L26" s="13">
        <f>IF(L10=0,0,L10/TrAvia_act!L18*1000)</f>
        <v>12722.104760747892</v>
      </c>
      <c r="M26" s="13">
        <f>IF(M10=0,0,M10/TrAvia_act!M18*1000)</f>
        <v>12344.425909959458</v>
      </c>
      <c r="N26" s="13">
        <f>IF(N10=0,0,N10/TrAvia_act!N18*1000)</f>
        <v>12302.959351381465</v>
      </c>
      <c r="O26" s="13">
        <f>IF(O10=0,0,O10/TrAvia_act!O18*1000)</f>
        <v>12421.282853146133</v>
      </c>
      <c r="P26" s="13">
        <f>IF(P10=0,0,P10/TrAvia_act!P18*1000)</f>
        <v>12791.630604585496</v>
      </c>
      <c r="Q26" s="13">
        <f>IF(Q10=0,0,Q10/TrAvia_act!Q18*1000)</f>
        <v>13682.590856435723</v>
      </c>
      <c r="R26" s="13">
        <f>IF(R10=0,0,R10/TrAvia_act!R18*1000)</f>
        <v>13187.852074996257</v>
      </c>
      <c r="S26" s="13">
        <f>IF(S10=0,0,S10/TrAvia_act!S18*1000)</f>
        <v>13397.903072888437</v>
      </c>
      <c r="T26" s="13">
        <f>IF(T10=0,0,T10/TrAvia_act!T18*1000)</f>
        <v>14072.584006195731</v>
      </c>
      <c r="U26" s="13">
        <f>IF(U10=0,0,U10/TrAvia_act!U18*1000)</f>
        <v>16269.000911911597</v>
      </c>
      <c r="V26" s="13">
        <f>IF(V10=0,0,V10/TrAvia_act!V18*1000)</f>
        <v>12748.143963424962</v>
      </c>
      <c r="W26" s="13">
        <f>IF(W10=0,0,W10/TrAvia_act!W18*1000)</f>
        <v>12852.980865615267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18838.603079392495</v>
      </c>
      <c r="C27" s="102">
        <f>IF(C11=0,0,C11/TrAvia_act!C19*1000)</f>
        <v>19062.165885821618</v>
      </c>
      <c r="D27" s="102">
        <f>IF(D11=0,0,D11/TrAvia_act!D19*1000)</f>
        <v>17769.53026043771</v>
      </c>
      <c r="E27" s="102">
        <f>IF(E11=0,0,E11/TrAvia_act!E19*1000)</f>
        <v>17599.304980380071</v>
      </c>
      <c r="F27" s="102">
        <f>IF(F11=0,0,F11/TrAvia_act!F19*1000)</f>
        <v>17657.283354761832</v>
      </c>
      <c r="G27" s="102">
        <f>IF(G11=0,0,G11/TrAvia_act!G19*1000)</f>
        <v>16254.142426025559</v>
      </c>
      <c r="H27" s="102">
        <f>IF(H11=0,0,H11/TrAvia_act!H19*1000)</f>
        <v>17933.59663208637</v>
      </c>
      <c r="I27" s="102">
        <f>IF(I11=0,0,I11/TrAvia_act!I19*1000)</f>
        <v>17975.851457215773</v>
      </c>
      <c r="J27" s="102">
        <f>IF(J11=0,0,J11/TrAvia_act!J19*1000)</f>
        <v>20292.525622567904</v>
      </c>
      <c r="K27" s="102">
        <f>IF(K11=0,0,K11/TrAvia_act!K19*1000)</f>
        <v>19723.531842923425</v>
      </c>
      <c r="L27" s="102">
        <f>IF(L11=0,0,L11/TrAvia_act!L19*1000)</f>
        <v>22195.363576447737</v>
      </c>
      <c r="M27" s="102">
        <f>IF(M11=0,0,M11/TrAvia_act!M19*1000)</f>
        <v>17293.582718452995</v>
      </c>
      <c r="N27" s="102">
        <f>IF(N11=0,0,N11/TrAvia_act!N19*1000)</f>
        <v>13788.510624406943</v>
      </c>
      <c r="O27" s="102">
        <f>IF(O11=0,0,O11/TrAvia_act!O19*1000)</f>
        <v>13980.259800669459</v>
      </c>
      <c r="P27" s="102">
        <f>IF(P11=0,0,P11/TrAvia_act!P19*1000)</f>
        <v>14233.510586943932</v>
      </c>
      <c r="Q27" s="102">
        <f>IF(Q11=0,0,Q11/TrAvia_act!Q19*1000)</f>
        <v>14533.071935470072</v>
      </c>
      <c r="R27" s="102">
        <f>IF(R11=0,0,R11/TrAvia_act!R19*1000)</f>
        <v>15323.867506242661</v>
      </c>
      <c r="S27" s="102">
        <f>IF(S11=0,0,S11/TrAvia_act!S19*1000)</f>
        <v>15270.199584886377</v>
      </c>
      <c r="T27" s="102">
        <f>IF(T11=0,0,T11/TrAvia_act!T19*1000)</f>
        <v>15305.051220376692</v>
      </c>
      <c r="U27" s="102">
        <f>IF(U11=0,0,U11/TrAvia_act!U19*1000)</f>
        <v>15772.290358512681</v>
      </c>
      <c r="V27" s="102">
        <f>IF(V11=0,0,V11/TrAvia_act!V19*1000)</f>
        <v>14653.02712015653</v>
      </c>
      <c r="W27" s="102">
        <f>IF(W11=0,0,W11/TrAvia_act!W19*1000)</f>
        <v>12843.37295105729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10313.544750572921</v>
      </c>
      <c r="C28" s="102">
        <f>IF(C12=0,0,C12/TrAvia_act!C20*1000)</f>
        <v>10327.736802643401</v>
      </c>
      <c r="D28" s="102">
        <f>IF(D12=0,0,D12/TrAvia_act!D20*1000)</f>
        <v>10884.538432830932</v>
      </c>
      <c r="E28" s="102">
        <f>IF(E12=0,0,E12/TrAvia_act!E20*1000)</f>
        <v>10310.432880279352</v>
      </c>
      <c r="F28" s="102">
        <f>IF(F12=0,0,F12/TrAvia_act!F20*1000)</f>
        <v>10575.782714838228</v>
      </c>
      <c r="G28" s="102">
        <f>IF(G12=0,0,G12/TrAvia_act!G20*1000)</f>
        <v>10607.67066606795</v>
      </c>
      <c r="H28" s="102">
        <f>IF(H12=0,0,H12/TrAvia_act!H20*1000)</f>
        <v>11483.100499457163</v>
      </c>
      <c r="I28" s="102">
        <f>IF(I12=0,0,I12/TrAvia_act!I20*1000)</f>
        <v>12311.269617772017</v>
      </c>
      <c r="J28" s="102">
        <f>IF(J12=0,0,J12/TrAvia_act!J20*1000)</f>
        <v>13186.942436391953</v>
      </c>
      <c r="K28" s="102">
        <f>IF(K12=0,0,K12/TrAvia_act!K20*1000)</f>
        <v>12301.424096400962</v>
      </c>
      <c r="L28" s="102">
        <f>IF(L12=0,0,L12/TrAvia_act!L20*1000)</f>
        <v>13148.993018756339</v>
      </c>
      <c r="M28" s="102">
        <f>IF(M12=0,0,M12/TrAvia_act!M20*1000)</f>
        <v>13780.571418346832</v>
      </c>
      <c r="N28" s="102">
        <f>IF(N12=0,0,N12/TrAvia_act!N20*1000)</f>
        <v>14550.785990933446</v>
      </c>
      <c r="O28" s="102">
        <f>IF(O12=0,0,O12/TrAvia_act!O20*1000)</f>
        <v>14424.539863552045</v>
      </c>
      <c r="P28" s="102">
        <f>IF(P12=0,0,P12/TrAvia_act!P20*1000)</f>
        <v>14155.232887355285</v>
      </c>
      <c r="Q28" s="102">
        <f>IF(Q12=0,0,Q12/TrAvia_act!Q20*1000)</f>
        <v>14809.257068431523</v>
      </c>
      <c r="R28" s="102">
        <f>IF(R12=0,0,R12/TrAvia_act!R20*1000)</f>
        <v>15300.181579112908</v>
      </c>
      <c r="S28" s="102">
        <f>IF(S12=0,0,S12/TrAvia_act!S20*1000)</f>
        <v>15910.392767305133</v>
      </c>
      <c r="T28" s="102">
        <f>IF(T12=0,0,T12/TrAvia_act!T20*1000)</f>
        <v>17076.159268471474</v>
      </c>
      <c r="U28" s="102">
        <f>IF(U12=0,0,U12/TrAvia_act!U20*1000)</f>
        <v>19818.946245224091</v>
      </c>
      <c r="V28" s="102">
        <f>IF(V12=0,0,V12/TrAvia_act!V20*1000)</f>
        <v>16386.986977384466</v>
      </c>
      <c r="W28" s="102">
        <f>IF(W12=0,0,W12/TrAvia_act!W20*1000)</f>
        <v>18134.443654054539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13018.613078155917</v>
      </c>
      <c r="C29" s="86">
        <f>IF(C13=0,0,C13/TrAvia_act!C21*1000)</f>
        <v>13135.953000804702</v>
      </c>
      <c r="D29" s="86">
        <f>IF(D13=0,0,D13/TrAvia_act!D21*1000)</f>
        <v>13790.940182263617</v>
      </c>
      <c r="E29" s="86">
        <f>IF(E13=0,0,E13/TrAvia_act!E21*1000)</f>
        <v>13176.198067382111</v>
      </c>
      <c r="F29" s="86">
        <f>IF(F13=0,0,F13/TrAvia_act!F21*1000)</f>
        <v>13522.524875868521</v>
      </c>
      <c r="G29" s="86">
        <f>IF(G13=0,0,G13/TrAvia_act!G21*1000)</f>
        <v>12374.642380804939</v>
      </c>
      <c r="H29" s="86">
        <f>IF(H13=0,0,H13/TrAvia_act!H21*1000)</f>
        <v>10365.201457652005</v>
      </c>
      <c r="I29" s="86">
        <f>IF(I13=0,0,I13/TrAvia_act!I21*1000)</f>
        <v>8657.889023207068</v>
      </c>
      <c r="J29" s="86">
        <f>IF(J13=0,0,J13/TrAvia_act!J21*1000)</f>
        <v>8657.4327826206609</v>
      </c>
      <c r="K29" s="86">
        <f>IF(K13=0,0,K13/TrAvia_act!K21*1000)</f>
        <v>9370.0402910982393</v>
      </c>
      <c r="L29" s="86">
        <f>IF(L13=0,0,L13/TrAvia_act!L21*1000)</f>
        <v>10814.453304873066</v>
      </c>
      <c r="M29" s="86">
        <f>IF(M13=0,0,M13/TrAvia_act!M21*1000)</f>
        <v>9905.6374974074643</v>
      </c>
      <c r="N29" s="86">
        <f>IF(N13=0,0,N13/TrAvia_act!N21*1000)</f>
        <v>9925.0652200019686</v>
      </c>
      <c r="O29" s="86">
        <f>IF(O13=0,0,O13/TrAvia_act!O21*1000)</f>
        <v>9585.0856611180425</v>
      </c>
      <c r="P29" s="86">
        <f>IF(P13=0,0,P13/TrAvia_act!P21*1000)</f>
        <v>9870.9370670521384</v>
      </c>
      <c r="Q29" s="86">
        <f>IF(Q13=0,0,Q13/TrAvia_act!Q21*1000)</f>
        <v>10376.091765195299</v>
      </c>
      <c r="R29" s="86">
        <f>IF(R13=0,0,R13/TrAvia_act!R21*1000)</f>
        <v>8376.0552019891875</v>
      </c>
      <c r="S29" s="86">
        <f>IF(S13=0,0,S13/TrAvia_act!S21*1000)</f>
        <v>7689.653879126814</v>
      </c>
      <c r="T29" s="86">
        <f>IF(T13=0,0,T13/TrAvia_act!T21*1000)</f>
        <v>7965.3662726483008</v>
      </c>
      <c r="U29" s="86">
        <f>IF(U13=0,0,U13/TrAvia_act!U21*1000)</f>
        <v>7046.9669155926304</v>
      </c>
      <c r="V29" s="86">
        <f>IF(V13=0,0,V13/TrAvia_act!V21*1000)</f>
        <v>8010.1046317803139</v>
      </c>
      <c r="W29" s="86">
        <f>IF(W13=0,0,W13/TrAvia_act!W21*1000)</f>
        <v>7880.3640923565872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133.85225449818088</v>
      </c>
      <c r="C32" s="14">
        <f>IF(C6=0,0,C6/TrAvia_act!C4*1000)</f>
        <v>135.77629948368994</v>
      </c>
      <c r="D32" s="14">
        <f>IF(D6=0,0,D6/TrAvia_act!D4*1000)</f>
        <v>132.31514680206735</v>
      </c>
      <c r="E32" s="14">
        <f>IF(E6=0,0,E6/TrAvia_act!E4*1000)</f>
        <v>136.80120763463617</v>
      </c>
      <c r="F32" s="14">
        <f>IF(F6=0,0,F6/TrAvia_act!F4*1000)</f>
        <v>134.88649170312709</v>
      </c>
      <c r="G32" s="14">
        <f>IF(G6=0,0,G6/TrAvia_act!G4*1000)</f>
        <v>123.57330053979696</v>
      </c>
      <c r="H32" s="14">
        <f>IF(H6=0,0,H6/TrAvia_act!H4*1000)</f>
        <v>121.3828838137473</v>
      </c>
      <c r="I32" s="14">
        <f>IF(I6=0,0,I6/TrAvia_act!I4*1000)</f>
        <v>116.84809199050299</v>
      </c>
      <c r="J32" s="14">
        <f>IF(J6=0,0,J6/TrAvia_act!J4*1000)</f>
        <v>120.47247051547495</v>
      </c>
      <c r="K32" s="14">
        <f>IF(K6=0,0,K6/TrAvia_act!K4*1000)</f>
        <v>111.73871720885204</v>
      </c>
      <c r="L32" s="14">
        <f>IF(L6=0,0,L6/TrAvia_act!L4*1000)</f>
        <v>110.66717276483051</v>
      </c>
      <c r="M32" s="14">
        <f>IF(M6=0,0,M6/TrAvia_act!M4*1000)</f>
        <v>113.50468926238587</v>
      </c>
      <c r="N32" s="14">
        <f>IF(N6=0,0,N6/TrAvia_act!N4*1000)</f>
        <v>102.96867725392696</v>
      </c>
      <c r="O32" s="14">
        <f>IF(O6=0,0,O6/TrAvia_act!O4*1000)</f>
        <v>102.53560370064689</v>
      </c>
      <c r="P32" s="14">
        <f>IF(P6=0,0,P6/TrAvia_act!P4*1000)</f>
        <v>97.770214213427778</v>
      </c>
      <c r="Q32" s="14">
        <f>IF(Q6=0,0,Q6/TrAvia_act!Q4*1000)</f>
        <v>99.940204330981274</v>
      </c>
      <c r="R32" s="14">
        <f>IF(R6=0,0,R6/TrAvia_act!R4*1000)</f>
        <v>96.048433275320406</v>
      </c>
      <c r="S32" s="14">
        <f>IF(S6=0,0,S6/TrAvia_act!S4*1000)</f>
        <v>88.445554833515644</v>
      </c>
      <c r="T32" s="14">
        <f>IF(T6=0,0,T6/TrAvia_act!T4*1000)</f>
        <v>90.947971853449857</v>
      </c>
      <c r="U32" s="14">
        <f>IF(U6=0,0,U6/TrAvia_act!U4*1000)</f>
        <v>90.080133903126736</v>
      </c>
      <c r="V32" s="14">
        <f>IF(V6=0,0,V6/TrAvia_act!V4*1000)</f>
        <v>129.29708968201467</v>
      </c>
      <c r="W32" s="14">
        <f>IF(W6=0,0,W6/TrAvia_act!W4*1000)</f>
        <v>183.73258074712444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233.1605599135188</v>
      </c>
      <c r="C33" s="87">
        <f>IF(C7=0,0,C7/TrAvia_act!C5*1000)</f>
        <v>233.85552645483469</v>
      </c>
      <c r="D33" s="87">
        <f>IF(D7=0,0,D7/TrAvia_act!D5*1000)</f>
        <v>203.39083976435174</v>
      </c>
      <c r="E33" s="87">
        <f>IF(E7=0,0,E7/TrAvia_act!E5*1000)</f>
        <v>235.65491091980022</v>
      </c>
      <c r="F33" s="87">
        <f>IF(F7=0,0,F7/TrAvia_act!F5*1000)</f>
        <v>227.08965918791785</v>
      </c>
      <c r="G33" s="87">
        <f>IF(G7=0,0,G7/TrAvia_act!G5*1000)</f>
        <v>218.04300999347825</v>
      </c>
      <c r="H33" s="87">
        <f>IF(H7=0,0,H7/TrAvia_act!H5*1000)</f>
        <v>212.08992005890696</v>
      </c>
      <c r="I33" s="87">
        <f>IF(I7=0,0,I7/TrAvia_act!I5*1000)</f>
        <v>189.09827326744741</v>
      </c>
      <c r="J33" s="87">
        <f>IF(J7=0,0,J7/TrAvia_act!J5*1000)</f>
        <v>197.3558945686635</v>
      </c>
      <c r="K33" s="87">
        <f>IF(K7=0,0,K7/TrAvia_act!K5*1000)</f>
        <v>196.50017926485799</v>
      </c>
      <c r="L33" s="87">
        <f>IF(L7=0,0,L7/TrAvia_act!L5*1000)</f>
        <v>197.33030982205167</v>
      </c>
      <c r="M33" s="87">
        <f>IF(M7=0,0,M7/TrAvia_act!M5*1000)</f>
        <v>186.21646905567451</v>
      </c>
      <c r="N33" s="87">
        <f>IF(N7=0,0,N7/TrAvia_act!N5*1000)</f>
        <v>155.49031335454541</v>
      </c>
      <c r="O33" s="87">
        <f>IF(O7=0,0,O7/TrAvia_act!O5*1000)</f>
        <v>148.03471564485335</v>
      </c>
      <c r="P33" s="87">
        <f>IF(P7=0,0,P7/TrAvia_act!P5*1000)</f>
        <v>142.22764760263794</v>
      </c>
      <c r="Q33" s="87">
        <f>IF(Q7=0,0,Q7/TrAvia_act!Q5*1000)</f>
        <v>136.57939726880545</v>
      </c>
      <c r="R33" s="87">
        <f>IF(R7=0,0,R7/TrAvia_act!R5*1000)</f>
        <v>131.92601694646186</v>
      </c>
      <c r="S33" s="87">
        <f>IF(S7=0,0,S7/TrAvia_act!S5*1000)</f>
        <v>127.39248734945518</v>
      </c>
      <c r="T33" s="87">
        <f>IF(T7=0,0,T7/TrAvia_act!T5*1000)</f>
        <v>124.95596493567984</v>
      </c>
      <c r="U33" s="87">
        <f>IF(U7=0,0,U7/TrAvia_act!U5*1000)</f>
        <v>119.12257008873381</v>
      </c>
      <c r="V33" s="87">
        <f>IF(V7=0,0,V7/TrAvia_act!V5*1000)</f>
        <v>136.60841257944219</v>
      </c>
      <c r="W33" s="87">
        <f>IF(W7=0,0,W7/TrAvia_act!W5*1000)</f>
        <v>138.56759301041359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113.62358052025442</v>
      </c>
      <c r="C34" s="87">
        <f>IF(C8=0,0,C8/TrAvia_act!C6*1000)</f>
        <v>115.21640495539164</v>
      </c>
      <c r="D34" s="87">
        <f>IF(D8=0,0,D8/TrAvia_act!D6*1000)</f>
        <v>113.83735322211187</v>
      </c>
      <c r="E34" s="87">
        <f>IF(E8=0,0,E8/TrAvia_act!E6*1000)</f>
        <v>117.314146342901</v>
      </c>
      <c r="F34" s="87">
        <f>IF(F8=0,0,F8/TrAvia_act!F6*1000)</f>
        <v>120.82627445361643</v>
      </c>
      <c r="G34" s="87">
        <f>IF(G8=0,0,G8/TrAvia_act!G6*1000)</f>
        <v>114.12762449349665</v>
      </c>
      <c r="H34" s="87">
        <f>IF(H8=0,0,H8/TrAvia_act!H6*1000)</f>
        <v>119.59291323318557</v>
      </c>
      <c r="I34" s="87">
        <f>IF(I8=0,0,I8/TrAvia_act!I6*1000)</f>
        <v>133.17451294439726</v>
      </c>
      <c r="J34" s="87">
        <f>IF(J8=0,0,J8/TrAvia_act!J6*1000)</f>
        <v>149.41302807456387</v>
      </c>
      <c r="K34" s="87">
        <f>IF(K8=0,0,K8/TrAvia_act!K6*1000)</f>
        <v>135.66388225075551</v>
      </c>
      <c r="L34" s="87">
        <f>IF(L8=0,0,L8/TrAvia_act!L6*1000)</f>
        <v>140.62034321843132</v>
      </c>
      <c r="M34" s="87">
        <f>IF(M8=0,0,M8/TrAvia_act!M6*1000)</f>
        <v>146.64258355716842</v>
      </c>
      <c r="N34" s="87">
        <f>IF(N8=0,0,N8/TrAvia_act!N6*1000)</f>
        <v>138.45416783895905</v>
      </c>
      <c r="O34" s="87">
        <f>IF(O8=0,0,O8/TrAvia_act!O6*1000)</f>
        <v>135.23765744318456</v>
      </c>
      <c r="P34" s="87">
        <f>IF(P8=0,0,P8/TrAvia_act!P6*1000)</f>
        <v>120.82854585234143</v>
      </c>
      <c r="Q34" s="87">
        <f>IF(Q8=0,0,Q8/TrAvia_act!Q6*1000)</f>
        <v>127.69563312830348</v>
      </c>
      <c r="R34" s="87">
        <f>IF(R8=0,0,R8/TrAvia_act!R6*1000)</f>
        <v>125.56653535842955</v>
      </c>
      <c r="S34" s="87">
        <f>IF(S8=0,0,S8/TrAvia_act!S6*1000)</f>
        <v>119.33252340561374</v>
      </c>
      <c r="T34" s="87">
        <f>IF(T8=0,0,T8/TrAvia_act!T6*1000)</f>
        <v>125.80819474782159</v>
      </c>
      <c r="U34" s="87">
        <f>IF(U8=0,0,U8/TrAvia_act!U6*1000)</f>
        <v>129.96420059387574</v>
      </c>
      <c r="V34" s="87">
        <f>IF(V8=0,0,V8/TrAvia_act!V6*1000)</f>
        <v>177.2921681855621</v>
      </c>
      <c r="W34" s="87">
        <f>IF(W8=0,0,W8/TrAvia_act!W6*1000)</f>
        <v>203.86298670510175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120.53436088914482</v>
      </c>
      <c r="C35" s="87">
        <f>IF(C9=0,0,C9/TrAvia_act!C7*1000)</f>
        <v>125.52687653004155</v>
      </c>
      <c r="D35" s="87">
        <f>IF(D9=0,0,D9/TrAvia_act!D7*1000)</f>
        <v>131.29282932499817</v>
      </c>
      <c r="E35" s="87">
        <f>IF(E9=0,0,E9/TrAvia_act!E7*1000)</f>
        <v>130.49378386485662</v>
      </c>
      <c r="F35" s="87">
        <f>IF(F9=0,0,F9/TrAvia_act!F7*1000)</f>
        <v>123.47664518197338</v>
      </c>
      <c r="G35" s="87">
        <f>IF(G9=0,0,G9/TrAvia_act!G7*1000)</f>
        <v>107.02261759133572</v>
      </c>
      <c r="H35" s="87">
        <f>IF(H9=0,0,H9/TrAvia_act!H7*1000)</f>
        <v>98.617292279966975</v>
      </c>
      <c r="I35" s="87">
        <f>IF(I9=0,0,I9/TrAvia_act!I7*1000)</f>
        <v>82.2556308605309</v>
      </c>
      <c r="J35" s="87">
        <f>IF(J9=0,0,J9/TrAvia_act!J7*1000)</f>
        <v>78.913884119875831</v>
      </c>
      <c r="K35" s="87">
        <f>IF(K9=0,0,K9/TrAvia_act!K7*1000)</f>
        <v>74.652704603196241</v>
      </c>
      <c r="L35" s="87">
        <f>IF(L9=0,0,L9/TrAvia_act!L7*1000)</f>
        <v>71.409728534308783</v>
      </c>
      <c r="M35" s="87">
        <f>IF(M9=0,0,M9/TrAvia_act!M7*1000)</f>
        <v>73.522367887526499</v>
      </c>
      <c r="N35" s="87">
        <f>IF(N9=0,0,N9/TrAvia_act!N7*1000)</f>
        <v>67.01328293115813</v>
      </c>
      <c r="O35" s="87">
        <f>IF(O9=0,0,O9/TrAvia_act!O7*1000)</f>
        <v>69.02595482694737</v>
      </c>
      <c r="P35" s="87">
        <f>IF(P9=0,0,P9/TrAvia_act!P7*1000)</f>
        <v>69.270174992015157</v>
      </c>
      <c r="Q35" s="87">
        <f>IF(Q9=0,0,Q9/TrAvia_act!Q7*1000)</f>
        <v>69.070353053799039</v>
      </c>
      <c r="R35" s="87">
        <f>IF(R9=0,0,R9/TrAvia_act!R7*1000)</f>
        <v>63.641963431655043</v>
      </c>
      <c r="S35" s="87">
        <f>IF(S9=0,0,S9/TrAvia_act!S7*1000)</f>
        <v>55.703083753899328</v>
      </c>
      <c r="T35" s="87">
        <f>IF(T9=0,0,T9/TrAvia_act!T7*1000)</f>
        <v>56.620965404395939</v>
      </c>
      <c r="U35" s="87">
        <f>IF(U9=0,0,U9/TrAvia_act!U7*1000)</f>
        <v>55.18945519863076</v>
      </c>
      <c r="V35" s="87">
        <f>IF(V9=0,0,V9/TrAvia_act!V7*1000)</f>
        <v>92.390621945530185</v>
      </c>
      <c r="W35" s="87">
        <f>IF(W9=0,0,W9/TrAvia_act!W7*1000)</f>
        <v>170.36740358095017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238.11913885824987</v>
      </c>
      <c r="C36" s="15">
        <f>IF(C10=0,0,C10/TrAvia_act!C8*1000)</f>
        <v>234.30078828632782</v>
      </c>
      <c r="D36" s="15">
        <f>IF(D10=0,0,D10/TrAvia_act!D8*1000)</f>
        <v>246.04938934198054</v>
      </c>
      <c r="E36" s="15">
        <f>IF(E10=0,0,E10/TrAvia_act!E8*1000)</f>
        <v>258.97077409549627</v>
      </c>
      <c r="F36" s="15">
        <f>IF(F10=0,0,F10/TrAvia_act!F8*1000)</f>
        <v>276.53567558721676</v>
      </c>
      <c r="G36" s="15">
        <f>IF(G10=0,0,G10/TrAvia_act!G8*1000)</f>
        <v>263.89857578425767</v>
      </c>
      <c r="H36" s="15">
        <f>IF(H10=0,0,H10/TrAvia_act!H8*1000)</f>
        <v>297.91231183982751</v>
      </c>
      <c r="I36" s="15">
        <f>IF(I10=0,0,I10/TrAvia_act!I8*1000)</f>
        <v>289.8965727756518</v>
      </c>
      <c r="J36" s="15">
        <f>IF(J10=0,0,J10/TrAvia_act!J8*1000)</f>
        <v>300.18779695776948</v>
      </c>
      <c r="K36" s="15">
        <f>IF(K10=0,0,K10/TrAvia_act!K8*1000)</f>
        <v>324.76463823111783</v>
      </c>
      <c r="L36" s="15">
        <f>IF(L10=0,0,L10/TrAvia_act!L8*1000)</f>
        <v>349.15072582930645</v>
      </c>
      <c r="M36" s="15">
        <f>IF(M10=0,0,M10/TrAvia_act!M8*1000)</f>
        <v>268.95594869970228</v>
      </c>
      <c r="N36" s="15">
        <f>IF(N10=0,0,N10/TrAvia_act!N8*1000)</f>
        <v>221.02684042563652</v>
      </c>
      <c r="O36" s="15">
        <f>IF(O10=0,0,O10/TrAvia_act!O8*1000)</f>
        <v>252.49227498543343</v>
      </c>
      <c r="P36" s="15">
        <f>IF(P10=0,0,P10/TrAvia_act!P8*1000)</f>
        <v>251.33416641534524</v>
      </c>
      <c r="Q36" s="15">
        <f>IF(Q10=0,0,Q10/TrAvia_act!Q8*1000)</f>
        <v>298.86388915796715</v>
      </c>
      <c r="R36" s="15">
        <f>IF(R10=0,0,R10/TrAvia_act!R8*1000)</f>
        <v>248.54695897151694</v>
      </c>
      <c r="S36" s="15">
        <f>IF(S10=0,0,S10/TrAvia_act!S8*1000)</f>
        <v>264.32461798335919</v>
      </c>
      <c r="T36" s="15">
        <f>IF(T10=0,0,T10/TrAvia_act!T8*1000)</f>
        <v>270.54959361168056</v>
      </c>
      <c r="U36" s="15">
        <f>IF(U10=0,0,U10/TrAvia_act!U8*1000)</f>
        <v>329.85719180666592</v>
      </c>
      <c r="V36" s="15">
        <f>IF(V10=0,0,V10/TrAvia_act!V8*1000)</f>
        <v>275.17447721745503</v>
      </c>
      <c r="W36" s="15">
        <f>IF(W10=0,0,W10/TrAvia_act!W8*1000)</f>
        <v>300.09640233011663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1599.2663790185657</v>
      </c>
      <c r="C37" s="101">
        <f>IF(C11=0,0,C11/TrAvia_act!C9*1000)</f>
        <v>1630.6786620953701</v>
      </c>
      <c r="D37" s="101">
        <f>IF(D11=0,0,D11/TrAvia_act!D9*1000)</f>
        <v>1478.2231111472354</v>
      </c>
      <c r="E37" s="101">
        <f>IF(E11=0,0,E11/TrAvia_act!E9*1000)</f>
        <v>1376.4027380012715</v>
      </c>
      <c r="F37" s="101">
        <f>IF(F11=0,0,F11/TrAvia_act!F9*1000)</f>
        <v>1466.4951477274728</v>
      </c>
      <c r="G37" s="101">
        <f>IF(G11=0,0,G11/TrAvia_act!G9*1000)</f>
        <v>1379.4362500313523</v>
      </c>
      <c r="H37" s="101">
        <f>IF(H11=0,0,H11/TrAvia_act!H9*1000)</f>
        <v>1582.2602519464376</v>
      </c>
      <c r="I37" s="101">
        <f>IF(I11=0,0,I11/TrAvia_act!I9*1000)</f>
        <v>1591.8989405170687</v>
      </c>
      <c r="J37" s="101">
        <f>IF(J11=0,0,J11/TrAvia_act!J9*1000)</f>
        <v>1867.8646848998794</v>
      </c>
      <c r="K37" s="101">
        <f>IF(K11=0,0,K11/TrAvia_act!K9*1000)</f>
        <v>1799.9413204822251</v>
      </c>
      <c r="L37" s="101">
        <f>IF(L11=0,0,L11/TrAvia_act!L9*1000)</f>
        <v>1893.7869497234947</v>
      </c>
      <c r="M37" s="101">
        <f>IF(M11=0,0,M11/TrAvia_act!M9*1000)</f>
        <v>1380.7156793992369</v>
      </c>
      <c r="N37" s="101">
        <f>IF(N11=0,0,N11/TrAvia_act!N9*1000)</f>
        <v>1078.7628970092949</v>
      </c>
      <c r="O37" s="101">
        <f>IF(O11=0,0,O11/TrAvia_act!O9*1000)</f>
        <v>1029.2095246899198</v>
      </c>
      <c r="P37" s="101">
        <f>IF(P11=0,0,P11/TrAvia_act!P9*1000)</f>
        <v>948.57544032308419</v>
      </c>
      <c r="Q37" s="101">
        <f>IF(Q11=0,0,Q11/TrAvia_act!Q9*1000)</f>
        <v>942.90186520957525</v>
      </c>
      <c r="R37" s="101">
        <f>IF(R11=0,0,R11/TrAvia_act!R9*1000)</f>
        <v>850.46724702165568</v>
      </c>
      <c r="S37" s="101">
        <f>IF(S11=0,0,S11/TrAvia_act!S9*1000)</f>
        <v>913.68924151594763</v>
      </c>
      <c r="T37" s="101">
        <f>IF(T11=0,0,T11/TrAvia_act!T9*1000)</f>
        <v>910.39198906312026</v>
      </c>
      <c r="U37" s="101">
        <f>IF(U11=0,0,U11/TrAvia_act!U9*1000)</f>
        <v>849.9126078056122</v>
      </c>
      <c r="V37" s="101">
        <f>IF(V11=0,0,V11/TrAvia_act!V9*1000)</f>
        <v>847.99418776904679</v>
      </c>
      <c r="W37" s="101">
        <f>IF(W11=0,0,W11/TrAvia_act!W9*1000)</f>
        <v>729.88975691014923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390.62994542855301</v>
      </c>
      <c r="C38" s="101">
        <f>IF(C12=0,0,C12/TrAvia_act!C10*1000)</f>
        <v>364.20219126240522</v>
      </c>
      <c r="D38" s="101">
        <f>IF(D12=0,0,D12/TrAvia_act!D10*1000)</f>
        <v>413.14708799750019</v>
      </c>
      <c r="E38" s="101">
        <f>IF(E12=0,0,E12/TrAvia_act!E10*1000)</f>
        <v>370.19293424976519</v>
      </c>
      <c r="F38" s="101">
        <f>IF(F12=0,0,F12/TrAvia_act!F10*1000)</f>
        <v>417.836843775283</v>
      </c>
      <c r="G38" s="101">
        <f>IF(G12=0,0,G12/TrAvia_act!G10*1000)</f>
        <v>430.0806971484094</v>
      </c>
      <c r="H38" s="101">
        <f>IF(H12=0,0,H12/TrAvia_act!H10*1000)</f>
        <v>548.45927462152702</v>
      </c>
      <c r="I38" s="101">
        <f>IF(I12=0,0,I12/TrAvia_act!I10*1000)</f>
        <v>610.91866106745476</v>
      </c>
      <c r="J38" s="101">
        <f>IF(J12=0,0,J12/TrAvia_act!J10*1000)</f>
        <v>675.88114610957439</v>
      </c>
      <c r="K38" s="101">
        <f>IF(K12=0,0,K12/TrAvia_act!K10*1000)</f>
        <v>615.34493443817792</v>
      </c>
      <c r="L38" s="101">
        <f>IF(L12=0,0,L12/TrAvia_act!L10*1000)</f>
        <v>659.42205598064686</v>
      </c>
      <c r="M38" s="101">
        <f>IF(M12=0,0,M12/TrAvia_act!M10*1000)</f>
        <v>661.92304467387328</v>
      </c>
      <c r="N38" s="101">
        <f>IF(N12=0,0,N12/TrAvia_act!N10*1000)</f>
        <v>616.15154599962796</v>
      </c>
      <c r="O38" s="101">
        <f>IF(O12=0,0,O12/TrAvia_act!O10*1000)</f>
        <v>615.69719799416771</v>
      </c>
      <c r="P38" s="101">
        <f>IF(P12=0,0,P12/TrAvia_act!P10*1000)</f>
        <v>489.45309043456831</v>
      </c>
      <c r="Q38" s="101">
        <f>IF(Q12=0,0,Q12/TrAvia_act!Q10*1000)</f>
        <v>534.32796950741977</v>
      </c>
      <c r="R38" s="101">
        <f>IF(R12=0,0,R12/TrAvia_act!R10*1000)</f>
        <v>526.46579861835733</v>
      </c>
      <c r="S38" s="101">
        <f>IF(S12=0,0,S12/TrAvia_act!S10*1000)</f>
        <v>615.63731810345166</v>
      </c>
      <c r="T38" s="101">
        <f>IF(T12=0,0,T12/TrAvia_act!T10*1000)</f>
        <v>676.93057788233523</v>
      </c>
      <c r="U38" s="101">
        <f>IF(U12=0,0,U12/TrAvia_act!U10*1000)</f>
        <v>780.20320084962373</v>
      </c>
      <c r="V38" s="101">
        <f>IF(V12=0,0,V12/TrAvia_act!V10*1000)</f>
        <v>669.29134291418836</v>
      </c>
      <c r="W38" s="101">
        <f>IF(W12=0,0,W12/TrAvia_act!W10*1000)</f>
        <v>812.37716176826632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134.9227316068214</v>
      </c>
      <c r="C39" s="88">
        <f>IF(C13=0,0,C13/TrAvia_act!C11*1000)</f>
        <v>129.95692487074038</v>
      </c>
      <c r="D39" s="88">
        <f>IF(D13=0,0,D13/TrAvia_act!D11*1000)</f>
        <v>144.46600912698665</v>
      </c>
      <c r="E39" s="88">
        <f>IF(E13=0,0,E13/TrAvia_act!E11*1000)</f>
        <v>151.88195220835189</v>
      </c>
      <c r="F39" s="88">
        <f>IF(F13=0,0,F13/TrAvia_act!F11*1000)</f>
        <v>160.58214401011708</v>
      </c>
      <c r="G39" s="88">
        <f>IF(G13=0,0,G13/TrAvia_act!G11*1000)</f>
        <v>156.25711232730254</v>
      </c>
      <c r="H39" s="88">
        <f>IF(H13=0,0,H13/TrAvia_act!H11*1000)</f>
        <v>135.39388492416279</v>
      </c>
      <c r="I39" s="88">
        <f>IF(I13=0,0,I13/TrAvia_act!I11*1000)</f>
        <v>115.00797795968296</v>
      </c>
      <c r="J39" s="88">
        <f>IF(J13=0,0,J13/TrAvia_act!J11*1000)</f>
        <v>117.36977732579419</v>
      </c>
      <c r="K39" s="88">
        <f>IF(K13=0,0,K13/TrAvia_act!K11*1000)</f>
        <v>112.63859400321786</v>
      </c>
      <c r="L39" s="88">
        <f>IF(L13=0,0,L13/TrAvia_act!L11*1000)</f>
        <v>127.87252856662784</v>
      </c>
      <c r="M39" s="88">
        <f>IF(M13=0,0,M13/TrAvia_act!M11*1000)</f>
        <v>115.72487407813182</v>
      </c>
      <c r="N39" s="88">
        <f>IF(N13=0,0,N13/TrAvia_act!N11*1000)</f>
        <v>109.38152530693175</v>
      </c>
      <c r="O39" s="88">
        <f>IF(O13=0,0,O13/TrAvia_act!O11*1000)</f>
        <v>110.8808454535603</v>
      </c>
      <c r="P39" s="88">
        <f>IF(P13=0,0,P13/TrAvia_act!P11*1000)</f>
        <v>100.0201712622944</v>
      </c>
      <c r="Q39" s="88">
        <f>IF(Q13=0,0,Q13/TrAvia_act!Q11*1000)</f>
        <v>103.80664146016441</v>
      </c>
      <c r="R39" s="88">
        <f>IF(R13=0,0,R13/TrAvia_act!R11*1000)</f>
        <v>77.286158035160767</v>
      </c>
      <c r="S39" s="88">
        <f>IF(S13=0,0,S13/TrAvia_act!S11*1000)</f>
        <v>71.312822726149705</v>
      </c>
      <c r="T39" s="88">
        <f>IF(T13=0,0,T13/TrAvia_act!T11*1000)</f>
        <v>74.277339608901954</v>
      </c>
      <c r="U39" s="88">
        <f>IF(U13=0,0,U13/TrAvia_act!U11*1000)</f>
        <v>62.628643184498387</v>
      </c>
      <c r="V39" s="88">
        <f>IF(V13=0,0,V13/TrAvia_act!V11*1000)</f>
        <v>106.33345375916558</v>
      </c>
      <c r="W39" s="88">
        <f>IF(W13=0,0,W13/TrAvia_act!W11*1000)</f>
        <v>125.69269151136817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11611.125089639232</v>
      </c>
      <c r="C41" s="54">
        <f>IF(C3=0,0,C3/TrAvia_act!C23*1000000)</f>
        <v>11836.05169464744</v>
      </c>
      <c r="D41" s="54">
        <f>IF(D3=0,0,D3/TrAvia_act!D23*1000000)</f>
        <v>12181.629782084467</v>
      </c>
      <c r="E41" s="54">
        <f>IF(E3=0,0,E3/TrAvia_act!E23*1000000)</f>
        <v>11890.550218483153</v>
      </c>
      <c r="F41" s="54">
        <f>IF(F3=0,0,F3/TrAvia_act!F23*1000000)</f>
        <v>12636.90584092772</v>
      </c>
      <c r="G41" s="54">
        <f>IF(G3=0,0,G3/TrAvia_act!G23*1000000)</f>
        <v>12669.385505273471</v>
      </c>
      <c r="H41" s="54">
        <f>IF(H3=0,0,H3/TrAvia_act!H23*1000000)</f>
        <v>13250.107591627515</v>
      </c>
      <c r="I41" s="54">
        <f>IF(I3=0,0,I3/TrAvia_act!I23*1000000)</f>
        <v>14942.642897790214</v>
      </c>
      <c r="J41" s="54">
        <f>IF(J3=0,0,J3/TrAvia_act!J23*1000000)</f>
        <v>15556.373842493096</v>
      </c>
      <c r="K41" s="54">
        <f>IF(K3=0,0,K3/TrAvia_act!K23*1000000)</f>
        <v>14472.367103091865</v>
      </c>
      <c r="L41" s="54">
        <f>IF(L3=0,0,L3/TrAvia_act!L23*1000000)</f>
        <v>15260.932303631445</v>
      </c>
      <c r="M41" s="54">
        <f>IF(M3=0,0,M3/TrAvia_act!M23*1000000)</f>
        <v>16168.002548456785</v>
      </c>
      <c r="N41" s="54">
        <f>IF(N3=0,0,N3/TrAvia_act!N23*1000000)</f>
        <v>17168.935036586874</v>
      </c>
      <c r="O41" s="54">
        <f>IF(O3=0,0,O3/TrAvia_act!O23*1000000)</f>
        <v>18395.156530251916</v>
      </c>
      <c r="P41" s="54">
        <f>IF(P3=0,0,P3/TrAvia_act!P23*1000000)</f>
        <v>18469.898849020687</v>
      </c>
      <c r="Q41" s="54">
        <f>IF(Q3=0,0,Q3/TrAvia_act!Q23*1000000)</f>
        <v>19057.075941458479</v>
      </c>
      <c r="R41" s="54">
        <f>IF(R3=0,0,R3/TrAvia_act!R23*1000000)</f>
        <v>19560.845297829939</v>
      </c>
      <c r="S41" s="54">
        <f>IF(S3=0,0,S3/TrAvia_act!S23*1000000)</f>
        <v>19556.436658436356</v>
      </c>
      <c r="T41" s="54">
        <f>IF(T3=0,0,T3/TrAvia_act!T23*1000000)</f>
        <v>20797.588900533789</v>
      </c>
      <c r="U41" s="54">
        <f>IF(U3=0,0,U3/TrAvia_act!U23*1000000)</f>
        <v>21897.451341861495</v>
      </c>
      <c r="V41" s="54">
        <f>IF(V3=0,0,V3/TrAvia_act!V23*1000000)</f>
        <v>21049.464204728636</v>
      </c>
      <c r="W41" s="54">
        <f>IF(W3=0,0,W3/TrAvia_act!W23*1000000)</f>
        <v>21232.659960427387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11609.052758565527</v>
      </c>
      <c r="C42" s="11">
        <f>IF(C6=0,0,C6/TrAvia_act!C24*1000000)</f>
        <v>11840.960899246527</v>
      </c>
      <c r="D42" s="11">
        <f>IF(D6=0,0,D6/TrAvia_act!D24*1000000)</f>
        <v>12177.164182507053</v>
      </c>
      <c r="E42" s="11">
        <f>IF(E6=0,0,E6/TrAvia_act!E24*1000000)</f>
        <v>11892.931059771015</v>
      </c>
      <c r="F42" s="11">
        <f>IF(F6=0,0,F6/TrAvia_act!F24*1000000)</f>
        <v>12641.055983086164</v>
      </c>
      <c r="G42" s="11">
        <f>IF(G6=0,0,G6/TrAvia_act!G24*1000000)</f>
        <v>12656.190795028271</v>
      </c>
      <c r="H42" s="11">
        <f>IF(H6=0,0,H6/TrAvia_act!H24*1000000)</f>
        <v>13276.991350519389</v>
      </c>
      <c r="I42" s="11">
        <f>IF(I6=0,0,I6/TrAvia_act!I24*1000000)</f>
        <v>15011.671635976289</v>
      </c>
      <c r="J42" s="11">
        <f>IF(J6=0,0,J6/TrAvia_act!J24*1000000)</f>
        <v>15653.216817014169</v>
      </c>
      <c r="K42" s="11">
        <f>IF(K6=0,0,K6/TrAvia_act!K24*1000000)</f>
        <v>14576.372208705146</v>
      </c>
      <c r="L42" s="11">
        <f>IF(L6=0,0,L6/TrAvia_act!L24*1000000)</f>
        <v>15400.353822605508</v>
      </c>
      <c r="M42" s="11">
        <f>IF(M6=0,0,M6/TrAvia_act!M24*1000000)</f>
        <v>16286.169769536791</v>
      </c>
      <c r="N42" s="11">
        <f>IF(N6=0,0,N6/TrAvia_act!N24*1000000)</f>
        <v>17299.47397360604</v>
      </c>
      <c r="O42" s="11">
        <f>IF(O6=0,0,O6/TrAvia_act!O24*1000000)</f>
        <v>18557.577473852569</v>
      </c>
      <c r="P42" s="11">
        <f>IF(P6=0,0,P6/TrAvia_act!P24*1000000)</f>
        <v>18638.276238154445</v>
      </c>
      <c r="Q42" s="11">
        <f>IF(Q6=0,0,Q6/TrAvia_act!Q24*1000000)</f>
        <v>19240.808572183363</v>
      </c>
      <c r="R42" s="11">
        <f>IF(R6=0,0,R6/TrAvia_act!R24*1000000)</f>
        <v>19725.4527068961</v>
      </c>
      <c r="S42" s="11">
        <f>IF(S6=0,0,S6/TrAvia_act!S24*1000000)</f>
        <v>19681.569998419156</v>
      </c>
      <c r="T42" s="11">
        <f>IF(T6=0,0,T6/TrAvia_act!T24*1000000)</f>
        <v>20915.723036740408</v>
      </c>
      <c r="U42" s="11">
        <f>IF(U6=0,0,U6/TrAvia_act!U24*1000000)</f>
        <v>22019.20406260699</v>
      </c>
      <c r="V42" s="11">
        <f>IF(V6=0,0,V6/TrAvia_act!V24*1000000)</f>
        <v>21606.682437943266</v>
      </c>
      <c r="W42" s="11">
        <f>IF(W6=0,0,W6/TrAvia_act!W24*1000000)</f>
        <v>21864.613898254385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5445.567601328733</v>
      </c>
      <c r="C43" s="84">
        <f>IF(C7=0,0,C7/TrAvia_act!C25*1000000)</f>
        <v>5510.1916273471115</v>
      </c>
      <c r="D43" s="84">
        <f>IF(D7=0,0,D7/TrAvia_act!D25*1000000)</f>
        <v>5136.5368158810743</v>
      </c>
      <c r="E43" s="84">
        <f>IF(E7=0,0,E7/TrAvia_act!E25*1000000)</f>
        <v>5087.33076455644</v>
      </c>
      <c r="F43" s="84">
        <f>IF(F7=0,0,F7/TrAvia_act!F25*1000000)</f>
        <v>5104.0902427290221</v>
      </c>
      <c r="G43" s="84">
        <f>IF(G7=0,0,G7/TrAvia_act!G25*1000000)</f>
        <v>4881.1752986630709</v>
      </c>
      <c r="H43" s="84">
        <f>IF(H7=0,0,H7/TrAvia_act!H25*1000000)</f>
        <v>4517.3143118738808</v>
      </c>
      <c r="I43" s="84">
        <f>IF(I7=0,0,I7/TrAvia_act!I25*1000000)</f>
        <v>4620.2771939567992</v>
      </c>
      <c r="J43" s="84">
        <f>IF(J7=0,0,J7/TrAvia_act!J25*1000000)</f>
        <v>4513.5270098298224</v>
      </c>
      <c r="K43" s="84">
        <f>IF(K7=0,0,K7/TrAvia_act!K25*1000000)</f>
        <v>4166.9100160741427</v>
      </c>
      <c r="L43" s="84">
        <f>IF(L7=0,0,L7/TrAvia_act!L25*1000000)</f>
        <v>4348.6287755463636</v>
      </c>
      <c r="M43" s="84">
        <f>IF(M7=0,0,M7/TrAvia_act!M25*1000000)</f>
        <v>4499.8451107034207</v>
      </c>
      <c r="N43" s="84">
        <f>IF(N7=0,0,N7/TrAvia_act!N25*1000000)</f>
        <v>4498.8366049613142</v>
      </c>
      <c r="O43" s="84">
        <f>IF(O7=0,0,O7/TrAvia_act!O25*1000000)</f>
        <v>4302.1310163084072</v>
      </c>
      <c r="P43" s="84">
        <f>IF(P7=0,0,P7/TrAvia_act!P25*1000000)</f>
        <v>4495.2782826786242</v>
      </c>
      <c r="Q43" s="84">
        <f>IF(Q7=0,0,Q7/TrAvia_act!Q25*1000000)</f>
        <v>4490.5923201881324</v>
      </c>
      <c r="R43" s="84">
        <f>IF(R7=0,0,R7/TrAvia_act!R25*1000000)</f>
        <v>4714.44296505486</v>
      </c>
      <c r="S43" s="84">
        <f>IF(S7=0,0,S7/TrAvia_act!S25*1000000)</f>
        <v>4739.056662929429</v>
      </c>
      <c r="T43" s="84">
        <f>IF(T7=0,0,T7/TrAvia_act!T25*1000000)</f>
        <v>5002.8733463719909</v>
      </c>
      <c r="U43" s="84">
        <f>IF(U7=0,0,U7/TrAvia_act!U25*1000000)</f>
        <v>4839.6712932889795</v>
      </c>
      <c r="V43" s="84">
        <f>IF(V7=0,0,V7/TrAvia_act!V25*1000000)</f>
        <v>5071.8698946479253</v>
      </c>
      <c r="W43" s="84">
        <f>IF(W7=0,0,W7/TrAvia_act!W25*1000000)</f>
        <v>4576.8868696077416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14112.520436591676</v>
      </c>
      <c r="C44" s="84">
        <f>IF(C8=0,0,C8/TrAvia_act!C26*1000000)</f>
        <v>14208.264059445301</v>
      </c>
      <c r="D44" s="84">
        <f>IF(D8=0,0,D8/TrAvia_act!D26*1000000)</f>
        <v>14879.384620703304</v>
      </c>
      <c r="E44" s="84">
        <f>IF(E8=0,0,E8/TrAvia_act!E26*1000000)</f>
        <v>14215.611545201578</v>
      </c>
      <c r="F44" s="84">
        <f>IF(F8=0,0,F8/TrAvia_act!F26*1000000)</f>
        <v>14614.980336039273</v>
      </c>
      <c r="G44" s="84">
        <f>IF(G8=0,0,G8/TrAvia_act!G26*1000000)</f>
        <v>14843.28192242261</v>
      </c>
      <c r="H44" s="84">
        <f>IF(H8=0,0,H8/TrAvia_act!H26*1000000)</f>
        <v>16506.300120506712</v>
      </c>
      <c r="I44" s="84">
        <f>IF(I8=0,0,I8/TrAvia_act!I26*1000000)</f>
        <v>18462.541378226404</v>
      </c>
      <c r="J44" s="84">
        <f>IF(J8=0,0,J8/TrAvia_act!J26*1000000)</f>
        <v>19254.373001193984</v>
      </c>
      <c r="K44" s="84">
        <f>IF(K8=0,0,K8/TrAvia_act!K26*1000000)</f>
        <v>18185.965791691728</v>
      </c>
      <c r="L44" s="84">
        <f>IF(L8=0,0,L8/TrAvia_act!L26*1000000)</f>
        <v>18463.300291633739</v>
      </c>
      <c r="M44" s="84">
        <f>IF(M8=0,0,M8/TrAvia_act!M26*1000000)</f>
        <v>19295.003299965843</v>
      </c>
      <c r="N44" s="84">
        <f>IF(N8=0,0,N8/TrAvia_act!N26*1000000)</f>
        <v>19522.089645461416</v>
      </c>
      <c r="O44" s="84">
        <f>IF(O8=0,0,O8/TrAvia_act!O26*1000000)</f>
        <v>20785.357870256365</v>
      </c>
      <c r="P44" s="84">
        <f>IF(P8=0,0,P8/TrAvia_act!P26*1000000)</f>
        <v>21071.525943789493</v>
      </c>
      <c r="Q44" s="84">
        <f>IF(Q8=0,0,Q8/TrAvia_act!Q26*1000000)</f>
        <v>22047.935648799674</v>
      </c>
      <c r="R44" s="84">
        <f>IF(R8=0,0,R8/TrAvia_act!R26*1000000)</f>
        <v>22608.391759731643</v>
      </c>
      <c r="S44" s="84">
        <f>IF(S8=0,0,S8/TrAvia_act!S26*1000000)</f>
        <v>22485.461393605463</v>
      </c>
      <c r="T44" s="84">
        <f>IF(T8=0,0,T8/TrAvia_act!T26*1000000)</f>
        <v>23841.06548472292</v>
      </c>
      <c r="U44" s="84">
        <f>IF(U8=0,0,U8/TrAvia_act!U26*1000000)</f>
        <v>25288.932373429503</v>
      </c>
      <c r="V44" s="84">
        <f>IF(V8=0,0,V8/TrAvia_act!V26*1000000)</f>
        <v>23823.189136676741</v>
      </c>
      <c r="W44" s="84">
        <f>IF(W8=0,0,W8/TrAvia_act!W26*1000000)</f>
        <v>26476.243585306544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74923.36406034985</v>
      </c>
      <c r="C45" s="84">
        <f>IF(C9=0,0,C9/TrAvia_act!C27*1000000)</f>
        <v>75598.666543851738</v>
      </c>
      <c r="D45" s="84">
        <f>IF(D9=0,0,D9/TrAvia_act!D27*1000000)</f>
        <v>79368.180451108899</v>
      </c>
      <c r="E45" s="84">
        <f>IF(E9=0,0,E9/TrAvia_act!E27*1000000)</f>
        <v>75830.280753192608</v>
      </c>
      <c r="F45" s="84">
        <f>IF(F9=0,0,F9/TrAvia_act!F27*1000000)</f>
        <v>77823.424677227449</v>
      </c>
      <c r="G45" s="84">
        <f>IF(G9=0,0,G9/TrAvia_act!G27*1000000)</f>
        <v>79097.805962890227</v>
      </c>
      <c r="H45" s="84">
        <f>IF(H9=0,0,H9/TrAvia_act!H27*1000000)</f>
        <v>71846.192801647805</v>
      </c>
      <c r="I45" s="84">
        <f>IF(I9=0,0,I9/TrAvia_act!I27*1000000)</f>
        <v>67057.319177356563</v>
      </c>
      <c r="J45" s="84">
        <f>IF(J9=0,0,J9/TrAvia_act!J27*1000000)</f>
        <v>60351.309619473359</v>
      </c>
      <c r="K45" s="84">
        <f>IF(K9=0,0,K9/TrAvia_act!K27*1000000)</f>
        <v>58105.24240699003</v>
      </c>
      <c r="L45" s="84">
        <f>IF(L9=0,0,L9/TrAvia_act!L27*1000000)</f>
        <v>59613.436520686584</v>
      </c>
      <c r="M45" s="84">
        <f>IF(M9=0,0,M9/TrAvia_act!M27*1000000)</f>
        <v>60754.340389238161</v>
      </c>
      <c r="N45" s="84">
        <f>IF(N9=0,0,N9/TrAvia_act!N27*1000000)</f>
        <v>63673.982437626713</v>
      </c>
      <c r="O45" s="84">
        <f>IF(O9=0,0,O9/TrAvia_act!O27*1000000)</f>
        <v>64383.77869889736</v>
      </c>
      <c r="P45" s="84">
        <f>IF(P9=0,0,P9/TrAvia_act!P27*1000000)</f>
        <v>56895.152300463473</v>
      </c>
      <c r="Q45" s="84">
        <f>IF(Q9=0,0,Q9/TrAvia_act!Q27*1000000)</f>
        <v>54658.662965888805</v>
      </c>
      <c r="R45" s="84">
        <f>IF(R9=0,0,R9/TrAvia_act!R27*1000000)</f>
        <v>56734.322541995403</v>
      </c>
      <c r="S45" s="84">
        <f>IF(S9=0,0,S9/TrAvia_act!S27*1000000)</f>
        <v>55473.26004744666</v>
      </c>
      <c r="T45" s="84">
        <f>IF(T9=0,0,T9/TrAvia_act!T27*1000000)</f>
        <v>54450.231267441857</v>
      </c>
      <c r="U45" s="84">
        <f>IF(U9=0,0,U9/TrAvia_act!U27*1000000)</f>
        <v>53705.226386323237</v>
      </c>
      <c r="V45" s="84">
        <f>IF(V9=0,0,V9/TrAvia_act!V27*1000000)</f>
        <v>72040.814517144827</v>
      </c>
      <c r="W45" s="84">
        <f>IF(W9=0,0,W9/TrAvia_act!W27*1000000)</f>
        <v>66980.659950468005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11705.57875908097</v>
      </c>
      <c r="C46" s="13">
        <f>IF(C10=0,0,C10/TrAvia_act!C28*1000000)</f>
        <v>11565.936800932022</v>
      </c>
      <c r="D46" s="13">
        <f>IF(D10=0,0,D10/TrAvia_act!D28*1000000)</f>
        <v>12428.055528690444</v>
      </c>
      <c r="E46" s="13">
        <f>IF(E10=0,0,E10/TrAvia_act!E28*1000000)</f>
        <v>11782.557151938905</v>
      </c>
      <c r="F46" s="13">
        <f>IF(F10=0,0,F10/TrAvia_act!F28*1000000)</f>
        <v>12480.071725312471</v>
      </c>
      <c r="G46" s="13">
        <f>IF(G10=0,0,G10/TrAvia_act!G28*1000000)</f>
        <v>13159.829327690084</v>
      </c>
      <c r="H46" s="13">
        <f>IF(H10=0,0,H10/TrAvia_act!H28*1000000)</f>
        <v>12330.99015453046</v>
      </c>
      <c r="I46" s="13">
        <f>IF(I10=0,0,I10/TrAvia_act!I28*1000000)</f>
        <v>12738.152545452966</v>
      </c>
      <c r="J46" s="13">
        <f>IF(J10=0,0,J10/TrAvia_act!J28*1000000)</f>
        <v>12039.151299796902</v>
      </c>
      <c r="K46" s="13">
        <f>IF(K10=0,0,K10/TrAvia_act!K28*1000000)</f>
        <v>10430.329093314651</v>
      </c>
      <c r="L46" s="13">
        <f>IF(L10=0,0,L10/TrAvia_act!L28*1000000)</f>
        <v>10238.584141377622</v>
      </c>
      <c r="M46" s="13">
        <f>IF(M10=0,0,M10/TrAvia_act!M28*1000000)</f>
        <v>11196.016930841393</v>
      </c>
      <c r="N46" s="13">
        <f>IF(N10=0,0,N10/TrAvia_act!N28*1000000)</f>
        <v>12314.304495303921</v>
      </c>
      <c r="O46" s="13">
        <f>IF(O10=0,0,O10/TrAvia_act!O28*1000000)</f>
        <v>12784.998886223953</v>
      </c>
      <c r="P46" s="13">
        <f>IF(P10=0,0,P10/TrAvia_act!P28*1000000)</f>
        <v>12294.44368093196</v>
      </c>
      <c r="Q46" s="13">
        <f>IF(Q10=0,0,Q10/TrAvia_act!Q28*1000000)</f>
        <v>12614.288726381432</v>
      </c>
      <c r="R46" s="13">
        <f>IF(R10=0,0,R10/TrAvia_act!R28*1000000)</f>
        <v>13291.695251350859</v>
      </c>
      <c r="S46" s="13">
        <f>IF(S10=0,0,S10/TrAvia_act!S28*1000000)</f>
        <v>14464.251690376892</v>
      </c>
      <c r="T46" s="13">
        <f>IF(T10=0,0,T10/TrAvia_act!T28*1000000)</f>
        <v>15188.617394433135</v>
      </c>
      <c r="U46" s="13">
        <f>IF(U10=0,0,U10/TrAvia_act!U28*1000000)</f>
        <v>17204.507587455799</v>
      </c>
      <c r="V46" s="13">
        <f>IF(V10=0,0,V10/TrAvia_act!V28*1000000)</f>
        <v>11986.429183865899</v>
      </c>
      <c r="W46" s="13">
        <f>IF(W10=0,0,W10/TrAvia_act!W28*1000000)</f>
        <v>11685.345351156497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4893.896959929998</v>
      </c>
      <c r="C47" s="102">
        <f>IF(C11=0,0,C11/TrAvia_act!C29*1000000)</f>
        <v>4951.9741609902894</v>
      </c>
      <c r="D47" s="102">
        <f>IF(D11=0,0,D11/TrAvia_act!D29*1000000)</f>
        <v>4616.172959027308</v>
      </c>
      <c r="E47" s="102">
        <f>IF(E11=0,0,E11/TrAvia_act!E29*1000000)</f>
        <v>4571.9517937388591</v>
      </c>
      <c r="F47" s="102">
        <f>IF(F11=0,0,F11/TrAvia_act!F29*1000000)</f>
        <v>4587.0134301528115</v>
      </c>
      <c r="G47" s="102">
        <f>IF(G11=0,0,G11/TrAvia_act!G29*1000000)</f>
        <v>4386.6811880517062</v>
      </c>
      <c r="H47" s="102">
        <f>IF(H11=0,0,H11/TrAvia_act!H29*1000000)</f>
        <v>3995.5424620083963</v>
      </c>
      <c r="I47" s="102">
        <f>IF(I11=0,0,I11/TrAvia_act!I29*1000000)</f>
        <v>4022.0479115690337</v>
      </c>
      <c r="J47" s="102">
        <f>IF(J11=0,0,J11/TrAvia_act!J29*1000000)</f>
        <v>3867.0431127877459</v>
      </c>
      <c r="K47" s="102">
        <f>IF(K11=0,0,K11/TrAvia_act!K29*1000000)</f>
        <v>3513.6689766330346</v>
      </c>
      <c r="L47" s="102">
        <f>IF(L11=0,0,L11/TrAvia_act!L29*1000000)</f>
        <v>3608.9661175304022</v>
      </c>
      <c r="M47" s="102">
        <f>IF(M11=0,0,M11/TrAvia_act!M29*1000000)</f>
        <v>3883.6158244048097</v>
      </c>
      <c r="N47" s="102">
        <f>IF(N11=0,0,N11/TrAvia_act!N29*1000000)</f>
        <v>4037.8218040797424</v>
      </c>
      <c r="O47" s="102">
        <f>IF(O11=0,0,O11/TrAvia_act!O29*1000000)</f>
        <v>3854.8539709449797</v>
      </c>
      <c r="P47" s="102">
        <f>IF(P11=0,0,P11/TrAvia_act!P29*1000000)</f>
        <v>4021.2230337400392</v>
      </c>
      <c r="Q47" s="102">
        <f>IF(Q11=0,0,Q11/TrAvia_act!Q29*1000000)</f>
        <v>4010.3511402068052</v>
      </c>
      <c r="R47" s="102">
        <f>IF(R11=0,0,R11/TrAvia_act!R29*1000000)</f>
        <v>4203.2600496871664</v>
      </c>
      <c r="S47" s="102">
        <f>IF(S11=0,0,S11/TrAvia_act!S29*1000000)</f>
        <v>4218.1769032653719</v>
      </c>
      <c r="T47" s="102">
        <f>IF(T11=0,0,T11/TrAvia_act!T29*1000000)</f>
        <v>4445.5891268187252</v>
      </c>
      <c r="U47" s="102">
        <f>IF(U11=0,0,U11/TrAvia_act!U29*1000000)</f>
        <v>4210.4256842055493</v>
      </c>
      <c r="V47" s="102">
        <f>IF(V11=0,0,V11/TrAvia_act!V29*1000000)</f>
        <v>4412.4342289499</v>
      </c>
      <c r="W47" s="102">
        <f>IF(W11=0,0,W11/TrAvia_act!W29*1000000)</f>
        <v>3981.8080323392146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10733.280124390727</v>
      </c>
      <c r="C48" s="102">
        <f>IF(C12=0,0,C12/TrAvia_act!C30*1000000)</f>
        <v>10563.985777960288</v>
      </c>
      <c r="D48" s="102">
        <f>IF(D12=0,0,D12/TrAvia_act!D30*1000000)</f>
        <v>11234.99712419456</v>
      </c>
      <c r="E48" s="102">
        <f>IF(E12=0,0,E12/TrAvia_act!E30*1000000)</f>
        <v>10310.104192820399</v>
      </c>
      <c r="F48" s="102">
        <f>IF(F12=0,0,F12/TrAvia_act!F30*1000000)</f>
        <v>10577.631036578199</v>
      </c>
      <c r="G48" s="102">
        <f>IF(G12=0,0,G12/TrAvia_act!G30*1000000)</f>
        <v>10856.654114882316</v>
      </c>
      <c r="H48" s="102">
        <f>IF(H12=0,0,H12/TrAvia_act!H30*1000000)</f>
        <v>11720.883892689664</v>
      </c>
      <c r="I48" s="102">
        <f>IF(I12=0,0,I12/TrAvia_act!I30*1000000)</f>
        <v>12843.135393915023</v>
      </c>
      <c r="J48" s="102">
        <f>IF(J12=0,0,J12/TrAvia_act!J30*1000000)</f>
        <v>13134.867827356578</v>
      </c>
      <c r="K48" s="102">
        <f>IF(K12=0,0,K12/TrAvia_act!K30*1000000)</f>
        <v>12086.102518510916</v>
      </c>
      <c r="L48" s="102">
        <f>IF(L12=0,0,L12/TrAvia_act!L30*1000000)</f>
        <v>12255.238788754918</v>
      </c>
      <c r="M48" s="102">
        <f>IF(M12=0,0,M12/TrAvia_act!M30*1000000)</f>
        <v>12732.750245888137</v>
      </c>
      <c r="N48" s="102">
        <f>IF(N12=0,0,N12/TrAvia_act!N30*1000000)</f>
        <v>12650.302628372168</v>
      </c>
      <c r="O48" s="102">
        <f>IF(O12=0,0,O12/TrAvia_act!O30*1000000)</f>
        <v>13616.456542728698</v>
      </c>
      <c r="P48" s="102">
        <f>IF(P12=0,0,P12/TrAvia_act!P30*1000000)</f>
        <v>13790.319993290932</v>
      </c>
      <c r="Q48" s="102">
        <f>IF(Q12=0,0,Q12/TrAvia_act!Q30*1000000)</f>
        <v>14509.740795349368</v>
      </c>
      <c r="R48" s="102">
        <f>IF(R12=0,0,R12/TrAvia_act!R30*1000000)</f>
        <v>16069.240017546141</v>
      </c>
      <c r="S48" s="102">
        <f>IF(S12=0,0,S12/TrAvia_act!S30*1000000)</f>
        <v>18309.204853246105</v>
      </c>
      <c r="T48" s="102">
        <f>IF(T12=0,0,T12/TrAvia_act!T30*1000000)</f>
        <v>20930.187024147981</v>
      </c>
      <c r="U48" s="102">
        <f>IF(U12=0,0,U12/TrAvia_act!U30*1000000)</f>
        <v>24675.809590874556</v>
      </c>
      <c r="V48" s="102">
        <f>IF(V12=0,0,V12/TrAvia_act!V30*1000000)</f>
        <v>15291.057337950599</v>
      </c>
      <c r="W48" s="102">
        <f>IF(W12=0,0,W12/TrAvia_act!W30*1000000)</f>
        <v>16759.762165428074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32099.629719685032</v>
      </c>
      <c r="C49" s="86">
        <f>IF(C13=0,0,C13/TrAvia_act!C31*1000000)</f>
        <v>32388.951481208343</v>
      </c>
      <c r="D49" s="86">
        <f>IF(D13=0,0,D13/TrAvia_act!D31*1000000)</f>
        <v>34003.935033584523</v>
      </c>
      <c r="E49" s="86">
        <f>IF(E13=0,0,E13/TrAvia_act!E31*1000000)</f>
        <v>32488.182614926151</v>
      </c>
      <c r="F49" s="86">
        <f>IF(F13=0,0,F13/TrAvia_act!F31*1000000)</f>
        <v>33342.110928769907</v>
      </c>
      <c r="G49" s="86">
        <f>IF(G13=0,0,G13/TrAvia_act!G31*1000000)</f>
        <v>33888.0977234702</v>
      </c>
      <c r="H49" s="86">
        <f>IF(H13=0,0,H13/TrAvia_act!H31*1000000)</f>
        <v>24454.821257836447</v>
      </c>
      <c r="I49" s="86">
        <f>IF(I13=0,0,I13/TrAvia_act!I31*1000000)</f>
        <v>18113.534527661795</v>
      </c>
      <c r="J49" s="86">
        <f>IF(J13=0,0,J13/TrAvia_act!J31*1000000)</f>
        <v>12924.889314285076</v>
      </c>
      <c r="K49" s="86">
        <f>IF(K13=0,0,K13/TrAvia_act!K31*1000000)</f>
        <v>9857.994982262735</v>
      </c>
      <c r="L49" s="86">
        <f>IF(L13=0,0,L13/TrAvia_act!L31*1000000)</f>
        <v>8006.8084835843156</v>
      </c>
      <c r="M49" s="86">
        <f>IF(M13=0,0,M13/TrAvia_act!M31*1000000)</f>
        <v>10418.19860300883</v>
      </c>
      <c r="N49" s="86">
        <f>IF(N13=0,0,N13/TrAvia_act!N31*1000000)</f>
        <v>13902.241623806412</v>
      </c>
      <c r="O49" s="86">
        <f>IF(O13=0,0,O13/TrAvia_act!O31*1000000)</f>
        <v>13326.36533478393</v>
      </c>
      <c r="P49" s="86">
        <f>IF(P13=0,0,P13/TrAvia_act!P31*1000000)</f>
        <v>10661.900511491036</v>
      </c>
      <c r="Q49" s="86">
        <f>IF(Q13=0,0,Q13/TrAvia_act!Q31*1000000)</f>
        <v>9482.2630459488428</v>
      </c>
      <c r="R49" s="86">
        <f>IF(R13=0,0,R13/TrAvia_act!R31*1000000)</f>
        <v>9099.39619244801</v>
      </c>
      <c r="S49" s="86">
        <f>IF(S13=0,0,S13/TrAvia_act!S31*1000000)</f>
        <v>8244.7871686312556</v>
      </c>
      <c r="T49" s="86">
        <f>IF(T13=0,0,T13/TrAvia_act!T31*1000000)</f>
        <v>7431.375772135988</v>
      </c>
      <c r="U49" s="86">
        <f>IF(U13=0,0,U13/TrAvia_act!U31*1000000)</f>
        <v>5733.2394323942708</v>
      </c>
      <c r="V49" s="86">
        <f>IF(V13=0,0,V13/TrAvia_act!V31*1000000)</f>
        <v>8163.3429015253205</v>
      </c>
      <c r="W49" s="86">
        <f>IF(W13=0,0,W13/TrAvia_act!W31*1000000)</f>
        <v>7366.1136567600361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0.97835620485491981</v>
      </c>
      <c r="C52" s="16">
        <f t="shared" si="35"/>
        <v>0.98255727457056141</v>
      </c>
      <c r="D52" s="16">
        <f t="shared" ref="D52:V52" si="36">IF(D6=0,0,D6/D$3)</f>
        <v>0.98184100183291834</v>
      </c>
      <c r="E52" s="16">
        <f t="shared" si="36"/>
        <v>0.9786252211684755</v>
      </c>
      <c r="F52" s="16">
        <f t="shared" si="36"/>
        <v>0.97454014678632161</v>
      </c>
      <c r="G52" s="16">
        <f t="shared" si="36"/>
        <v>0.97278705064587145</v>
      </c>
      <c r="H52" s="16">
        <f t="shared" si="36"/>
        <v>0.97355297337076485</v>
      </c>
      <c r="I52" s="16">
        <f t="shared" si="36"/>
        <v>0.97411725359469648</v>
      </c>
      <c r="J52" s="16">
        <f t="shared" si="36"/>
        <v>0.97926234715417659</v>
      </c>
      <c r="K52" s="16">
        <f t="shared" si="36"/>
        <v>0.98192079678520772</v>
      </c>
      <c r="L52" s="16">
        <f t="shared" si="36"/>
        <v>0.98187867182460475</v>
      </c>
      <c r="M52" s="16">
        <f t="shared" si="36"/>
        <v>0.98392417102704444</v>
      </c>
      <c r="N52" s="16">
        <f t="shared" si="36"/>
        <v>0.98121865565353961</v>
      </c>
      <c r="O52" s="16">
        <f t="shared" si="36"/>
        <v>0.98044447940603896</v>
      </c>
      <c r="P52" s="16">
        <f t="shared" si="36"/>
        <v>0.98233244611989845</v>
      </c>
      <c r="Q52" s="16">
        <f t="shared" si="36"/>
        <v>0.98164699034504521</v>
      </c>
      <c r="R52" s="16">
        <f t="shared" si="36"/>
        <v>0.98261488965325339</v>
      </c>
      <c r="S52" s="16">
        <f t="shared" si="36"/>
        <v>0.98226088507052434</v>
      </c>
      <c r="T52" s="16">
        <f t="shared" si="36"/>
        <v>0.98493582095787524</v>
      </c>
      <c r="U52" s="16">
        <f t="shared" si="36"/>
        <v>0.98013180388002974</v>
      </c>
      <c r="V52" s="16">
        <f t="shared" si="36"/>
        <v>0.96701719462856517</v>
      </c>
      <c r="W52" s="16">
        <f t="shared" ref="W52" si="37">IF(W6=0,0,W6/W$3)</f>
        <v>0.96583306669391711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0.26036990206185595</v>
      </c>
      <c r="C53" s="103">
        <f t="shared" si="38"/>
        <v>0.25285877836453474</v>
      </c>
      <c r="D53" s="103">
        <f t="shared" ref="D53:V53" si="39">IF(D7=0,0,D7/D$3)</f>
        <v>0.23014909858913687</v>
      </c>
      <c r="E53" s="103">
        <f t="shared" si="39"/>
        <v>0.22498252602361651</v>
      </c>
      <c r="F53" s="103">
        <f t="shared" si="39"/>
        <v>0.20419402287704358</v>
      </c>
      <c r="G53" s="103">
        <f t="shared" si="39"/>
        <v>0.19567957305102854</v>
      </c>
      <c r="H53" s="103">
        <f t="shared" si="39"/>
        <v>0.17196597354894214</v>
      </c>
      <c r="I53" s="103">
        <f t="shared" si="39"/>
        <v>0.1446404036304953</v>
      </c>
      <c r="J53" s="103">
        <f t="shared" si="39"/>
        <v>0.13133135251433808</v>
      </c>
      <c r="K53" s="103">
        <f t="shared" si="39"/>
        <v>0.13527015174716972</v>
      </c>
      <c r="L53" s="103">
        <f t="shared" si="39"/>
        <v>0.1264541834699032</v>
      </c>
      <c r="M53" s="103">
        <f t="shared" si="39"/>
        <v>0.12058275122067841</v>
      </c>
      <c r="N53" s="103">
        <f t="shared" si="39"/>
        <v>0.10587502091467155</v>
      </c>
      <c r="O53" s="103">
        <f t="shared" si="39"/>
        <v>8.9764511223760862E-2</v>
      </c>
      <c r="P53" s="103">
        <f t="shared" si="39"/>
        <v>9.1070384709644597E-2</v>
      </c>
      <c r="Q53" s="103">
        <f t="shared" si="39"/>
        <v>8.6657084552113253E-2</v>
      </c>
      <c r="R53" s="103">
        <f t="shared" si="39"/>
        <v>8.7709681166317457E-2</v>
      </c>
      <c r="S53" s="103">
        <f t="shared" si="39"/>
        <v>8.5810432369433184E-2</v>
      </c>
      <c r="T53" s="103">
        <f t="shared" si="39"/>
        <v>8.2639370470651993E-2</v>
      </c>
      <c r="U53" s="103">
        <f t="shared" si="39"/>
        <v>7.3932920762677198E-2</v>
      </c>
      <c r="V53" s="103">
        <f t="shared" si="39"/>
        <v>9.2141931145561448E-2</v>
      </c>
      <c r="W53" s="103">
        <f t="shared" ref="W53" si="40">IF(W7=0,0,W7/W$3)</f>
        <v>8.4885783031213205E-2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0.46736536524975913</v>
      </c>
      <c r="C54" s="103">
        <f t="shared" si="41"/>
        <v>0.48007222908320085</v>
      </c>
      <c r="D54" s="103">
        <f t="shared" ref="D54:V54" si="42">IF(D8=0,0,D8/D$3)</f>
        <v>0.48257896635069053</v>
      </c>
      <c r="E54" s="103">
        <f t="shared" si="42"/>
        <v>0.49203506013018239</v>
      </c>
      <c r="F54" s="103">
        <f t="shared" si="42"/>
        <v>0.48923914570083182</v>
      </c>
      <c r="G54" s="103">
        <f t="shared" si="42"/>
        <v>0.49242257726027466</v>
      </c>
      <c r="H54" s="103">
        <f t="shared" si="42"/>
        <v>0.51647931721454088</v>
      </c>
      <c r="I54" s="103">
        <f t="shared" si="42"/>
        <v>0.54050500165935522</v>
      </c>
      <c r="J54" s="103">
        <f t="shared" si="42"/>
        <v>0.54889684017380969</v>
      </c>
      <c r="K54" s="103">
        <f t="shared" si="42"/>
        <v>0.53815222528001616</v>
      </c>
      <c r="L54" s="103">
        <f t="shared" si="42"/>
        <v>0.54372922475376084</v>
      </c>
      <c r="M54" s="103">
        <f t="shared" si="42"/>
        <v>0.54873649456230267</v>
      </c>
      <c r="N54" s="103">
        <f t="shared" si="42"/>
        <v>0.54726804013523578</v>
      </c>
      <c r="O54" s="103">
        <f t="shared" si="42"/>
        <v>0.55660278819481168</v>
      </c>
      <c r="P54" s="103">
        <f t="shared" si="42"/>
        <v>0.56159025230612736</v>
      </c>
      <c r="Q54" s="103">
        <f t="shared" si="42"/>
        <v>0.56715331935994984</v>
      </c>
      <c r="R54" s="103">
        <f t="shared" si="42"/>
        <v>0.5802025571697923</v>
      </c>
      <c r="S54" s="103">
        <f t="shared" si="42"/>
        <v>0.59140321973491605</v>
      </c>
      <c r="T54" s="103">
        <f t="shared" si="42"/>
        <v>0.59380186563643089</v>
      </c>
      <c r="U54" s="103">
        <f t="shared" si="42"/>
        <v>0.5908659095820743</v>
      </c>
      <c r="V54" s="103">
        <f t="shared" si="42"/>
        <v>0.51411690009307032</v>
      </c>
      <c r="W54" s="103">
        <f t="shared" ref="W54" si="43">IF(W8=0,0,W8/W$3)</f>
        <v>0.5461665578773115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0.25062093754330467</v>
      </c>
      <c r="C55" s="103">
        <f t="shared" si="44"/>
        <v>0.24962626712282573</v>
      </c>
      <c r="D55" s="103">
        <f t="shared" ref="D55:V55" si="45">IF(D9=0,0,D9/D$3)</f>
        <v>0.26911293689309101</v>
      </c>
      <c r="E55" s="103">
        <f t="shared" si="45"/>
        <v>0.26160763501467649</v>
      </c>
      <c r="F55" s="103">
        <f t="shared" si="45"/>
        <v>0.28110697820844616</v>
      </c>
      <c r="G55" s="103">
        <f t="shared" si="45"/>
        <v>0.28468490033456828</v>
      </c>
      <c r="H55" s="103">
        <f t="shared" si="45"/>
        <v>0.28510768260728181</v>
      </c>
      <c r="I55" s="103">
        <f t="shared" si="45"/>
        <v>0.28897184830484585</v>
      </c>
      <c r="J55" s="103">
        <f t="shared" si="45"/>
        <v>0.29903415446602882</v>
      </c>
      <c r="K55" s="103">
        <f t="shared" si="45"/>
        <v>0.30849841975802184</v>
      </c>
      <c r="L55" s="103">
        <f t="shared" si="45"/>
        <v>0.31169526360094074</v>
      </c>
      <c r="M55" s="103">
        <f t="shared" si="45"/>
        <v>0.31460492524406325</v>
      </c>
      <c r="N55" s="103">
        <f t="shared" si="45"/>
        <v>0.32807559460363228</v>
      </c>
      <c r="O55" s="103">
        <f t="shared" si="45"/>
        <v>0.33407717998746644</v>
      </c>
      <c r="P55" s="103">
        <f t="shared" si="45"/>
        <v>0.32967180910412658</v>
      </c>
      <c r="Q55" s="103">
        <f t="shared" si="45"/>
        <v>0.32783658643298219</v>
      </c>
      <c r="R55" s="103">
        <f t="shared" si="45"/>
        <v>0.31470265131714364</v>
      </c>
      <c r="S55" s="103">
        <f t="shared" si="45"/>
        <v>0.30504723296617514</v>
      </c>
      <c r="T55" s="103">
        <f t="shared" si="45"/>
        <v>0.30849458485079245</v>
      </c>
      <c r="U55" s="103">
        <f t="shared" si="45"/>
        <v>0.31533297353527828</v>
      </c>
      <c r="V55" s="103">
        <f t="shared" si="45"/>
        <v>0.36075836338993345</v>
      </c>
      <c r="W55" s="103">
        <f t="shared" ref="W55" si="46">IF(W9=0,0,W9/W$3)</f>
        <v>0.33478072578539236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2.164379514508016E-2</v>
      </c>
      <c r="C56" s="17">
        <f t="shared" si="47"/>
        <v>1.7442725429438772E-2</v>
      </c>
      <c r="D56" s="17">
        <f t="shared" ref="D56:V56" si="48">IF(D10=0,0,D10/D$3)</f>
        <v>1.8158998167081782E-2</v>
      </c>
      <c r="E56" s="17">
        <f t="shared" si="48"/>
        <v>2.1374778831524673E-2</v>
      </c>
      <c r="F56" s="17">
        <f t="shared" si="48"/>
        <v>2.5459853213678385E-2</v>
      </c>
      <c r="G56" s="17">
        <f t="shared" si="48"/>
        <v>2.721294935412848E-2</v>
      </c>
      <c r="H56" s="17">
        <f t="shared" si="48"/>
        <v>2.644702662923509E-2</v>
      </c>
      <c r="I56" s="17">
        <f t="shared" si="48"/>
        <v>2.5882746405303598E-2</v>
      </c>
      <c r="J56" s="17">
        <f t="shared" si="48"/>
        <v>2.07376528458234E-2</v>
      </c>
      <c r="K56" s="17">
        <f t="shared" si="48"/>
        <v>1.8079203214792235E-2</v>
      </c>
      <c r="L56" s="17">
        <f t="shared" si="48"/>
        <v>1.8121328175395201E-2</v>
      </c>
      <c r="M56" s="17">
        <f t="shared" si="48"/>
        <v>1.6075828972955789E-2</v>
      </c>
      <c r="N56" s="17">
        <f t="shared" si="48"/>
        <v>1.8781344346460345E-2</v>
      </c>
      <c r="O56" s="17">
        <f t="shared" si="48"/>
        <v>1.9555520593960877E-2</v>
      </c>
      <c r="P56" s="17">
        <f t="shared" si="48"/>
        <v>1.7667553880101515E-2</v>
      </c>
      <c r="Q56" s="17">
        <f t="shared" si="48"/>
        <v>1.8353009654954643E-2</v>
      </c>
      <c r="R56" s="17">
        <f t="shared" si="48"/>
        <v>1.7385110346746425E-2</v>
      </c>
      <c r="S56" s="17">
        <f t="shared" si="48"/>
        <v>1.7739114929475712E-2</v>
      </c>
      <c r="T56" s="17">
        <f t="shared" si="48"/>
        <v>1.5064179042124533E-2</v>
      </c>
      <c r="U56" s="17">
        <f t="shared" si="48"/>
        <v>1.9868196119970243E-2</v>
      </c>
      <c r="V56" s="17">
        <f t="shared" si="48"/>
        <v>3.2982805371434824E-2</v>
      </c>
      <c r="W56" s="17">
        <f t="shared" ref="W56" si="49">IF(W10=0,0,W10/W$3)</f>
        <v>3.4166933306082843E-2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3.3099798895604143E-3</v>
      </c>
      <c r="C57" s="104">
        <f t="shared" si="50"/>
        <v>2.4962630832302372E-3</v>
      </c>
      <c r="D57" s="104">
        <f t="shared" ref="D57:V57" si="51">IF(D11=0,0,D11/D$3)</f>
        <v>2.2962535335876986E-3</v>
      </c>
      <c r="E57" s="104">
        <f t="shared" si="51"/>
        <v>1.8600025564431113E-3</v>
      </c>
      <c r="F57" s="104">
        <f t="shared" si="51"/>
        <v>1.6612145354513565E-3</v>
      </c>
      <c r="G57" s="104">
        <f t="shared" si="51"/>
        <v>1.5591006044999658E-3</v>
      </c>
      <c r="H57" s="104">
        <f t="shared" si="51"/>
        <v>1.3654028254510983E-3</v>
      </c>
      <c r="I57" s="104">
        <f t="shared" si="51"/>
        <v>9.9803012823260575E-4</v>
      </c>
      <c r="J57" s="104">
        <f t="shared" si="51"/>
        <v>7.4986907442200427E-4</v>
      </c>
      <c r="K57" s="104">
        <f t="shared" si="51"/>
        <v>8.2924856712927452E-4</v>
      </c>
      <c r="L57" s="104">
        <f t="shared" si="51"/>
        <v>6.1064395381811121E-4</v>
      </c>
      <c r="M57" s="104">
        <f t="shared" si="51"/>
        <v>4.7801930201948775E-4</v>
      </c>
      <c r="N57" s="104">
        <f t="shared" si="51"/>
        <v>5.4835900658708222E-4</v>
      </c>
      <c r="O57" s="104">
        <f t="shared" si="51"/>
        <v>4.4876783931510161E-4</v>
      </c>
      <c r="P57" s="104">
        <f t="shared" si="51"/>
        <v>3.6019678286342742E-4</v>
      </c>
      <c r="Q57" s="104">
        <f t="shared" si="51"/>
        <v>3.4009491676624868E-4</v>
      </c>
      <c r="R57" s="104">
        <f t="shared" si="51"/>
        <v>3.7272739665198903E-4</v>
      </c>
      <c r="S57" s="104">
        <f t="shared" si="51"/>
        <v>2.7851445625614202E-4</v>
      </c>
      <c r="T57" s="104">
        <f t="shared" si="51"/>
        <v>1.6697437150527819E-4</v>
      </c>
      <c r="U57" s="104">
        <f t="shared" si="51"/>
        <v>1.650068616742841E-4</v>
      </c>
      <c r="V57" s="104">
        <f t="shared" si="51"/>
        <v>5.2095782191915031E-4</v>
      </c>
      <c r="W57" s="104">
        <f t="shared" ref="W57" si="52">IF(W11=0,0,W11/W$3)</f>
        <v>3.8415317113748041E-4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9.6994578164384688E-3</v>
      </c>
      <c r="C58" s="104">
        <f t="shared" si="53"/>
        <v>8.505705561567831E-3</v>
      </c>
      <c r="D58" s="104">
        <f t="shared" ref="D58:V58" si="54">IF(D12=0,0,D12/D$3)</f>
        <v>8.3423147512769972E-3</v>
      </c>
      <c r="E58" s="104">
        <f t="shared" si="54"/>
        <v>1.2182139804525238E-2</v>
      </c>
      <c r="F58" s="104">
        <f t="shared" si="54"/>
        <v>1.4936604734902723E-2</v>
      </c>
      <c r="G58" s="104">
        <f t="shared" si="54"/>
        <v>1.5262599577614956E-2</v>
      </c>
      <c r="H58" s="104">
        <f t="shared" si="54"/>
        <v>1.749870061298571E-2</v>
      </c>
      <c r="I58" s="104">
        <f t="shared" si="54"/>
        <v>1.8095070041231232E-2</v>
      </c>
      <c r="J58" s="104">
        <f t="shared" si="54"/>
        <v>1.4433106052213245E-2</v>
      </c>
      <c r="K58" s="104">
        <f t="shared" si="54"/>
        <v>1.3503158401615431E-2</v>
      </c>
      <c r="L58" s="104">
        <f t="shared" si="54"/>
        <v>1.3541001065621986E-2</v>
      </c>
      <c r="M58" s="104">
        <f t="shared" si="54"/>
        <v>1.0568574046624667E-2</v>
      </c>
      <c r="N58" s="104">
        <f t="shared" si="54"/>
        <v>1.0935385353365124E-2</v>
      </c>
      <c r="O58" s="104">
        <f t="shared" si="54"/>
        <v>1.2888463594537975E-2</v>
      </c>
      <c r="P58" s="104">
        <f t="shared" si="54"/>
        <v>1.2963518173808421E-2</v>
      </c>
      <c r="Q58" s="104">
        <f t="shared" si="54"/>
        <v>1.4490887008853023E-2</v>
      </c>
      <c r="R58" s="104">
        <f t="shared" si="54"/>
        <v>1.3643162420745848E-2</v>
      </c>
      <c r="S58" s="104">
        <f t="shared" si="54"/>
        <v>1.4359839700704867E-2</v>
      </c>
      <c r="T58" s="104">
        <f t="shared" si="54"/>
        <v>1.210310513759756E-2</v>
      </c>
      <c r="U58" s="104">
        <f t="shared" si="54"/>
        <v>1.7334536494833602E-2</v>
      </c>
      <c r="V58" s="104">
        <f t="shared" si="54"/>
        <v>2.3518366243145149E-2</v>
      </c>
      <c r="W58" s="104">
        <f t="shared" ref="W58" si="55">IF(W12=0,0,W12/W$3)</f>
        <v>2.3114788528924388E-2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8.6343574390812753E-3</v>
      </c>
      <c r="C59" s="105">
        <f t="shared" si="56"/>
        <v>6.4407567846407028E-3</v>
      </c>
      <c r="D59" s="105">
        <f t="shared" ref="D59:V59" si="57">IF(D13=0,0,D13/D$3)</f>
        <v>7.5204298822170827E-3</v>
      </c>
      <c r="E59" s="105">
        <f t="shared" si="57"/>
        <v>7.3326364705563222E-3</v>
      </c>
      <c r="F59" s="105">
        <f t="shared" si="57"/>
        <v>8.8620339433243041E-3</v>
      </c>
      <c r="G59" s="105">
        <f t="shared" si="57"/>
        <v>1.0391249172013561E-2</v>
      </c>
      <c r="H59" s="105">
        <f t="shared" si="57"/>
        <v>7.58292319079828E-3</v>
      </c>
      <c r="I59" s="105">
        <f t="shared" si="57"/>
        <v>6.7896462358397547E-3</v>
      </c>
      <c r="J59" s="105">
        <f t="shared" si="57"/>
        <v>5.5546777191881509E-3</v>
      </c>
      <c r="K59" s="105">
        <f t="shared" si="57"/>
        <v>3.7467962460475245E-3</v>
      </c>
      <c r="L59" s="105">
        <f t="shared" si="57"/>
        <v>3.9696831559551055E-3</v>
      </c>
      <c r="M59" s="105">
        <f t="shared" si="57"/>
        <v>5.0292356243116353E-3</v>
      </c>
      <c r="N59" s="105">
        <f t="shared" si="57"/>
        <v>7.2975999865081383E-3</v>
      </c>
      <c r="O59" s="105">
        <f t="shared" si="57"/>
        <v>6.2182891601078013E-3</v>
      </c>
      <c r="P59" s="105">
        <f t="shared" si="57"/>
        <v>4.343838923429667E-3</v>
      </c>
      <c r="Q59" s="105">
        <f t="shared" si="57"/>
        <v>3.5220277293353704E-3</v>
      </c>
      <c r="R59" s="105">
        <f t="shared" si="57"/>
        <v>3.369220529348588E-3</v>
      </c>
      <c r="S59" s="105">
        <f t="shared" si="57"/>
        <v>3.1007607725147021E-3</v>
      </c>
      <c r="T59" s="105">
        <f t="shared" si="57"/>
        <v>2.7940995330216975E-3</v>
      </c>
      <c r="U59" s="105">
        <f t="shared" si="57"/>
        <v>2.3686527634623595E-3</v>
      </c>
      <c r="V59" s="105">
        <f t="shared" si="57"/>
        <v>8.943481306370531E-3</v>
      </c>
      <c r="W59" s="105">
        <f t="shared" ref="W59" si="58">IF(W13=0,0,W13/W$3)</f>
        <v>1.0667991606020975E-2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13090827</v>
      </c>
      <c r="C4" s="11">
        <f t="shared" si="0"/>
        <v>12699594</v>
      </c>
      <c r="D4" s="11">
        <f t="shared" ref="D4" si="1">SUM(D5:D7)</f>
        <v>12401906</v>
      </c>
      <c r="E4" s="11">
        <f t="shared" ref="E4" si="2">SUM(E5:E7)</f>
        <v>12108905</v>
      </c>
      <c r="F4" s="11">
        <f t="shared" ref="F4" si="3">SUM(F5:F7)</f>
        <v>12638234</v>
      </c>
      <c r="G4" s="11">
        <f t="shared" ref="G4" si="4">SUM(G5:G7)</f>
        <v>12428000</v>
      </c>
      <c r="H4" s="11">
        <f t="shared" ref="H4" si="5">SUM(H5:H7)</f>
        <v>12491143</v>
      </c>
      <c r="I4" s="11">
        <f t="shared" ref="I4" si="6">SUM(I5:I7)</f>
        <v>12807795</v>
      </c>
      <c r="J4" s="11">
        <f t="shared" ref="J4" si="7">SUM(J5:J7)</f>
        <v>13598956</v>
      </c>
      <c r="K4" s="11">
        <f t="shared" ref="K4" si="8">SUM(K5:K7)</f>
        <v>12711048</v>
      </c>
      <c r="L4" s="11">
        <f t="shared" ref="L4" si="9">SUM(L5:L7)</f>
        <v>12871887</v>
      </c>
      <c r="M4" s="11">
        <f t="shared" ref="M4" si="10">SUM(M5:M7)</f>
        <v>14677278</v>
      </c>
      <c r="N4" s="11">
        <f t="shared" ref="N4" si="11">SUM(N5:N7)</f>
        <v>13389928</v>
      </c>
      <c r="O4" s="11">
        <f t="shared" ref="O4" si="12">SUM(O5:O7)</f>
        <v>13326227</v>
      </c>
      <c r="P4" s="11">
        <f t="shared" ref="P4" si="13">SUM(P5:P7)</f>
        <v>13710907</v>
      </c>
      <c r="Q4" s="11">
        <f t="shared" ref="Q4" si="14">SUM(Q5:Q7)</f>
        <v>13764501</v>
      </c>
      <c r="R4" s="11">
        <f t="shared" ref="R4" si="15">SUM(R5:R7)</f>
        <v>13976026</v>
      </c>
      <c r="S4" s="11">
        <f t="shared" ref="S4" si="16">SUM(S5:S7)</f>
        <v>15196589</v>
      </c>
      <c r="T4" s="11">
        <f t="shared" ref="T4" si="17">SUM(T5:T7)</f>
        <v>17005920</v>
      </c>
      <c r="U4" s="11">
        <f t="shared" ref="U4" si="18">SUM(U5:U7)</f>
        <v>17523594</v>
      </c>
      <c r="V4" s="11">
        <f t="shared" ref="V4:W4" si="19">SUM(V5:V7)</f>
        <v>5963930</v>
      </c>
      <c r="W4" s="11">
        <f t="shared" si="19"/>
        <v>5345309</v>
      </c>
      <c r="DA4" s="189" t="s">
        <v>361</v>
      </c>
    </row>
    <row r="5" spans="1:105" ht="11.45" customHeight="1" x14ac:dyDescent="0.25">
      <c r="A5" s="83" t="s">
        <v>27</v>
      </c>
      <c r="B5" s="84">
        <v>6845246</v>
      </c>
      <c r="C5" s="84">
        <v>6644650</v>
      </c>
      <c r="D5" s="84">
        <v>6560200</v>
      </c>
      <c r="E5" s="84">
        <v>5620986</v>
      </c>
      <c r="F5" s="84">
        <v>5502976</v>
      </c>
      <c r="G5" s="84">
        <v>5334029</v>
      </c>
      <c r="H5" s="84">
        <v>5140105</v>
      </c>
      <c r="I5" s="84">
        <v>4775315</v>
      </c>
      <c r="J5" s="84">
        <v>4923152</v>
      </c>
      <c r="K5" s="84">
        <v>4682691</v>
      </c>
      <c r="L5" s="84">
        <v>4580033</v>
      </c>
      <c r="M5" s="84">
        <v>5167994</v>
      </c>
      <c r="N5" s="84">
        <v>4388648</v>
      </c>
      <c r="O5" s="84">
        <v>4076350</v>
      </c>
      <c r="P5" s="84">
        <v>4112275</v>
      </c>
      <c r="Q5" s="84">
        <v>4092179</v>
      </c>
      <c r="R5" s="84">
        <v>4164122</v>
      </c>
      <c r="S5" s="84">
        <v>4317820</v>
      </c>
      <c r="T5" s="84">
        <v>4685894</v>
      </c>
      <c r="U5" s="84">
        <v>4623438</v>
      </c>
      <c r="V5" s="84">
        <v>1785720</v>
      </c>
      <c r="W5" s="84">
        <v>1551278</v>
      </c>
      <c r="DA5" s="171" t="s">
        <v>362</v>
      </c>
    </row>
    <row r="6" spans="1:105" ht="11.45" customHeight="1" x14ac:dyDescent="0.25">
      <c r="A6" s="83" t="s">
        <v>173</v>
      </c>
      <c r="B6" s="84">
        <v>5351803</v>
      </c>
      <c r="C6" s="84">
        <v>5220432</v>
      </c>
      <c r="D6" s="84">
        <v>4936350</v>
      </c>
      <c r="E6" s="84">
        <v>5509988</v>
      </c>
      <c r="F6" s="84">
        <v>5939628</v>
      </c>
      <c r="G6" s="84">
        <v>5996893</v>
      </c>
      <c r="H6" s="84">
        <v>6102868</v>
      </c>
      <c r="I6" s="84">
        <v>6518689</v>
      </c>
      <c r="J6" s="84">
        <v>6884842</v>
      </c>
      <c r="K6" s="84">
        <v>6350288</v>
      </c>
      <c r="L6" s="84">
        <v>6505049</v>
      </c>
      <c r="M6" s="84">
        <v>7419468</v>
      </c>
      <c r="N6" s="84">
        <v>6945669</v>
      </c>
      <c r="O6" s="84">
        <v>7157457</v>
      </c>
      <c r="P6" s="84">
        <v>7368598</v>
      </c>
      <c r="Q6" s="84">
        <v>7354642</v>
      </c>
      <c r="R6" s="84">
        <v>7553114</v>
      </c>
      <c r="S6" s="84">
        <v>8426025</v>
      </c>
      <c r="T6" s="84">
        <v>9370613</v>
      </c>
      <c r="U6" s="84">
        <v>9577524</v>
      </c>
      <c r="V6" s="84">
        <v>2911186</v>
      </c>
      <c r="W6" s="84">
        <v>2595265</v>
      </c>
      <c r="DA6" s="171" t="s">
        <v>363</v>
      </c>
    </row>
    <row r="7" spans="1:105" ht="11.45" customHeight="1" x14ac:dyDescent="0.25">
      <c r="A7" s="85" t="s">
        <v>174</v>
      </c>
      <c r="B7" s="86">
        <v>893778</v>
      </c>
      <c r="C7" s="86">
        <v>834512</v>
      </c>
      <c r="D7" s="86">
        <v>905356</v>
      </c>
      <c r="E7" s="86">
        <v>977931</v>
      </c>
      <c r="F7" s="86">
        <v>1195630</v>
      </c>
      <c r="G7" s="86">
        <v>1097078</v>
      </c>
      <c r="H7" s="86">
        <v>1248170</v>
      </c>
      <c r="I7" s="86">
        <v>1513791</v>
      </c>
      <c r="J7" s="86">
        <v>1790962</v>
      </c>
      <c r="K7" s="86">
        <v>1678069</v>
      </c>
      <c r="L7" s="86">
        <v>1786805</v>
      </c>
      <c r="M7" s="86">
        <v>2089816</v>
      </c>
      <c r="N7" s="86">
        <v>2055611</v>
      </c>
      <c r="O7" s="86">
        <v>2092420</v>
      </c>
      <c r="P7" s="86">
        <v>2230034</v>
      </c>
      <c r="Q7" s="86">
        <v>2317680</v>
      </c>
      <c r="R7" s="86">
        <v>2258790</v>
      </c>
      <c r="S7" s="86">
        <v>2452744</v>
      </c>
      <c r="T7" s="86">
        <v>2949413</v>
      </c>
      <c r="U7" s="86">
        <v>3322632</v>
      </c>
      <c r="V7" s="86">
        <v>1267024</v>
      </c>
      <c r="W7" s="86">
        <v>1198766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109.66597134958532</v>
      </c>
      <c r="C12" s="14">
        <f>IF(C4=0,0,C4/TrAvia_act!C24)</f>
        <v>106.41255875920666</v>
      </c>
      <c r="D12" s="14">
        <f>IF(D4=0,0,D4/TrAvia_act!D24)</f>
        <v>111.53394967354353</v>
      </c>
      <c r="E12" s="14">
        <f>IF(E4=0,0,E4/TrAvia_act!E24)</f>
        <v>104.11694654388182</v>
      </c>
      <c r="F12" s="14">
        <f>IF(F4=0,0,F4/TrAvia_act!F24)</f>
        <v>103.25185862976095</v>
      </c>
      <c r="G12" s="14">
        <f>IF(G4=0,0,G4/TrAvia_act!G24)</f>
        <v>102.43813982624751</v>
      </c>
      <c r="H12" s="14">
        <f>IF(H4=0,0,H4/TrAvia_act!H24)</f>
        <v>99.852457312783784</v>
      </c>
      <c r="I12" s="14">
        <f>IF(I4=0,0,I4/TrAvia_act!I24)</f>
        <v>103.76397530624149</v>
      </c>
      <c r="J12" s="14">
        <f>IF(J4=0,0,J4/TrAvia_act!J24)</f>
        <v>107.2565916601598</v>
      </c>
      <c r="K12" s="14">
        <f>IF(K4=0,0,K4/TrAvia_act!K24)</f>
        <v>105.77819201611091</v>
      </c>
      <c r="L12" s="14">
        <f>IF(L4=0,0,L4/TrAvia_act!L24)</f>
        <v>108.44506508277517</v>
      </c>
      <c r="M12" s="14">
        <f>IF(M4=0,0,M4/TrAvia_act!M24)</f>
        <v>111.16286714028205</v>
      </c>
      <c r="N12" s="14">
        <f>IF(N4=0,0,N4/TrAvia_act!N24)</f>
        <v>113.68785341914449</v>
      </c>
      <c r="O12" s="14">
        <f>IF(O4=0,0,O4/TrAvia_act!O24)</f>
        <v>119.85418259328878</v>
      </c>
      <c r="P12" s="14">
        <f>IF(P4=0,0,P4/TrAvia_act!P24)</f>
        <v>125.28012097732132</v>
      </c>
      <c r="Q12" s="14">
        <f>IF(Q4=0,0,Q4/TrAvia_act!Q24)</f>
        <v>127.81833630488077</v>
      </c>
      <c r="R12" s="14">
        <f>IF(R4=0,0,R4/TrAvia_act!R24)</f>
        <v>132.33494617037999</v>
      </c>
      <c r="S12" s="14">
        <f>IF(S4=0,0,S4/TrAvia_act!S24)</f>
        <v>135.84393213430113</v>
      </c>
      <c r="T12" s="14">
        <f>IF(T4=0,0,T4/TrAvia_act!T24)</f>
        <v>141.29094972624023</v>
      </c>
      <c r="U12" s="14">
        <f>IF(U4=0,0,U4/TrAvia_act!U24)</f>
        <v>144.18913537175393</v>
      </c>
      <c r="V12" s="14">
        <f>IF(V4=0,0,V4/TrAvia_act!V24)</f>
        <v>141.73847945433371</v>
      </c>
      <c r="W12" s="14">
        <f>IF(W4=0,0,W4/TrAvia_act!W24)</f>
        <v>132.66427578675669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101.07563050026579</v>
      </c>
      <c r="C13" s="87">
        <f>IF(C5=0,0,C5/TrAvia_act!C25)</f>
        <v>100.67804057637237</v>
      </c>
      <c r="D13" s="87">
        <f>IF(D5=0,0,D5/TrAvia_act!D25)</f>
        <v>106.16756485572333</v>
      </c>
      <c r="E13" s="87">
        <f>IF(E5=0,0,E5/TrAvia_act!E25)</f>
        <v>89.928581713462918</v>
      </c>
      <c r="F13" s="87">
        <f>IF(F5=0,0,F5/TrAvia_act!F25)</f>
        <v>86.636480997512521</v>
      </c>
      <c r="G13" s="87">
        <f>IF(G5=0,0,G5/TrAvia_act!G25)</f>
        <v>84.296490035874015</v>
      </c>
      <c r="H13" s="87">
        <f>IF(H5=0,0,H5/TrAvia_act!H25)</f>
        <v>79.145507737316194</v>
      </c>
      <c r="I13" s="87">
        <f>IF(I5=0,0,I5/TrAvia_act!I25)</f>
        <v>80.192701686034795</v>
      </c>
      <c r="J13" s="87">
        <f>IF(J5=0,0,J5/TrAvia_act!J25)</f>
        <v>83.484288887758396</v>
      </c>
      <c r="K13" s="87">
        <f>IF(K5=0,0,K5/TrAvia_act!K25)</f>
        <v>80.862922861731334</v>
      </c>
      <c r="L13" s="87">
        <f>IF(L5=0,0,L5/TrAvia_act!L25)</f>
        <v>84.602353332348159</v>
      </c>
      <c r="M13" s="87">
        <f>IF(M5=0,0,M5/TrAvia_act!M25)</f>
        <v>88.245235981148824</v>
      </c>
      <c r="N13" s="87">
        <f>IF(N5=0,0,N5/TrAvia_act!N25)</f>
        <v>89.806171727920116</v>
      </c>
      <c r="O13" s="87">
        <f>IF(O5=0,0,O5/TrAvia_act!O25)</f>
        <v>92.832092186468088</v>
      </c>
      <c r="P13" s="87">
        <f>IF(P5=0,0,P5/TrAvia_act!P25)</f>
        <v>97.753042692783112</v>
      </c>
      <c r="Q13" s="87">
        <f>IF(Q5=0,0,Q5/TrAvia_act!Q25)</f>
        <v>100.46594814887558</v>
      </c>
      <c r="R13" s="87">
        <f>IF(R5=0,0,R5/TrAvia_act!R25)</f>
        <v>105.5731562000862</v>
      </c>
      <c r="S13" s="87">
        <f>IF(S5=0,0,S5/TrAvia_act!S25)</f>
        <v>106.38431024712347</v>
      </c>
      <c r="T13" s="87">
        <f>IF(T5=0,0,T5/TrAvia_act!T25)</f>
        <v>110.98754144954998</v>
      </c>
      <c r="U13" s="87">
        <f>IF(U5=0,0,U5/TrAvia_act!U25)</f>
        <v>110.84988851327051</v>
      </c>
      <c r="V13" s="87">
        <f>IF(V5=0,0,V5/TrAvia_act!V25)</f>
        <v>104.55035128805621</v>
      </c>
      <c r="W13" s="87">
        <f>IF(W5=0,0,W5/TrAvia_act!W25)</f>
        <v>91.699355677720632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114.0914769335721</v>
      </c>
      <c r="C14" s="87">
        <f>IF(C6=0,0,C6/TrAvia_act!C26)</f>
        <v>107.42734849264328</v>
      </c>
      <c r="D14" s="87">
        <f>IF(D6=0,0,D6/TrAvia_act!D26)</f>
        <v>110.36622174525455</v>
      </c>
      <c r="E14" s="87">
        <f>IF(E6=0,0,E6/TrAvia_act!E26)</f>
        <v>112.63262469337694</v>
      </c>
      <c r="F14" s="87">
        <f>IF(F6=0,0,F6/TrAvia_act!F26)</f>
        <v>111.75427571544149</v>
      </c>
      <c r="G14" s="87">
        <f>IF(G6=0,0,G6/TrAvia_act!G26)</f>
        <v>114.5232029638683</v>
      </c>
      <c r="H14" s="87">
        <f>IF(H6=0,0,H6/TrAvia_act!H26)</f>
        <v>114.32659560517787</v>
      </c>
      <c r="I14" s="87">
        <f>IF(I6=0,0,I6/TrAvia_act!I26)</f>
        <v>117.05943936645896</v>
      </c>
      <c r="J14" s="87">
        <f>IF(J6=0,0,J6/TrAvia_act!J26)</f>
        <v>119.16439351980061</v>
      </c>
      <c r="K14" s="87">
        <f>IF(K6=0,0,K6/TrAvia_act!K26)</f>
        <v>120.30022543429253</v>
      </c>
      <c r="L14" s="87">
        <f>IF(L6=0,0,L6/TrAvia_act!L26)</f>
        <v>118.6511445508436</v>
      </c>
      <c r="M14" s="87">
        <f>IF(M6=0,0,M6/TrAvia_act!M26)</f>
        <v>119.37425385741638</v>
      </c>
      <c r="N14" s="87">
        <f>IF(N6=0,0,N6/TrAvia_act!N26)</f>
        <v>119.31884008177148</v>
      </c>
      <c r="O14" s="87">
        <f>IF(O6=0,0,O6/TrAvia_act!O26)</f>
        <v>127.00434736319114</v>
      </c>
      <c r="P14" s="87">
        <f>IF(P6=0,0,P6/TrAvia_act!P26)</f>
        <v>133.14657945141121</v>
      </c>
      <c r="Q14" s="87">
        <f>IF(Q6=0,0,Q6/TrAvia_act!Q26)</f>
        <v>135.45458228967144</v>
      </c>
      <c r="R14" s="87">
        <f>IF(R6=0,0,R6/TrAvia_act!R26)</f>
        <v>138.82359211880606</v>
      </c>
      <c r="S14" s="87">
        <f>IF(S6=0,0,S6/TrAvia_act!S26)</f>
        <v>142.92299211262826</v>
      </c>
      <c r="T14" s="87">
        <f>IF(T6=0,0,T6/TrAvia_act!T26)</f>
        <v>147.19781652529062</v>
      </c>
      <c r="U14" s="87">
        <f>IF(U6=0,0,U6/TrAvia_act!U26)</f>
        <v>150.13675696012038</v>
      </c>
      <c r="V14" s="87">
        <f>IF(V6=0,0,V6/TrAvia_act!V26)</f>
        <v>143.48592833555128</v>
      </c>
      <c r="W14" s="87">
        <f>IF(W6=0,0,W6/TrAvia_act!W26)</f>
        <v>137.92862457482994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188.64035457999157</v>
      </c>
      <c r="C15" s="88">
        <f>IF(C7=0,0,C7/TrAvia_act!C27)</f>
        <v>175.72373131185512</v>
      </c>
      <c r="D15" s="88">
        <f>IF(D7=0,0,D7/TrAvia_act!D27)</f>
        <v>193.61762189905903</v>
      </c>
      <c r="E15" s="88">
        <f>IF(E7=0,0,E7/TrAvia_act!E27)</f>
        <v>200.56009023789991</v>
      </c>
      <c r="F15" s="88">
        <f>IF(F7=0,0,F7/TrAvia_act!F27)</f>
        <v>208.47951176983435</v>
      </c>
      <c r="G15" s="88">
        <f>IF(G7=0,0,G7/TrAvia_act!G27)</f>
        <v>193.11353634923429</v>
      </c>
      <c r="H15" s="88">
        <f>IF(H7=0,0,H7/TrAvia_act!H27)</f>
        <v>184.36779911373708</v>
      </c>
      <c r="I15" s="88">
        <f>IF(I7=0,0,I7/TrAvia_act!I27)</f>
        <v>184.67622300841771</v>
      </c>
      <c r="J15" s="88">
        <f>IF(J7=0,0,J7/TrAvia_act!J27)</f>
        <v>178.34714200358493</v>
      </c>
      <c r="K15" s="88">
        <f>IF(K7=0,0,K7/TrAvia_act!K27)</f>
        <v>177.1797064723894</v>
      </c>
      <c r="L15" s="88">
        <f>IF(L7=0,0,L7/TrAvia_act!L27)</f>
        <v>183.56328333675776</v>
      </c>
      <c r="M15" s="88">
        <f>IF(M7=0,0,M7/TrAvia_act!M27)</f>
        <v>184.66165945038438</v>
      </c>
      <c r="N15" s="88">
        <f>IF(N7=0,0,N7/TrAvia_act!N27)</f>
        <v>192.13113375081784</v>
      </c>
      <c r="O15" s="88">
        <f>IF(O7=0,0,O7/TrAvia_act!O27)</f>
        <v>191.61355311355311</v>
      </c>
      <c r="P15" s="88">
        <f>IF(P7=0,0,P7/TrAvia_act!P27)</f>
        <v>185.34192154255319</v>
      </c>
      <c r="Q15" s="88">
        <f>IF(Q7=0,0,Q7/TrAvia_act!Q27)</f>
        <v>183.07109004739337</v>
      </c>
      <c r="R15" s="88">
        <f>IF(R7=0,0,R7/TrAvia_act!R27)</f>
        <v>192.07397959183675</v>
      </c>
      <c r="S15" s="88">
        <f>IF(S7=0,0,S7/TrAvia_act!S27)</f>
        <v>198.98945318838227</v>
      </c>
      <c r="T15" s="88">
        <f>IF(T7=0,0,T7/TrAvia_act!T27)</f>
        <v>203.67467716317933</v>
      </c>
      <c r="U15" s="88">
        <f>IF(U7=0,0,U7/TrAvia_act!U27)</f>
        <v>207.2629280768511</v>
      </c>
      <c r="V15" s="88">
        <f>IF(V7=0,0,V7/TrAvia_act!V27)</f>
        <v>269.12149532710282</v>
      </c>
      <c r="W15" s="88">
        <f>IF(W7=0,0,W7/TrAvia_act!W27)</f>
        <v>262.94494406668127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0.53506107750106235</v>
      </c>
      <c r="C18" s="25">
        <f>IF(TrAvia_act!C34=0,0,(TrAvia_act!C34/TrAvia_act!C24)/TrAvia_png!C12)</f>
        <v>0.55214694265029252</v>
      </c>
      <c r="D18" s="25">
        <f>IF(TrAvia_act!D34=0,0,(TrAvia_act!D34/TrAvia_act!D24)/TrAvia_png!D12)</f>
        <v>0.56165608737882711</v>
      </c>
      <c r="E18" s="25">
        <f>IF(TrAvia_act!E34=0,0,(TrAvia_act!E34/TrAvia_act!E24)/TrAvia_png!E12)</f>
        <v>0.5493017741901518</v>
      </c>
      <c r="F18" s="25">
        <f>IF(TrAvia_act!F34=0,0,(TrAvia_act!F34/TrAvia_act!F24)/TrAvia_png!F12)</f>
        <v>0.5807855749466263</v>
      </c>
      <c r="G18" s="25">
        <f>IF(TrAvia_act!G34=0,0,(TrAvia_act!G34/TrAvia_act!G24)/TrAvia_png!G12)</f>
        <v>0.60647022851625365</v>
      </c>
      <c r="H18" s="25">
        <f>IF(TrAvia_act!H34=0,0,(TrAvia_act!H34/TrAvia_act!H24)/TrAvia_png!H12)</f>
        <v>0.6538372829452036</v>
      </c>
      <c r="I18" s="25">
        <f>IF(TrAvia_act!I34=0,0,(TrAvia_act!I34/TrAvia_act!I24)/TrAvia_png!I12)</f>
        <v>0.67854162250410788</v>
      </c>
      <c r="J18" s="25">
        <f>IF(TrAvia_act!J34=0,0,(TrAvia_act!J34/TrAvia_act!J24)/TrAvia_png!J12)</f>
        <v>0.64952133090216624</v>
      </c>
      <c r="K18" s="25">
        <f>IF(TrAvia_act!K34=0,0,(TrAvia_act!K34/TrAvia_act!K24)/TrAvia_png!K12)</f>
        <v>0.6408839774659022</v>
      </c>
      <c r="L18" s="25">
        <f>IF(TrAvia_act!L34=0,0,(TrAvia_act!L34/TrAvia_act!L24)/TrAvia_png!L12)</f>
        <v>0.64761056401442929</v>
      </c>
      <c r="M18" s="25">
        <f>IF(TrAvia_act!M34=0,0,(TrAvia_act!M34/TrAvia_act!M24)/TrAvia_png!M12)</f>
        <v>0.65644174621479545</v>
      </c>
      <c r="N18" s="25">
        <f>IF(TrAvia_act!N34=0,0,(TrAvia_act!N34/TrAvia_act!N24)/TrAvia_png!N12)</f>
        <v>0.72104330956820684</v>
      </c>
      <c r="O18" s="25">
        <f>IF(TrAvia_act!O34=0,0,(TrAvia_act!O34/TrAvia_act!O24)/TrAvia_png!O12)</f>
        <v>0.71718971919058561</v>
      </c>
      <c r="P18" s="25">
        <f>IF(TrAvia_act!P34=0,0,(TrAvia_act!P34/TrAvia_act!P24)/TrAvia_png!P12)</f>
        <v>0.72160813285364722</v>
      </c>
      <c r="Q18" s="25">
        <f>IF(TrAvia_act!Q34=0,0,(TrAvia_act!Q34/TrAvia_act!Q24)/TrAvia_png!Q12)</f>
        <v>0.72999231864634972</v>
      </c>
      <c r="R18" s="25">
        <f>IF(TrAvia_act!R34=0,0,(TrAvia_act!R34/TrAvia_act!R24)/TrAvia_png!R12)</f>
        <v>0.74486488505387716</v>
      </c>
      <c r="S18" s="25">
        <f>IF(TrAvia_act!S34=0,0,(TrAvia_act!S34/TrAvia_act!S24)/TrAvia_png!S12)</f>
        <v>0.75624687882260955</v>
      </c>
      <c r="T18" s="25">
        <f>IF(TrAvia_act!T34=0,0,(TrAvia_act!T34/TrAvia_act!T24)/TrAvia_png!T12)</f>
        <v>0.74678994138511756</v>
      </c>
      <c r="U18" s="25">
        <f>IF(TrAvia_act!U34=0,0,(TrAvia_act!U34/TrAvia_act!U24)/TrAvia_png!U12)</f>
        <v>0.75486541174144994</v>
      </c>
      <c r="V18" s="25">
        <f>IF(TrAvia_act!V34=0,0,(TrAvia_act!V34/TrAvia_act!V24)/TrAvia_png!V12)</f>
        <v>0.54297736559617571</v>
      </c>
      <c r="W18" s="25">
        <f>IF(TrAvia_act!W34=0,0,(TrAvia_act!W34/TrAvia_act!W24)/TrAvia_png!W12)</f>
        <v>0.51508322531026729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0.4730764971777493</v>
      </c>
      <c r="C19" s="89">
        <f>IF(TrAvia_act!C35=0,0,(TrAvia_act!C35/TrAvia_act!C25)/TrAvia_png!C13)</f>
        <v>0.47915285229470322</v>
      </c>
      <c r="D19" s="89">
        <f>IF(TrAvia_act!D35=0,0,(TrAvia_act!D35/TrAvia_act!D25)/TrAvia_png!D13)</f>
        <v>0.48700893265449224</v>
      </c>
      <c r="E19" s="89">
        <f>IF(TrAvia_act!E35=0,0,(TrAvia_act!E35/TrAvia_act!E25)/TrAvia_png!E13)</f>
        <v>0.49147960873768409</v>
      </c>
      <c r="F19" s="89">
        <f>IF(TrAvia_act!F35=0,0,(TrAvia_act!F35/TrAvia_act!F25)/TrAvia_png!F13)</f>
        <v>0.53114114980694083</v>
      </c>
      <c r="G19" s="89">
        <f>IF(TrAvia_act!G35=0,0,(TrAvia_act!G35/TrAvia_act!G25)/TrAvia_png!G13)</f>
        <v>0.53080401325152149</v>
      </c>
      <c r="H19" s="89">
        <f>IF(TrAvia_act!H35=0,0,(TrAvia_act!H35/TrAvia_act!H25)/TrAvia_png!H13)</f>
        <v>0.56803703426291874</v>
      </c>
      <c r="I19" s="89">
        <f>IF(TrAvia_act!I35=0,0,(TrAvia_act!I35/TrAvia_act!I25)/TrAvia_png!I13)</f>
        <v>0.6049339153542751</v>
      </c>
      <c r="J19" s="89">
        <f>IF(TrAvia_act!J35=0,0,(TrAvia_act!J35/TrAvia_act!J25)/TrAvia_png!J13)</f>
        <v>0.55516242439802788</v>
      </c>
      <c r="K19" s="89">
        <f>IF(TrAvia_act!K35=0,0,(TrAvia_act!K35/TrAvia_act!K25)/TrAvia_png!K13)</f>
        <v>0.51659312989048389</v>
      </c>
      <c r="L19" s="89">
        <f>IF(TrAvia_act!L35=0,0,(TrAvia_act!L35/TrAvia_act!L25)/TrAvia_png!L13)</f>
        <v>0.50271275337972454</v>
      </c>
      <c r="M19" s="89">
        <f>IF(TrAvia_act!M35=0,0,(TrAvia_act!M35/TrAvia_act!M25)/TrAvia_png!M13)</f>
        <v>0.5386025989968255</v>
      </c>
      <c r="N19" s="89">
        <f>IF(TrAvia_act!N35=0,0,(TrAvia_act!N35/TrAvia_act!N25)/TrAvia_png!N13)</f>
        <v>0.62694889177714863</v>
      </c>
      <c r="O19" s="89">
        <f>IF(TrAvia_act!O35=0,0,(TrAvia_act!O35/TrAvia_act!O25)/TrAvia_png!O13)</f>
        <v>0.60664270732395398</v>
      </c>
      <c r="P19" s="89">
        <f>IF(TrAvia_act!P35=0,0,(TrAvia_act!P35/TrAvia_act!P25)/TrAvia_png!P13)</f>
        <v>0.62213665185329292</v>
      </c>
      <c r="Q19" s="89">
        <f>IF(TrAvia_act!Q35=0,0,(TrAvia_act!Q35/TrAvia_act!Q25)/TrAvia_png!Q13)</f>
        <v>0.63589544836626155</v>
      </c>
      <c r="R19" s="89">
        <f>IF(TrAvia_act!R35=0,0,(TrAvia_act!R35/TrAvia_act!R25)/TrAvia_png!R13)</f>
        <v>0.64649858961865181</v>
      </c>
      <c r="S19" s="89">
        <f>IF(TrAvia_act!S35=0,0,(TrAvia_act!S35/TrAvia_act!S25)/TrAvia_png!S13)</f>
        <v>0.65496315270205796</v>
      </c>
      <c r="T19" s="89">
        <f>IF(TrAvia_act!T35=0,0,(TrAvia_act!T35/TrAvia_act!T25)/TrAvia_png!T13)</f>
        <v>0.65836231037236437</v>
      </c>
      <c r="U19" s="89">
        <f>IF(TrAvia_act!U35=0,0,(TrAvia_act!U35/TrAvia_act!U25)/TrAvia_png!U13)</f>
        <v>0.66257988103225351</v>
      </c>
      <c r="V19" s="89">
        <f>IF(TrAvia_act!V35=0,0,(TrAvia_act!V35/TrAvia_act!V25)/TrAvia_png!V13)</f>
        <v>0.59246186412203483</v>
      </c>
      <c r="W19" s="89">
        <f>IF(TrAvia_act!W35=0,0,(TrAvia_act!W35/TrAvia_act!W25)/TrAvia_png!W13)</f>
        <v>0.58662212704621608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0.59722639267551514</v>
      </c>
      <c r="C20" s="89">
        <f>IF(TrAvia_act!C36=0,0,(TrAvia_act!C36/TrAvia_act!C26)/TrAvia_png!C14)</f>
        <v>0.62731590029330908</v>
      </c>
      <c r="D20" s="89">
        <f>IF(TrAvia_act!D36=0,0,(TrAvia_act!D36/TrAvia_act!D26)/TrAvia_png!D14)</f>
        <v>0.65307585564232684</v>
      </c>
      <c r="E20" s="89">
        <f>IF(TrAvia_act!E36=0,0,(TrAvia_act!E36/TrAvia_act!E26)/TrAvia_png!E14)</f>
        <v>0.60628389753298917</v>
      </c>
      <c r="F20" s="89">
        <f>IF(TrAvia_act!F36=0,0,(TrAvia_act!F36/TrAvia_act!F26)/TrAvia_png!F14)</f>
        <v>0.62594576630051579</v>
      </c>
      <c r="G20" s="89">
        <f>IF(TrAvia_act!G36=0,0,(TrAvia_act!G36/TrAvia_act!G26)/TrAvia_png!G14)</f>
        <v>0.65908713061913893</v>
      </c>
      <c r="H20" s="89">
        <f>IF(TrAvia_act!H36=0,0,(TrAvia_act!H36/TrAvia_act!H26)/TrAvia_png!H14)</f>
        <v>0.71771173815327483</v>
      </c>
      <c r="I20" s="89">
        <f>IF(TrAvia_act!I36=0,0,(TrAvia_act!I36/TrAvia_act!I26)/TrAvia_png!I14)</f>
        <v>0.71823122716853038</v>
      </c>
      <c r="J20" s="89">
        <f>IF(TrAvia_act!J36=0,0,(TrAvia_act!J36/TrAvia_act!J26)/TrAvia_png!J14)</f>
        <v>0.69211072672401197</v>
      </c>
      <c r="K20" s="89">
        <f>IF(TrAvia_act!K36=0,0,(TrAvia_act!K36/TrAvia_act!K26)/TrAvia_png!K14)</f>
        <v>0.70094742159725665</v>
      </c>
      <c r="L20" s="89">
        <f>IF(TrAvia_act!L36=0,0,(TrAvia_act!L36/TrAvia_act!L26)/TrAvia_png!L14)</f>
        <v>0.71900196293678953</v>
      </c>
      <c r="M20" s="89">
        <f>IF(TrAvia_act!M36=0,0,(TrAvia_act!M36/TrAvia_act!M26)/TrAvia_png!M14)</f>
        <v>0.71666566929057451</v>
      </c>
      <c r="N20" s="89">
        <f>IF(TrAvia_act!N36=0,0,(TrAvia_act!N36/TrAvia_act!N26)/TrAvia_png!N14)</f>
        <v>0.76114712636032622</v>
      </c>
      <c r="O20" s="89">
        <f>IF(TrAvia_act!O36=0,0,(TrAvia_act!O36/TrAvia_act!O26)/TrAvia_png!O14)</f>
        <v>0.75338727148483042</v>
      </c>
      <c r="P20" s="89">
        <f>IF(TrAvia_act!P36=0,0,(TrAvia_act!P36/TrAvia_act!P26)/TrAvia_png!P14)</f>
        <v>0.75785502208154121</v>
      </c>
      <c r="Q20" s="89">
        <f>IF(TrAvia_act!Q36=0,0,(TrAvia_act!Q36/TrAvia_act!Q26)/TrAvia_png!Q14)</f>
        <v>0.7687433324422861</v>
      </c>
      <c r="R20" s="89">
        <f>IF(TrAvia_act!R36=0,0,(TrAvia_act!R36/TrAvia_act!R26)/TrAvia_png!R14)</f>
        <v>0.7862377027541223</v>
      </c>
      <c r="S20" s="89">
        <f>IF(TrAvia_act!S36=0,0,(TrAvia_act!S36/TrAvia_act!S26)/TrAvia_png!S14)</f>
        <v>0.78387258523443737</v>
      </c>
      <c r="T20" s="89">
        <f>IF(TrAvia_act!T36=0,0,(TrAvia_act!T36/TrAvia_act!T26)/TrAvia_png!T14)</f>
        <v>0.7665626571068509</v>
      </c>
      <c r="U20" s="89">
        <f>IF(TrAvia_act!U36=0,0,(TrAvia_act!U36/TrAvia_act!U26)/TrAvia_png!U14)</f>
        <v>0.78039762677702507</v>
      </c>
      <c r="V20" s="89">
        <f>IF(TrAvia_act!V36=0,0,(TrAvia_act!V36/TrAvia_act!V26)/TrAvia_png!V14)</f>
        <v>0.54884504116191823</v>
      </c>
      <c r="W20" s="89">
        <f>IF(TrAvia_act!W36=0,0,(TrAvia_act!W36/TrAvia_act!W26)/TrAvia_png!W14)</f>
        <v>0.57552542803914053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0.63755093546719654</v>
      </c>
      <c r="C21" s="90">
        <f>IF(TrAvia_act!C37=0,0,(TrAvia_act!C37/TrAvia_act!C27)/TrAvia_png!C15)</f>
        <v>0.66311688747435638</v>
      </c>
      <c r="D21" s="90">
        <f>IF(TrAvia_act!D37=0,0,(TrAvia_act!D37/TrAvia_act!D27)/TrAvia_png!D15)</f>
        <v>0.60409275467329981</v>
      </c>
      <c r="E21" s="90">
        <f>IF(TrAvia_act!E37=0,0,(TrAvia_act!E37/TrAvia_act!E27)/TrAvia_png!E15)</f>
        <v>0.56059783358948645</v>
      </c>
      <c r="F21" s="90">
        <f>IF(TrAvia_act!F37=0,0,(TrAvia_act!F37/TrAvia_act!F27)/TrAvia_png!F15)</f>
        <v>0.58493179328052991</v>
      </c>
      <c r="G21" s="90">
        <f>IF(TrAvia_act!G37=0,0,(TrAvia_act!G37/TrAvia_act!G27)/TrAvia_png!G15)</f>
        <v>0.68674515394529834</v>
      </c>
      <c r="H21" s="90">
        <f>IF(TrAvia_act!H37=0,0,(TrAvia_act!H37/TrAvia_act!H27)/TrAvia_png!H15)</f>
        <v>0.69486127690939536</v>
      </c>
      <c r="I21" s="90">
        <f>IF(TrAvia_act!I37=0,0,(TrAvia_act!I37/TrAvia_act!I27)/TrAvia_png!I15)</f>
        <v>0.73982868176650551</v>
      </c>
      <c r="J21" s="90">
        <f>IF(TrAvia_act!J37=0,0,(TrAvia_act!J37/TrAvia_act!J27)/TrAvia_png!J15)</f>
        <v>0.74518052309317562</v>
      </c>
      <c r="K21" s="90">
        <f>IF(TrAvia_act!K37=0,0,(TrAvia_act!K37/TrAvia_act!K27)/TrAvia_png!K15)</f>
        <v>0.76042343908385168</v>
      </c>
      <c r="L21" s="90">
        <f>IF(TrAvia_act!L37=0,0,(TrAvia_act!L37/TrAvia_act!L27)/TrAvia_png!L15)</f>
        <v>0.7591124940886107</v>
      </c>
      <c r="M21" s="90">
        <f>IF(TrAvia_act!M37=0,0,(TrAvia_act!M37/TrAvia_act!M27)/TrAvia_png!M15)</f>
        <v>0.73403830767876221</v>
      </c>
      <c r="N21" s="90">
        <f>IF(TrAvia_act!N37=0,0,(TrAvia_act!N37/TrAvia_act!N27)/TrAvia_png!N15)</f>
        <v>0.78642505804843432</v>
      </c>
      <c r="O21" s="90">
        <f>IF(TrAvia_act!O37=0,0,(TrAvia_act!O37/TrAvia_act!O27)/TrAvia_png!O15)</f>
        <v>0.80873247244817015</v>
      </c>
      <c r="P21" s="90">
        <f>IF(TrAvia_act!P37=0,0,(TrAvia_act!P37/TrAvia_act!P27)/TrAvia_png!P15)</f>
        <v>0.78526874478146969</v>
      </c>
      <c r="Q21" s="90">
        <f>IF(TrAvia_act!Q37=0,0,(TrAvia_act!Q37/TrAvia_act!Q27)/TrAvia_png!Q15)</f>
        <v>0.77316540678609635</v>
      </c>
      <c r="R21" s="90">
        <f>IF(TrAvia_act!R37=0,0,(TrAvia_act!R37/TrAvia_act!R27)/TrAvia_png!R15)</f>
        <v>0.78785942916340168</v>
      </c>
      <c r="S21" s="90">
        <f>IF(TrAvia_act!S37=0,0,(TrAvia_act!S37/TrAvia_act!S27)/TrAvia_png!S15)</f>
        <v>0.83964327300362385</v>
      </c>
      <c r="T21" s="90">
        <f>IF(TrAvia_act!T37=0,0,(TrAvia_act!T37/TrAvia_act!T27)/TrAvia_png!T15)</f>
        <v>0.82445964671614325</v>
      </c>
      <c r="U21" s="90">
        <f>IF(TrAvia_act!U37=0,0,(TrAvia_act!U37/TrAvia_act!U27)/TrAvia_png!U15)</f>
        <v>0.80968370857801886</v>
      </c>
      <c r="V21" s="90">
        <f>IF(TrAvia_act!V37=0,0,(TrAvia_act!V37/TrAvia_act!V27)/TrAvia_png!V15)</f>
        <v>0.45975293285683611</v>
      </c>
      <c r="W21" s="90">
        <f>IF(TrAvia_act!W37=0,0,(TrAvia_act!W37/TrAvia_act!W27)/TrAvia_png!W15)</f>
        <v>0.29165325009217813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4.060113203755595E-2</v>
      </c>
      <c r="C24" s="23">
        <f>IF(TrAvia_ene!C6=0,0,TrAvia_ene!C6/(C12*TrAvia_act!C14))</f>
        <v>4.2143267365619443E-2</v>
      </c>
      <c r="D24" s="23">
        <f>IF(TrAvia_ene!D6=0,0,TrAvia_ene!D6/(D12*TrAvia_act!D14))</f>
        <v>4.1280855328611317E-2</v>
      </c>
      <c r="E24" s="23">
        <f>IF(TrAvia_ene!E6=0,0,TrAvia_ene!E6/(E12*TrAvia_act!E14))</f>
        <v>4.2475768157117448E-2</v>
      </c>
      <c r="F24" s="23">
        <f>IF(TrAvia_ene!F6=0,0,TrAvia_ene!F6/(F12*TrAvia_act!F14))</f>
        <v>4.4166073703052845E-2</v>
      </c>
      <c r="G24" s="23">
        <f>IF(TrAvia_ene!G6=0,0,TrAvia_ene!G6/(G12*TrAvia_act!G14))</f>
        <v>4.3527855498413107E-2</v>
      </c>
      <c r="H24" s="23">
        <f>IF(TrAvia_ene!H6=0,0,TrAvia_ene!H6/(H12*TrAvia_act!H14))</f>
        <v>4.547123011095705E-2</v>
      </c>
      <c r="I24" s="23">
        <f>IF(TrAvia_ene!I6=0,0,TrAvia_ene!I6/(I12*TrAvia_act!I14))</f>
        <v>4.4394823331721768E-2</v>
      </c>
      <c r="J24" s="23">
        <f>IF(TrAvia_ene!J6=0,0,TrAvia_ene!J6/(J12*TrAvia_act!J14))</f>
        <v>4.3707137412216601E-2</v>
      </c>
      <c r="K24" s="23">
        <f>IF(TrAvia_ene!K6=0,0,TrAvia_ene!K6/(K12*TrAvia_act!K14))</f>
        <v>4.1275389195087483E-2</v>
      </c>
      <c r="L24" s="23">
        <f>IF(TrAvia_ene!L6=0,0,TrAvia_ene!L6/(L12*TrAvia_act!L14))</f>
        <v>4.1326293764430068E-2</v>
      </c>
      <c r="M24" s="23">
        <f>IF(TrAvia_ene!M6=0,0,TrAvia_ene!M6/(M12*TrAvia_act!M14))</f>
        <v>4.1281931305280142E-2</v>
      </c>
      <c r="N24" s="23">
        <f>IF(TrAvia_ene!N6=0,0,TrAvia_ene!N6/(N12*TrAvia_act!N14))</f>
        <v>4.1334774637638717E-2</v>
      </c>
      <c r="O24" s="23">
        <f>IF(TrAvia_ene!O6=0,0,TrAvia_ene!O6/(O12*TrAvia_act!O14))</f>
        <v>3.974076611502686E-2</v>
      </c>
      <c r="P24" s="23">
        <f>IF(TrAvia_ene!P6=0,0,TrAvia_ene!P6/(P12*TrAvia_act!P14))</f>
        <v>3.7068549677538504E-2</v>
      </c>
      <c r="Q24" s="23">
        <f>IF(TrAvia_ene!Q6=0,0,TrAvia_ene!Q6/(Q12*TrAvia_act!Q14))</f>
        <v>3.7074936617605088E-2</v>
      </c>
      <c r="R24" s="23">
        <f>IF(TrAvia_ene!R6=0,0,TrAvia_ene!R6/(R12*TrAvia_act!R14))</f>
        <v>3.6110879248680582E-2</v>
      </c>
      <c r="S24" s="23">
        <f>IF(TrAvia_ene!S6=0,0,TrAvia_ene!S6/(S12*TrAvia_act!S14))</f>
        <v>3.4708908504961847E-2</v>
      </c>
      <c r="T24" s="23">
        <f>IF(TrAvia_ene!T6=0,0,TrAvia_ene!T6/(T12*TrAvia_act!T14))</f>
        <v>3.3923256573046366E-2</v>
      </c>
      <c r="U24" s="23">
        <f>IF(TrAvia_ene!U6=0,0,TrAvia_ene!U6/(U12*TrAvia_act!U14))</f>
        <v>3.4015496488478202E-2</v>
      </c>
      <c r="V24" s="23">
        <f>IF(TrAvia_ene!V6=0,0,TrAvia_ene!V6/(V12*TrAvia_act!V14))</f>
        <v>3.7348940734991433E-2</v>
      </c>
      <c r="W24" s="23">
        <f>IF(TrAvia_ene!W6=0,0,TrAvia_ene!W6/(W12*TrAvia_act!W14))</f>
        <v>3.9820331002521601E-2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4.3081148669443965E-2</v>
      </c>
      <c r="C25" s="91">
        <f>IF(TrAvia_ene!C7=0,0,TrAvia_ene!C7/(C13*TrAvia_act!C15))</f>
        <v>4.3764885850373685E-2</v>
      </c>
      <c r="D25" s="91">
        <f>IF(TrAvia_ene!D7=0,0,TrAvia_ene!D7/(D13*TrAvia_act!D15))</f>
        <v>3.8690201807814448E-2</v>
      </c>
      <c r="E25" s="91">
        <f>IF(TrAvia_ene!E7=0,0,TrAvia_ene!E7/(E13*TrAvia_act!E15))</f>
        <v>4.5227461351005201E-2</v>
      </c>
      <c r="F25" s="91">
        <f>IF(TrAvia_ene!F7=0,0,TrAvia_ene!F7/(F13*TrAvia_act!F15))</f>
        <v>4.7100484922594062E-2</v>
      </c>
      <c r="G25" s="91">
        <f>IF(TrAvia_ene!G7=0,0,TrAvia_ene!G7/(G13*TrAvia_act!G15))</f>
        <v>4.5183942467073371E-2</v>
      </c>
      <c r="H25" s="91">
        <f>IF(TrAvia_ene!H7=0,0,TrAvia_ene!H7/(H13*TrAvia_act!H15))</f>
        <v>4.7046396326301455E-2</v>
      </c>
      <c r="I25" s="91">
        <f>IF(TrAvia_ene!I7=0,0,TrAvia_ene!I7/(I13*TrAvia_act!I15))</f>
        <v>4.4671794651157948E-2</v>
      </c>
      <c r="J25" s="91">
        <f>IF(TrAvia_ene!J7=0,0,TrAvia_ene!J7/(J13*TrAvia_act!J15))</f>
        <v>4.2787076102285736E-2</v>
      </c>
      <c r="K25" s="91">
        <f>IF(TrAvia_ene!K7=0,0,TrAvia_ene!K7/(K13*TrAvia_act!K15))</f>
        <v>3.9643120775752431E-2</v>
      </c>
      <c r="L25" s="91">
        <f>IF(TrAvia_ene!L7=0,0,TrAvia_ene!L7/(L13*TrAvia_act!L15))</f>
        <v>3.8741271248153387E-2</v>
      </c>
      <c r="M25" s="91">
        <f>IF(TrAvia_ene!M7=0,0,TrAvia_ene!M7/(M13*TrAvia_act!M15))</f>
        <v>3.8313223917032367E-2</v>
      </c>
      <c r="N25" s="91">
        <f>IF(TrAvia_ene!N7=0,0,TrAvia_ene!N7/(N13*TrAvia_act!N15))</f>
        <v>3.6999680393207113E-2</v>
      </c>
      <c r="O25" s="91">
        <f>IF(TrAvia_ene!O7=0,0,TrAvia_ene!O7/(O13*TrAvia_act!O15))</f>
        <v>3.5336921050125293E-2</v>
      </c>
      <c r="P25" s="91">
        <f>IF(TrAvia_ene!P7=0,0,TrAvia_ene!P7/(P13*TrAvia_act!P15))</f>
        <v>3.4293421785790069E-2</v>
      </c>
      <c r="Q25" s="91">
        <f>IF(TrAvia_ene!Q7=0,0,TrAvia_ene!Q7/(Q13*TrAvia_act!Q15))</f>
        <v>3.360092006137734E-2</v>
      </c>
      <c r="R25" s="91">
        <f>IF(TrAvia_ene!R7=0,0,TrAvia_ene!R7/(R13*TrAvia_act!R15))</f>
        <v>3.3465589601713766E-2</v>
      </c>
      <c r="S25" s="91">
        <f>IF(TrAvia_ene!S7=0,0,TrAvia_ene!S7/(S13*TrAvia_act!S15))</f>
        <v>3.3014066175293483E-2</v>
      </c>
      <c r="T25" s="91">
        <f>IF(TrAvia_ene!T7=0,0,TrAvia_ene!T7/(T13*TrAvia_act!T15))</f>
        <v>3.2167803288946487E-2</v>
      </c>
      <c r="U25" s="91">
        <f>IF(TrAvia_ene!U7=0,0,TrAvia_ene!U7/(U13*TrAvia_act!U15))</f>
        <v>3.0801477816101687E-2</v>
      </c>
      <c r="V25" s="91">
        <f>IF(TrAvia_ene!V7=0,0,TrAvia_ene!V7/(V13*TrAvia_act!V15))</f>
        <v>3.1926413638680463E-2</v>
      </c>
      <c r="W25" s="91">
        <f>IF(TrAvia_ene!W7=0,0,TrAvia_ene!W7/(W13*TrAvia_act!W15))</f>
        <v>3.2283234018584954E-2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3.2816244737892027E-2</v>
      </c>
      <c r="C26" s="93">
        <f>IF(TrAvia_ene!C8=0,0,TrAvia_ene!C8/(C14*TrAvia_act!C16))</f>
        <v>3.517215550899945E-2</v>
      </c>
      <c r="D26" s="93">
        <f>IF(TrAvia_ene!D8=0,0,TrAvia_ene!D8/(D14*TrAvia_act!D16))</f>
        <v>3.594914037355551E-2</v>
      </c>
      <c r="E26" s="93">
        <f>IF(TrAvia_ene!E8=0,0,TrAvia_ene!E8/(E14*TrAvia_act!E16))</f>
        <v>3.3665256188334457E-2</v>
      </c>
      <c r="F26" s="93">
        <f>IF(TrAvia_ene!F8=0,0,TrAvia_ene!F8/(F14*TrAvia_act!F16))</f>
        <v>3.4812406892014515E-2</v>
      </c>
      <c r="G26" s="93">
        <f>IF(TrAvia_ene!G8=0,0,TrAvia_ene!G8/(G14*TrAvia_act!G16))</f>
        <v>3.4107978234741862E-2</v>
      </c>
      <c r="H26" s="93">
        <f>IF(TrAvia_ene!H8=0,0,TrAvia_ene!H8/(H14*TrAvia_act!H16))</f>
        <v>3.6905488427516377E-2</v>
      </c>
      <c r="I26" s="93">
        <f>IF(TrAvia_ene!I8=0,0,TrAvia_ene!I8/(I14*TrAvia_act!I16))</f>
        <v>3.88431264268485E-2</v>
      </c>
      <c r="J26" s="93">
        <f>IF(TrAvia_ene!J8=0,0,TrAvia_ene!J8/(J14*TrAvia_act!J16))</f>
        <v>4.0325477382613516E-2</v>
      </c>
      <c r="K26" s="93">
        <f>IF(TrAvia_ene!K8=0,0,TrAvia_ene!K8/(K14*TrAvia_act!K16))</f>
        <v>3.7149177673120905E-2</v>
      </c>
      <c r="L26" s="93">
        <f>IF(TrAvia_ene!L8=0,0,TrAvia_ene!L8/(L14*TrAvia_act!L16))</f>
        <v>3.9201498830699621E-2</v>
      </c>
      <c r="M26" s="93">
        <f>IF(TrAvia_ene!M8=0,0,TrAvia_ene!M8/(M14*TrAvia_act!M16))</f>
        <v>4.0788375606827958E-2</v>
      </c>
      <c r="N26" s="93">
        <f>IF(TrAvia_ene!N8=0,0,TrAvia_ene!N8/(N14*TrAvia_act!N16))</f>
        <v>4.2623154689292224E-2</v>
      </c>
      <c r="O26" s="93">
        <f>IF(TrAvia_ene!O8=0,0,TrAvia_ene!O8/(O14*TrAvia_act!O16))</f>
        <v>4.065033795668458E-2</v>
      </c>
      <c r="P26" s="93">
        <f>IF(TrAvia_ene!P8=0,0,TrAvia_ene!P8/(P14*TrAvia_act!P16))</f>
        <v>3.8436601239930694E-2</v>
      </c>
      <c r="Q26" s="93">
        <f>IF(TrAvia_ene!Q8=0,0,TrAvia_ene!Q8/(Q14*TrAvia_act!Q16))</f>
        <v>3.9475739902611509E-2</v>
      </c>
      <c r="R26" s="93">
        <f>IF(TrAvia_ene!R8=0,0,TrAvia_ene!R8/(R14*TrAvia_act!R16))</f>
        <v>3.9024598295120207E-2</v>
      </c>
      <c r="S26" s="93">
        <f>IF(TrAvia_ene!S8=0,0,TrAvia_ene!S8/(S14*TrAvia_act!S16))</f>
        <v>3.7617956145771077E-2</v>
      </c>
      <c r="T26" s="93">
        <f>IF(TrAvia_ene!T8=0,0,TrAvia_ene!T8/(T14*TrAvia_act!T16))</f>
        <v>3.7531316559290193E-2</v>
      </c>
      <c r="U26" s="93">
        <f>IF(TrAvia_ene!U8=0,0,TrAvia_ene!U8/(U14*TrAvia_act!U16))</f>
        <v>3.93117859725007E-2</v>
      </c>
      <c r="V26" s="93">
        <f>IF(TrAvia_ene!V8=0,0,TrAvia_ene!V8/(V14*TrAvia_act!V16))</f>
        <v>4.196905767631285E-2</v>
      </c>
      <c r="W26" s="93">
        <f>IF(TrAvia_ene!W8=0,0,TrAvia_ene!W8/(W14*TrAvia_act!W16))</f>
        <v>4.6118848518300073E-2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3.7844825581934499E-2</v>
      </c>
      <c r="C27" s="94">
        <f>IF(TrAvia_ene!C9=0,0,TrAvia_ene!C9/(C15*TrAvia_act!C17))</f>
        <v>4.099279794002391E-2</v>
      </c>
      <c r="D27" s="94">
        <f>IF(TrAvia_ene!D9=0,0,TrAvia_ene!D9/(D15*TrAvia_act!D17))</f>
        <v>3.9059383616352833E-2</v>
      </c>
      <c r="E27" s="94">
        <f>IF(TrAvia_ene!E9=0,0,TrAvia_ene!E9/(E15*TrAvia_act!E17))</f>
        <v>3.6026493241867255E-2</v>
      </c>
      <c r="F27" s="94">
        <f>IF(TrAvia_ene!F9=0,0,TrAvia_ene!F9/(F15*TrAvia_act!F17))</f>
        <v>3.5568929950909718E-2</v>
      </c>
      <c r="G27" s="94">
        <f>IF(TrAvia_ene!G9=0,0,TrAvia_ene!G9/(G15*TrAvia_act!G17))</f>
        <v>3.6195278582530264E-2</v>
      </c>
      <c r="H27" s="94">
        <f>IF(TrAvia_ene!H9=0,0,TrAvia_ene!H9/(H15*TrAvia_act!H17))</f>
        <v>3.3746748532418491E-2</v>
      </c>
      <c r="I27" s="94">
        <f>IF(TrAvia_ene!I9=0,0,TrAvia_ene!I9/(I15*TrAvia_act!I17))</f>
        <v>2.9969365813136424E-2</v>
      </c>
      <c r="J27" s="94">
        <f>IF(TrAvia_ene!J9=0,0,TrAvia_ene!J9/(J15*TrAvia_act!J17))</f>
        <v>2.8959807195323758E-2</v>
      </c>
      <c r="K27" s="94">
        <f>IF(TrAvia_ene!K9=0,0,TrAvia_ene!K9/(K15*TrAvia_act!K17))</f>
        <v>2.7956435207889502E-2</v>
      </c>
      <c r="L27" s="94">
        <f>IF(TrAvia_ene!L9=0,0,TrAvia_ene!L9/(L15*TrAvia_act!L17))</f>
        <v>2.6695881925600004E-2</v>
      </c>
      <c r="M27" s="94">
        <f>IF(TrAvia_ene!M9=0,0,TrAvia_ene!M9/(M15*TrAvia_act!M17))</f>
        <v>2.5796920566678698E-2</v>
      </c>
      <c r="N27" s="94">
        <f>IF(TrAvia_ene!N9=0,0,TrAvia_ene!N9/(N15*TrAvia_act!N17))</f>
        <v>2.4630249565685314E-2</v>
      </c>
      <c r="O27" s="94">
        <f>IF(TrAvia_ene!O9=0,0,TrAvia_ene!O9/(O15*TrAvia_act!O17))</f>
        <v>2.4673268402890414E-2</v>
      </c>
      <c r="P27" s="94">
        <f>IF(TrAvia_ene!P9=0,0,TrAvia_ene!P9/(P15*TrAvia_act!P17))</f>
        <v>2.3835604184129659E-2</v>
      </c>
      <c r="Q27" s="94">
        <f>IF(TrAvia_ene!Q9=0,0,TrAvia_ene!Q9/(Q15*TrAvia_act!Q17))</f>
        <v>2.3747441845003731E-2</v>
      </c>
      <c r="R27" s="94">
        <f>IF(TrAvia_ene!R9=0,0,TrAvia_ene!R9/(R15*TrAvia_act!R17))</f>
        <v>2.2232132723524905E-2</v>
      </c>
      <c r="S27" s="94">
        <f>IF(TrAvia_ene!S9=0,0,TrAvia_ene!S9/(S15*TrAvia_act!S17))</f>
        <v>2.0745771640291139E-2</v>
      </c>
      <c r="T27" s="94">
        <f>IF(TrAvia_ene!T9=0,0,TrAvia_ene!T9/(T15*TrAvia_act!T17))</f>
        <v>2.0233353657414146E-2</v>
      </c>
      <c r="U27" s="94">
        <f>IF(TrAvia_ene!U9=0,0,TrAvia_ene!U9/(U15*TrAvia_act!U17))</f>
        <v>1.9487855866077861E-2</v>
      </c>
      <c r="V27" s="94">
        <f>IF(TrAvia_ene!V9=0,0,TrAvia_ene!V9/(V15*TrAvia_act!V17))</f>
        <v>1.923730905294993E-2</v>
      </c>
      <c r="W27" s="94">
        <f>IF(TrAvia_ene!W9=0,0,TrAvia_ene!W9/(W15*TrAvia_act!W17))</f>
        <v>1.8646633029451545E-2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977.06600000000003</v>
      </c>
      <c r="C3" s="54">
        <f t="shared" si="0"/>
        <v>887.59100000000001</v>
      </c>
      <c r="D3" s="54">
        <f t="shared" si="0"/>
        <v>947.62199999999996</v>
      </c>
      <c r="E3" s="54">
        <f t="shared" si="0"/>
        <v>867.39400000000001</v>
      </c>
      <c r="F3" s="54">
        <f t="shared" si="0"/>
        <v>845.00300000000004</v>
      </c>
      <c r="G3" s="54">
        <f t="shared" si="0"/>
        <v>753.52700000000004</v>
      </c>
      <c r="H3" s="54">
        <f t="shared" si="0"/>
        <v>847.45100000000002</v>
      </c>
      <c r="I3" s="54">
        <f t="shared" si="0"/>
        <v>949.70699999999999</v>
      </c>
      <c r="J3" s="54">
        <f t="shared" si="0"/>
        <v>928.26199999999994</v>
      </c>
      <c r="K3" s="54">
        <f t="shared" si="0"/>
        <v>799.39200000000005</v>
      </c>
      <c r="L3" s="54">
        <f t="shared" si="0"/>
        <v>1188.45</v>
      </c>
      <c r="M3" s="54">
        <f t="shared" si="0"/>
        <v>1264.1220000000001</v>
      </c>
      <c r="N3" s="54">
        <f t="shared" si="0"/>
        <v>949.20500000000004</v>
      </c>
      <c r="O3" s="54">
        <f t="shared" si="0"/>
        <v>729.10400000000004</v>
      </c>
      <c r="P3" s="54">
        <f t="shared" si="0"/>
        <v>809.24800000000005</v>
      </c>
      <c r="Q3" s="54">
        <f t="shared" si="0"/>
        <v>879.31</v>
      </c>
      <c r="R3" s="54">
        <f t="shared" ref="R3:V3" si="1">SUM(R4:R5)</f>
        <v>953.48500000000001</v>
      </c>
      <c r="S3" s="54">
        <f t="shared" si="1"/>
        <v>1014.2103333333333</v>
      </c>
      <c r="T3" s="54">
        <f t="shared" si="1"/>
        <v>1191.3357777777778</v>
      </c>
      <c r="U3" s="54">
        <f t="shared" si="1"/>
        <v>1882.558</v>
      </c>
      <c r="V3" s="54">
        <f t="shared" si="1"/>
        <v>1131.2469999999998</v>
      </c>
      <c r="W3" s="54">
        <f t="shared" ref="W3" si="2">SUM(W4:W5)</f>
        <v>790.274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859.06600000000003</v>
      </c>
      <c r="C4" s="56">
        <v>786.59100000000001</v>
      </c>
      <c r="D4" s="56">
        <v>835.62199999999996</v>
      </c>
      <c r="E4" s="56">
        <v>758.39400000000001</v>
      </c>
      <c r="F4" s="56">
        <v>727.00300000000004</v>
      </c>
      <c r="G4" s="56">
        <v>678.52700000000004</v>
      </c>
      <c r="H4" s="56">
        <v>781.45100000000002</v>
      </c>
      <c r="I4" s="56">
        <v>847.70699999999999</v>
      </c>
      <c r="J4" s="56">
        <v>848.26199999999994</v>
      </c>
      <c r="K4" s="56">
        <v>738.39200000000005</v>
      </c>
      <c r="L4" s="56">
        <v>1112.45</v>
      </c>
      <c r="M4" s="56">
        <v>1174.1220000000001</v>
      </c>
      <c r="N4" s="56">
        <v>825.20500000000004</v>
      </c>
      <c r="O4" s="56">
        <v>608.10400000000004</v>
      </c>
      <c r="P4" s="56">
        <v>673.24800000000005</v>
      </c>
      <c r="Q4" s="56">
        <v>751.31</v>
      </c>
      <c r="R4" s="56">
        <v>850.48500000000001</v>
      </c>
      <c r="S4" s="56">
        <v>891.87699999999995</v>
      </c>
      <c r="T4" s="56">
        <v>1073.558</v>
      </c>
      <c r="U4" s="56">
        <v>1760.558</v>
      </c>
      <c r="V4" s="56">
        <v>1004.247</v>
      </c>
      <c r="W4" s="56">
        <v>642.274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118</v>
      </c>
      <c r="C5" s="58">
        <v>101</v>
      </c>
      <c r="D5" s="58">
        <v>112</v>
      </c>
      <c r="E5" s="58">
        <v>109</v>
      </c>
      <c r="F5" s="58">
        <v>118</v>
      </c>
      <c r="G5" s="58">
        <v>75</v>
      </c>
      <c r="H5" s="58">
        <v>66</v>
      </c>
      <c r="I5" s="58">
        <v>102</v>
      </c>
      <c r="J5" s="58">
        <v>80</v>
      </c>
      <c r="K5" s="58">
        <v>61</v>
      </c>
      <c r="L5" s="58">
        <v>76</v>
      </c>
      <c r="M5" s="58">
        <v>90</v>
      </c>
      <c r="N5" s="58">
        <v>124</v>
      </c>
      <c r="O5" s="58">
        <v>121</v>
      </c>
      <c r="P5" s="58">
        <v>136</v>
      </c>
      <c r="Q5" s="58">
        <v>128</v>
      </c>
      <c r="R5" s="58">
        <v>103</v>
      </c>
      <c r="S5" s="58">
        <v>122.33333333333333</v>
      </c>
      <c r="T5" s="58">
        <v>117.77777777777777</v>
      </c>
      <c r="U5" s="58">
        <v>122</v>
      </c>
      <c r="V5" s="58">
        <v>127</v>
      </c>
      <c r="W5" s="58">
        <v>148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1.2040000000000002</v>
      </c>
      <c r="C7" s="59">
        <f t="shared" si="3"/>
        <v>1.0089999999999999</v>
      </c>
      <c r="D7" s="59">
        <f t="shared" si="3"/>
        <v>1.0489999999999999</v>
      </c>
      <c r="E7" s="59">
        <f t="shared" si="3"/>
        <v>1.0629999999999999</v>
      </c>
      <c r="F7" s="59">
        <f t="shared" si="3"/>
        <v>1.1180000000000001</v>
      </c>
      <c r="G7" s="59">
        <f t="shared" si="3"/>
        <v>0.86799999999999988</v>
      </c>
      <c r="H7" s="59">
        <f t="shared" si="3"/>
        <v>0.77400000000000002</v>
      </c>
      <c r="I7" s="59">
        <f t="shared" si="3"/>
        <v>1.04</v>
      </c>
      <c r="J7" s="59">
        <f t="shared" si="3"/>
        <v>0.76900000000000002</v>
      </c>
      <c r="K7" s="59">
        <f t="shared" si="3"/>
        <v>0.62999999999999989</v>
      </c>
      <c r="L7" s="59">
        <f t="shared" si="3"/>
        <v>0.72699999999999998</v>
      </c>
      <c r="M7" s="59">
        <f t="shared" si="3"/>
        <v>0.85099999999999998</v>
      </c>
      <c r="N7" s="59">
        <f t="shared" si="3"/>
        <v>0.88100000000000001</v>
      </c>
      <c r="O7" s="59">
        <f t="shared" si="3"/>
        <v>0.76200000000000001</v>
      </c>
      <c r="P7" s="59">
        <f t="shared" si="3"/>
        <v>0.748</v>
      </c>
      <c r="Q7" s="59">
        <f t="shared" si="3"/>
        <v>0.69599999999999995</v>
      </c>
      <c r="R7" s="59">
        <f t="shared" ref="R7:V7" si="4">SUM(R8:R9)</f>
        <v>0.64400000000000002</v>
      </c>
      <c r="S7" s="59">
        <f t="shared" si="4"/>
        <v>0.71599999999999997</v>
      </c>
      <c r="T7" s="59">
        <f t="shared" si="4"/>
        <v>0.77700000000000002</v>
      </c>
      <c r="U7" s="59">
        <f t="shared" si="4"/>
        <v>1.0569999999999999</v>
      </c>
      <c r="V7" s="59">
        <f t="shared" si="4"/>
        <v>0.753</v>
      </c>
      <c r="W7" s="59">
        <f t="shared" ref="W7" si="5">SUM(W8:W9)</f>
        <v>0.68900000000000006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0.40600000000000003</v>
      </c>
      <c r="C8" s="60">
        <v>0.36599999999999999</v>
      </c>
      <c r="D8" s="60">
        <v>0.373</v>
      </c>
      <c r="E8" s="60">
        <v>0.32900000000000001</v>
      </c>
      <c r="F8" s="60">
        <v>0.311</v>
      </c>
      <c r="G8" s="60">
        <v>0.28699999999999998</v>
      </c>
      <c r="H8" s="60">
        <v>0.31900000000000001</v>
      </c>
      <c r="I8" s="60">
        <v>0.33700000000000002</v>
      </c>
      <c r="J8" s="60">
        <v>0.32900000000000001</v>
      </c>
      <c r="K8" s="60">
        <v>0.28399999999999997</v>
      </c>
      <c r="L8" s="60">
        <v>0.43099999999999999</v>
      </c>
      <c r="M8" s="60">
        <v>0.48699999999999999</v>
      </c>
      <c r="N8" s="60">
        <v>0.33900000000000002</v>
      </c>
      <c r="O8" s="60">
        <v>0.24299999999999999</v>
      </c>
      <c r="P8" s="60">
        <v>0.26900000000000002</v>
      </c>
      <c r="Q8" s="60">
        <v>0.28499999999999998</v>
      </c>
      <c r="R8" s="60">
        <v>0.31</v>
      </c>
      <c r="S8" s="60">
        <v>0.32300000000000001</v>
      </c>
      <c r="T8" s="60">
        <v>0.39800000000000002</v>
      </c>
      <c r="U8" s="60">
        <v>0.66400000000000003</v>
      </c>
      <c r="V8" s="60">
        <v>0.34899999999999998</v>
      </c>
      <c r="W8" s="60">
        <v>0.223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0.79800000000000004</v>
      </c>
      <c r="C9" s="61">
        <v>0.64300000000000002</v>
      </c>
      <c r="D9" s="61">
        <v>0.67600000000000005</v>
      </c>
      <c r="E9" s="61">
        <v>0.73399999999999999</v>
      </c>
      <c r="F9" s="61">
        <v>0.80700000000000005</v>
      </c>
      <c r="G9" s="61">
        <v>0.58099999999999996</v>
      </c>
      <c r="H9" s="61">
        <v>0.45500000000000002</v>
      </c>
      <c r="I9" s="61">
        <v>0.70299999999999996</v>
      </c>
      <c r="J9" s="61">
        <v>0.44</v>
      </c>
      <c r="K9" s="61">
        <v>0.34599999999999997</v>
      </c>
      <c r="L9" s="61">
        <v>0.29599999999999999</v>
      </c>
      <c r="M9" s="61">
        <v>0.36399999999999999</v>
      </c>
      <c r="N9" s="61">
        <v>0.54200000000000004</v>
      </c>
      <c r="O9" s="61">
        <v>0.51900000000000002</v>
      </c>
      <c r="P9" s="61">
        <v>0.47899999999999998</v>
      </c>
      <c r="Q9" s="61">
        <v>0.41099999999999998</v>
      </c>
      <c r="R9" s="61">
        <v>0.33400000000000002</v>
      </c>
      <c r="S9" s="61">
        <v>0.39300000000000002</v>
      </c>
      <c r="T9" s="61">
        <v>0.379</v>
      </c>
      <c r="U9" s="61">
        <v>0.39300000000000002</v>
      </c>
      <c r="V9" s="61">
        <v>0.40400000000000003</v>
      </c>
      <c r="W9" s="61">
        <v>0.46600000000000003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811.51661129568095</v>
      </c>
      <c r="C13" s="62">
        <f t="shared" si="6"/>
        <v>879.67393458870174</v>
      </c>
      <c r="D13" s="62">
        <f t="shared" si="6"/>
        <v>903.35748331744526</v>
      </c>
      <c r="E13" s="62">
        <f t="shared" si="6"/>
        <v>815.98682972718723</v>
      </c>
      <c r="F13" s="62">
        <f t="shared" ref="F13:V13" si="7">IF(F3=0,0,F3/F7)</f>
        <v>755.81663685152057</v>
      </c>
      <c r="G13" s="62">
        <f t="shared" si="7"/>
        <v>868.11866359447026</v>
      </c>
      <c r="H13" s="62">
        <f t="shared" si="7"/>
        <v>1094.8979328165374</v>
      </c>
      <c r="I13" s="62">
        <f t="shared" si="7"/>
        <v>913.17980769230769</v>
      </c>
      <c r="J13" s="62">
        <f t="shared" si="7"/>
        <v>1207.1027308192456</v>
      </c>
      <c r="K13" s="62">
        <f t="shared" si="7"/>
        <v>1268.8761904761907</v>
      </c>
      <c r="L13" s="62">
        <f t="shared" si="7"/>
        <v>1634.7317744154059</v>
      </c>
      <c r="M13" s="62">
        <f t="shared" si="7"/>
        <v>1485.4547591069331</v>
      </c>
      <c r="N13" s="62">
        <f t="shared" si="7"/>
        <v>1077.4177071509648</v>
      </c>
      <c r="O13" s="62">
        <f t="shared" si="7"/>
        <v>956.82939632545936</v>
      </c>
      <c r="P13" s="62">
        <f t="shared" si="7"/>
        <v>1081.8823529411766</v>
      </c>
      <c r="Q13" s="62">
        <f t="shared" si="7"/>
        <v>1263.3764367816093</v>
      </c>
      <c r="R13" s="62">
        <f t="shared" si="7"/>
        <v>1480.5667701863354</v>
      </c>
      <c r="S13" s="62">
        <f t="shared" si="7"/>
        <v>1416.4948789571695</v>
      </c>
      <c r="T13" s="62">
        <f t="shared" si="7"/>
        <v>1533.2506792506792</v>
      </c>
      <c r="U13" s="62">
        <f t="shared" si="7"/>
        <v>1781.038789025544</v>
      </c>
      <c r="V13" s="62">
        <f t="shared" si="7"/>
        <v>1502.3200531208497</v>
      </c>
      <c r="W13" s="62">
        <f t="shared" ref="W13" si="8">IF(W3=0,0,W3/W7)</f>
        <v>1146.986937590711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2115.9261083743841</v>
      </c>
      <c r="C14" s="63">
        <f t="shared" si="6"/>
        <v>2149.155737704918</v>
      </c>
      <c r="D14" s="63">
        <f t="shared" si="6"/>
        <v>2240.27345844504</v>
      </c>
      <c r="E14" s="63">
        <f t="shared" si="6"/>
        <v>2305.1489361702129</v>
      </c>
      <c r="F14" s="63">
        <f t="shared" ref="F14:V14" si="9">IF(F4=0,0,F4/F8)</f>
        <v>2337.630225080386</v>
      </c>
      <c r="G14" s="63">
        <f t="shared" si="9"/>
        <v>2364.2055749128922</v>
      </c>
      <c r="H14" s="63">
        <f t="shared" si="9"/>
        <v>2449.6896551724139</v>
      </c>
      <c r="I14" s="63">
        <f t="shared" si="9"/>
        <v>2515.4510385756676</v>
      </c>
      <c r="J14" s="63">
        <f t="shared" si="9"/>
        <v>2578.3039513677809</v>
      </c>
      <c r="K14" s="63">
        <f t="shared" si="9"/>
        <v>2599.9718309859159</v>
      </c>
      <c r="L14" s="63">
        <f t="shared" si="9"/>
        <v>2581.0904872389792</v>
      </c>
      <c r="M14" s="63">
        <f t="shared" si="9"/>
        <v>2410.9281314168379</v>
      </c>
      <c r="N14" s="63">
        <f t="shared" si="9"/>
        <v>2434.2330383480826</v>
      </c>
      <c r="O14" s="63">
        <f t="shared" si="9"/>
        <v>2502.4855967078192</v>
      </c>
      <c r="P14" s="63">
        <f t="shared" si="9"/>
        <v>2502.7806691449814</v>
      </c>
      <c r="Q14" s="63">
        <f t="shared" si="9"/>
        <v>2636.1754385964914</v>
      </c>
      <c r="R14" s="63">
        <f t="shared" si="9"/>
        <v>2743.5</v>
      </c>
      <c r="S14" s="63">
        <f t="shared" si="9"/>
        <v>2761.2291021671826</v>
      </c>
      <c r="T14" s="63">
        <f t="shared" si="9"/>
        <v>2697.3819095477384</v>
      </c>
      <c r="U14" s="63">
        <f t="shared" si="9"/>
        <v>2651.442771084337</v>
      </c>
      <c r="V14" s="63">
        <f t="shared" si="9"/>
        <v>2877.4985673352435</v>
      </c>
      <c r="W14" s="63">
        <f t="shared" ref="W14" si="10">IF(W4=0,0,W4/W8)</f>
        <v>2880.1524663677128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147.86967418546365</v>
      </c>
      <c r="C15" s="64">
        <f t="shared" si="6"/>
        <v>157.07620528771383</v>
      </c>
      <c r="D15" s="64">
        <f t="shared" si="6"/>
        <v>165.68047337278105</v>
      </c>
      <c r="E15" s="64">
        <f t="shared" si="6"/>
        <v>148.50136239782017</v>
      </c>
      <c r="F15" s="64">
        <f t="shared" ref="F15:V15" si="11">IF(F5=0,0,F5/F9)</f>
        <v>146.22057001239156</v>
      </c>
      <c r="G15" s="64">
        <f t="shared" si="11"/>
        <v>129.08777969018934</v>
      </c>
      <c r="H15" s="64">
        <f t="shared" si="11"/>
        <v>145.05494505494505</v>
      </c>
      <c r="I15" s="64">
        <f t="shared" si="11"/>
        <v>145.09246088193458</v>
      </c>
      <c r="J15" s="64">
        <f t="shared" si="11"/>
        <v>181.81818181818181</v>
      </c>
      <c r="K15" s="64">
        <f t="shared" si="11"/>
        <v>176.3005780346821</v>
      </c>
      <c r="L15" s="64">
        <f t="shared" si="11"/>
        <v>256.75675675675677</v>
      </c>
      <c r="M15" s="64">
        <f t="shared" si="11"/>
        <v>247.25274725274727</v>
      </c>
      <c r="N15" s="64">
        <f t="shared" si="11"/>
        <v>228.7822878228782</v>
      </c>
      <c r="O15" s="64">
        <f t="shared" si="11"/>
        <v>233.14065510597302</v>
      </c>
      <c r="P15" s="64">
        <f t="shared" si="11"/>
        <v>283.92484342379959</v>
      </c>
      <c r="Q15" s="64">
        <f t="shared" si="11"/>
        <v>311.43552311435525</v>
      </c>
      <c r="R15" s="64">
        <f t="shared" si="11"/>
        <v>308.38323353293413</v>
      </c>
      <c r="S15" s="64">
        <f t="shared" si="11"/>
        <v>311.28074639525016</v>
      </c>
      <c r="T15" s="64">
        <f t="shared" si="11"/>
        <v>310.75930812078565</v>
      </c>
      <c r="U15" s="64">
        <f t="shared" si="11"/>
        <v>310.43256997455467</v>
      </c>
      <c r="V15" s="64">
        <f t="shared" si="11"/>
        <v>314.35643564356434</v>
      </c>
      <c r="W15" s="64">
        <f t="shared" ref="W15" si="12">IF(W5=0,0,W5/W9)</f>
        <v>317.59656652360513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0.87923026694204898</v>
      </c>
      <c r="C18" s="66">
        <f t="shared" si="16"/>
        <v>0.88620885069812561</v>
      </c>
      <c r="D18" s="66">
        <f t="shared" si="16"/>
        <v>0.88180941345810882</v>
      </c>
      <c r="E18" s="66">
        <f t="shared" si="16"/>
        <v>0.87433623013301909</v>
      </c>
      <c r="F18" s="66">
        <f t="shared" ref="F18:V18" si="17">IF(F4=0,0,F4/F$3)</f>
        <v>0.86035552536499871</v>
      </c>
      <c r="G18" s="66">
        <f t="shared" si="17"/>
        <v>0.90046806551059222</v>
      </c>
      <c r="H18" s="66">
        <f t="shared" si="17"/>
        <v>0.92211939097363738</v>
      </c>
      <c r="I18" s="66">
        <f t="shared" si="17"/>
        <v>0.8925984540495121</v>
      </c>
      <c r="J18" s="66">
        <f t="shared" si="17"/>
        <v>0.91381743516377922</v>
      </c>
      <c r="K18" s="66">
        <f t="shared" si="17"/>
        <v>0.92369200592450262</v>
      </c>
      <c r="L18" s="66">
        <f t="shared" si="17"/>
        <v>0.93605115907274183</v>
      </c>
      <c r="M18" s="66">
        <f t="shared" si="17"/>
        <v>0.92880434008742829</v>
      </c>
      <c r="N18" s="66">
        <f t="shared" si="17"/>
        <v>0.86936436280887686</v>
      </c>
      <c r="O18" s="66">
        <f t="shared" si="17"/>
        <v>0.83404288002808924</v>
      </c>
      <c r="P18" s="66">
        <f t="shared" si="17"/>
        <v>0.83194274190359441</v>
      </c>
      <c r="Q18" s="66">
        <f t="shared" si="17"/>
        <v>0.85443131546326101</v>
      </c>
      <c r="R18" s="66">
        <f t="shared" si="17"/>
        <v>0.89197522771726878</v>
      </c>
      <c r="S18" s="66">
        <f t="shared" si="17"/>
        <v>0.87938070702625459</v>
      </c>
      <c r="T18" s="66">
        <f t="shared" si="17"/>
        <v>0.90113805026701121</v>
      </c>
      <c r="U18" s="66">
        <f t="shared" si="17"/>
        <v>0.93519455974264809</v>
      </c>
      <c r="V18" s="66">
        <f t="shared" si="17"/>
        <v>0.88773450890919503</v>
      </c>
      <c r="W18" s="66">
        <f t="shared" ref="W18" si="18">IF(W4=0,0,W4/W$3)</f>
        <v>0.81272318208621319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0.12076973305795105</v>
      </c>
      <c r="C19" s="67">
        <f t="shared" si="19"/>
        <v>0.11379114930187439</v>
      </c>
      <c r="D19" s="67">
        <f t="shared" si="19"/>
        <v>0.11819058654189118</v>
      </c>
      <c r="E19" s="67">
        <f t="shared" si="19"/>
        <v>0.12566376986698086</v>
      </c>
      <c r="F19" s="67">
        <f t="shared" ref="F19:V19" si="20">IF(F5=0,0,F5/F$3)</f>
        <v>0.13964447463500129</v>
      </c>
      <c r="G19" s="67">
        <f t="shared" si="20"/>
        <v>9.9531934489407808E-2</v>
      </c>
      <c r="H19" s="67">
        <f t="shared" si="20"/>
        <v>7.7880609026362582E-2</v>
      </c>
      <c r="I19" s="67">
        <f t="shared" si="20"/>
        <v>0.10740154595048788</v>
      </c>
      <c r="J19" s="67">
        <f t="shared" si="20"/>
        <v>8.6182564836220818E-2</v>
      </c>
      <c r="K19" s="67">
        <f t="shared" si="20"/>
        <v>7.6307994075497376E-2</v>
      </c>
      <c r="L19" s="67">
        <f t="shared" si="20"/>
        <v>6.3948840927258194E-2</v>
      </c>
      <c r="M19" s="67">
        <f t="shared" si="20"/>
        <v>7.1195659912571721E-2</v>
      </c>
      <c r="N19" s="67">
        <f t="shared" si="20"/>
        <v>0.13063563719112309</v>
      </c>
      <c r="O19" s="67">
        <f t="shared" si="20"/>
        <v>0.16595711997191073</v>
      </c>
      <c r="P19" s="67">
        <f t="shared" si="20"/>
        <v>0.16805725809640554</v>
      </c>
      <c r="Q19" s="67">
        <f t="shared" si="20"/>
        <v>0.14556868453673905</v>
      </c>
      <c r="R19" s="67">
        <f t="shared" si="20"/>
        <v>0.10802477228273125</v>
      </c>
      <c r="S19" s="67">
        <f t="shared" si="20"/>
        <v>0.12061929297374542</v>
      </c>
      <c r="T19" s="67">
        <f t="shared" si="20"/>
        <v>9.8861949732988785E-2</v>
      </c>
      <c r="U19" s="67">
        <f t="shared" si="20"/>
        <v>6.4805440257351965E-2</v>
      </c>
      <c r="V19" s="67">
        <f t="shared" si="20"/>
        <v>0.11226549109080512</v>
      </c>
      <c r="W19" s="67">
        <f t="shared" ref="W19" si="21">IF(W5=0,0,W5/W$3)</f>
        <v>0.18727681791378686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0.33720930232558138</v>
      </c>
      <c r="C22" s="66">
        <f t="shared" si="25"/>
        <v>0.36273538156590684</v>
      </c>
      <c r="D22" s="66">
        <f t="shared" si="25"/>
        <v>0.35557673975214493</v>
      </c>
      <c r="E22" s="66">
        <f t="shared" si="25"/>
        <v>0.30950141110065854</v>
      </c>
      <c r="F22" s="66">
        <f t="shared" ref="F22:V22" si="26">IF(F8=0,0,F8/F$7)</f>
        <v>0.27817531305903398</v>
      </c>
      <c r="G22" s="66">
        <f t="shared" si="26"/>
        <v>0.33064516129032262</v>
      </c>
      <c r="H22" s="66">
        <f t="shared" si="26"/>
        <v>0.41214470284237725</v>
      </c>
      <c r="I22" s="66">
        <f t="shared" si="26"/>
        <v>0.32403846153846155</v>
      </c>
      <c r="J22" s="66">
        <f t="shared" si="26"/>
        <v>0.42782834850455137</v>
      </c>
      <c r="K22" s="66">
        <f t="shared" si="26"/>
        <v>0.45079365079365086</v>
      </c>
      <c r="L22" s="66">
        <f t="shared" si="26"/>
        <v>0.59284731774415411</v>
      </c>
      <c r="M22" s="66">
        <f t="shared" si="26"/>
        <v>0.57226792009400707</v>
      </c>
      <c r="N22" s="66">
        <f t="shared" si="26"/>
        <v>0.38479001135073782</v>
      </c>
      <c r="O22" s="66">
        <f t="shared" si="26"/>
        <v>0.31889763779527558</v>
      </c>
      <c r="P22" s="66">
        <f t="shared" si="26"/>
        <v>0.35962566844919791</v>
      </c>
      <c r="Q22" s="66">
        <f t="shared" si="26"/>
        <v>0.40948275862068967</v>
      </c>
      <c r="R22" s="66">
        <f t="shared" si="26"/>
        <v>0.48136645962732916</v>
      </c>
      <c r="S22" s="66">
        <f t="shared" si="26"/>
        <v>0.4511173184357542</v>
      </c>
      <c r="T22" s="66">
        <f t="shared" si="26"/>
        <v>0.51222651222651228</v>
      </c>
      <c r="U22" s="66">
        <f t="shared" si="26"/>
        <v>0.62819299905392623</v>
      </c>
      <c r="V22" s="66">
        <f t="shared" si="26"/>
        <v>0.46347941567065071</v>
      </c>
      <c r="W22" s="66">
        <f t="shared" ref="W22" si="27">IF(W8=0,0,W8/W$7)</f>
        <v>0.3236574746008708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0.66279069767441856</v>
      </c>
      <c r="C23" s="67">
        <f t="shared" si="28"/>
        <v>0.63726461843409321</v>
      </c>
      <c r="D23" s="67">
        <f t="shared" si="28"/>
        <v>0.64442326024785523</v>
      </c>
      <c r="E23" s="67">
        <f t="shared" si="28"/>
        <v>0.69049858889934146</v>
      </c>
      <c r="F23" s="67">
        <f t="shared" ref="F23:V23" si="29">IF(F9=0,0,F9/F$7)</f>
        <v>0.72182468694096602</v>
      </c>
      <c r="G23" s="67">
        <f t="shared" si="29"/>
        <v>0.66935483870967749</v>
      </c>
      <c r="H23" s="67">
        <f t="shared" si="29"/>
        <v>0.58785529715762275</v>
      </c>
      <c r="I23" s="67">
        <f t="shared" si="29"/>
        <v>0.67596153846153839</v>
      </c>
      <c r="J23" s="67">
        <f t="shared" si="29"/>
        <v>0.57217165149544857</v>
      </c>
      <c r="K23" s="67">
        <f t="shared" si="29"/>
        <v>0.54920634920634925</v>
      </c>
      <c r="L23" s="67">
        <f t="shared" si="29"/>
        <v>0.40715268225584594</v>
      </c>
      <c r="M23" s="67">
        <f t="shared" si="29"/>
        <v>0.42773207990599293</v>
      </c>
      <c r="N23" s="67">
        <f t="shared" si="29"/>
        <v>0.61520998864926224</v>
      </c>
      <c r="O23" s="67">
        <f t="shared" si="29"/>
        <v>0.68110236220472442</v>
      </c>
      <c r="P23" s="67">
        <f t="shared" si="29"/>
        <v>0.64037433155080214</v>
      </c>
      <c r="Q23" s="67">
        <f t="shared" si="29"/>
        <v>0.59051724137931039</v>
      </c>
      <c r="R23" s="67">
        <f t="shared" si="29"/>
        <v>0.51863354037267084</v>
      </c>
      <c r="S23" s="67">
        <f t="shared" si="29"/>
        <v>0.5488826815642458</v>
      </c>
      <c r="T23" s="67">
        <f t="shared" si="29"/>
        <v>0.48777348777348778</v>
      </c>
      <c r="U23" s="67">
        <f t="shared" si="29"/>
        <v>0.37180700094607383</v>
      </c>
      <c r="V23" s="67">
        <f t="shared" si="29"/>
        <v>0.53652058432934935</v>
      </c>
      <c r="W23" s="67">
        <f t="shared" ref="W23" si="30">IF(W9=0,0,W9/W$7)</f>
        <v>0.6763425253991292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161.8754084264832</v>
      </c>
      <c r="C3" s="62">
        <f t="shared" ref="C3:V3" si="0">SUM(C4,C10)</f>
        <v>148.08684436801371</v>
      </c>
      <c r="D3" s="62">
        <f t="shared" si="0"/>
        <v>153.97678417884779</v>
      </c>
      <c r="E3" s="62">
        <f t="shared" si="0"/>
        <v>158.88512467755805</v>
      </c>
      <c r="F3" s="62">
        <f t="shared" si="0"/>
        <v>152.84987102321583</v>
      </c>
      <c r="G3" s="62">
        <f t="shared" si="0"/>
        <v>154.91547721410149</v>
      </c>
      <c r="H3" s="62">
        <f t="shared" si="0"/>
        <v>166.006018916595</v>
      </c>
      <c r="I3" s="62">
        <f t="shared" si="0"/>
        <v>171.01530524505586</v>
      </c>
      <c r="J3" s="62">
        <f t="shared" si="0"/>
        <v>142.80670679277731</v>
      </c>
      <c r="K3" s="62">
        <f t="shared" si="0"/>
        <v>147.48890799656061</v>
      </c>
      <c r="L3" s="62">
        <f t="shared" si="0"/>
        <v>169.1519346517627</v>
      </c>
      <c r="M3" s="62">
        <f t="shared" si="0"/>
        <v>160.5631986242476</v>
      </c>
      <c r="N3" s="62">
        <f t="shared" si="0"/>
        <v>149.61152192605331</v>
      </c>
      <c r="O3" s="62">
        <f t="shared" si="0"/>
        <v>148.0268271711092</v>
      </c>
      <c r="P3" s="62">
        <f t="shared" si="0"/>
        <v>130.03069647463457</v>
      </c>
      <c r="Q3" s="62">
        <f t="shared" si="0"/>
        <v>131.69226139294926</v>
      </c>
      <c r="R3" s="62">
        <f t="shared" si="0"/>
        <v>123.51693895098884</v>
      </c>
      <c r="S3" s="62">
        <f t="shared" si="0"/>
        <v>127.90524505588996</v>
      </c>
      <c r="T3" s="62">
        <f t="shared" si="0"/>
        <v>127.84883920894239</v>
      </c>
      <c r="U3" s="62">
        <f t="shared" si="0"/>
        <v>131.93860705073087</v>
      </c>
      <c r="V3" s="62">
        <f t="shared" si="0"/>
        <v>112.58555460017195</v>
      </c>
      <c r="W3" s="62">
        <f t="shared" ref="W3" si="1">SUM(W4,W10)</f>
        <v>117.37687016337057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138.80776418512909</v>
      </c>
      <c r="C4" s="71">
        <f t="shared" ref="C4:V4" si="2">SUM(C5:C9)</f>
        <v>128.78717148522759</v>
      </c>
      <c r="D4" s="71">
        <f t="shared" si="2"/>
        <v>134.25698258475603</v>
      </c>
      <c r="E4" s="71">
        <f t="shared" si="2"/>
        <v>134.48847025712769</v>
      </c>
      <c r="F4" s="71">
        <f t="shared" si="2"/>
        <v>126.2403391873324</v>
      </c>
      <c r="G4" s="71">
        <f t="shared" si="2"/>
        <v>133.96795048039189</v>
      </c>
      <c r="H4" s="71">
        <f t="shared" si="2"/>
        <v>149.27785410523069</v>
      </c>
      <c r="I4" s="71">
        <f t="shared" si="2"/>
        <v>146.95566707877708</v>
      </c>
      <c r="J4" s="71">
        <f t="shared" si="2"/>
        <v>129.55163859506902</v>
      </c>
      <c r="K4" s="71">
        <f t="shared" si="2"/>
        <v>134.49025854431903</v>
      </c>
      <c r="L4" s="71">
        <f t="shared" si="2"/>
        <v>160.27087596806291</v>
      </c>
      <c r="M4" s="71">
        <f t="shared" si="2"/>
        <v>151.5477251185246</v>
      </c>
      <c r="N4" s="71">
        <f t="shared" si="2"/>
        <v>132.49133783453291</v>
      </c>
      <c r="O4" s="71">
        <f t="shared" si="2"/>
        <v>125.67074067197984</v>
      </c>
      <c r="P4" s="71">
        <f t="shared" si="2"/>
        <v>113.13041591887469</v>
      </c>
      <c r="Q4" s="71">
        <f t="shared" si="2"/>
        <v>117.08560218655992</v>
      </c>
      <c r="R4" s="71">
        <f t="shared" si="2"/>
        <v>113.45046349309969</v>
      </c>
      <c r="S4" s="71">
        <f t="shared" si="2"/>
        <v>116.98251324095446</v>
      </c>
      <c r="T4" s="71">
        <f t="shared" si="2"/>
        <v>118.90853589794575</v>
      </c>
      <c r="U4" s="71">
        <f t="shared" si="2"/>
        <v>125.92486366566352</v>
      </c>
      <c r="V4" s="71">
        <f t="shared" si="2"/>
        <v>102.48561814339617</v>
      </c>
      <c r="W4" s="71">
        <f t="shared" ref="W4" si="3">SUM(W5:W9)</f>
        <v>99.830288732596244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53.721594036522205</v>
      </c>
      <c r="C5" s="73">
        <v>53.591241589086145</v>
      </c>
      <c r="D5" s="73">
        <v>53.730307936936683</v>
      </c>
      <c r="E5" s="73">
        <v>52.160231121283047</v>
      </c>
      <c r="F5" s="73">
        <v>52.346331806994968</v>
      </c>
      <c r="G5" s="73">
        <v>58.346092701702176</v>
      </c>
      <c r="H5" s="73">
        <v>67.062804370281967</v>
      </c>
      <c r="I5" s="73">
        <v>64.968197006445465</v>
      </c>
      <c r="J5" s="73">
        <v>59.320170202089116</v>
      </c>
      <c r="K5" s="73">
        <v>62.427366957950049</v>
      </c>
      <c r="L5" s="73">
        <v>82.303070588259743</v>
      </c>
      <c r="M5" s="73">
        <v>80.046106833602607</v>
      </c>
      <c r="N5" s="73">
        <v>69.674184256699675</v>
      </c>
      <c r="O5" s="73">
        <v>70.954557244372765</v>
      </c>
      <c r="P5" s="73">
        <v>69.123505005458867</v>
      </c>
      <c r="Q5" s="73">
        <v>76.043057641346309</v>
      </c>
      <c r="R5" s="73">
        <v>72.812508765092403</v>
      </c>
      <c r="S5" s="73">
        <v>76.0539923301192</v>
      </c>
      <c r="T5" s="73">
        <v>77.309717558966227</v>
      </c>
      <c r="U5" s="73">
        <v>82.298671998274926</v>
      </c>
      <c r="V5" s="73">
        <v>60.743257260237058</v>
      </c>
      <c r="W5" s="73">
        <v>56.082663586899109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85.086170148606897</v>
      </c>
      <c r="C6" s="73">
        <v>75.195929896141436</v>
      </c>
      <c r="D6" s="73">
        <v>80.526674647819348</v>
      </c>
      <c r="E6" s="73">
        <v>82.328239135844655</v>
      </c>
      <c r="F6" s="73">
        <v>73.894007380337428</v>
      </c>
      <c r="G6" s="73">
        <v>75.621857778689701</v>
      </c>
      <c r="H6" s="73">
        <v>82.215049734948721</v>
      </c>
      <c r="I6" s="73">
        <v>81.987470072331632</v>
      </c>
      <c r="J6" s="73">
        <v>69.06492470297853</v>
      </c>
      <c r="K6" s="73">
        <v>70.268168099530868</v>
      </c>
      <c r="L6" s="73">
        <v>75.886408812316844</v>
      </c>
      <c r="M6" s="73">
        <v>69.655793206551181</v>
      </c>
      <c r="N6" s="73">
        <v>61.070153457178158</v>
      </c>
      <c r="O6" s="73">
        <v>53.602153079761017</v>
      </c>
      <c r="P6" s="73">
        <v>42.284359153398832</v>
      </c>
      <c r="Q6" s="73">
        <v>39.840330506265737</v>
      </c>
      <c r="R6" s="73">
        <v>39.330255348181318</v>
      </c>
      <c r="S6" s="73">
        <v>39.09797812086304</v>
      </c>
      <c r="T6" s="73">
        <v>39.759228478277436</v>
      </c>
      <c r="U6" s="73">
        <v>41.721126396186655</v>
      </c>
      <c r="V6" s="73">
        <v>39.239804181158291</v>
      </c>
      <c r="W6" s="73">
        <v>38.548028100742982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1.1665436900013715</v>
      </c>
      <c r="K7" s="73">
        <v>1.7947234868381106</v>
      </c>
      <c r="L7" s="73">
        <v>2.0813965674863124</v>
      </c>
      <c r="M7" s="73">
        <v>1.845825078370805</v>
      </c>
      <c r="N7" s="73">
        <v>1.747000120655092</v>
      </c>
      <c r="O7" s="73">
        <v>1.114030347846062</v>
      </c>
      <c r="P7" s="73">
        <v>1.7225517600169875</v>
      </c>
      <c r="Q7" s="73">
        <v>1.202214038947885</v>
      </c>
      <c r="R7" s="73">
        <v>1.3076993798259553</v>
      </c>
      <c r="S7" s="73">
        <v>1.83054278997222</v>
      </c>
      <c r="T7" s="73">
        <v>1.8395898607020909</v>
      </c>
      <c r="U7" s="73">
        <v>1.9050652712019276</v>
      </c>
      <c r="V7" s="73">
        <v>2.5025567020008141</v>
      </c>
      <c r="W7" s="73">
        <v>5.1995970449541487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23.06764424135411</v>
      </c>
      <c r="C10" s="71">
        <f t="shared" ref="C10:V10" si="4">SUM(C11:C15)</f>
        <v>19.299672882786126</v>
      </c>
      <c r="D10" s="71">
        <f t="shared" si="4"/>
        <v>19.71980159409177</v>
      </c>
      <c r="E10" s="71">
        <f t="shared" si="4"/>
        <v>24.396654420430352</v>
      </c>
      <c r="F10" s="71">
        <f t="shared" si="4"/>
        <v>26.609531835883427</v>
      </c>
      <c r="G10" s="71">
        <f t="shared" si="4"/>
        <v>20.947526733709608</v>
      </c>
      <c r="H10" s="71">
        <f t="shared" si="4"/>
        <v>16.728164811364302</v>
      </c>
      <c r="I10" s="71">
        <f t="shared" si="4"/>
        <v>24.059638166278759</v>
      </c>
      <c r="J10" s="71">
        <f t="shared" si="4"/>
        <v>13.255068197708288</v>
      </c>
      <c r="K10" s="71">
        <f t="shared" si="4"/>
        <v>12.998649452241594</v>
      </c>
      <c r="L10" s="71">
        <f t="shared" si="4"/>
        <v>8.8810586836997842</v>
      </c>
      <c r="M10" s="71">
        <f t="shared" si="4"/>
        <v>9.0154735057230067</v>
      </c>
      <c r="N10" s="71">
        <f t="shared" si="4"/>
        <v>17.1201840915204</v>
      </c>
      <c r="O10" s="71">
        <f t="shared" si="4"/>
        <v>22.356086499129351</v>
      </c>
      <c r="P10" s="71">
        <f t="shared" si="4"/>
        <v>16.900280555759871</v>
      </c>
      <c r="Q10" s="71">
        <f t="shared" si="4"/>
        <v>14.606659206389343</v>
      </c>
      <c r="R10" s="71">
        <f t="shared" si="4"/>
        <v>10.066475457889149</v>
      </c>
      <c r="S10" s="71">
        <f t="shared" si="4"/>
        <v>10.922731814935496</v>
      </c>
      <c r="T10" s="71">
        <f t="shared" si="4"/>
        <v>8.9403033109966348</v>
      </c>
      <c r="U10" s="71">
        <f t="shared" si="4"/>
        <v>6.0137433850673574</v>
      </c>
      <c r="V10" s="71">
        <f t="shared" si="4"/>
        <v>10.099936456775785</v>
      </c>
      <c r="W10" s="71">
        <f t="shared" ref="W10" si="5">SUM(W11:W15)</f>
        <v>17.546581430774332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8.9276750950341093</v>
      </c>
      <c r="C11" s="73">
        <v>8.0310284023153926</v>
      </c>
      <c r="D11" s="73">
        <v>7.8919620544648721</v>
      </c>
      <c r="E11" s="73">
        <v>9.462038870118505</v>
      </c>
      <c r="F11" s="73">
        <v>11.033805768241486</v>
      </c>
      <c r="G11" s="73">
        <v>9.123124839140484</v>
      </c>
      <c r="H11" s="73">
        <v>7.5150976073620424</v>
      </c>
      <c r="I11" s="73">
        <v>10.636618126830527</v>
      </c>
      <c r="J11" s="73">
        <v>6.06933968613101</v>
      </c>
      <c r="K11" s="73">
        <v>6.0336820532279329</v>
      </c>
      <c r="L11" s="73">
        <v>4.5606439431246022</v>
      </c>
      <c r="M11" s="73">
        <v>4.7618897270164675</v>
      </c>
      <c r="N11" s="73">
        <v>9.0031158292848552</v>
      </c>
      <c r="O11" s="73">
        <v>12.622398903520621</v>
      </c>
      <c r="P11" s="73">
        <v>10.326194048711377</v>
      </c>
      <c r="Q11" s="73">
        <v>9.4865210344920285</v>
      </c>
      <c r="R11" s="73">
        <v>6.460664063798399</v>
      </c>
      <c r="S11" s="73">
        <v>7.1012097335093571</v>
      </c>
      <c r="T11" s="73">
        <v>5.8126384169580971</v>
      </c>
      <c r="U11" s="73">
        <v>3.9303047859039046</v>
      </c>
      <c r="V11" s="73">
        <v>5.9862354310784909</v>
      </c>
      <c r="W11" s="73">
        <v>9.8573192161963181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14.13996914632</v>
      </c>
      <c r="C12" s="73">
        <v>11.268644480470732</v>
      </c>
      <c r="D12" s="73">
        <v>11.827839539626899</v>
      </c>
      <c r="E12" s="73">
        <v>14.934615550311845</v>
      </c>
      <c r="F12" s="73">
        <v>15.575726067641941</v>
      </c>
      <c r="G12" s="73">
        <v>11.824401894569124</v>
      </c>
      <c r="H12" s="73">
        <v>9.213067204002261</v>
      </c>
      <c r="I12" s="73">
        <v>13.423020039448231</v>
      </c>
      <c r="J12" s="73">
        <v>7.0663736633155363</v>
      </c>
      <c r="K12" s="73">
        <v>6.7915051592825524</v>
      </c>
      <c r="L12" s="73">
        <v>4.205078719927358</v>
      </c>
      <c r="M12" s="73">
        <v>4.1437768708348699</v>
      </c>
      <c r="N12" s="73">
        <v>7.8913254766137655</v>
      </c>
      <c r="O12" s="73">
        <v>9.5355081412191964</v>
      </c>
      <c r="P12" s="73">
        <v>6.316758645397381</v>
      </c>
      <c r="Q12" s="73">
        <v>4.9701596055141604</v>
      </c>
      <c r="R12" s="73">
        <v>3.4897790456277975</v>
      </c>
      <c r="S12" s="73">
        <v>3.6506031345109973</v>
      </c>
      <c r="T12" s="73">
        <v>2.9893527770966046</v>
      </c>
      <c r="U12" s="73">
        <v>1.9924591584135314</v>
      </c>
      <c r="V12" s="73">
        <v>3.8670745806645757</v>
      </c>
      <c r="W12" s="73">
        <v>6.7753596894547758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0.11935484826174164</v>
      </c>
      <c r="K13" s="73">
        <v>0.17346223973110772</v>
      </c>
      <c r="L13" s="73">
        <v>0.11533602064782336</v>
      </c>
      <c r="M13" s="73">
        <v>0.10980690787167059</v>
      </c>
      <c r="N13" s="73">
        <v>0.22574278562177794</v>
      </c>
      <c r="O13" s="73">
        <v>0.1981794543895351</v>
      </c>
      <c r="P13" s="73">
        <v>0.25732786165111282</v>
      </c>
      <c r="Q13" s="73">
        <v>0.14997856638315488</v>
      </c>
      <c r="R13" s="73">
        <v>0.11603234846295274</v>
      </c>
      <c r="S13" s="73">
        <v>0.17091894691513995</v>
      </c>
      <c r="T13" s="73">
        <v>0.13831211694193327</v>
      </c>
      <c r="U13" s="73">
        <v>9.0979440749921231E-2</v>
      </c>
      <c r="V13" s="73">
        <v>0.24662644503271977</v>
      </c>
      <c r="W13" s="73">
        <v>0.91390252512323722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13444.801364325845</v>
      </c>
      <c r="C19" s="62">
        <f>IF(C3=0,0,C3/TrNavi_act!C7*100)</f>
        <v>14676.595081071728</v>
      </c>
      <c r="D19" s="62">
        <f>IF(D3=0,0,D3/TrNavi_act!D7*100)</f>
        <v>14678.435098078913</v>
      </c>
      <c r="E19" s="62">
        <f>IF(E3=0,0,E3/TrNavi_act!E7*100)</f>
        <v>14946.860270701605</v>
      </c>
      <c r="F19" s="62">
        <f>IF(F3=0,0,F3/TrNavi_act!F7*100)</f>
        <v>13671.723705117694</v>
      </c>
      <c r="G19" s="62">
        <f>IF(G3=0,0,G3/TrNavi_act!G7*100)</f>
        <v>17847.405208997869</v>
      </c>
      <c r="H19" s="62">
        <f>IF(H3=0,0,H3/TrNavi_act!H7*100)</f>
        <v>21447.806061575578</v>
      </c>
      <c r="I19" s="62">
        <f>IF(I3=0,0,I3/TrNavi_act!I7*100)</f>
        <v>16443.77935048614</v>
      </c>
      <c r="J19" s="62">
        <f>IF(J3=0,0,J3/TrNavi_act!J7*100)</f>
        <v>18570.443015965837</v>
      </c>
      <c r="K19" s="62">
        <f>IF(K3=0,0,K3/TrNavi_act!K7*100)</f>
        <v>23410.937777231848</v>
      </c>
      <c r="L19" s="62">
        <f>IF(L3=0,0,L3/TrNavi_act!L7*100)</f>
        <v>23267.116183186066</v>
      </c>
      <c r="M19" s="62">
        <f>IF(M3=0,0,M3/TrNavi_act!M7*100)</f>
        <v>18867.590907667171</v>
      </c>
      <c r="N19" s="62">
        <f>IF(N3=0,0,N3/TrNavi_act!N7*100)</f>
        <v>16982.01156935906</v>
      </c>
      <c r="O19" s="62">
        <f>IF(O3=0,0,O3/TrNavi_act!O7*100)</f>
        <v>19426.092804607506</v>
      </c>
      <c r="P19" s="62">
        <f>IF(P3=0,0,P3/TrNavi_act!P7*100)</f>
        <v>17383.782951154353</v>
      </c>
      <c r="Q19" s="62">
        <f>IF(Q3=0,0,Q3/TrNavi_act!Q7*100)</f>
        <v>18921.301924274321</v>
      </c>
      <c r="R19" s="62">
        <f>IF(R3=0,0,R3/TrNavi_act!R7*100)</f>
        <v>19179.648905433049</v>
      </c>
      <c r="S19" s="62">
        <f>IF(S3=0,0,S3/TrNavi_act!S7*100)</f>
        <v>17863.861041325417</v>
      </c>
      <c r="T19" s="62">
        <f>IF(T3=0,0,T3/TrNavi_act!T7*100)</f>
        <v>16454.162060352945</v>
      </c>
      <c r="U19" s="62">
        <f>IF(U3=0,0,U3/TrNavi_act!U7*100)</f>
        <v>12482.36585153556</v>
      </c>
      <c r="V19" s="62">
        <f>IF(V3=0,0,V3/TrNavi_act!V7*100)</f>
        <v>14951.600876516857</v>
      </c>
      <c r="W19" s="62">
        <f>IF(W3=0,0,W3/TrNavi_act!W7*100)</f>
        <v>17035.830212390501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34189.104479095833</v>
      </c>
      <c r="C20" s="63">
        <f>IF(C4=0,0,C4/TrNavi_act!C8*100)</f>
        <v>35187.751771920106</v>
      </c>
      <c r="D20" s="63">
        <f>IF(D4=0,0,D4/TrNavi_act!D8*100)</f>
        <v>35993.829111194646</v>
      </c>
      <c r="E20" s="63">
        <f>IF(E4=0,0,E4/TrNavi_act!E8*100)</f>
        <v>40877.95448544914</v>
      </c>
      <c r="F20" s="63">
        <f>IF(F4=0,0,F4/TrNavi_act!F8*100)</f>
        <v>40591.748934833566</v>
      </c>
      <c r="G20" s="63">
        <f>IF(G4=0,0,G4/TrNavi_act!G8*100)</f>
        <v>46678.728390380456</v>
      </c>
      <c r="H20" s="63">
        <f>IF(H4=0,0,H4/TrNavi_act!H8*100)</f>
        <v>46795.565550229054</v>
      </c>
      <c r="I20" s="63">
        <f>IF(I4=0,0,I4/TrNavi_act!I8*100)</f>
        <v>43607.022872040674</v>
      </c>
      <c r="J20" s="63">
        <f>IF(J4=0,0,J4/TrNavi_act!J8*100)</f>
        <v>39377.397749261101</v>
      </c>
      <c r="K20" s="63">
        <f>IF(K4=0,0,K4/TrNavi_act!K8*100)</f>
        <v>47355.724839548959</v>
      </c>
      <c r="L20" s="63">
        <f>IF(L4=0,0,L4/TrNavi_act!L8*100)</f>
        <v>37185.818090037799</v>
      </c>
      <c r="M20" s="63">
        <f>IF(M4=0,0,M4/TrNavi_act!M8*100)</f>
        <v>31118.629387787394</v>
      </c>
      <c r="N20" s="63">
        <f>IF(N4=0,0,N4/TrNavi_act!N8*100)</f>
        <v>39082.990511661628</v>
      </c>
      <c r="O20" s="63">
        <f>IF(O4=0,0,O4/TrNavi_act!O8*100)</f>
        <v>51716.354185999931</v>
      </c>
      <c r="P20" s="63">
        <f>IF(P4=0,0,P4/TrNavi_act!P8*100)</f>
        <v>42055.916698466426</v>
      </c>
      <c r="Q20" s="63">
        <f>IF(Q4=0,0,Q4/TrNavi_act!Q8*100)</f>
        <v>41082.667433880684</v>
      </c>
      <c r="R20" s="63">
        <f>IF(R4=0,0,R4/TrNavi_act!R8*100)</f>
        <v>36596.923707451511</v>
      </c>
      <c r="S20" s="63">
        <f>IF(S4=0,0,S4/TrNavi_act!S8*100)</f>
        <v>36217.496359428624</v>
      </c>
      <c r="T20" s="63">
        <f>IF(T4=0,0,T4/TrNavi_act!T8*100)</f>
        <v>29876.5165572728</v>
      </c>
      <c r="U20" s="63">
        <f>IF(U4=0,0,U4/TrNavi_act!U8*100)</f>
        <v>18964.58790145535</v>
      </c>
      <c r="V20" s="63">
        <f>IF(V4=0,0,V4/TrNavi_act!V8*100)</f>
        <v>29365.506631345608</v>
      </c>
      <c r="W20" s="63">
        <f>IF(W4=0,0,W4/TrNavi_act!W8*100)</f>
        <v>44766.945619998311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2890.6822357586602</v>
      </c>
      <c r="C21" s="64">
        <f>IF(C10=0,0,C10/TrNavi_act!C9*100)</f>
        <v>3001.504336358651</v>
      </c>
      <c r="D21" s="64">
        <f>IF(D10=0,0,D10/TrNavi_act!D9*100)</f>
        <v>2917.1304133271847</v>
      </c>
      <c r="E21" s="64">
        <f>IF(E10=0,0,E10/TrNavi_act!E9*100)</f>
        <v>3323.7948801676234</v>
      </c>
      <c r="F21" s="64">
        <f>IF(F10=0,0,F10/TrNavi_act!F9*100)</f>
        <v>3297.3397566150466</v>
      </c>
      <c r="G21" s="64">
        <f>IF(G10=0,0,G10/TrNavi_act!G9*100)</f>
        <v>3605.4262880739429</v>
      </c>
      <c r="H21" s="64">
        <f>IF(H10=0,0,H10/TrNavi_act!H9*100)</f>
        <v>3676.5197387613844</v>
      </c>
      <c r="I21" s="64">
        <f>IF(I10=0,0,I10/TrNavi_act!I9*100)</f>
        <v>3422.4236367395106</v>
      </c>
      <c r="J21" s="64">
        <f>IF(J10=0,0,J10/TrNavi_act!J9*100)</f>
        <v>3012.5154994791565</v>
      </c>
      <c r="K21" s="64">
        <f>IF(K10=0,0,K10/TrNavi_act!K9*100)</f>
        <v>3756.8351018039293</v>
      </c>
      <c r="L21" s="64">
        <f>IF(L10=0,0,L10/TrNavi_act!L9*100)</f>
        <v>3000.3576634120896</v>
      </c>
      <c r="M21" s="64">
        <f>IF(M10=0,0,M10/TrNavi_act!M9*100)</f>
        <v>2476.778435638189</v>
      </c>
      <c r="N21" s="64">
        <f>IF(N10=0,0,N10/TrNavi_act!N9*100)</f>
        <v>3158.7055519410333</v>
      </c>
      <c r="O21" s="64">
        <f>IF(O10=0,0,O10/TrNavi_act!O9*100)</f>
        <v>4307.5311173659638</v>
      </c>
      <c r="P21" s="64">
        <f>IF(P10=0,0,P10/TrNavi_act!P9*100)</f>
        <v>3528.2422872150041</v>
      </c>
      <c r="Q21" s="64">
        <f>IF(Q10=0,0,Q10/TrNavi_act!Q9*100)</f>
        <v>3553.9316803867018</v>
      </c>
      <c r="R21" s="64">
        <f>IF(R10=0,0,R10/TrNavi_act!R9*100)</f>
        <v>3013.9148077512418</v>
      </c>
      <c r="S21" s="64">
        <f>IF(S10=0,0,S10/TrNavi_act!S9*100)</f>
        <v>2779.3210725026706</v>
      </c>
      <c r="T21" s="64">
        <f>IF(T10=0,0,T10/TrNavi_act!T9*100)</f>
        <v>2358.919079418637</v>
      </c>
      <c r="U21" s="64">
        <f>IF(U10=0,0,U10/TrNavi_act!U9*100)</f>
        <v>1530.2146017983096</v>
      </c>
      <c r="V21" s="64">
        <f>IF(V10=0,0,V10/TrNavi_act!V9*100)</f>
        <v>2499.9842714791544</v>
      </c>
      <c r="W21" s="64">
        <f>IF(W10=0,0,W10/TrNavi_act!W9*100)</f>
        <v>3765.3608220545771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165.67499885011168</v>
      </c>
      <c r="C23" s="62">
        <f>IF(C3=0,0,C3/TrNavi_act!C3*1000)</f>
        <v>166.8413090804365</v>
      </c>
      <c r="D23" s="62">
        <f>IF(D3=0,0,D3/TrNavi_act!D3*1000)</f>
        <v>162.48755746368045</v>
      </c>
      <c r="E23" s="62">
        <f>IF(E3=0,0,E3/TrNavi_act!E3*1000)</f>
        <v>183.17526369511208</v>
      </c>
      <c r="F23" s="62">
        <f>IF(F3=0,0,F3/TrNavi_act!F3*1000)</f>
        <v>180.88677912766678</v>
      </c>
      <c r="G23" s="62">
        <f>IF(G3=0,0,G3/TrNavi_act!G3*1000)</f>
        <v>205.58716172625731</v>
      </c>
      <c r="H23" s="62">
        <f>IF(H3=0,0,H3/TrNavi_act!H3*1000)</f>
        <v>195.88863417070129</v>
      </c>
      <c r="I23" s="62">
        <f>IF(I3=0,0,I3/TrNavi_act!I3*1000)</f>
        <v>180.07164867170175</v>
      </c>
      <c r="J23" s="62">
        <f>IF(J3=0,0,J3/TrNavi_act!J3*1000)</f>
        <v>153.84310334019634</v>
      </c>
      <c r="K23" s="62">
        <f>IF(K3=0,0,K3/TrNavi_act!K3*1000)</f>
        <v>184.50135602628075</v>
      </c>
      <c r="L23" s="62">
        <f>IF(L3=0,0,L3/TrNavi_act!L3*1000)</f>
        <v>142.3298705471519</v>
      </c>
      <c r="M23" s="62">
        <f>IF(M3=0,0,M3/TrNavi_act!M3*1000)</f>
        <v>127.01558759696263</v>
      </c>
      <c r="N23" s="62">
        <f>IF(N3=0,0,N3/TrNavi_act!N3*1000)</f>
        <v>157.61771369309403</v>
      </c>
      <c r="O23" s="62">
        <f>IF(O3=0,0,O3/TrNavi_act!O3*1000)</f>
        <v>203.02566872642203</v>
      </c>
      <c r="P23" s="62">
        <f>IF(P3=0,0,P3/TrNavi_act!P3*1000)</f>
        <v>160.68089939627228</v>
      </c>
      <c r="Q23" s="62">
        <f>IF(Q3=0,0,Q3/TrNavi_act!Q3*1000)</f>
        <v>149.76772855187505</v>
      </c>
      <c r="R23" s="62">
        <f>IF(R3=0,0,R3/TrNavi_act!R3*1000)</f>
        <v>129.54261362369502</v>
      </c>
      <c r="S23" s="62">
        <f>IF(S3=0,0,S3/TrNavi_act!S3*1000)</f>
        <v>126.11313536464655</v>
      </c>
      <c r="T23" s="62">
        <f>IF(T3=0,0,T3/TrNavi_act!T3*1000)</f>
        <v>107.3155373940178</v>
      </c>
      <c r="U23" s="62">
        <f>IF(U3=0,0,U3/TrNavi_act!U3*1000)</f>
        <v>70.084750138232593</v>
      </c>
      <c r="V23" s="62">
        <f>IF(V3=0,0,V3/TrNavi_act!V3*1000)</f>
        <v>99.523406117472092</v>
      </c>
      <c r="W23" s="62">
        <f>IF(W3=0,0,W3/TrNavi_act!W3*1000)</f>
        <v>148.52680230321454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161.5798602029752</v>
      </c>
      <c r="C24" s="63">
        <f>IF(C4=0,0,C4/TrNavi_act!C4*1000)</f>
        <v>163.72825456333416</v>
      </c>
      <c r="D24" s="63">
        <f>IF(D4=0,0,D4/TrNavi_act!D4*1000)</f>
        <v>160.66712291533258</v>
      </c>
      <c r="E24" s="63">
        <f>IF(E4=0,0,E4/TrNavi_act!E4*1000)</f>
        <v>177.33324664637072</v>
      </c>
      <c r="F24" s="63">
        <f>IF(F4=0,0,F4/TrNavi_act!F4*1000)</f>
        <v>173.64486692260195</v>
      </c>
      <c r="G24" s="63">
        <f>IF(G4=0,0,G4/TrNavi_act!G4*1000)</f>
        <v>197.43938042316944</v>
      </c>
      <c r="H24" s="63">
        <f>IF(H4=0,0,H4/TrNavi_act!H4*1000)</f>
        <v>191.02650595524312</v>
      </c>
      <c r="I24" s="63">
        <f>IF(I4=0,0,I4/TrNavi_act!I4*1000)</f>
        <v>173.35667521770739</v>
      </c>
      <c r="J24" s="63">
        <f>IF(J4=0,0,J4/TrNavi_act!J4*1000)</f>
        <v>152.72597215844755</v>
      </c>
      <c r="K24" s="63">
        <f>IF(K4=0,0,K4/TrNavi_act!K4*1000)</f>
        <v>182.13937657005903</v>
      </c>
      <c r="L24" s="63">
        <f>IF(L4=0,0,L4/TrNavi_act!L4*1000)</f>
        <v>144.07018379977788</v>
      </c>
      <c r="M24" s="63">
        <f>IF(M4=0,0,M4/TrNavi_act!M4*1000)</f>
        <v>129.07323525027604</v>
      </c>
      <c r="N24" s="63">
        <f>IF(N4=0,0,N4/TrNavi_act!N4*1000)</f>
        <v>160.55566536137434</v>
      </c>
      <c r="O24" s="63">
        <f>IF(O4=0,0,O4/TrNavi_act!O4*1000)</f>
        <v>206.6599474300117</v>
      </c>
      <c r="P24" s="63">
        <f>IF(P4=0,0,P4/TrNavi_act!P4*1000)</f>
        <v>168.03676493487492</v>
      </c>
      <c r="Q24" s="63">
        <f>IF(Q4=0,0,Q4/TrNavi_act!Q4*1000)</f>
        <v>155.84193234025892</v>
      </c>
      <c r="R24" s="63">
        <f>IF(R4=0,0,R4/TrNavi_act!R4*1000)</f>
        <v>133.39501989229638</v>
      </c>
      <c r="S24" s="63">
        <f>IF(S4=0,0,S4/TrNavi_act!S4*1000)</f>
        <v>131.16440186365884</v>
      </c>
      <c r="T24" s="63">
        <f>IF(T4=0,0,T4/TrNavi_act!T4*1000)</f>
        <v>110.76116604593861</v>
      </c>
      <c r="U24" s="63">
        <f>IF(U4=0,0,U4/TrNavi_act!U4*1000)</f>
        <v>71.525541144150623</v>
      </c>
      <c r="V24" s="63">
        <f>IF(V4=0,0,V4/TrNavi_act!V4*1000)</f>
        <v>102.05220243963504</v>
      </c>
      <c r="W24" s="63">
        <f>IF(W4=0,0,W4/TrNavi_act!W4*1000)</f>
        <v>155.43255484823649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195.4885105199501</v>
      </c>
      <c r="C25" s="64">
        <f>IF(C10=0,0,C10/TrNavi_act!C5*1000)</f>
        <v>191.0858701265953</v>
      </c>
      <c r="D25" s="64">
        <f>IF(D10=0,0,D10/TrNavi_act!D5*1000)</f>
        <v>176.06965709010507</v>
      </c>
      <c r="E25" s="64">
        <f>IF(E10=0,0,E10/TrNavi_act!E5*1000)</f>
        <v>223.8225176186271</v>
      </c>
      <c r="F25" s="64">
        <f>IF(F10=0,0,F10/TrNavi_act!F5*1000)</f>
        <v>225.50450708375786</v>
      </c>
      <c r="G25" s="64">
        <f>IF(G10=0,0,G10/TrNavi_act!G5*1000)</f>
        <v>279.30035644946145</v>
      </c>
      <c r="H25" s="64">
        <f>IF(H10=0,0,H10/TrNavi_act!H5*1000)</f>
        <v>253.45704259642881</v>
      </c>
      <c r="I25" s="64">
        <f>IF(I10=0,0,I10/TrNavi_act!I5*1000)</f>
        <v>235.87880555175252</v>
      </c>
      <c r="J25" s="64">
        <f>IF(J10=0,0,J10/TrNavi_act!J5*1000)</f>
        <v>165.6883524713536</v>
      </c>
      <c r="K25" s="64">
        <f>IF(K10=0,0,K10/TrNavi_act!K5*1000)</f>
        <v>213.09261397117368</v>
      </c>
      <c r="L25" s="64">
        <f>IF(L10=0,0,L10/TrNavi_act!L5*1000)</f>
        <v>116.85603531183926</v>
      </c>
      <c r="M25" s="64">
        <f>IF(M10=0,0,M10/TrNavi_act!M5*1000)</f>
        <v>100.17192784136674</v>
      </c>
      <c r="N25" s="64">
        <f>IF(N10=0,0,N10/TrNavi_act!N5*1000)</f>
        <v>138.06600073806774</v>
      </c>
      <c r="O25" s="64">
        <f>IF(O10=0,0,O10/TrNavi_act!O5*1000)</f>
        <v>184.76104544735</v>
      </c>
      <c r="P25" s="64">
        <f>IF(P10=0,0,P10/TrNavi_act!P5*1000)</f>
        <v>124.266768792352</v>
      </c>
      <c r="Q25" s="64">
        <f>IF(Q10=0,0,Q10/TrNavi_act!Q5*1000)</f>
        <v>114.11452504991675</v>
      </c>
      <c r="R25" s="64">
        <f>IF(R10=0,0,R10/TrNavi_act!R5*1000)</f>
        <v>97.732771435816986</v>
      </c>
      <c r="S25" s="64">
        <f>IF(S10=0,0,S10/TrNavi_act!S5*1000)</f>
        <v>89.286636089390981</v>
      </c>
      <c r="T25" s="64">
        <f>IF(T10=0,0,T10/TrNavi_act!T5*1000)</f>
        <v>75.908235659405392</v>
      </c>
      <c r="U25" s="64">
        <f>IF(U10=0,0,U10/TrNavi_act!U5*1000)</f>
        <v>49.292978566125882</v>
      </c>
      <c r="V25" s="64">
        <f>IF(V10=0,0,V10/TrNavi_act!V5*1000)</f>
        <v>79.527058714769964</v>
      </c>
      <c r="W25" s="64">
        <f>IF(W10=0,0,W10/TrNavi_act!W5*1000)</f>
        <v>118.5579826403671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0.85749753797946127</v>
      </c>
      <c r="C28" s="77">
        <f t="shared" si="8"/>
        <v>0.86967327877671496</v>
      </c>
      <c r="D28" s="77">
        <f t="shared" si="8"/>
        <v>0.87193003348357545</v>
      </c>
      <c r="E28" s="77">
        <f t="shared" si="8"/>
        <v>0.84645098482352576</v>
      </c>
      <c r="F28" s="77">
        <f t="shared" si="8"/>
        <v>0.82591066869894969</v>
      </c>
      <c r="G28" s="77">
        <f t="shared" si="8"/>
        <v>0.86478093015355084</v>
      </c>
      <c r="H28" s="77">
        <f t="shared" si="8"/>
        <v>0.89923157653838504</v>
      </c>
      <c r="I28" s="77">
        <f t="shared" si="8"/>
        <v>0.85931295370433314</v>
      </c>
      <c r="J28" s="77">
        <f t="shared" si="8"/>
        <v>0.90718175290644909</v>
      </c>
      <c r="K28" s="77">
        <f t="shared" si="8"/>
        <v>0.91186693542713937</v>
      </c>
      <c r="L28" s="77">
        <f t="shared" si="8"/>
        <v>0.94749655862947446</v>
      </c>
      <c r="M28" s="77">
        <f t="shared" si="8"/>
        <v>0.94385093481588422</v>
      </c>
      <c r="N28" s="77">
        <f t="shared" si="8"/>
        <v>0.88556908003394164</v>
      </c>
      <c r="O28" s="77">
        <f t="shared" si="8"/>
        <v>0.84897273739923362</v>
      </c>
      <c r="P28" s="77">
        <f t="shared" si="8"/>
        <v>0.87002853161632754</v>
      </c>
      <c r="Q28" s="77">
        <f t="shared" si="8"/>
        <v>0.88908490862036804</v>
      </c>
      <c r="R28" s="77">
        <f t="shared" si="8"/>
        <v>0.9185012554279417</v>
      </c>
      <c r="S28" s="77">
        <f t="shared" si="8"/>
        <v>0.91460294055835889</v>
      </c>
      <c r="T28" s="77">
        <f t="shared" si="8"/>
        <v>0.93007129852477133</v>
      </c>
      <c r="U28" s="77">
        <f t="shared" si="8"/>
        <v>0.95442013888508737</v>
      </c>
      <c r="V28" s="77">
        <f t="shared" ref="V28:W28" si="9">IF(V4=0,0,V4/V$3)</f>
        <v>0.91029100942262131</v>
      </c>
      <c r="W28" s="77">
        <f t="shared" si="9"/>
        <v>0.85051074026465201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0.14250246202053868</v>
      </c>
      <c r="C29" s="78">
        <f t="shared" si="10"/>
        <v>0.13032672122328506</v>
      </c>
      <c r="D29" s="78">
        <f t="shared" si="10"/>
        <v>0.12806996651642458</v>
      </c>
      <c r="E29" s="78">
        <f t="shared" si="10"/>
        <v>0.15354901517647418</v>
      </c>
      <c r="F29" s="78">
        <f t="shared" si="10"/>
        <v>0.17408933130105028</v>
      </c>
      <c r="G29" s="78">
        <f t="shared" si="10"/>
        <v>0.13521906984644927</v>
      </c>
      <c r="H29" s="78">
        <f t="shared" si="10"/>
        <v>0.10076842346161492</v>
      </c>
      <c r="I29" s="78">
        <f t="shared" si="10"/>
        <v>0.14068704629566678</v>
      </c>
      <c r="J29" s="78">
        <f t="shared" si="10"/>
        <v>9.2818247093550979E-2</v>
      </c>
      <c r="K29" s="78">
        <f t="shared" si="10"/>
        <v>8.8133064572860742E-2</v>
      </c>
      <c r="L29" s="78">
        <f t="shared" si="10"/>
        <v>5.2503441370525504E-2</v>
      </c>
      <c r="M29" s="78">
        <f t="shared" si="10"/>
        <v>5.6149065184115769E-2</v>
      </c>
      <c r="N29" s="78">
        <f t="shared" si="10"/>
        <v>0.11443091996605842</v>
      </c>
      <c r="O29" s="78">
        <f t="shared" si="10"/>
        <v>0.15102726260076624</v>
      </c>
      <c r="P29" s="78">
        <f t="shared" si="10"/>
        <v>0.12997146838367241</v>
      </c>
      <c r="Q29" s="78">
        <f t="shared" si="10"/>
        <v>0.11091509137963194</v>
      </c>
      <c r="R29" s="78">
        <f t="shared" si="10"/>
        <v>8.1498744572058232E-2</v>
      </c>
      <c r="S29" s="78">
        <f t="shared" si="10"/>
        <v>8.5397059441641013E-2</v>
      </c>
      <c r="T29" s="78">
        <f t="shared" si="10"/>
        <v>6.9928701475228602E-2</v>
      </c>
      <c r="U29" s="78">
        <f t="shared" si="10"/>
        <v>4.5579861114912724E-2</v>
      </c>
      <c r="V29" s="78">
        <f t="shared" ref="V29:W29" si="11">IF(V10=0,0,V10/V$3)</f>
        <v>8.9708990577378744E-2</v>
      </c>
      <c r="W29" s="78">
        <f t="shared" si="11"/>
        <v>0.14948925973534807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500.24133035999995</v>
      </c>
      <c r="C3" s="54">
        <f t="shared" ref="C3:V3" si="1">SUM(C4:C5)</f>
        <v>455.70023603999988</v>
      </c>
      <c r="D3" s="54">
        <f t="shared" si="1"/>
        <v>474.78707603999999</v>
      </c>
      <c r="E3" s="54">
        <f t="shared" si="1"/>
        <v>490.69296180000009</v>
      </c>
      <c r="F3" s="54">
        <f t="shared" si="1"/>
        <v>470.87193348000005</v>
      </c>
      <c r="G3" s="54">
        <f t="shared" si="1"/>
        <v>477.02114892000009</v>
      </c>
      <c r="H3" s="54">
        <f t="shared" si="1"/>
        <v>511.62716448000003</v>
      </c>
      <c r="I3" s="54">
        <f t="shared" si="1"/>
        <v>527.36647535999998</v>
      </c>
      <c r="J3" s="54">
        <f t="shared" si="1"/>
        <v>436.68836424000011</v>
      </c>
      <c r="K3" s="54">
        <f t="shared" si="1"/>
        <v>449.57432807999999</v>
      </c>
      <c r="L3" s="54">
        <f t="shared" si="1"/>
        <v>515.79534672</v>
      </c>
      <c r="M3" s="54">
        <f t="shared" si="1"/>
        <v>492.16286663999995</v>
      </c>
      <c r="N3" s="54">
        <f t="shared" si="1"/>
        <v>457.46464176000001</v>
      </c>
      <c r="O3" s="54">
        <f t="shared" si="1"/>
        <v>452.29275396000003</v>
      </c>
      <c r="P3" s="54">
        <f t="shared" si="1"/>
        <v>392.73291935999998</v>
      </c>
      <c r="Q3" s="54">
        <f t="shared" si="1"/>
        <v>398.95988399999993</v>
      </c>
      <c r="R3" s="54">
        <f t="shared" si="1"/>
        <v>373.45117932000005</v>
      </c>
      <c r="S3" s="54">
        <f t="shared" si="1"/>
        <v>385.61486292000012</v>
      </c>
      <c r="T3" s="54">
        <f t="shared" si="1"/>
        <v>385.51296060000004</v>
      </c>
      <c r="U3" s="54">
        <f t="shared" si="1"/>
        <v>398.27817611999996</v>
      </c>
      <c r="V3" s="54">
        <f t="shared" si="1"/>
        <v>334.05881976000001</v>
      </c>
      <c r="W3" s="54">
        <f t="shared" ref="W3" si="2">SUM(W4:W5)</f>
        <v>337.38605783999992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428.95570917927034</v>
      </c>
      <c r="C4" s="56">
        <v>396.31031841622962</v>
      </c>
      <c r="D4" s="56">
        <v>413.98111110912606</v>
      </c>
      <c r="E4" s="56">
        <v>415.34754076158282</v>
      </c>
      <c r="F4" s="56">
        <v>388.89815345203419</v>
      </c>
      <c r="G4" s="56">
        <v>412.51879286595312</v>
      </c>
      <c r="H4" s="56">
        <v>460.07130171521408</v>
      </c>
      <c r="I4" s="56">
        <v>453.17284362624508</v>
      </c>
      <c r="J4" s="56">
        <v>396.15571574509318</v>
      </c>
      <c r="K4" s="56">
        <v>409.9519647930249</v>
      </c>
      <c r="L4" s="56">
        <v>488.7143159742966</v>
      </c>
      <c r="M4" s="56">
        <v>464.5283817598293</v>
      </c>
      <c r="N4" s="56">
        <v>405.11654195145985</v>
      </c>
      <c r="O4" s="56">
        <v>383.98421743525932</v>
      </c>
      <c r="P4" s="56">
        <v>341.68884514817438</v>
      </c>
      <c r="Q4" s="56">
        <v>354.70921200933259</v>
      </c>
      <c r="R4" s="56">
        <v>343.01537704646546</v>
      </c>
      <c r="S4" s="56">
        <v>352.68448754964061</v>
      </c>
      <c r="T4" s="56">
        <v>358.55453986337108</v>
      </c>
      <c r="U4" s="56">
        <v>380.12471216734963</v>
      </c>
      <c r="V4" s="56">
        <v>304.09074024585988</v>
      </c>
      <c r="W4" s="56">
        <v>286.95046580847099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71.285621180729621</v>
      </c>
      <c r="C5" s="58">
        <v>59.389917623770273</v>
      </c>
      <c r="D5" s="58">
        <v>60.80596493087392</v>
      </c>
      <c r="E5" s="58">
        <v>75.345421038417257</v>
      </c>
      <c r="F5" s="58">
        <v>81.973780027965859</v>
      </c>
      <c r="G5" s="58">
        <v>64.50235605404697</v>
      </c>
      <c r="H5" s="58">
        <v>51.555862764785964</v>
      </c>
      <c r="I5" s="58">
        <v>74.193631733754927</v>
      </c>
      <c r="J5" s="58">
        <v>40.532648494906915</v>
      </c>
      <c r="K5" s="58">
        <v>39.622363286975116</v>
      </c>
      <c r="L5" s="58">
        <v>27.081030745703394</v>
      </c>
      <c r="M5" s="58">
        <v>27.634484880170639</v>
      </c>
      <c r="N5" s="58">
        <v>52.348099808540134</v>
      </c>
      <c r="O5" s="58">
        <v>68.308536524740703</v>
      </c>
      <c r="P5" s="58">
        <v>51.044074211825617</v>
      </c>
      <c r="Q5" s="58">
        <v>44.250671990667357</v>
      </c>
      <c r="R5" s="58">
        <v>30.435802273534605</v>
      </c>
      <c r="S5" s="58">
        <v>32.930375370359499</v>
      </c>
      <c r="T5" s="58">
        <v>26.95842073662897</v>
      </c>
      <c r="U5" s="58">
        <v>18.153463952650345</v>
      </c>
      <c r="V5" s="58">
        <v>29.968079514140104</v>
      </c>
      <c r="W5" s="58">
        <v>50.43559203152892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3.0902861356312061</v>
      </c>
      <c r="C9" s="79">
        <f>IF(C3=0,0,C3/TrNavi_ene!C3)</f>
        <v>3.0772499608913924</v>
      </c>
      <c r="D9" s="79">
        <f>IF(D3=0,0,D3/TrNavi_ene!D3)</f>
        <v>3.0834978050231467</v>
      </c>
      <c r="E9" s="79">
        <f>IF(E3=0,0,E3/TrNavi_ene!E3)</f>
        <v>3.0883505475784081</v>
      </c>
      <c r="F9" s="79">
        <f>IF(F3=0,0,F3/TrNavi_ene!F3)</f>
        <v>3.0806171462747325</v>
      </c>
      <c r="G9" s="79">
        <f>IF(G3=0,0,G3/TrNavi_ene!G3)</f>
        <v>3.0792349318379033</v>
      </c>
      <c r="H9" s="79">
        <f>IF(H3=0,0,H3/TrNavi_ene!H3)</f>
        <v>3.0819796042277994</v>
      </c>
      <c r="I9" s="79">
        <f>IF(I3=0,0,I3/TrNavi_ene!I3)</f>
        <v>3.0837384677606008</v>
      </c>
      <c r="J9" s="79">
        <f>IF(J3=0,0,J3/TrNavi_ene!J3)</f>
        <v>3.0578981481147522</v>
      </c>
      <c r="K9" s="79">
        <f>IF(K3=0,0,K3/TrNavi_ene!K3)</f>
        <v>3.0481907703220901</v>
      </c>
      <c r="L9" s="79">
        <f>IF(L3=0,0,L3/TrNavi_ene!L3)</f>
        <v>3.0493020832536186</v>
      </c>
      <c r="M9" s="79">
        <f>IF(M3=0,0,M3/TrNavi_ene!M3)</f>
        <v>3.0652283391025787</v>
      </c>
      <c r="N9" s="79">
        <f>IF(N3=0,0,N3/TrNavi_ene!N3)</f>
        <v>3.0576832310154933</v>
      </c>
      <c r="O9" s="79">
        <f>IF(O3=0,0,O3/TrNavi_ene!O3)</f>
        <v>3.0554782710918986</v>
      </c>
      <c r="P9" s="79">
        <f>IF(P3=0,0,P3/TrNavi_ene!P3)</f>
        <v>3.0203092808674716</v>
      </c>
      <c r="Q9" s="79">
        <f>IF(Q3=0,0,Q3/TrNavi_ene!Q3)</f>
        <v>3.0294861655504994</v>
      </c>
      <c r="R9" s="79">
        <f>IF(R3=0,0,R3/TrNavi_ene!R3)</f>
        <v>3.0234814956690625</v>
      </c>
      <c r="S9" s="79">
        <f>IF(S3=0,0,S3/TrNavi_ene!S3)</f>
        <v>3.0148479270846194</v>
      </c>
      <c r="T9" s="79">
        <f>IF(T3=0,0,T3/TrNavi_ene!T3)</f>
        <v>3.0153809998224474</v>
      </c>
      <c r="U9" s="79">
        <f>IF(U3=0,0,U3/TrNavi_ene!U3)</f>
        <v>3.0186628843736432</v>
      </c>
      <c r="V9" s="79">
        <f>IF(V3=0,0,V3/TrNavi_ene!V3)</f>
        <v>2.9671552531437264</v>
      </c>
      <c r="W9" s="79">
        <f>IF(W3=0,0,W3/TrNavi_ene!W3)</f>
        <v>2.8743828095808857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3.0902861356312066</v>
      </c>
      <c r="C10" s="80">
        <f>IF(C4=0,0,C4/TrNavi_ene!C4)</f>
        <v>3.0772499608913924</v>
      </c>
      <c r="D10" s="80">
        <f>IF(D4=0,0,D4/TrNavi_ene!D4)</f>
        <v>3.0834978050231467</v>
      </c>
      <c r="E10" s="80">
        <f>IF(E4=0,0,E4/TrNavi_ene!E4)</f>
        <v>3.0883505475784085</v>
      </c>
      <c r="F10" s="80">
        <f>IF(F4=0,0,F4/TrNavi_ene!F4)</f>
        <v>3.0806171462747325</v>
      </c>
      <c r="G10" s="80">
        <f>IF(G4=0,0,G4/TrNavi_ene!G4)</f>
        <v>3.0792349318379033</v>
      </c>
      <c r="H10" s="80">
        <f>IF(H4=0,0,H4/TrNavi_ene!H4)</f>
        <v>3.0819796042277994</v>
      </c>
      <c r="I10" s="80">
        <f>IF(I4=0,0,I4/TrNavi_ene!I4)</f>
        <v>3.0837384677606012</v>
      </c>
      <c r="J10" s="80">
        <f>IF(J4=0,0,J4/TrNavi_ene!J4)</f>
        <v>3.0578981481147518</v>
      </c>
      <c r="K10" s="80">
        <f>IF(K4=0,0,K4/TrNavi_ene!K4)</f>
        <v>3.0481907703220901</v>
      </c>
      <c r="L10" s="80">
        <f>IF(L4=0,0,L4/TrNavi_ene!L4)</f>
        <v>3.0493020832536191</v>
      </c>
      <c r="M10" s="80">
        <f>IF(M4=0,0,M4/TrNavi_ene!M4)</f>
        <v>3.0652283391025787</v>
      </c>
      <c r="N10" s="80">
        <f>IF(N4=0,0,N4/TrNavi_ene!N4)</f>
        <v>3.0576832310154933</v>
      </c>
      <c r="O10" s="80">
        <f>IF(O4=0,0,O4/TrNavi_ene!O4)</f>
        <v>3.0554782710918986</v>
      </c>
      <c r="P10" s="80">
        <f>IF(P4=0,0,P4/TrNavi_ene!P4)</f>
        <v>3.0203092808674716</v>
      </c>
      <c r="Q10" s="80">
        <f>IF(Q4=0,0,Q4/TrNavi_ene!Q4)</f>
        <v>3.0294861655504994</v>
      </c>
      <c r="R10" s="80">
        <f>IF(R4=0,0,R4/TrNavi_ene!R4)</f>
        <v>3.023481495669063</v>
      </c>
      <c r="S10" s="80">
        <f>IF(S4=0,0,S4/TrNavi_ene!S4)</f>
        <v>3.0148479270846194</v>
      </c>
      <c r="T10" s="80">
        <f>IF(T4=0,0,T4/TrNavi_ene!T4)</f>
        <v>3.0153809998224474</v>
      </c>
      <c r="U10" s="80">
        <f>IF(U4=0,0,U4/TrNavi_ene!U4)</f>
        <v>3.0186628843736432</v>
      </c>
      <c r="V10" s="80">
        <f>IF(V4=0,0,V4/TrNavi_ene!V4)</f>
        <v>2.967155253143726</v>
      </c>
      <c r="W10" s="80">
        <f>IF(W4=0,0,W4/TrNavi_ene!W4)</f>
        <v>2.8743828095808852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3.0902861356312052</v>
      </c>
      <c r="C11" s="81">
        <f>IF(C5=0,0,C5/TrNavi_ene!C10)</f>
        <v>3.0772499608913924</v>
      </c>
      <c r="D11" s="81">
        <f>IF(D5=0,0,D5/TrNavi_ene!D10)</f>
        <v>3.0834978050231467</v>
      </c>
      <c r="E11" s="81">
        <f>IF(E5=0,0,E5/TrNavi_ene!E10)</f>
        <v>3.0883505475784077</v>
      </c>
      <c r="F11" s="81">
        <f>IF(F5=0,0,F5/TrNavi_ene!F10)</f>
        <v>3.0806171462747329</v>
      </c>
      <c r="G11" s="81">
        <f>IF(G5=0,0,G5/TrNavi_ene!G10)</f>
        <v>3.0792349318379038</v>
      </c>
      <c r="H11" s="81">
        <f>IF(H5=0,0,H5/TrNavi_ene!H10)</f>
        <v>3.0819796042278003</v>
      </c>
      <c r="I11" s="81">
        <f>IF(I5=0,0,I5/TrNavi_ene!I10)</f>
        <v>3.0837384677606008</v>
      </c>
      <c r="J11" s="81">
        <f>IF(J5=0,0,J5/TrNavi_ene!J10)</f>
        <v>3.0578981481147518</v>
      </c>
      <c r="K11" s="81">
        <f>IF(K5=0,0,K5/TrNavi_ene!K10)</f>
        <v>3.0481907703220901</v>
      </c>
      <c r="L11" s="81">
        <f>IF(L5=0,0,L5/TrNavi_ene!L10)</f>
        <v>3.0493020832536191</v>
      </c>
      <c r="M11" s="81">
        <f>IF(M5=0,0,M5/TrNavi_ene!M10)</f>
        <v>3.0652283391025792</v>
      </c>
      <c r="N11" s="81">
        <f>IF(N5=0,0,N5/TrNavi_ene!N10)</f>
        <v>3.0576832310154924</v>
      </c>
      <c r="O11" s="81">
        <f>IF(O5=0,0,O5/TrNavi_ene!O10)</f>
        <v>3.0554782710918995</v>
      </c>
      <c r="P11" s="81">
        <f>IF(P5=0,0,P5/TrNavi_ene!P10)</f>
        <v>3.0203092808674721</v>
      </c>
      <c r="Q11" s="81">
        <f>IF(Q5=0,0,Q5/TrNavi_ene!Q10)</f>
        <v>3.0294861655504999</v>
      </c>
      <c r="R11" s="81">
        <f>IF(R5=0,0,R5/TrNavi_ene!R10)</f>
        <v>3.0234814956690634</v>
      </c>
      <c r="S11" s="81">
        <f>IF(S5=0,0,S5/TrNavi_ene!S10)</f>
        <v>3.0148479270846194</v>
      </c>
      <c r="T11" s="81">
        <f>IF(T5=0,0,T5/TrNavi_ene!T10)</f>
        <v>3.0153809998224474</v>
      </c>
      <c r="U11" s="81">
        <f>IF(U5=0,0,U5/TrNavi_ene!U10)</f>
        <v>3.0186628843736432</v>
      </c>
      <c r="V11" s="81">
        <f>IF(V5=0,0,V5/TrNavi_ene!V10)</f>
        <v>2.9671552531437264</v>
      </c>
      <c r="W11" s="81">
        <f>IF(W5=0,0,W5/TrNavi_ene!W10)</f>
        <v>2.8743828095808857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415482.83252491686</v>
      </c>
      <c r="C13" s="54">
        <f>IF(C3=0,0,C3/TrNavi_act!C7*1000)</f>
        <v>451635.51639246772</v>
      </c>
      <c r="D13" s="54">
        <f>IF(D3=0,0,D3/TrNavi_act!D7*1000)</f>
        <v>452609.22406101046</v>
      </c>
      <c r="E13" s="54">
        <f>IF(E3=0,0,E3/TrNavi_act!E7*1000)</f>
        <v>461611.44101599255</v>
      </c>
      <c r="F13" s="54">
        <f>IF(F3=0,0,F3/TrNavi_act!F7*1000)</f>
        <v>421173.46465116279</v>
      </c>
      <c r="G13" s="54">
        <f>IF(G3=0,0,G3/TrNavi_act!G7*1000)</f>
        <v>549563.5356221199</v>
      </c>
      <c r="H13" s="54">
        <f>IF(H3=0,0,H3/TrNavi_act!H7*1000)</f>
        <v>661017.00837209309</v>
      </c>
      <c r="I13" s="54">
        <f>IF(I3=0,0,I3/TrNavi_act!I7*1000)</f>
        <v>507083.14938461536</v>
      </c>
      <c r="J13" s="54">
        <f>IF(J3=0,0,J3/TrNavi_act!J7*1000)</f>
        <v>567865.23308192461</v>
      </c>
      <c r="K13" s="54">
        <f>IF(K3=0,0,K3/TrNavi_act!K7*1000)</f>
        <v>713610.04457142868</v>
      </c>
      <c r="L13" s="54">
        <f>IF(L3=0,0,L3/TrNavi_act!L7*1000)</f>
        <v>709484.65848693263</v>
      </c>
      <c r="M13" s="54">
        <f>IF(M3=0,0,M3/TrNavi_act!M7*1000)</f>
        <v>578334.74340775562</v>
      </c>
      <c r="N13" s="54">
        <f>IF(N3=0,0,N3/TrNavi_act!N7*1000)</f>
        <v>519256.12004540302</v>
      </c>
      <c r="O13" s="54">
        <f>IF(O3=0,0,O3/TrNavi_act!O7*1000)</f>
        <v>593560.04456692911</v>
      </c>
      <c r="P13" s="54">
        <f>IF(P3=0,0,P3/TrNavi_act!P7*1000)</f>
        <v>525044.00983957213</v>
      </c>
      <c r="Q13" s="54">
        <f>IF(Q3=0,0,Q3/TrNavi_act!Q7*1000)</f>
        <v>573218.22413793101</v>
      </c>
      <c r="R13" s="54">
        <f>IF(R3=0,0,R3/TrNavi_act!R7*1000)</f>
        <v>579893.13559006224</v>
      </c>
      <c r="S13" s="54">
        <f>IF(S3=0,0,S3/TrNavi_act!S7*1000)</f>
        <v>538568.24430167617</v>
      </c>
      <c r="T13" s="54">
        <f>IF(T3=0,0,T3/TrNavi_act!T7*1000)</f>
        <v>496155.6764478765</v>
      </c>
      <c r="U13" s="54">
        <f>IF(U3=0,0,U3/TrNavi_act!U7*1000)</f>
        <v>376800.54505203402</v>
      </c>
      <c r="V13" s="54">
        <f>IF(V3=0,0,V3/TrNavi_act!V7*1000)</f>
        <v>443637.21083665336</v>
      </c>
      <c r="W13" s="54">
        <f>IF(W3=0,0,W3/TrNavi_act!W7*1000)</f>
        <v>489674.97509433946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1056541.1556139663</v>
      </c>
      <c r="C14" s="56">
        <f>IF(C4=0,0,C4/TrNavi_act!C8*1000)</f>
        <v>1082815.0776399716</v>
      </c>
      <c r="D14" s="56">
        <f>IF(D4=0,0,D4/TrNavi_act!D8*1000)</f>
        <v>1109868.9305874694</v>
      </c>
      <c r="E14" s="56">
        <f>IF(E4=0,0,E4/TrNavi_act!E8*1000)</f>
        <v>1262454.5311902214</v>
      </c>
      <c r="F14" s="56">
        <f>IF(F4=0,0,F4/TrNavi_act!F8*1000)</f>
        <v>1250476.377659274</v>
      </c>
      <c r="G14" s="56">
        <f>IF(G4=0,0,G4/TrNavi_act!G8*1000)</f>
        <v>1437347.7103343317</v>
      </c>
      <c r="H14" s="56">
        <f>IF(H4=0,0,H4/TrNavi_act!H8*1000)</f>
        <v>1442229.7859411098</v>
      </c>
      <c r="I14" s="56">
        <f>IF(I4=0,0,I4/TrNavi_act!I8*1000)</f>
        <v>1344726.5389502819</v>
      </c>
      <c r="J14" s="56">
        <f>IF(J4=0,0,J4/TrNavi_act!J8*1000)</f>
        <v>1204120.7165504352</v>
      </c>
      <c r="K14" s="56">
        <f>IF(K4=0,0,K4/TrNavi_act!K8*1000)</f>
        <v>1443492.833778257</v>
      </c>
      <c r="L14" s="56">
        <f>IF(L4=0,0,L4/TrNavi_act!L8*1000)</f>
        <v>1133907.9256944237</v>
      </c>
      <c r="M14" s="56">
        <f>IF(M4=0,0,M4/TrNavi_act!M8*1000)</f>
        <v>953857.04673476238</v>
      </c>
      <c r="N14" s="56">
        <f>IF(N4=0,0,N4/TrNavi_act!N8*1000)</f>
        <v>1195034.0470544538</v>
      </c>
      <c r="O14" s="56">
        <f>IF(O4=0,0,O4/TrNavi_act!O8*1000)</f>
        <v>1580181.9647541535</v>
      </c>
      <c r="P14" s="56">
        <f>IF(P4=0,0,P4/TrNavi_act!P8*1000)</f>
        <v>1270218.7551976743</v>
      </c>
      <c r="Q14" s="56">
        <f>IF(Q4=0,0,Q4/TrNavi_act!Q8*1000)</f>
        <v>1244593.7263485354</v>
      </c>
      <c r="R14" s="56">
        <f>IF(R4=0,0,R4/TrNavi_act!R8*1000)</f>
        <v>1106501.2162789209</v>
      </c>
      <c r="S14" s="56">
        <f>IF(S4=0,0,S4/TrNavi_act!S8*1000)</f>
        <v>1091902.4382341814</v>
      </c>
      <c r="T14" s="56">
        <f>IF(T4=0,0,T4/TrNavi_act!T8*1000)</f>
        <v>900890.80367681175</v>
      </c>
      <c r="U14" s="56">
        <f>IF(U4=0,0,U4/TrNavi_act!U8*1000)</f>
        <v>572476.97615564696</v>
      </c>
      <c r="V14" s="56">
        <f>IF(V4=0,0,V4/TrNavi_act!V8*1000)</f>
        <v>871320.1726242404</v>
      </c>
      <c r="W14" s="56">
        <f>IF(W4=0,0,W4/TrNavi_act!W8*1000)</f>
        <v>1286773.3892756547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89330.352356804025</v>
      </c>
      <c r="C15" s="58">
        <f>IF(C5=0,0,C5/TrNavi_act!C9*1000)</f>
        <v>92363.791016750023</v>
      </c>
      <c r="D15" s="58">
        <f>IF(D5=0,0,D5/TrNavi_act!D9*1000)</f>
        <v>89949.652264606382</v>
      </c>
      <c r="E15" s="58">
        <f>IF(E5=0,0,E5/TrNavi_act!E9*1000)</f>
        <v>102650.43738203986</v>
      </c>
      <c r="F15" s="58">
        <f>IF(F5=0,0,F5/TrNavi_act!F9*1000)</f>
        <v>101578.41391321666</v>
      </c>
      <c r="G15" s="58">
        <f>IF(G5=0,0,G5/TrNavi_act!G9*1000)</f>
        <v>111019.54570403954</v>
      </c>
      <c r="H15" s="58">
        <f>IF(H5=0,0,H5/TrNavi_act!H9*1000)</f>
        <v>113309.58849403508</v>
      </c>
      <c r="I15" s="58">
        <f>IF(I5=0,0,I5/TrNavi_act!I9*1000)</f>
        <v>105538.59421586762</v>
      </c>
      <c r="J15" s="58">
        <f>IF(J5=0,0,J5/TrNavi_act!J9*1000)</f>
        <v>92119.655670242995</v>
      </c>
      <c r="K15" s="58">
        <f>IF(K5=0,0,K5/TrNavi_act!K9*1000)</f>
        <v>114515.50082940786</v>
      </c>
      <c r="L15" s="58">
        <f>IF(L5=0,0,L5/TrNavi_act!L9*1000)</f>
        <v>91489.968735484435</v>
      </c>
      <c r="M15" s="58">
        <f>IF(M5=0,0,M5/TrNavi_act!M9*1000)</f>
        <v>75918.914505963301</v>
      </c>
      <c r="N15" s="58">
        <f>IF(N5=0,0,N5/TrNavi_act!N9*1000)</f>
        <v>96583.209978856336</v>
      </c>
      <c r="O15" s="58">
        <f>IF(O5=0,0,O5/TrNavi_act!O9*1000)</f>
        <v>131615.6773116391</v>
      </c>
      <c r="P15" s="58">
        <f>IF(P5=0,0,P5/TrNavi_act!P9*1000)</f>
        <v>106563.82925224556</v>
      </c>
      <c r="Q15" s="58">
        <f>IF(Q5=0,0,Q5/TrNavi_act!Q9*1000)</f>
        <v>107665.86859043154</v>
      </c>
      <c r="R15" s="58">
        <f>IF(R5=0,0,R5/TrNavi_act!R9*1000)</f>
        <v>91125.156507588632</v>
      </c>
      <c r="S15" s="58">
        <f>IF(S5=0,0,S5/TrNavi_act!S9*1000)</f>
        <v>83792.303741372758</v>
      </c>
      <c r="T15" s="58">
        <f>IF(T5=0,0,T5/TrNavi_act!T9*1000)</f>
        <v>71130.397721976173</v>
      </c>
      <c r="U15" s="58">
        <f>IF(U5=0,0,U5/TrNavi_act!U9*1000)</f>
        <v>46192.020235751515</v>
      </c>
      <c r="V15" s="58">
        <f>IF(V5=0,0,V5/TrNavi_act!V9*1000)</f>
        <v>74178.414638960647</v>
      </c>
      <c r="W15" s="58">
        <f>IF(W5=0,0,W5/TrNavi_act!W9*1000)</f>
        <v>108230.88418783029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511.98315196721609</v>
      </c>
      <c r="C17" s="62">
        <f>IF(C3=0,0,C3/TrNavi_act!C3*1000)</f>
        <v>513.41241184284195</v>
      </c>
      <c r="D17" s="62">
        <f>IF(D3=0,0,D3/TrNavi_act!D3*1000)</f>
        <v>501.03002678283116</v>
      </c>
      <c r="E17" s="62">
        <f>IF(E3=0,0,E3/TrNavi_act!E3*1000)</f>
        <v>565.70942593561881</v>
      </c>
      <c r="F17" s="62">
        <f>IF(F3=0,0,F3/TrNavi_act!F3*1000)</f>
        <v>557.24291331510062</v>
      </c>
      <c r="G17" s="62">
        <f>IF(G3=0,0,G3/TrNavi_act!G3*1000)</f>
        <v>633.05116992489991</v>
      </c>
      <c r="H17" s="62">
        <f>IF(H3=0,0,H3/TrNavi_act!H3*1000)</f>
        <v>603.72477521414226</v>
      </c>
      <c r="I17" s="62">
        <f>IF(I3=0,0,I3/TrNavi_act!I3*1000)</f>
        <v>555.29386996199878</v>
      </c>
      <c r="J17" s="62">
        <f>IF(J3=0,0,J3/TrNavi_act!J3*1000)</f>
        <v>470.43654080421277</v>
      </c>
      <c r="K17" s="62">
        <f>IF(K3=0,0,K3/TrNavi_act!K3*1000)</f>
        <v>562.39533055121888</v>
      </c>
      <c r="L17" s="62">
        <f>IF(L3=0,0,L3/TrNavi_act!L3*1000)</f>
        <v>434.00677076864827</v>
      </c>
      <c r="M17" s="62">
        <f>IF(M3=0,0,M3/TrNavi_act!M3*1000)</f>
        <v>389.33177860997586</v>
      </c>
      <c r="N17" s="62">
        <f>IF(N3=0,0,N3/TrNavi_act!N3*1000)</f>
        <v>481.94504007037466</v>
      </c>
      <c r="O17" s="62">
        <f>IF(O3=0,0,O3/TrNavi_act!O3*1000)</f>
        <v>620.34051926748441</v>
      </c>
      <c r="P17" s="62">
        <f>IF(P3=0,0,P3/TrNavi_act!P3*1000)</f>
        <v>485.30601170469367</v>
      </c>
      <c r="Q17" s="62">
        <f>IF(Q3=0,0,Q3/TrNavi_act!Q3*1000)</f>
        <v>453.71926169382812</v>
      </c>
      <c r="R17" s="62">
        <f>IF(R3=0,0,R3/TrNavi_act!R3*1000)</f>
        <v>391.66969519184892</v>
      </c>
      <c r="S17" s="62">
        <f>IF(S3=0,0,S3/TrNavi_act!S3*1000)</f>
        <v>380.21192473224664</v>
      </c>
      <c r="T17" s="62">
        <f>IF(T3=0,0,T3/TrNavi_act!T3*1000)</f>
        <v>323.59723244365665</v>
      </c>
      <c r="U17" s="62">
        <f>IF(U3=0,0,U3/TrNavi_act!U3*1000)</f>
        <v>211.56223400288329</v>
      </c>
      <c r="V17" s="62">
        <f>IF(V3=0,0,V3/TrNavi_act!V3*1000)</f>
        <v>295.30139727221382</v>
      </c>
      <c r="W17" s="62">
        <f>IF(W3=0,0,W3/TrNavi_act!W3*1000)</f>
        <v>426.92288730237857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499.32800178248277</v>
      </c>
      <c r="C18" s="63">
        <f>IF(C4=0,0,C4/TrNavi_act!C4*1000)</f>
        <v>503.83276495183594</v>
      </c>
      <c r="D18" s="63">
        <f>IF(D4=0,0,D4/TrNavi_act!D4*1000)</f>
        <v>495.41672084881213</v>
      </c>
      <c r="E18" s="63">
        <f>IF(E4=0,0,E4/TrNavi_act!E4*1000)</f>
        <v>547.66722938417615</v>
      </c>
      <c r="F18" s="63">
        <f>IF(F4=0,0,F4/TrNavi_act!F4*1000)</f>
        <v>534.93335440436169</v>
      </c>
      <c r="G18" s="63">
        <f>IF(G4=0,0,G4/TrNavi_act!G4*1000)</f>
        <v>607.96223711945595</v>
      </c>
      <c r="H18" s="63">
        <f>IF(H4=0,0,H4/TrNavi_act!H4*1000)</f>
        <v>588.73979522095954</v>
      </c>
      <c r="I18" s="63">
        <f>IF(I4=0,0,I4/TrNavi_act!I4*1000)</f>
        <v>534.58664801192526</v>
      </c>
      <c r="J18" s="63">
        <f>IF(J4=0,0,J4/TrNavi_act!J4*1000)</f>
        <v>467.02046743234189</v>
      </c>
      <c r="K18" s="63">
        <f>IF(K4=0,0,K4/TrNavi_act!K4*1000)</f>
        <v>555.19556657307351</v>
      </c>
      <c r="L18" s="63">
        <f>IF(L4=0,0,L4/TrNavi_act!L4*1000)</f>
        <v>439.31351159539446</v>
      </c>
      <c r="M18" s="63">
        <f>IF(M4=0,0,M4/TrNavi_act!M4*1000)</f>
        <v>395.63893850879998</v>
      </c>
      <c r="N18" s="63">
        <f>IF(N4=0,0,N4/TrNavi_act!N4*1000)</f>
        <v>490.92836562000934</v>
      </c>
      <c r="O18" s="63">
        <f>IF(O4=0,0,O4/TrNavi_act!O4*1000)</f>
        <v>631.44497887739476</v>
      </c>
      <c r="P18" s="63">
        <f>IF(P4=0,0,P4/TrNavi_act!P4*1000)</f>
        <v>507.52300065974856</v>
      </c>
      <c r="Q18" s="63">
        <f>IF(Q4=0,0,Q4/TrNavi_act!Q4*1000)</f>
        <v>472.12097803747139</v>
      </c>
      <c r="R18" s="63">
        <f>IF(R4=0,0,R4/TrNavi_act!R4*1000)</f>
        <v>403.31737425876463</v>
      </c>
      <c r="S18" s="63">
        <f>IF(S4=0,0,S4/TrNavi_act!S4*1000)</f>
        <v>395.44072506594591</v>
      </c>
      <c r="T18" s="63">
        <f>IF(T4=0,0,T4/TrNavi_act!T4*1000)</f>
        <v>333.98711561310245</v>
      </c>
      <c r="U18" s="63">
        <f>IF(U4=0,0,U4/TrNavi_act!U4*1000)</f>
        <v>215.91149633658742</v>
      </c>
      <c r="V18" s="63">
        <f>IF(V4=0,0,V4/TrNavi_act!V4*1000)</f>
        <v>302.80472856365009</v>
      </c>
      <c r="W18" s="63">
        <f>IF(W4=0,0,W4/TrNavi_act!W4*1000)</f>
        <v>446.77266370500905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604.11543373499671</v>
      </c>
      <c r="C19" s="64">
        <f>IF(C5=0,0,C5/TrNavi_act!C5*1000)</f>
        <v>588.01898637396312</v>
      </c>
      <c r="D19" s="64">
        <f>IF(D5=0,0,D5/TrNavi_act!D5*1000)</f>
        <v>542.91040116851718</v>
      </c>
      <c r="E19" s="64">
        <f>IF(E5=0,0,E5/TrNavi_act!E5*1000)</f>
        <v>691.24239484786472</v>
      </c>
      <c r="F19" s="64">
        <f>IF(F5=0,0,F5/TrNavi_act!F5*1000)</f>
        <v>694.69305108445644</v>
      </c>
      <c r="G19" s="64">
        <f>IF(G5=0,0,G5/TrNavi_act!G5*1000)</f>
        <v>860.03141405395957</v>
      </c>
      <c r="H19" s="64">
        <f>IF(H5=0,0,H5/TrNavi_act!H5*1000)</f>
        <v>781.14943583009028</v>
      </c>
      <c r="I19" s="64">
        <f>IF(I5=0,0,I5/TrNavi_act!I5*1000)</f>
        <v>727.38854640936199</v>
      </c>
      <c r="J19" s="64">
        <f>IF(J5=0,0,J5/TrNavi_act!J5*1000)</f>
        <v>506.65810618633645</v>
      </c>
      <c r="K19" s="64">
        <f>IF(K5=0,0,K5/TrNavi_act!K5*1000)</f>
        <v>649.54693913073959</v>
      </c>
      <c r="L19" s="64">
        <f>IF(L5=0,0,L5/TrNavi_act!L5*1000)</f>
        <v>356.32935191714995</v>
      </c>
      <c r="M19" s="64">
        <f>IF(M5=0,0,M5/TrNavi_act!M5*1000)</f>
        <v>307.04983200189599</v>
      </c>
      <c r="N19" s="64">
        <f>IF(N5=0,0,N5/TrNavi_act!N5*1000)</f>
        <v>422.16209523016232</v>
      </c>
      <c r="O19" s="64">
        <f>IF(O5=0,0,O5/TrNavi_act!O5*1000)</f>
        <v>564.53335970860087</v>
      </c>
      <c r="P19" s="64">
        <f>IF(P5=0,0,P5/TrNavi_act!P5*1000)</f>
        <v>375.32407508695309</v>
      </c>
      <c r="Q19" s="64">
        <f>IF(Q5=0,0,Q5/TrNavi_act!Q5*1000)</f>
        <v>345.7083749270887</v>
      </c>
      <c r="R19" s="64">
        <f>IF(R5=0,0,R5/TrNavi_act!R5*1000)</f>
        <v>295.49322595664665</v>
      </c>
      <c r="S19" s="64">
        <f>IF(S5=0,0,S5/TrNavi_act!S5*1000)</f>
        <v>269.18562973045914</v>
      </c>
      <c r="T19" s="64">
        <f>IF(T5=0,0,T5/TrNavi_act!T5*1000)</f>
        <v>228.8922515374158</v>
      </c>
      <c r="U19" s="64">
        <f>IF(U5=0,0,U5/TrNavi_act!U5*1000)</f>
        <v>148.79888485778972</v>
      </c>
      <c r="V19" s="64">
        <f>IF(V5=0,0,V5/TrNavi_act!V5*1000)</f>
        <v>235.96913003259925</v>
      </c>
      <c r="W19" s="64">
        <f>IF(W5=0,0,W5/TrNavi_act!W5*1000)</f>
        <v>340.78102724006027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0.85749753797946138</v>
      </c>
      <c r="C22" s="77">
        <f t="shared" si="5"/>
        <v>0.86967327877671496</v>
      </c>
      <c r="D22" s="77">
        <f t="shared" si="5"/>
        <v>0.87193003348357545</v>
      </c>
      <c r="E22" s="77">
        <f t="shared" si="5"/>
        <v>0.84645098482352588</v>
      </c>
      <c r="F22" s="77">
        <f t="shared" si="5"/>
        <v>0.82591066869894969</v>
      </c>
      <c r="G22" s="77">
        <f t="shared" si="5"/>
        <v>0.86478093015355073</v>
      </c>
      <c r="H22" s="77">
        <f t="shared" si="5"/>
        <v>0.89923157653838504</v>
      </c>
      <c r="I22" s="77">
        <f t="shared" si="5"/>
        <v>0.85931295370433325</v>
      </c>
      <c r="J22" s="77">
        <f t="shared" si="5"/>
        <v>0.90718175290644898</v>
      </c>
      <c r="K22" s="77">
        <f t="shared" si="5"/>
        <v>0.91186693542713937</v>
      </c>
      <c r="L22" s="77">
        <f t="shared" si="5"/>
        <v>0.94749655862947446</v>
      </c>
      <c r="M22" s="77">
        <f t="shared" si="5"/>
        <v>0.94385093481588422</v>
      </c>
      <c r="N22" s="77">
        <f t="shared" si="5"/>
        <v>0.88556908003394152</v>
      </c>
      <c r="O22" s="77">
        <f t="shared" si="5"/>
        <v>0.84897273739923373</v>
      </c>
      <c r="P22" s="77">
        <f t="shared" si="5"/>
        <v>0.87002853161632754</v>
      </c>
      <c r="Q22" s="77">
        <f t="shared" si="5"/>
        <v>0.88908490862036804</v>
      </c>
      <c r="R22" s="77">
        <f t="shared" si="5"/>
        <v>0.91850125542794181</v>
      </c>
      <c r="S22" s="77">
        <f t="shared" si="5"/>
        <v>0.914602940558359</v>
      </c>
      <c r="T22" s="77">
        <f t="shared" si="5"/>
        <v>0.93007129852477144</v>
      </c>
      <c r="U22" s="77">
        <f t="shared" si="5"/>
        <v>0.95442013888508737</v>
      </c>
      <c r="V22" s="77">
        <f t="shared" ref="V22:W22" si="6">IF(V4=0,0,V4/V$3)</f>
        <v>0.9102910094226212</v>
      </c>
      <c r="W22" s="77">
        <f t="shared" si="6"/>
        <v>0.8505107402646519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0.14250246202053865</v>
      </c>
      <c r="C23" s="78">
        <f t="shared" si="7"/>
        <v>0.13032672122328509</v>
      </c>
      <c r="D23" s="78">
        <f t="shared" si="7"/>
        <v>0.12806996651642455</v>
      </c>
      <c r="E23" s="78">
        <f t="shared" si="7"/>
        <v>0.15354901517647412</v>
      </c>
      <c r="F23" s="78">
        <f t="shared" si="7"/>
        <v>0.17408933130105031</v>
      </c>
      <c r="G23" s="78">
        <f t="shared" si="7"/>
        <v>0.13521906984644927</v>
      </c>
      <c r="H23" s="78">
        <f t="shared" si="7"/>
        <v>0.10076842346161495</v>
      </c>
      <c r="I23" s="78">
        <f t="shared" si="7"/>
        <v>0.14068704629566678</v>
      </c>
      <c r="J23" s="78">
        <f t="shared" si="7"/>
        <v>9.2818247093550965E-2</v>
      </c>
      <c r="K23" s="78">
        <f t="shared" si="7"/>
        <v>8.8133064572860728E-2</v>
      </c>
      <c r="L23" s="78">
        <f t="shared" si="7"/>
        <v>5.2503441370525504E-2</v>
      </c>
      <c r="M23" s="78">
        <f t="shared" si="7"/>
        <v>5.6149065184115783E-2</v>
      </c>
      <c r="N23" s="78">
        <f t="shared" si="7"/>
        <v>0.11443091996605839</v>
      </c>
      <c r="O23" s="78">
        <f t="shared" si="7"/>
        <v>0.15102726260076629</v>
      </c>
      <c r="P23" s="78">
        <f t="shared" si="7"/>
        <v>0.12997146838367243</v>
      </c>
      <c r="Q23" s="78">
        <f t="shared" si="7"/>
        <v>0.11091509137963196</v>
      </c>
      <c r="R23" s="78">
        <f t="shared" si="7"/>
        <v>8.1498744572058246E-2</v>
      </c>
      <c r="S23" s="78">
        <f t="shared" si="7"/>
        <v>8.5397059441641013E-2</v>
      </c>
      <c r="T23" s="78">
        <f t="shared" si="7"/>
        <v>6.9928701475228602E-2</v>
      </c>
      <c r="U23" s="78">
        <f t="shared" si="7"/>
        <v>4.5579861114912718E-2</v>
      </c>
      <c r="V23" s="78">
        <f t="shared" ref="V23:W23" si="8">IF(V5=0,0,V5/V$3)</f>
        <v>8.9708990577378744E-2</v>
      </c>
      <c r="W23" s="78">
        <f t="shared" si="8"/>
        <v>0.14948925973534807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114311.951642</v>
      </c>
      <c r="C3" s="54">
        <f t="shared" si="0"/>
        <v>132044.14726300002</v>
      </c>
      <c r="D3" s="54">
        <f t="shared" si="0"/>
        <v>149399.20454900002</v>
      </c>
      <c r="E3" s="54">
        <f t="shared" si="0"/>
        <v>162369.50329999998</v>
      </c>
      <c r="F3" s="54">
        <f t="shared" si="0"/>
        <v>166973.96856800001</v>
      </c>
      <c r="G3" s="54">
        <f t="shared" si="0"/>
        <v>152912.612517</v>
      </c>
      <c r="H3" s="54">
        <f t="shared" si="0"/>
        <v>163665.43560699999</v>
      </c>
      <c r="I3" s="54">
        <f t="shared" si="0"/>
        <v>168976.64244699999</v>
      </c>
      <c r="J3" s="54">
        <f t="shared" si="0"/>
        <v>183894.454486</v>
      </c>
      <c r="K3" s="54">
        <f t="shared" si="0"/>
        <v>157682.84138699999</v>
      </c>
      <c r="L3" s="54">
        <f t="shared" si="0"/>
        <v>177635.146832</v>
      </c>
      <c r="M3" s="54">
        <f t="shared" si="0"/>
        <v>192443.118136</v>
      </c>
      <c r="N3" s="54">
        <f t="shared" si="0"/>
        <v>182630.12815899999</v>
      </c>
      <c r="O3" s="54">
        <f t="shared" si="0"/>
        <v>188716.55197999999</v>
      </c>
      <c r="P3" s="54">
        <f t="shared" si="0"/>
        <v>186497.899393</v>
      </c>
      <c r="Q3" s="54">
        <f t="shared" si="0"/>
        <v>153546.57262599998</v>
      </c>
      <c r="R3" s="54">
        <f t="shared" ref="R3:W3" si="1">SUM(R4:R5)</f>
        <v>174951.282129</v>
      </c>
      <c r="S3" s="54">
        <f t="shared" si="1"/>
        <v>177950.76034899999</v>
      </c>
      <c r="T3" s="54">
        <f t="shared" si="1"/>
        <v>187099.230622</v>
      </c>
      <c r="U3" s="54">
        <f t="shared" si="1"/>
        <v>194413.003161</v>
      </c>
      <c r="V3" s="54">
        <f t="shared" si="1"/>
        <v>177000.00344599999</v>
      </c>
      <c r="W3" s="54">
        <f t="shared" si="1"/>
        <v>165294.57199299999</v>
      </c>
      <c r="DA3" s="172" t="s">
        <v>387</v>
      </c>
    </row>
    <row r="4" spans="1:105" ht="11.45" customHeight="1" x14ac:dyDescent="0.25">
      <c r="A4" s="55" t="s">
        <v>170</v>
      </c>
      <c r="B4" s="56">
        <v>56515.607217000004</v>
      </c>
      <c r="C4" s="56">
        <v>54445.728969999996</v>
      </c>
      <c r="D4" s="56">
        <v>55928.535715999999</v>
      </c>
      <c r="E4" s="56">
        <v>57491.764978000007</v>
      </c>
      <c r="F4" s="56">
        <v>59341.023832999999</v>
      </c>
      <c r="G4" s="56">
        <v>55498.506164999999</v>
      </c>
      <c r="H4" s="56">
        <v>63809.77003</v>
      </c>
      <c r="I4" s="56">
        <v>64006.124450999996</v>
      </c>
      <c r="J4" s="56">
        <v>65254.399216999998</v>
      </c>
      <c r="K4" s="56">
        <v>48467.442371999998</v>
      </c>
      <c r="L4" s="56">
        <v>57600.035831999994</v>
      </c>
      <c r="M4" s="56">
        <v>57854.305908000002</v>
      </c>
      <c r="N4" s="56">
        <v>56365.691634999996</v>
      </c>
      <c r="O4" s="56">
        <v>57378.213283999998</v>
      </c>
      <c r="P4" s="56">
        <v>55537.508907000003</v>
      </c>
      <c r="Q4" s="56">
        <v>52846.969085999997</v>
      </c>
      <c r="R4" s="56">
        <v>57125.338234000003</v>
      </c>
      <c r="S4" s="56">
        <v>59578.571152000004</v>
      </c>
      <c r="T4" s="56">
        <v>60739.414655</v>
      </c>
      <c r="U4" s="56">
        <v>59527.559879</v>
      </c>
      <c r="V4" s="56">
        <v>57556.723450999998</v>
      </c>
      <c r="W4" s="56">
        <v>56069.846175999999</v>
      </c>
      <c r="DA4" s="181" t="s">
        <v>388</v>
      </c>
    </row>
    <row r="5" spans="1:105" ht="11.45" customHeight="1" x14ac:dyDescent="0.25">
      <c r="A5" s="57" t="s">
        <v>171</v>
      </c>
      <c r="B5" s="58">
        <v>57796.344425000003</v>
      </c>
      <c r="C5" s="58">
        <v>77598.41829300001</v>
      </c>
      <c r="D5" s="58">
        <v>93470.668833000003</v>
      </c>
      <c r="E5" s="58">
        <v>104877.73832199999</v>
      </c>
      <c r="F5" s="58">
        <v>107632.944735</v>
      </c>
      <c r="G5" s="58">
        <v>97414.106352000003</v>
      </c>
      <c r="H5" s="58">
        <v>99855.665576999992</v>
      </c>
      <c r="I5" s="58">
        <v>104970.517996</v>
      </c>
      <c r="J5" s="58">
        <v>118640.055269</v>
      </c>
      <c r="K5" s="58">
        <v>109215.399015</v>
      </c>
      <c r="L5" s="58">
        <v>120035.111</v>
      </c>
      <c r="M5" s="58">
        <v>134588.812228</v>
      </c>
      <c r="N5" s="58">
        <v>126264.43652399999</v>
      </c>
      <c r="O5" s="58">
        <v>131338.33869599999</v>
      </c>
      <c r="P5" s="58">
        <v>130960.39048599999</v>
      </c>
      <c r="Q5" s="58">
        <v>100699.60354</v>
      </c>
      <c r="R5" s="58">
        <v>117825.94389499999</v>
      </c>
      <c r="S5" s="58">
        <v>118372.189197</v>
      </c>
      <c r="T5" s="58">
        <v>126359.815967</v>
      </c>
      <c r="U5" s="58">
        <v>134885.44328199999</v>
      </c>
      <c r="V5" s="58">
        <v>119443.279995</v>
      </c>
      <c r="W5" s="58">
        <v>109224.725817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14.802493999999999</v>
      </c>
      <c r="C7" s="59">
        <f t="shared" si="2"/>
        <v>14.927588</v>
      </c>
      <c r="D7" s="59">
        <f t="shared" si="2"/>
        <v>15.349701</v>
      </c>
      <c r="E7" s="59">
        <f t="shared" si="2"/>
        <v>15.749226999999999</v>
      </c>
      <c r="F7" s="59">
        <f t="shared" si="2"/>
        <v>16.034646000000002</v>
      </c>
      <c r="G7" s="59">
        <f t="shared" si="2"/>
        <v>14.369201</v>
      </c>
      <c r="H7" s="59">
        <f t="shared" si="2"/>
        <v>15.255000000000001</v>
      </c>
      <c r="I7" s="59">
        <f t="shared" si="2"/>
        <v>14.833402000000001</v>
      </c>
      <c r="J7" s="59">
        <f t="shared" si="2"/>
        <v>14.914256</v>
      </c>
      <c r="K7" s="59">
        <f t="shared" si="2"/>
        <v>10.950709</v>
      </c>
      <c r="L7" s="59">
        <f t="shared" si="2"/>
        <v>12.686371000000001</v>
      </c>
      <c r="M7" s="59">
        <f t="shared" si="2"/>
        <v>12.876559</v>
      </c>
      <c r="N7" s="59">
        <f t="shared" si="2"/>
        <v>12.095203</v>
      </c>
      <c r="O7" s="59">
        <f t="shared" si="2"/>
        <v>11.965931000000001</v>
      </c>
      <c r="P7" s="59">
        <f t="shared" si="2"/>
        <v>11.539514</v>
      </c>
      <c r="Q7" s="59">
        <f t="shared" si="2"/>
        <v>10.420182</v>
      </c>
      <c r="R7" s="59">
        <f t="shared" si="2"/>
        <v>11.171232</v>
      </c>
      <c r="S7" s="59">
        <f t="shared" si="2"/>
        <v>11.450415</v>
      </c>
      <c r="T7" s="59">
        <f t="shared" si="2"/>
        <v>11.761193</v>
      </c>
      <c r="U7" s="59">
        <f t="shared" si="2"/>
        <v>11.689748999999999</v>
      </c>
      <c r="V7" s="59">
        <f t="shared" si="2"/>
        <v>10.158373000000001</v>
      </c>
      <c r="W7" s="59">
        <f t="shared" si="2"/>
        <v>10.132581999999999</v>
      </c>
      <c r="DA7" s="172" t="s">
        <v>961</v>
      </c>
    </row>
    <row r="8" spans="1:105" ht="11.45" customHeight="1" x14ac:dyDescent="0.25">
      <c r="A8" s="55" t="s">
        <v>170</v>
      </c>
      <c r="B8" s="60">
        <v>10.748906999999999</v>
      </c>
      <c r="C8" s="60">
        <v>10.245079</v>
      </c>
      <c r="D8" s="60">
        <v>10.266378</v>
      </c>
      <c r="E8" s="60">
        <v>10.189029999999999</v>
      </c>
      <c r="F8" s="60">
        <v>10.440386</v>
      </c>
      <c r="G8" s="60">
        <v>9.4345110000000005</v>
      </c>
      <c r="H8" s="60">
        <v>10.275125000000001</v>
      </c>
      <c r="I8" s="60">
        <v>9.9442250000000012</v>
      </c>
      <c r="J8" s="60">
        <v>9.9367029999999996</v>
      </c>
      <c r="K8" s="60">
        <v>6.9416099999999998</v>
      </c>
      <c r="L8" s="60">
        <v>8.3705820000000006</v>
      </c>
      <c r="M8" s="60">
        <v>8.2620439999999995</v>
      </c>
      <c r="N8" s="60">
        <v>7.9154059999999999</v>
      </c>
      <c r="O8" s="60">
        <v>7.7493370000000006</v>
      </c>
      <c r="P8" s="60">
        <v>7.3244480000000003</v>
      </c>
      <c r="Q8" s="60">
        <v>7.0992099999999994</v>
      </c>
      <c r="R8" s="60">
        <v>7.4123899999999994</v>
      </c>
      <c r="S8" s="60">
        <v>7.7110719999999997</v>
      </c>
      <c r="T8" s="60">
        <v>7.8523860000000001</v>
      </c>
      <c r="U8" s="60">
        <v>7.6667119999999995</v>
      </c>
      <c r="V8" s="60">
        <v>6.5724480000000005</v>
      </c>
      <c r="W8" s="60">
        <v>6.8075569999999992</v>
      </c>
      <c r="DA8" s="181" t="s">
        <v>962</v>
      </c>
    </row>
    <row r="9" spans="1:105" ht="11.45" customHeight="1" x14ac:dyDescent="0.25">
      <c r="A9" s="57" t="s">
        <v>171</v>
      </c>
      <c r="B9" s="61">
        <v>4.0535870000000003</v>
      </c>
      <c r="C9" s="61">
        <v>4.6825089999999996</v>
      </c>
      <c r="D9" s="61">
        <v>5.083323</v>
      </c>
      <c r="E9" s="61">
        <v>5.5601970000000005</v>
      </c>
      <c r="F9" s="61">
        <v>5.5942600000000002</v>
      </c>
      <c r="G9" s="61">
        <v>4.9346899999999998</v>
      </c>
      <c r="H9" s="61">
        <v>4.9798749999999998</v>
      </c>
      <c r="I9" s="61">
        <v>4.8891770000000001</v>
      </c>
      <c r="J9" s="61">
        <v>4.9775530000000003</v>
      </c>
      <c r="K9" s="61">
        <v>4.009099</v>
      </c>
      <c r="L9" s="61">
        <v>4.3157889999999997</v>
      </c>
      <c r="M9" s="61">
        <v>4.6145149999999999</v>
      </c>
      <c r="N9" s="61">
        <v>4.1797969999999998</v>
      </c>
      <c r="O9" s="61">
        <v>4.2165939999999997</v>
      </c>
      <c r="P9" s="61">
        <v>4.2150660000000002</v>
      </c>
      <c r="Q9" s="61">
        <v>3.3209720000000003</v>
      </c>
      <c r="R9" s="61">
        <v>3.758842</v>
      </c>
      <c r="S9" s="61">
        <v>3.7393429999999999</v>
      </c>
      <c r="T9" s="61">
        <v>3.9088069999999999</v>
      </c>
      <c r="U9" s="61">
        <v>4.0230370000000004</v>
      </c>
      <c r="V9" s="61">
        <v>3.5859249999999996</v>
      </c>
      <c r="W9" s="61">
        <v>3.3250250000000001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7722.4791742526631</v>
      </c>
      <c r="C13" s="62">
        <f t="shared" si="3"/>
        <v>8845.6452082546766</v>
      </c>
      <c r="D13" s="62">
        <f t="shared" si="3"/>
        <v>9733.0367900325891</v>
      </c>
      <c r="E13" s="62">
        <f t="shared" si="3"/>
        <v>10309.680805286507</v>
      </c>
      <c r="F13" s="62">
        <f t="shared" si="3"/>
        <v>10413.324283429767</v>
      </c>
      <c r="G13" s="62">
        <f t="shared" si="3"/>
        <v>10641.692082740021</v>
      </c>
      <c r="H13" s="62">
        <f t="shared" si="3"/>
        <v>10728.642124352671</v>
      </c>
      <c r="I13" s="62">
        <f t="shared" si="3"/>
        <v>11391.631026179966</v>
      </c>
      <c r="J13" s="62">
        <f t="shared" si="3"/>
        <v>12330.112510205001</v>
      </c>
      <c r="K13" s="62">
        <f t="shared" si="3"/>
        <v>14399.327147402053</v>
      </c>
      <c r="L13" s="62">
        <f t="shared" si="3"/>
        <v>14002.045725448199</v>
      </c>
      <c r="M13" s="62">
        <f t="shared" si="3"/>
        <v>14945.228623268064</v>
      </c>
      <c r="N13" s="62">
        <f t="shared" si="3"/>
        <v>15099.385116479649</v>
      </c>
      <c r="O13" s="62">
        <f t="shared" si="3"/>
        <v>15771.154954846386</v>
      </c>
      <c r="P13" s="62">
        <f t="shared" si="3"/>
        <v>16161.677120284268</v>
      </c>
      <c r="Q13" s="62">
        <f t="shared" si="3"/>
        <v>14735.498154062949</v>
      </c>
      <c r="R13" s="62">
        <f t="shared" si="3"/>
        <v>15660.876269421315</v>
      </c>
      <c r="S13" s="62">
        <f t="shared" si="3"/>
        <v>15540.9878462047</v>
      </c>
      <c r="T13" s="62">
        <f t="shared" si="3"/>
        <v>15908.184707282671</v>
      </c>
      <c r="U13" s="62">
        <f t="shared" si="3"/>
        <v>16631.067370308807</v>
      </c>
      <c r="V13" s="62">
        <f t="shared" si="3"/>
        <v>17424.050430713654</v>
      </c>
      <c r="W13" s="62">
        <f t="shared" si="3"/>
        <v>16313.173877398673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5257.8003714238121</v>
      </c>
      <c r="C14" s="63">
        <f t="shared" si="3"/>
        <v>5314.3298328885503</v>
      </c>
      <c r="D14" s="63">
        <f t="shared" si="3"/>
        <v>5447.7378210699044</v>
      </c>
      <c r="E14" s="63">
        <f t="shared" si="3"/>
        <v>5642.5160175208057</v>
      </c>
      <c r="F14" s="63">
        <f t="shared" si="3"/>
        <v>5683.7959662602516</v>
      </c>
      <c r="G14" s="63">
        <f t="shared" si="3"/>
        <v>5882.4994920245463</v>
      </c>
      <c r="H14" s="63">
        <f t="shared" si="3"/>
        <v>6210.1210476758188</v>
      </c>
      <c r="I14" s="63">
        <f t="shared" si="3"/>
        <v>6436.5120912891643</v>
      </c>
      <c r="J14" s="63">
        <f t="shared" si="3"/>
        <v>6567.0071065825359</v>
      </c>
      <c r="K14" s="63">
        <f t="shared" si="3"/>
        <v>6982.16154062242</v>
      </c>
      <c r="L14" s="63">
        <f t="shared" si="3"/>
        <v>6881.2462301904443</v>
      </c>
      <c r="M14" s="63">
        <f t="shared" si="3"/>
        <v>7002.4204552771698</v>
      </c>
      <c r="N14" s="63">
        <f t="shared" si="3"/>
        <v>7121.0108028571112</v>
      </c>
      <c r="O14" s="63">
        <f t="shared" si="3"/>
        <v>7404.2738474272046</v>
      </c>
      <c r="P14" s="63">
        <f t="shared" si="3"/>
        <v>7582.4838823348873</v>
      </c>
      <c r="Q14" s="63">
        <f t="shared" si="3"/>
        <v>7444.0633656420932</v>
      </c>
      <c r="R14" s="63">
        <f t="shared" si="3"/>
        <v>7706.736725131841</v>
      </c>
      <c r="S14" s="63">
        <f t="shared" si="3"/>
        <v>7726.366859497617</v>
      </c>
      <c r="T14" s="63">
        <f t="shared" si="3"/>
        <v>7735.1539589368122</v>
      </c>
      <c r="U14" s="63">
        <f t="shared" si="3"/>
        <v>7764.4184206997734</v>
      </c>
      <c r="V14" s="63">
        <f t="shared" si="3"/>
        <v>8757.2733098839271</v>
      </c>
      <c r="W14" s="63">
        <f t="shared" si="3"/>
        <v>8236.4122953359056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14258.074250040767</v>
      </c>
      <c r="C15" s="64">
        <f t="shared" si="3"/>
        <v>16571.974190119017</v>
      </c>
      <c r="D15" s="64">
        <f t="shared" si="3"/>
        <v>18387.709935607083</v>
      </c>
      <c r="E15" s="64">
        <f t="shared" si="3"/>
        <v>18862.234255728705</v>
      </c>
      <c r="F15" s="64">
        <f t="shared" si="3"/>
        <v>19239.889589507817</v>
      </c>
      <c r="G15" s="64">
        <f t="shared" si="3"/>
        <v>19740.673953581685</v>
      </c>
      <c r="H15" s="64">
        <f t="shared" si="3"/>
        <v>20051.841778558697</v>
      </c>
      <c r="I15" s="64">
        <f t="shared" si="3"/>
        <v>21469.977052579605</v>
      </c>
      <c r="J15" s="64">
        <f t="shared" si="3"/>
        <v>23835.015974515991</v>
      </c>
      <c r="K15" s="64">
        <f t="shared" si="3"/>
        <v>27241.881284298543</v>
      </c>
      <c r="L15" s="64">
        <f t="shared" si="3"/>
        <v>27813.016577038408</v>
      </c>
      <c r="M15" s="64">
        <f t="shared" si="3"/>
        <v>29166.404752828847</v>
      </c>
      <c r="N15" s="64">
        <f t="shared" si="3"/>
        <v>30208.270048521495</v>
      </c>
      <c r="O15" s="64">
        <f t="shared" si="3"/>
        <v>31147.968881044748</v>
      </c>
      <c r="P15" s="64">
        <f t="shared" si="3"/>
        <v>31069.594280611498</v>
      </c>
      <c r="Q15" s="64">
        <f t="shared" si="3"/>
        <v>30322.328384581378</v>
      </c>
      <c r="R15" s="64">
        <f t="shared" si="3"/>
        <v>31346.341212266965</v>
      </c>
      <c r="S15" s="64">
        <f t="shared" si="3"/>
        <v>31655.878906267761</v>
      </c>
      <c r="T15" s="64">
        <f t="shared" si="3"/>
        <v>32326.951923438533</v>
      </c>
      <c r="U15" s="64">
        <f t="shared" si="3"/>
        <v>33528.263170833372</v>
      </c>
      <c r="V15" s="64">
        <f t="shared" si="3"/>
        <v>33308.917502457531</v>
      </c>
      <c r="W15" s="64">
        <f t="shared" si="3"/>
        <v>32849.29461192021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0.49439806079065562</v>
      </c>
      <c r="C18" s="66">
        <f t="shared" si="4"/>
        <v>0.41232974045837312</v>
      </c>
      <c r="D18" s="66">
        <f t="shared" si="4"/>
        <v>0.37435631524836221</v>
      </c>
      <c r="E18" s="66">
        <f t="shared" si="4"/>
        <v>0.35407982293187201</v>
      </c>
      <c r="F18" s="66">
        <f t="shared" si="4"/>
        <v>0.35539086925896124</v>
      </c>
      <c r="G18" s="66">
        <f t="shared" si="4"/>
        <v>0.36294263273299299</v>
      </c>
      <c r="H18" s="66">
        <f t="shared" si="4"/>
        <v>0.38987932786995161</v>
      </c>
      <c r="I18" s="66">
        <f t="shared" si="4"/>
        <v>0.37878681647421003</v>
      </c>
      <c r="J18" s="66">
        <f t="shared" si="4"/>
        <v>0.35484702026165699</v>
      </c>
      <c r="K18" s="66">
        <f t="shared" si="4"/>
        <v>0.30737296427229305</v>
      </c>
      <c r="L18" s="66">
        <f t="shared" si="4"/>
        <v>0.32426035533652431</v>
      </c>
      <c r="M18" s="66">
        <f t="shared" si="4"/>
        <v>0.30063068229394529</v>
      </c>
      <c r="N18" s="66">
        <f t="shared" si="4"/>
        <v>0.30863303992168994</v>
      </c>
      <c r="O18" s="66">
        <f t="shared" si="4"/>
        <v>0.30404441307342711</v>
      </c>
      <c r="P18" s="66">
        <f t="shared" si="4"/>
        <v>0.29779160563073098</v>
      </c>
      <c r="Q18" s="66">
        <f t="shared" si="4"/>
        <v>0.34417550442315403</v>
      </c>
      <c r="R18" s="66">
        <f t="shared" si="4"/>
        <v>0.32652140378073219</v>
      </c>
      <c r="S18" s="66">
        <f t="shared" si="4"/>
        <v>0.33480368971255597</v>
      </c>
      <c r="T18" s="66">
        <f t="shared" si="4"/>
        <v>0.32463743679263413</v>
      </c>
      <c r="U18" s="66">
        <f t="shared" si="4"/>
        <v>0.30619124704175887</v>
      </c>
      <c r="V18" s="66">
        <f t="shared" si="4"/>
        <v>0.32517922220583279</v>
      </c>
      <c r="W18" s="66">
        <f t="shared" si="4"/>
        <v>0.3392116601286489</v>
      </c>
      <c r="DA18" s="181"/>
    </row>
    <row r="19" spans="1:105" ht="11.45" customHeight="1" x14ac:dyDescent="0.25">
      <c r="A19" s="57" t="s">
        <v>171</v>
      </c>
      <c r="B19" s="67">
        <f t="shared" si="4"/>
        <v>0.50560193920934438</v>
      </c>
      <c r="C19" s="67">
        <f t="shared" si="4"/>
        <v>0.58767025954162677</v>
      </c>
      <c r="D19" s="67">
        <f t="shared" si="4"/>
        <v>0.62564368475163767</v>
      </c>
      <c r="E19" s="67">
        <f t="shared" si="4"/>
        <v>0.6459201770681281</v>
      </c>
      <c r="F19" s="67">
        <f t="shared" si="4"/>
        <v>0.64460913074103865</v>
      </c>
      <c r="G19" s="67">
        <f t="shared" si="4"/>
        <v>0.63705736726700701</v>
      </c>
      <c r="H19" s="67">
        <f t="shared" si="4"/>
        <v>0.61012067213004839</v>
      </c>
      <c r="I19" s="67">
        <f t="shared" si="4"/>
        <v>0.62121318352578991</v>
      </c>
      <c r="J19" s="67">
        <f t="shared" si="4"/>
        <v>0.64515297973834307</v>
      </c>
      <c r="K19" s="67">
        <f t="shared" si="4"/>
        <v>0.69262703572770701</v>
      </c>
      <c r="L19" s="67">
        <f t="shared" si="4"/>
        <v>0.67573964466347569</v>
      </c>
      <c r="M19" s="67">
        <f t="shared" si="4"/>
        <v>0.69936931770605471</v>
      </c>
      <c r="N19" s="67">
        <f t="shared" si="4"/>
        <v>0.69136696007831</v>
      </c>
      <c r="O19" s="67">
        <f t="shared" si="4"/>
        <v>0.69595558692657289</v>
      </c>
      <c r="P19" s="67">
        <f t="shared" si="4"/>
        <v>0.70220839436926896</v>
      </c>
      <c r="Q19" s="67">
        <f t="shared" si="4"/>
        <v>0.65582449557684608</v>
      </c>
      <c r="R19" s="67">
        <f t="shared" si="4"/>
        <v>0.67347859621926776</v>
      </c>
      <c r="S19" s="67">
        <f t="shared" si="4"/>
        <v>0.66519631028744408</v>
      </c>
      <c r="T19" s="67">
        <f t="shared" si="4"/>
        <v>0.67536256320736587</v>
      </c>
      <c r="U19" s="67">
        <f t="shared" si="4"/>
        <v>0.69380875295824107</v>
      </c>
      <c r="V19" s="67">
        <f t="shared" si="4"/>
        <v>0.67482077779416727</v>
      </c>
      <c r="W19" s="67">
        <f t="shared" si="4"/>
        <v>0.6607883398713511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0.72615513304717427</v>
      </c>
      <c r="C22" s="66">
        <f t="shared" si="5"/>
        <v>0.6863184460878744</v>
      </c>
      <c r="D22" s="66">
        <f t="shared" si="5"/>
        <v>0.66883244175244849</v>
      </c>
      <c r="E22" s="66">
        <f t="shared" si="5"/>
        <v>0.64695429178841601</v>
      </c>
      <c r="F22" s="66">
        <f t="shared" si="5"/>
        <v>0.65111421854900942</v>
      </c>
      <c r="G22" s="66">
        <f t="shared" si="5"/>
        <v>0.65657867824383553</v>
      </c>
      <c r="H22" s="66">
        <f t="shared" si="5"/>
        <v>0.67355784988528355</v>
      </c>
      <c r="I22" s="66">
        <f t="shared" si="5"/>
        <v>0.67039408761388652</v>
      </c>
      <c r="J22" s="66">
        <f t="shared" si="5"/>
        <v>0.66625535997236462</v>
      </c>
      <c r="K22" s="66">
        <f t="shared" si="5"/>
        <v>0.63389594226273382</v>
      </c>
      <c r="L22" s="66">
        <f t="shared" si="5"/>
        <v>0.65980901867050867</v>
      </c>
      <c r="M22" s="66">
        <f t="shared" si="5"/>
        <v>0.64163446150481651</v>
      </c>
      <c r="N22" s="66">
        <f t="shared" si="5"/>
        <v>0.65442522957241811</v>
      </c>
      <c r="O22" s="66">
        <f t="shared" si="5"/>
        <v>0.647616721172803</v>
      </c>
      <c r="P22" s="66">
        <f t="shared" si="5"/>
        <v>0.63472759771338727</v>
      </c>
      <c r="Q22" s="66">
        <f t="shared" si="5"/>
        <v>0.68129424226947277</v>
      </c>
      <c r="R22" s="66">
        <f t="shared" si="5"/>
        <v>0.66352484667760903</v>
      </c>
      <c r="S22" s="66">
        <f t="shared" si="5"/>
        <v>0.67343166164719792</v>
      </c>
      <c r="T22" s="66">
        <f t="shared" si="5"/>
        <v>0.66765216759898416</v>
      </c>
      <c r="U22" s="66">
        <f t="shared" si="5"/>
        <v>0.65584915467389426</v>
      </c>
      <c r="V22" s="66">
        <f t="shared" si="5"/>
        <v>0.64699809703778355</v>
      </c>
      <c r="W22" s="66">
        <f t="shared" si="5"/>
        <v>0.67184820216604213</v>
      </c>
      <c r="DA22" s="181"/>
    </row>
    <row r="23" spans="1:105" ht="11.45" customHeight="1" x14ac:dyDescent="0.25">
      <c r="A23" s="57" t="s">
        <v>171</v>
      </c>
      <c r="B23" s="67">
        <f t="shared" si="5"/>
        <v>0.27384486695282567</v>
      </c>
      <c r="C23" s="67">
        <f t="shared" si="5"/>
        <v>0.31368155391212565</v>
      </c>
      <c r="D23" s="67">
        <f t="shared" si="5"/>
        <v>0.33116755824755156</v>
      </c>
      <c r="E23" s="67">
        <f t="shared" si="5"/>
        <v>0.35304570821158404</v>
      </c>
      <c r="F23" s="67">
        <f t="shared" si="5"/>
        <v>0.34888578145099053</v>
      </c>
      <c r="G23" s="67">
        <f t="shared" si="5"/>
        <v>0.34342132175616441</v>
      </c>
      <c r="H23" s="67">
        <f t="shared" si="5"/>
        <v>0.32644215011471645</v>
      </c>
      <c r="I23" s="67">
        <f t="shared" si="5"/>
        <v>0.32960591238611342</v>
      </c>
      <c r="J23" s="67">
        <f t="shared" si="5"/>
        <v>0.33374464002763532</v>
      </c>
      <c r="K23" s="67">
        <f t="shared" si="5"/>
        <v>0.36610405773726618</v>
      </c>
      <c r="L23" s="67">
        <f t="shared" si="5"/>
        <v>0.34019098132949127</v>
      </c>
      <c r="M23" s="67">
        <f t="shared" si="5"/>
        <v>0.35836553849518338</v>
      </c>
      <c r="N23" s="67">
        <f t="shared" si="5"/>
        <v>0.34557477042758189</v>
      </c>
      <c r="O23" s="67">
        <f t="shared" si="5"/>
        <v>0.35238327882719694</v>
      </c>
      <c r="P23" s="67">
        <f t="shared" si="5"/>
        <v>0.36527240228661279</v>
      </c>
      <c r="Q23" s="67">
        <f t="shared" si="5"/>
        <v>0.31870575773052717</v>
      </c>
      <c r="R23" s="67">
        <f t="shared" si="5"/>
        <v>0.33647515332239097</v>
      </c>
      <c r="S23" s="67">
        <f t="shared" si="5"/>
        <v>0.32656833835280208</v>
      </c>
      <c r="T23" s="67">
        <f t="shared" si="5"/>
        <v>0.33234783240101579</v>
      </c>
      <c r="U23" s="67">
        <f t="shared" si="5"/>
        <v>0.34415084532610585</v>
      </c>
      <c r="V23" s="67">
        <f t="shared" si="5"/>
        <v>0.3530019029622164</v>
      </c>
      <c r="W23" s="67">
        <f t="shared" si="5"/>
        <v>0.32815179783395787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678.02141014617371</v>
      </c>
      <c r="C3" s="62">
        <f t="shared" ref="C3:W3" si="0">SUM(C4,C10)</f>
        <v>579.73155631986242</v>
      </c>
      <c r="D3" s="62">
        <f t="shared" si="0"/>
        <v>650.55889939810822</v>
      </c>
      <c r="E3" s="62">
        <f t="shared" si="0"/>
        <v>646.26921754084253</v>
      </c>
      <c r="F3" s="62">
        <f t="shared" si="0"/>
        <v>519.32269991401552</v>
      </c>
      <c r="G3" s="62">
        <f t="shared" si="0"/>
        <v>510.48779019776441</v>
      </c>
      <c r="H3" s="62">
        <f t="shared" si="0"/>
        <v>561.98177128116936</v>
      </c>
      <c r="I3" s="62">
        <f t="shared" si="0"/>
        <v>461.4760103181427</v>
      </c>
      <c r="J3" s="62">
        <f t="shared" si="0"/>
        <v>403.14135855545987</v>
      </c>
      <c r="K3" s="62">
        <f t="shared" si="0"/>
        <v>250.45614789337915</v>
      </c>
      <c r="L3" s="62">
        <f t="shared" si="0"/>
        <v>212.99415305245057</v>
      </c>
      <c r="M3" s="62">
        <f t="shared" si="0"/>
        <v>201.22201203783322</v>
      </c>
      <c r="N3" s="62">
        <f t="shared" si="0"/>
        <v>123.22854686156489</v>
      </c>
      <c r="O3" s="62">
        <f t="shared" si="0"/>
        <v>130.46423043852104</v>
      </c>
      <c r="P3" s="62">
        <f t="shared" si="0"/>
        <v>96.735081685296649</v>
      </c>
      <c r="Q3" s="62">
        <f t="shared" si="0"/>
        <v>295.95769561478926</v>
      </c>
      <c r="R3" s="62">
        <f t="shared" si="0"/>
        <v>286.54849527085128</v>
      </c>
      <c r="S3" s="62">
        <f t="shared" si="0"/>
        <v>354.47214101461725</v>
      </c>
      <c r="T3" s="62">
        <f t="shared" si="0"/>
        <v>326.06552020636286</v>
      </c>
      <c r="U3" s="62">
        <f t="shared" si="0"/>
        <v>335.77781599312118</v>
      </c>
      <c r="V3" s="62">
        <f t="shared" si="0"/>
        <v>308.87386070507296</v>
      </c>
      <c r="W3" s="62">
        <f t="shared" si="0"/>
        <v>280.56311263972475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352.40620135612591</v>
      </c>
      <c r="C4" s="71">
        <f t="shared" ref="C4:W4" si="1">SUM(C5:C9)</f>
        <v>287.28318098056673</v>
      </c>
      <c r="D4" s="71">
        <f t="shared" si="1"/>
        <v>316.67406735852313</v>
      </c>
      <c r="E4" s="71">
        <f t="shared" si="1"/>
        <v>306.69331520804525</v>
      </c>
      <c r="F4" s="71">
        <f t="shared" si="1"/>
        <v>247.98434454456518</v>
      </c>
      <c r="G4" s="71">
        <f t="shared" si="1"/>
        <v>246.05799298869522</v>
      </c>
      <c r="H4" s="71">
        <f t="shared" si="1"/>
        <v>276.50156512989929</v>
      </c>
      <c r="I4" s="71">
        <f t="shared" si="1"/>
        <v>225.99056747271035</v>
      </c>
      <c r="J4" s="71">
        <f t="shared" si="1"/>
        <v>196.2799450698746</v>
      </c>
      <c r="K4" s="71">
        <f t="shared" si="1"/>
        <v>116.62735725959922</v>
      </c>
      <c r="L4" s="71">
        <f t="shared" si="1"/>
        <v>102.28288765289426</v>
      </c>
      <c r="M4" s="71">
        <f t="shared" si="1"/>
        <v>94.239043623106625</v>
      </c>
      <c r="N4" s="71">
        <f t="shared" si="1"/>
        <v>58.632028734040006</v>
      </c>
      <c r="O4" s="71">
        <f t="shared" si="1"/>
        <v>61.375791459658814</v>
      </c>
      <c r="P4" s="71">
        <f t="shared" si="1"/>
        <v>44.740355372746507</v>
      </c>
      <c r="Q4" s="71">
        <f t="shared" si="1"/>
        <v>144.73055692136816</v>
      </c>
      <c r="R4" s="71">
        <f t="shared" si="1"/>
        <v>137.01685468213367</v>
      </c>
      <c r="S4" s="71">
        <f t="shared" si="1"/>
        <v>171.87351189463968</v>
      </c>
      <c r="T4" s="71">
        <f t="shared" si="1"/>
        <v>156.64361208740908</v>
      </c>
      <c r="U4" s="71">
        <f t="shared" si="1"/>
        <v>159.02632096553063</v>
      </c>
      <c r="V4" s="71">
        <f t="shared" si="1"/>
        <v>137.00505327857346</v>
      </c>
      <c r="W4" s="71">
        <f t="shared" si="1"/>
        <v>124.94219847777103</v>
      </c>
      <c r="DA4" s="186" t="s">
        <v>969</v>
      </c>
    </row>
    <row r="5" spans="1:105" ht="11.45" customHeight="1" x14ac:dyDescent="0.25">
      <c r="A5" s="72" t="s">
        <v>145</v>
      </c>
      <c r="B5" s="73">
        <v>164.40795682401568</v>
      </c>
      <c r="C5" s="73">
        <v>122.29652852646424</v>
      </c>
      <c r="D5" s="73">
        <v>87.404563132238493</v>
      </c>
      <c r="E5" s="73">
        <v>79.670768182633793</v>
      </c>
      <c r="F5" s="73">
        <v>41.392721979086481</v>
      </c>
      <c r="G5" s="73">
        <v>41.488765560021385</v>
      </c>
      <c r="H5" s="73">
        <v>52.023937641382346</v>
      </c>
      <c r="I5" s="73">
        <v>64.627041845716349</v>
      </c>
      <c r="J5" s="73">
        <v>62.960175369310285</v>
      </c>
      <c r="K5" s="73">
        <v>40.255024056043148</v>
      </c>
      <c r="L5" s="73">
        <v>53.476895746318355</v>
      </c>
      <c r="M5" s="73">
        <v>51.358930141241714</v>
      </c>
      <c r="N5" s="73">
        <v>35.596069504589742</v>
      </c>
      <c r="O5" s="73">
        <v>39.861988083700361</v>
      </c>
      <c r="P5" s="73">
        <v>27.909040150604081</v>
      </c>
      <c r="Q5" s="73">
        <v>37.789983002168199</v>
      </c>
      <c r="R5" s="73">
        <v>34.947633752060582</v>
      </c>
      <c r="S5" s="73">
        <v>59.897886259331912</v>
      </c>
      <c r="T5" s="73">
        <v>48.689384174992661</v>
      </c>
      <c r="U5" s="73">
        <v>60.200012132078392</v>
      </c>
      <c r="V5" s="73">
        <v>59.731949033954777</v>
      </c>
      <c r="W5" s="73">
        <v>82.981247998239652</v>
      </c>
      <c r="DA5" s="187" t="s">
        <v>970</v>
      </c>
    </row>
    <row r="6" spans="1:105" ht="11.45" customHeight="1" x14ac:dyDescent="0.25">
      <c r="A6" s="72" t="s">
        <v>146</v>
      </c>
      <c r="B6" s="73">
        <v>187.99824453211022</v>
      </c>
      <c r="C6" s="73">
        <v>164.98665245410245</v>
      </c>
      <c r="D6" s="73">
        <v>229.26950422628465</v>
      </c>
      <c r="E6" s="73">
        <v>227.02254702541146</v>
      </c>
      <c r="F6" s="73">
        <v>206.5916225654787</v>
      </c>
      <c r="G6" s="73">
        <v>204.56922742867383</v>
      </c>
      <c r="H6" s="73">
        <v>224.47762748851696</v>
      </c>
      <c r="I6" s="73">
        <v>161.363525626994</v>
      </c>
      <c r="J6" s="73">
        <v>133.31976970056431</v>
      </c>
      <c r="K6" s="73">
        <v>76.372333203556067</v>
      </c>
      <c r="L6" s="73">
        <v>48.805991906575898</v>
      </c>
      <c r="M6" s="73">
        <v>42.88011348186491</v>
      </c>
      <c r="N6" s="73">
        <v>23.035959229450267</v>
      </c>
      <c r="O6" s="73">
        <v>21.513803375958453</v>
      </c>
      <c r="P6" s="73">
        <v>16.831315222142429</v>
      </c>
      <c r="Q6" s="73">
        <v>106.94057391919996</v>
      </c>
      <c r="R6" s="73">
        <v>101.96643441175326</v>
      </c>
      <c r="S6" s="73">
        <v>109.69301807495644</v>
      </c>
      <c r="T6" s="73">
        <v>107.35403106229055</v>
      </c>
      <c r="U6" s="73">
        <v>98.622247039745162</v>
      </c>
      <c r="V6" s="73">
        <v>76.632931676620473</v>
      </c>
      <c r="W6" s="73">
        <v>41.375784521639517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0.1027865183198059</v>
      </c>
      <c r="S8" s="73">
        <v>2.2826075603513303</v>
      </c>
      <c r="T8" s="73">
        <v>0.60019685012587964</v>
      </c>
      <c r="U8" s="73">
        <v>0.20406179370706226</v>
      </c>
      <c r="V8" s="73">
        <v>0.64017256799820499</v>
      </c>
      <c r="W8" s="73">
        <v>0.5851659578918631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325.6152087900478</v>
      </c>
      <c r="C10" s="71">
        <f t="shared" ref="C10:W10" si="2">SUM(C11:C15)</f>
        <v>292.44837533929569</v>
      </c>
      <c r="D10" s="71">
        <f t="shared" si="2"/>
        <v>333.88483203958515</v>
      </c>
      <c r="E10" s="71">
        <f t="shared" si="2"/>
        <v>339.57590233279728</v>
      </c>
      <c r="F10" s="71">
        <f t="shared" si="2"/>
        <v>271.33835536945037</v>
      </c>
      <c r="G10" s="71">
        <f t="shared" si="2"/>
        <v>264.42979720906919</v>
      </c>
      <c r="H10" s="71">
        <f t="shared" si="2"/>
        <v>285.48020615127012</v>
      </c>
      <c r="I10" s="71">
        <f t="shared" si="2"/>
        <v>235.48544284543232</v>
      </c>
      <c r="J10" s="71">
        <f t="shared" si="2"/>
        <v>206.8614134855853</v>
      </c>
      <c r="K10" s="71">
        <f t="shared" si="2"/>
        <v>133.82879063377993</v>
      </c>
      <c r="L10" s="71">
        <f t="shared" si="2"/>
        <v>110.71126539955631</v>
      </c>
      <c r="M10" s="71">
        <f t="shared" si="2"/>
        <v>106.98296841472659</v>
      </c>
      <c r="N10" s="71">
        <f t="shared" si="2"/>
        <v>64.596518127524888</v>
      </c>
      <c r="O10" s="71">
        <f t="shared" si="2"/>
        <v>69.088438978862229</v>
      </c>
      <c r="P10" s="71">
        <f t="shared" si="2"/>
        <v>51.994726312550135</v>
      </c>
      <c r="Q10" s="71">
        <f t="shared" si="2"/>
        <v>151.2271386934211</v>
      </c>
      <c r="R10" s="71">
        <f t="shared" si="2"/>
        <v>149.53164058871761</v>
      </c>
      <c r="S10" s="71">
        <f t="shared" si="2"/>
        <v>182.5986291199776</v>
      </c>
      <c r="T10" s="71">
        <f t="shared" si="2"/>
        <v>169.42190811895381</v>
      </c>
      <c r="U10" s="71">
        <f t="shared" si="2"/>
        <v>176.75149502759052</v>
      </c>
      <c r="V10" s="71">
        <f t="shared" si="2"/>
        <v>171.8688074264995</v>
      </c>
      <c r="W10" s="71">
        <f t="shared" si="2"/>
        <v>155.62091416195372</v>
      </c>
      <c r="DA10" s="186" t="s">
        <v>975</v>
      </c>
    </row>
    <row r="11" spans="1:105" ht="11.45" customHeight="1" x14ac:dyDescent="0.25">
      <c r="A11" s="72" t="s">
        <v>145</v>
      </c>
      <c r="B11" s="73">
        <v>28.675104224995529</v>
      </c>
      <c r="C11" s="73">
        <v>23.542766400448862</v>
      </c>
      <c r="D11" s="73">
        <v>17.353218467073606</v>
      </c>
      <c r="E11" s="73">
        <v>16.870762341871789</v>
      </c>
      <c r="F11" s="73">
        <v>8.6980776769754282</v>
      </c>
      <c r="G11" s="73">
        <v>8.6020340960405264</v>
      </c>
      <c r="H11" s="73">
        <v>10.294635015539406</v>
      </c>
      <c r="I11" s="73">
        <v>13.021195471566527</v>
      </c>
      <c r="J11" s="73">
        <v>12.646445438944221</v>
      </c>
      <c r="K11" s="73">
        <v>8.7916655398295944</v>
      </c>
      <c r="L11" s="73">
        <v>10.904445612237105</v>
      </c>
      <c r="M11" s="73">
        <v>10.969788689368778</v>
      </c>
      <c r="N11" s="73">
        <v>7.3188058178522137</v>
      </c>
      <c r="O11" s="73">
        <v>8.6332827675464117</v>
      </c>
      <c r="P11" s="73">
        <v>6.1408308726117387</v>
      </c>
      <c r="Q11" s="73">
        <v>7.5510316152006727</v>
      </c>
      <c r="R11" s="73">
        <v>7.2627703751965127</v>
      </c>
      <c r="S11" s="73">
        <v>11.964624488733431</v>
      </c>
      <c r="T11" s="73">
        <v>9.8040810012756126</v>
      </c>
      <c r="U11" s="73">
        <v>12.683994746683416</v>
      </c>
      <c r="V11" s="73">
        <v>14.183786133715031</v>
      </c>
      <c r="W11" s="73">
        <v>19.684272208123144</v>
      </c>
      <c r="DA11" s="187" t="s">
        <v>976</v>
      </c>
    </row>
    <row r="12" spans="1:105" ht="11.45" customHeight="1" x14ac:dyDescent="0.25">
      <c r="A12" s="72" t="s">
        <v>146</v>
      </c>
      <c r="B12" s="73">
        <v>296.94010456505225</v>
      </c>
      <c r="C12" s="73">
        <v>268.90560893884685</v>
      </c>
      <c r="D12" s="73">
        <v>316.53161357251156</v>
      </c>
      <c r="E12" s="73">
        <v>322.70513999092549</v>
      </c>
      <c r="F12" s="73">
        <v>262.64027769247497</v>
      </c>
      <c r="G12" s="73">
        <v>255.82776311302868</v>
      </c>
      <c r="H12" s="73">
        <v>275.1855711357307</v>
      </c>
      <c r="I12" s="73">
        <v>222.46424737386579</v>
      </c>
      <c r="J12" s="73">
        <v>194.21496804664108</v>
      </c>
      <c r="K12" s="73">
        <v>125.03712509395034</v>
      </c>
      <c r="L12" s="73">
        <v>99.806819787319213</v>
      </c>
      <c r="M12" s="73">
        <v>96.013179725357801</v>
      </c>
      <c r="N12" s="73">
        <v>57.27771230967268</v>
      </c>
      <c r="O12" s="73">
        <v>60.455156211315817</v>
      </c>
      <c r="P12" s="73">
        <v>45.853895439938398</v>
      </c>
      <c r="Q12" s="73">
        <v>143.67610707822041</v>
      </c>
      <c r="R12" s="73">
        <v>142.15669542487615</v>
      </c>
      <c r="S12" s="73">
        <v>168.20895956906756</v>
      </c>
      <c r="T12" s="73">
        <v>158.96866885172497</v>
      </c>
      <c r="U12" s="73">
        <v>163.84069363093403</v>
      </c>
      <c r="V12" s="73">
        <v>156.88194364582139</v>
      </c>
      <c r="W12" s="73">
        <v>135.20779243450835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0.1121747886449404</v>
      </c>
      <c r="S14" s="73">
        <v>2.425045062176614</v>
      </c>
      <c r="T14" s="73">
        <v>0.64915826595322645</v>
      </c>
      <c r="U14" s="73">
        <v>0.22680664997307523</v>
      </c>
      <c r="V14" s="73">
        <v>0.80307764696310191</v>
      </c>
      <c r="W14" s="73">
        <v>0.72884951932223796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4580.4538758547969</v>
      </c>
      <c r="C19" s="62">
        <f>IF(C3=0,0,C3/MBunk_act!C7*100)</f>
        <v>3883.6251129108227</v>
      </c>
      <c r="D19" s="62">
        <f>IF(D3=0,0,D3/MBunk_act!D7*100)</f>
        <v>4238.2512818856103</v>
      </c>
      <c r="E19" s="62">
        <f>IF(E3=0,0,E3/MBunk_act!E7*100)</f>
        <v>4103.4980163841847</v>
      </c>
      <c r="F19" s="62">
        <f>IF(F3=0,0,F3/MBunk_act!F7*100)</f>
        <v>3238.7537580437725</v>
      </c>
      <c r="G19" s="62">
        <f>IF(G3=0,0,G3/MBunk_act!G7*100)</f>
        <v>3552.652581015217</v>
      </c>
      <c r="H19" s="62">
        <f>IF(H3=0,0,H3/MBunk_act!H7*100)</f>
        <v>3683.9185269168752</v>
      </c>
      <c r="I19" s="62">
        <f>IF(I3=0,0,I3/MBunk_act!I7*100)</f>
        <v>3111.0598251037936</v>
      </c>
      <c r="J19" s="62">
        <f>IF(J3=0,0,J3/MBunk_act!J7*100)</f>
        <v>2703.0604715076629</v>
      </c>
      <c r="K19" s="62">
        <f>IF(K3=0,0,K3/MBunk_act!K7*100)</f>
        <v>2287.1226684352505</v>
      </c>
      <c r="L19" s="62">
        <f>IF(L3=0,0,L3/MBunk_act!L7*100)</f>
        <v>1678.9210488361923</v>
      </c>
      <c r="M19" s="62">
        <f>IF(M3=0,0,M3/MBunk_act!M7*100)</f>
        <v>1562.7001906164001</v>
      </c>
      <c r="N19" s="62">
        <f>IF(N3=0,0,N3/MBunk_act!N7*100)</f>
        <v>1018.8216507119797</v>
      </c>
      <c r="O19" s="62">
        <f>IF(O3=0,0,O3/MBunk_act!O7*100)</f>
        <v>1090.2973653994914</v>
      </c>
      <c r="P19" s="62">
        <f>IF(P3=0,0,P3/MBunk_act!P7*100)</f>
        <v>838.29424432689837</v>
      </c>
      <c r="Q19" s="62">
        <f>IF(Q3=0,0,Q3/MBunk_act!Q7*100)</f>
        <v>2840.2353779884961</v>
      </c>
      <c r="R19" s="62">
        <f>IF(R3=0,0,R3/MBunk_act!R7*100)</f>
        <v>2565.0572405160979</v>
      </c>
      <c r="S19" s="62">
        <f>IF(S3=0,0,S3/MBunk_act!S7*100)</f>
        <v>3095.7143563322138</v>
      </c>
      <c r="T19" s="62">
        <f>IF(T3=0,0,T3/MBunk_act!T7*100)</f>
        <v>2772.3847419761146</v>
      </c>
      <c r="U19" s="62">
        <f>IF(U3=0,0,U3/MBunk_act!U7*100)</f>
        <v>2872.4125384824019</v>
      </c>
      <c r="V19" s="62">
        <f>IF(V3=0,0,V3/MBunk_act!V7*100)</f>
        <v>3040.58396659655</v>
      </c>
      <c r="W19" s="62">
        <f>IF(W3=0,0,W3/MBunk_act!W7*100)</f>
        <v>2768.9202282273636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3278.5305646064844</v>
      </c>
      <c r="C20" s="63">
        <f>IF(C4=0,0,C4/MBunk_act!C8*100)</f>
        <v>2804.1089871592662</v>
      </c>
      <c r="D20" s="63">
        <f>IF(D4=0,0,D4/MBunk_act!D8*100)</f>
        <v>3084.5743976943295</v>
      </c>
      <c r="E20" s="63">
        <f>IF(E4=0,0,E4/MBunk_act!E8*100)</f>
        <v>3010.0344704848771</v>
      </c>
      <c r="F20" s="63">
        <f>IF(F4=0,0,F4/MBunk_act!F8*100)</f>
        <v>2375.2411505145992</v>
      </c>
      <c r="G20" s="63">
        <f>IF(G4=0,0,G4/MBunk_act!G8*100)</f>
        <v>2608.0630250862519</v>
      </c>
      <c r="H20" s="63">
        <f>IF(H4=0,0,H4/MBunk_act!H8*100)</f>
        <v>2690.9800623340279</v>
      </c>
      <c r="I20" s="63">
        <f>IF(I4=0,0,I4/MBunk_act!I8*100)</f>
        <v>2272.5809952279874</v>
      </c>
      <c r="J20" s="63">
        <f>IF(J4=0,0,J4/MBunk_act!J8*100)</f>
        <v>1975.3025230790797</v>
      </c>
      <c r="K20" s="63">
        <f>IF(K4=0,0,K4/MBunk_act!K8*100)</f>
        <v>1680.1197021958772</v>
      </c>
      <c r="L20" s="63">
        <f>IF(L4=0,0,L4/MBunk_act!L8*100)</f>
        <v>1221.9328076935899</v>
      </c>
      <c r="M20" s="63">
        <f>IF(M4=0,0,M4/MBunk_act!M8*100)</f>
        <v>1140.6262617713803</v>
      </c>
      <c r="N20" s="63">
        <f>IF(N4=0,0,N4/MBunk_act!N8*100)</f>
        <v>740.7330556896261</v>
      </c>
      <c r="O20" s="63">
        <f>IF(O4=0,0,O4/MBunk_act!O8*100)</f>
        <v>792.01345172701622</v>
      </c>
      <c r="P20" s="63">
        <f>IF(P4=0,0,P4/MBunk_act!P8*100)</f>
        <v>610.8358660304026</v>
      </c>
      <c r="Q20" s="63">
        <f>IF(Q4=0,0,Q4/MBunk_act!Q8*100)</f>
        <v>2038.6853878300285</v>
      </c>
      <c r="R20" s="63">
        <f>IF(R4=0,0,R4/MBunk_act!R8*100)</f>
        <v>1848.4841553417141</v>
      </c>
      <c r="S20" s="63">
        <f>IF(S4=0,0,S4/MBunk_act!S8*100)</f>
        <v>2228.9185199494918</v>
      </c>
      <c r="T20" s="63">
        <f>IF(T4=0,0,T4/MBunk_act!T8*100)</f>
        <v>1994.8536927172081</v>
      </c>
      <c r="U20" s="63">
        <f>IF(U4=0,0,U4/MBunk_act!U8*100)</f>
        <v>2074.2440953244445</v>
      </c>
      <c r="V20" s="63">
        <f>IF(V4=0,0,V4/MBunk_act!V8*100)</f>
        <v>2084.5361314166876</v>
      </c>
      <c r="W20" s="63">
        <f>IF(W4=0,0,W4/MBunk_act!W8*100)</f>
        <v>1835.3456089720742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8032.7672451596027</v>
      </c>
      <c r="C21" s="64">
        <f>IF(C10=0,0,C10/MBunk_act!C9*100)</f>
        <v>6245.5486009593515</v>
      </c>
      <c r="D21" s="64">
        <f>IF(D10=0,0,D10/MBunk_act!D9*100)</f>
        <v>6568.239555888641</v>
      </c>
      <c r="E21" s="64">
        <f>IF(E10=0,0,E10/MBunk_act!E9*100)</f>
        <v>6107.2638673197598</v>
      </c>
      <c r="F21" s="64">
        <f>IF(F10=0,0,F10/MBunk_act!F9*100)</f>
        <v>4850.2993312690214</v>
      </c>
      <c r="G21" s="64">
        <f>IF(G10=0,0,G10/MBunk_act!G9*100)</f>
        <v>5358.5898447332902</v>
      </c>
      <c r="H21" s="64">
        <f>IF(H10=0,0,H10/MBunk_act!H9*100)</f>
        <v>5732.6781525895758</v>
      </c>
      <c r="I21" s="64">
        <f>IF(I10=0,0,I10/MBunk_act!I9*100)</f>
        <v>4816.4638515936795</v>
      </c>
      <c r="J21" s="64">
        <f>IF(J10=0,0,J10/MBunk_act!J9*100)</f>
        <v>4155.885702986694</v>
      </c>
      <c r="K21" s="64">
        <f>IF(K10=0,0,K10/MBunk_act!K9*100)</f>
        <v>3338.1263629004907</v>
      </c>
      <c r="L21" s="64">
        <f>IF(L10=0,0,L10/MBunk_act!L9*100)</f>
        <v>2565.2613091037656</v>
      </c>
      <c r="M21" s="64">
        <f>IF(M10=0,0,M10/MBunk_act!M9*100)</f>
        <v>2318.4011410674057</v>
      </c>
      <c r="N21" s="64">
        <f>IF(N10=0,0,N10/MBunk_act!N9*100)</f>
        <v>1545.4463010410527</v>
      </c>
      <c r="O21" s="64">
        <f>IF(O10=0,0,O10/MBunk_act!O9*100)</f>
        <v>1638.4892398666373</v>
      </c>
      <c r="P21" s="64">
        <f>IF(P10=0,0,P10/MBunk_act!P9*100)</f>
        <v>1233.5447727876654</v>
      </c>
      <c r="Q21" s="64">
        <f>IF(Q10=0,0,Q10/MBunk_act!Q9*100)</f>
        <v>4553.7011059840634</v>
      </c>
      <c r="R21" s="64">
        <f>IF(R10=0,0,R10/MBunk_act!R9*100)</f>
        <v>3978.1305143636687</v>
      </c>
      <c r="S21" s="64">
        <f>IF(S10=0,0,S10/MBunk_act!S9*100)</f>
        <v>4883.1741062528263</v>
      </c>
      <c r="T21" s="64">
        <f>IF(T10=0,0,T10/MBunk_act!T9*100)</f>
        <v>4334.3636081022632</v>
      </c>
      <c r="U21" s="64">
        <f>IF(U10=0,0,U10/MBunk_act!U9*100)</f>
        <v>4393.4842018005429</v>
      </c>
      <c r="V21" s="64">
        <f>IF(V10=0,0,V10/MBunk_act!V9*100)</f>
        <v>4792.8723391175081</v>
      </c>
      <c r="W21" s="64">
        <f>IF(W10=0,0,W10/MBunk_act!W9*100)</f>
        <v>4680.2930552989437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5.9313256436176358</v>
      </c>
      <c r="C23" s="62">
        <f>IF(C3=0,0,C3/MBunk_act!C3*1000)</f>
        <v>4.3904373524801317</v>
      </c>
      <c r="D23" s="62">
        <f>IF(D3=0,0,D3/MBunk_act!D3*1000)</f>
        <v>4.3545004229573232</v>
      </c>
      <c r="E23" s="62">
        <f>IF(E3=0,0,E3/MBunk_act!E3*1000)</f>
        <v>3.9802376949245901</v>
      </c>
      <c r="F23" s="62">
        <f>IF(F3=0,0,F3/MBunk_act!F3*1000)</f>
        <v>3.1102015743401448</v>
      </c>
      <c r="G23" s="62">
        <f>IF(G3=0,0,G3/MBunk_act!G3*1000)</f>
        <v>3.3384282813231714</v>
      </c>
      <c r="H23" s="62">
        <f>IF(H3=0,0,H3/MBunk_act!H3*1000)</f>
        <v>3.4337230044749489</v>
      </c>
      <c r="I23" s="62">
        <f>IF(I3=0,0,I3/MBunk_act!I3*1000)</f>
        <v>2.7310047331712486</v>
      </c>
      <c r="J23" s="62">
        <f>IF(J3=0,0,J3/MBunk_act!J3*1000)</f>
        <v>2.1922431520965264</v>
      </c>
      <c r="K23" s="62">
        <f>IF(K3=0,0,K3/MBunk_act!K3*1000)</f>
        <v>1.5883538480809478</v>
      </c>
      <c r="L23" s="62">
        <f>IF(L3=0,0,L3/MBunk_act!L3*1000)</f>
        <v>1.1990541109181037</v>
      </c>
      <c r="M23" s="62">
        <f>IF(M3=0,0,M3/MBunk_act!M3*1000)</f>
        <v>1.0456181233543989</v>
      </c>
      <c r="N23" s="62">
        <f>IF(N3=0,0,N3/MBunk_act!N3*1000)</f>
        <v>0.67474380105718723</v>
      </c>
      <c r="O23" s="62">
        <f>IF(O3=0,0,O3/MBunk_act!O3*1000)</f>
        <v>0.69132372899833139</v>
      </c>
      <c r="P23" s="62">
        <f>IF(P3=0,0,P3/MBunk_act!P3*1000)</f>
        <v>0.51869260726336897</v>
      </c>
      <c r="Q23" s="62">
        <f>IF(Q3=0,0,Q3/MBunk_act!Q3*1000)</f>
        <v>1.9274783575642955</v>
      </c>
      <c r="R23" s="62">
        <f>IF(R3=0,0,R3/MBunk_act!R3*1000)</f>
        <v>1.6378759377114211</v>
      </c>
      <c r="S23" s="62">
        <f>IF(S3=0,0,S3/MBunk_act!S3*1000)</f>
        <v>1.9919675550664722</v>
      </c>
      <c r="T23" s="62">
        <f>IF(T3=0,0,T3/MBunk_act!T3*1000)</f>
        <v>1.7427411065367713</v>
      </c>
      <c r="U23" s="62">
        <f>IF(U3=0,0,U3/MBunk_act!U3*1000)</f>
        <v>1.7271366139797355</v>
      </c>
      <c r="V23" s="62">
        <f>IF(V3=0,0,V3/MBunk_act!V3*1000)</f>
        <v>1.7450500265063875</v>
      </c>
      <c r="W23" s="62">
        <f>IF(W3=0,0,W3/MBunk_act!W3*1000)</f>
        <v>1.6973522436756499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6.2355554281317431</v>
      </c>
      <c r="C24" s="63">
        <f>IF(C4=0,0,C4/MBunk_act!C4*1000)</f>
        <v>5.2765053644310997</v>
      </c>
      <c r="D24" s="63">
        <f>IF(D4=0,0,D4/MBunk_act!D4*1000)</f>
        <v>5.6621197623797119</v>
      </c>
      <c r="E24" s="63">
        <f>IF(E4=0,0,E4/MBunk_act!E4*1000)</f>
        <v>5.3345607901480419</v>
      </c>
      <c r="F24" s="63">
        <f>IF(F4=0,0,F4/MBunk_act!F4*1000)</f>
        <v>4.1789697670612016</v>
      </c>
      <c r="G24" s="63">
        <f>IF(G4=0,0,G4/MBunk_act!G4*1000)</f>
        <v>4.4335966855963971</v>
      </c>
      <c r="H24" s="63">
        <f>IF(H4=0,0,H4/MBunk_act!H4*1000)</f>
        <v>4.3332167628860407</v>
      </c>
      <c r="I24" s="63">
        <f>IF(I4=0,0,I4/MBunk_act!I4*1000)</f>
        <v>3.530764741829008</v>
      </c>
      <c r="J24" s="63">
        <f>IF(J4=0,0,J4/MBunk_act!J4*1000)</f>
        <v>3.0079189667681439</v>
      </c>
      <c r="K24" s="63">
        <f>IF(K4=0,0,K4/MBunk_act!K4*1000)</f>
        <v>2.4063031088881166</v>
      </c>
      <c r="L24" s="63">
        <f>IF(L4=0,0,L4/MBunk_act!L4*1000)</f>
        <v>1.7757434726467736</v>
      </c>
      <c r="M24" s="63">
        <f>IF(M4=0,0,M4/MBunk_act!M4*1000)</f>
        <v>1.6289028473172884</v>
      </c>
      <c r="N24" s="63">
        <f>IF(N4=0,0,N4/MBunk_act!N4*1000)</f>
        <v>1.0402077404410439</v>
      </c>
      <c r="O24" s="63">
        <f>IF(O4=0,0,O4/MBunk_act!O4*1000)</f>
        <v>1.0696706632510906</v>
      </c>
      <c r="P24" s="63">
        <f>IF(P4=0,0,P4/MBunk_act!P4*1000)</f>
        <v>0.80558808367991785</v>
      </c>
      <c r="Q24" s="63">
        <f>IF(Q4=0,0,Q4/MBunk_act!Q4*1000)</f>
        <v>2.7386728023293503</v>
      </c>
      <c r="R24" s="63">
        <f>IF(R4=0,0,R4/MBunk_act!R4*1000)</f>
        <v>2.3985303005275451</v>
      </c>
      <c r="S24" s="63">
        <f>IF(S4=0,0,S4/MBunk_act!S4*1000)</f>
        <v>2.8848209779342788</v>
      </c>
      <c r="T24" s="63">
        <f>IF(T4=0,0,T4/MBunk_act!T4*1000)</f>
        <v>2.5789450388540147</v>
      </c>
      <c r="U24" s="63">
        <f>IF(U4=0,0,U4/MBunk_act!U4*1000)</f>
        <v>2.6714738734256702</v>
      </c>
      <c r="V24" s="63">
        <f>IF(V4=0,0,V4/MBunk_act!V4*1000)</f>
        <v>2.3803483774612455</v>
      </c>
      <c r="W24" s="63">
        <f>IF(W4=0,0,W4/MBunk_act!W4*1000)</f>
        <v>2.2283313937688489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5.6338374343482158</v>
      </c>
      <c r="C25" s="64">
        <f>IF(C10=0,0,C10/MBunk_act!C5*1000)</f>
        <v>3.7687414482477517</v>
      </c>
      <c r="D25" s="64">
        <f>IF(D10=0,0,D10/MBunk_act!D5*1000)</f>
        <v>3.5720813406837038</v>
      </c>
      <c r="E25" s="64">
        <f>IF(E10=0,0,E10/MBunk_act!E5*1000)</f>
        <v>3.2378263277399939</v>
      </c>
      <c r="F25" s="64">
        <f>IF(F10=0,0,F10/MBunk_act!F5*1000)</f>
        <v>2.5209600651315895</v>
      </c>
      <c r="G25" s="64">
        <f>IF(G10=0,0,G10/MBunk_act!G5*1000)</f>
        <v>2.714491844267072</v>
      </c>
      <c r="H25" s="64">
        <f>IF(H10=0,0,H10/MBunk_act!H5*1000)</f>
        <v>2.8589284794374805</v>
      </c>
      <c r="I25" s="64">
        <f>IF(I10=0,0,I10/MBunk_act!I5*1000)</f>
        <v>2.2433483928735658</v>
      </c>
      <c r="J25" s="64">
        <f>IF(J10=0,0,J10/MBunk_act!J5*1000)</f>
        <v>1.7436051678883282</v>
      </c>
      <c r="K25" s="64">
        <f>IF(K10=0,0,K10/MBunk_act!K5*1000)</f>
        <v>1.2253655788539439</v>
      </c>
      <c r="L25" s="64">
        <f>IF(L10=0,0,L10/MBunk_act!L5*1000)</f>
        <v>0.92232401400917019</v>
      </c>
      <c r="M25" s="64">
        <f>IF(M10=0,0,M10/MBunk_act!M5*1000)</f>
        <v>0.79488752923602768</v>
      </c>
      <c r="N25" s="64">
        <f>IF(N10=0,0,N10/MBunk_act!N5*1000)</f>
        <v>0.51159708866436482</v>
      </c>
      <c r="O25" s="64">
        <f>IF(O10=0,0,O10/MBunk_act!O5*1000)</f>
        <v>0.5260340557434382</v>
      </c>
      <c r="P25" s="64">
        <f>IF(P10=0,0,P10/MBunk_act!P5*1000)</f>
        <v>0.39702635369057265</v>
      </c>
      <c r="Q25" s="64">
        <f>IF(Q10=0,0,Q10/MBunk_act!Q5*1000)</f>
        <v>1.5017649859301632</v>
      </c>
      <c r="R25" s="64">
        <f>IF(R10=0,0,R10/MBunk_act!R5*1000)</f>
        <v>1.2690892654505019</v>
      </c>
      <c r="S25" s="64">
        <f>IF(S10=0,0,S10/MBunk_act!S5*1000)</f>
        <v>1.5425804858275387</v>
      </c>
      <c r="T25" s="64">
        <f>IF(T10=0,0,T10/MBunk_act!T5*1000)</f>
        <v>1.3407894497345569</v>
      </c>
      <c r="U25" s="64">
        <f>IF(U10=0,0,U10/MBunk_act!U5*1000)</f>
        <v>1.31038228237915</v>
      </c>
      <c r="V25" s="64">
        <f>IF(V10=0,0,V10/MBunk_act!V5*1000)</f>
        <v>1.4389156713855655</v>
      </c>
      <c r="W25" s="64">
        <f>IF(W10=0,0,W10/MBunk_act!W5*1000)</f>
        <v>1.4247773386283247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0.51975674526288351</v>
      </c>
      <c r="C28" s="77">
        <f t="shared" si="3"/>
        <v>0.49554518440265904</v>
      </c>
      <c r="D28" s="77">
        <f t="shared" si="3"/>
        <v>0.48677232399942172</v>
      </c>
      <c r="E28" s="77">
        <f t="shared" si="3"/>
        <v>0.47455968330823839</v>
      </c>
      <c r="F28" s="77">
        <f t="shared" si="3"/>
        <v>0.47751493355792851</v>
      </c>
      <c r="G28" s="77">
        <f t="shared" si="3"/>
        <v>0.4820056379671131</v>
      </c>
      <c r="H28" s="77">
        <f t="shared" si="3"/>
        <v>0.49201162610585941</v>
      </c>
      <c r="I28" s="77">
        <f t="shared" si="3"/>
        <v>0.48971249300025782</v>
      </c>
      <c r="J28" s="77">
        <f t="shared" si="3"/>
        <v>0.48687623064323354</v>
      </c>
      <c r="K28" s="77">
        <f t="shared" si="3"/>
        <v>0.46565979010923808</v>
      </c>
      <c r="L28" s="77">
        <f t="shared" si="3"/>
        <v>0.48021453259191926</v>
      </c>
      <c r="M28" s="77">
        <f t="shared" si="3"/>
        <v>0.46833367119591296</v>
      </c>
      <c r="N28" s="77">
        <f t="shared" si="3"/>
        <v>0.47579907600393356</v>
      </c>
      <c r="O28" s="77">
        <f t="shared" si="3"/>
        <v>0.47044152449572046</v>
      </c>
      <c r="P28" s="77">
        <f t="shared" si="3"/>
        <v>0.46250392921875066</v>
      </c>
      <c r="Q28" s="77">
        <f t="shared" si="3"/>
        <v>0.48902447567961077</v>
      </c>
      <c r="R28" s="77">
        <f t="shared" si="3"/>
        <v>0.47816288322373718</v>
      </c>
      <c r="S28" s="77">
        <f t="shared" si="3"/>
        <v>0.48487170642714117</v>
      </c>
      <c r="T28" s="77">
        <f t="shared" si="3"/>
        <v>0.48040532463619967</v>
      </c>
      <c r="U28" s="77">
        <f t="shared" si="3"/>
        <v>0.47360579940393821</v>
      </c>
      <c r="V28" s="77">
        <f t="shared" si="3"/>
        <v>0.44356311979857765</v>
      </c>
      <c r="W28" s="77">
        <f t="shared" si="3"/>
        <v>0.44532653384912774</v>
      </c>
      <c r="DA28" s="184"/>
    </row>
    <row r="29" spans="1:105" ht="11.45" customHeight="1" x14ac:dyDescent="0.25">
      <c r="A29" s="57" t="s">
        <v>171</v>
      </c>
      <c r="B29" s="78">
        <f>IF(B10=0,0,B10/B$3)</f>
        <v>0.48024325473711643</v>
      </c>
      <c r="C29" s="78">
        <f t="shared" ref="C29:W29" si="4">IF(C10=0,0,C10/C$3)</f>
        <v>0.50445481559734096</v>
      </c>
      <c r="D29" s="78">
        <f t="shared" si="4"/>
        <v>0.51322767600057839</v>
      </c>
      <c r="E29" s="78">
        <f t="shared" si="4"/>
        <v>0.52544031669176161</v>
      </c>
      <c r="F29" s="78">
        <f t="shared" si="4"/>
        <v>0.52248506644207149</v>
      </c>
      <c r="G29" s="78">
        <f t="shared" si="4"/>
        <v>0.51799436203288696</v>
      </c>
      <c r="H29" s="78">
        <f t="shared" si="4"/>
        <v>0.50798837389414075</v>
      </c>
      <c r="I29" s="78">
        <f t="shared" si="4"/>
        <v>0.51028750699974212</v>
      </c>
      <c r="J29" s="78">
        <f t="shared" si="4"/>
        <v>0.51312376935676651</v>
      </c>
      <c r="K29" s="78">
        <f t="shared" si="4"/>
        <v>0.53434020989076192</v>
      </c>
      <c r="L29" s="78">
        <f t="shared" si="4"/>
        <v>0.51978546740808074</v>
      </c>
      <c r="M29" s="78">
        <f t="shared" si="4"/>
        <v>0.53166632880408693</v>
      </c>
      <c r="N29" s="78">
        <f t="shared" si="4"/>
        <v>0.52420092399606644</v>
      </c>
      <c r="O29" s="78">
        <f t="shared" si="4"/>
        <v>0.52955847550427959</v>
      </c>
      <c r="P29" s="78">
        <f t="shared" si="4"/>
        <v>0.53749607078124928</v>
      </c>
      <c r="Q29" s="78">
        <f t="shared" si="4"/>
        <v>0.51097552432038917</v>
      </c>
      <c r="R29" s="78">
        <f t="shared" si="4"/>
        <v>0.52183711677626277</v>
      </c>
      <c r="S29" s="78">
        <f t="shared" si="4"/>
        <v>0.51512829357285894</v>
      </c>
      <c r="T29" s="78">
        <f t="shared" si="4"/>
        <v>0.51959467536380044</v>
      </c>
      <c r="U29" s="78">
        <f t="shared" si="4"/>
        <v>0.52639420059606168</v>
      </c>
      <c r="V29" s="78">
        <f t="shared" si="4"/>
        <v>0.55643688020142235</v>
      </c>
      <c r="W29" s="78">
        <f t="shared" si="4"/>
        <v>0.55467346615087221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2170.5075856800004</v>
      </c>
      <c r="C3" s="62">
        <f t="shared" ref="C3:W3" si="1">SUM(C4:C5)</f>
        <v>1858.5185432400003</v>
      </c>
      <c r="D3" s="62">
        <f t="shared" si="1"/>
        <v>2093.7164439599997</v>
      </c>
      <c r="E3" s="62">
        <f t="shared" si="1"/>
        <v>2080.9505663999998</v>
      </c>
      <c r="F3" s="62">
        <f t="shared" si="1"/>
        <v>1675.9876514400005</v>
      </c>
      <c r="G3" s="62">
        <f t="shared" si="1"/>
        <v>1647.3573914400004</v>
      </c>
      <c r="H3" s="62">
        <f t="shared" si="1"/>
        <v>1812.5384785200001</v>
      </c>
      <c r="I3" s="62">
        <f t="shared" si="1"/>
        <v>1484.72318412</v>
      </c>
      <c r="J3" s="62">
        <f t="shared" si="1"/>
        <v>1295.9669703599996</v>
      </c>
      <c r="K3" s="62">
        <f t="shared" si="1"/>
        <v>804.84747876000006</v>
      </c>
      <c r="L3" s="62">
        <f t="shared" si="1"/>
        <v>681.33006468000008</v>
      </c>
      <c r="M3" s="62">
        <f t="shared" si="1"/>
        <v>643.46506164000016</v>
      </c>
      <c r="N3" s="62">
        <f t="shared" si="1"/>
        <v>393.40305072000001</v>
      </c>
      <c r="O3" s="62">
        <f t="shared" si="1"/>
        <v>416.07987336000008</v>
      </c>
      <c r="P3" s="62">
        <f t="shared" si="1"/>
        <v>308.77360055999998</v>
      </c>
      <c r="Q3" s="62">
        <f t="shared" si="1"/>
        <v>952.81102223999972</v>
      </c>
      <c r="R3" s="62">
        <f t="shared" si="1"/>
        <v>922.56056460000013</v>
      </c>
      <c r="S3" s="62">
        <f t="shared" si="1"/>
        <v>1134.5693943599999</v>
      </c>
      <c r="T3" s="62">
        <f t="shared" si="1"/>
        <v>1047.44657196</v>
      </c>
      <c r="U3" s="62">
        <f t="shared" si="1"/>
        <v>1077.6617308799998</v>
      </c>
      <c r="V3" s="62">
        <f t="shared" si="1"/>
        <v>989.43184692</v>
      </c>
      <c r="W3" s="62">
        <f t="shared" si="1"/>
        <v>893.83156560000009</v>
      </c>
      <c r="DA3" s="172" t="s">
        <v>985</v>
      </c>
    </row>
    <row r="4" spans="1:105" ht="11.45" customHeight="1" x14ac:dyDescent="0.25">
      <c r="A4" s="55" t="s">
        <v>170</v>
      </c>
      <c r="B4" s="63">
        <v>1119.2862889806631</v>
      </c>
      <c r="C4" s="63">
        <v>914.06802344224229</v>
      </c>
      <c r="D4" s="63">
        <v>1014.1324635352706</v>
      </c>
      <c r="E4" s="63">
        <v>982.8575409320033</v>
      </c>
      <c r="F4" s="63">
        <v>797.89490019752236</v>
      </c>
      <c r="G4" s="63">
        <v>791.63912790454265</v>
      </c>
      <c r="H4" s="63">
        <v>888.83847060379856</v>
      </c>
      <c r="I4" s="63">
        <v>723.41207985014341</v>
      </c>
      <c r="J4" s="63">
        <v>627.36263763656279</v>
      </c>
      <c r="K4" s="63">
        <v>372.37884335016656</v>
      </c>
      <c r="L4" s="63">
        <v>324.06760416080391</v>
      </c>
      <c r="M4" s="63">
        <v>298.2934857814999</v>
      </c>
      <c r="N4" s="63">
        <v>185.08385771198741</v>
      </c>
      <c r="O4" s="63">
        <v>193.38585102448226</v>
      </c>
      <c r="P4" s="63">
        <v>141.12880819596796</v>
      </c>
      <c r="Q4" s="63">
        <v>463.79018095852462</v>
      </c>
      <c r="R4" s="63">
        <v>439.09433472627654</v>
      </c>
      <c r="S4" s="63">
        <v>546.65905671040719</v>
      </c>
      <c r="T4" s="63">
        <v>500.35426957820874</v>
      </c>
      <c r="U4" s="63">
        <v>506.8385455819739</v>
      </c>
      <c r="V4" s="63">
        <v>435.15254660040421</v>
      </c>
      <c r="W4" s="63">
        <v>392.89869080387967</v>
      </c>
      <c r="DA4" s="181" t="s">
        <v>986</v>
      </c>
    </row>
    <row r="5" spans="1:105" ht="11.45" customHeight="1" x14ac:dyDescent="0.25">
      <c r="A5" s="57" t="s">
        <v>171</v>
      </c>
      <c r="B5" s="64">
        <v>1051.2212966993372</v>
      </c>
      <c r="C5" s="64">
        <v>944.45051979775803</v>
      </c>
      <c r="D5" s="64">
        <v>1079.5839804247291</v>
      </c>
      <c r="E5" s="64">
        <v>1098.0930254679963</v>
      </c>
      <c r="F5" s="64">
        <v>878.09275124247813</v>
      </c>
      <c r="G5" s="64">
        <v>855.71826353545771</v>
      </c>
      <c r="H5" s="64">
        <v>923.70000791620157</v>
      </c>
      <c r="I5" s="64">
        <v>761.31110426985651</v>
      </c>
      <c r="J5" s="64">
        <v>668.60433272343676</v>
      </c>
      <c r="K5" s="64">
        <v>432.4686354098335</v>
      </c>
      <c r="L5" s="64">
        <v>357.26246051919611</v>
      </c>
      <c r="M5" s="64">
        <v>345.1715758585002</v>
      </c>
      <c r="N5" s="64">
        <v>208.31919300801263</v>
      </c>
      <c r="O5" s="64">
        <v>222.69402233551781</v>
      </c>
      <c r="P5" s="64">
        <v>167.64479236403204</v>
      </c>
      <c r="Q5" s="64">
        <v>489.0208412814751</v>
      </c>
      <c r="R5" s="64">
        <v>483.46622987372365</v>
      </c>
      <c r="S5" s="64">
        <v>587.91033764959263</v>
      </c>
      <c r="T5" s="64">
        <v>547.09230238179134</v>
      </c>
      <c r="U5" s="64">
        <v>570.82318529802592</v>
      </c>
      <c r="V5" s="64">
        <v>554.27930031959579</v>
      </c>
      <c r="W5" s="64">
        <v>500.93287479612042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3.2012375320302402</v>
      </c>
      <c r="C9" s="79">
        <f>IF(C3=0,0,C3/MBunk_ene!C3)</f>
        <v>3.2058260810190866</v>
      </c>
      <c r="D9" s="79">
        <f>IF(D3=0,0,D3/MBunk_ene!D3)</f>
        <v>3.2183349515272006</v>
      </c>
      <c r="E9" s="79">
        <f>IF(E3=0,0,E3/MBunk_ene!E3)</f>
        <v>3.2199438096685911</v>
      </c>
      <c r="F9" s="79">
        <f>IF(F3=0,0,F3/MBunk_ene!F3)</f>
        <v>3.2272566782031569</v>
      </c>
      <c r="G9" s="79">
        <f>IF(G3=0,0,G3/MBunk_ene!G3)</f>
        <v>3.2270260387654117</v>
      </c>
      <c r="H9" s="79">
        <f>IF(H3=0,0,H3/MBunk_ene!H3)</f>
        <v>3.2252620478915057</v>
      </c>
      <c r="I9" s="79">
        <f>IF(I3=0,0,I3/MBunk_ene!I3)</f>
        <v>3.2173355730808808</v>
      </c>
      <c r="J9" s="79">
        <f>IF(J3=0,0,J3/MBunk_ene!J3)</f>
        <v>3.2146713376263882</v>
      </c>
      <c r="K9" s="79">
        <f>IF(K3=0,0,K3/MBunk_ene!K3)</f>
        <v>3.2135265415909413</v>
      </c>
      <c r="L9" s="79">
        <f>IF(L3=0,0,L3/MBunk_ene!L3)</f>
        <v>3.1988205071160807</v>
      </c>
      <c r="M9" s="79">
        <f>IF(M3=0,0,M3/MBunk_ene!M3)</f>
        <v>3.1977866393613916</v>
      </c>
      <c r="N9" s="79">
        <f>IF(N3=0,0,N3/MBunk_ene!N3)</f>
        <v>3.1924668491137003</v>
      </c>
      <c r="O9" s="79">
        <f>IF(O3=0,0,O3/MBunk_ene!O3)</f>
        <v>3.1892256748187418</v>
      </c>
      <c r="P9" s="79">
        <f>IF(P3=0,0,P3/MBunk_ene!P3)</f>
        <v>3.1919505848407459</v>
      </c>
      <c r="Q9" s="79">
        <f>IF(Q3=0,0,Q3/MBunk_ene!Q3)</f>
        <v>3.2194162758996252</v>
      </c>
      <c r="R9" s="79">
        <f>IF(R3=0,0,R3/MBunk_ene!R3)</f>
        <v>3.2195617140755797</v>
      </c>
      <c r="S9" s="79">
        <f>IF(S3=0,0,S3/MBunk_ene!S3)</f>
        <v>3.2007293749869445</v>
      </c>
      <c r="T9" s="79">
        <f>IF(T3=0,0,T3/MBunk_ene!T3)</f>
        <v>3.2123806629326643</v>
      </c>
      <c r="U9" s="79">
        <f>IF(U3=0,0,U3/MBunk_ene!U3)</f>
        <v>3.2094488663362948</v>
      </c>
      <c r="V9" s="79">
        <f>IF(V3=0,0,V3/MBunk_ene!V3)</f>
        <v>3.2033524774851547</v>
      </c>
      <c r="W9" s="79">
        <f>IF(W3=0,0,W3/MBunk_ene!W3)</f>
        <v>3.1858484787620047</v>
      </c>
      <c r="DA9" s="172"/>
    </row>
    <row r="10" spans="1:105" ht="11.45" customHeight="1" x14ac:dyDescent="0.25">
      <c r="A10" s="55" t="s">
        <v>170</v>
      </c>
      <c r="B10" s="80">
        <f>IF(B4=0,0,B4/MBunk_ene!B4)</f>
        <v>3.1761254049260121</v>
      </c>
      <c r="C10" s="80">
        <f>IF(C4=0,0,C4/MBunk_ene!C4)</f>
        <v>3.1817665772228914</v>
      </c>
      <c r="D10" s="80">
        <f>IF(D4=0,0,D4/MBunk_ene!D4)</f>
        <v>3.2024487258917818</v>
      </c>
      <c r="E10" s="80">
        <f>IF(E4=0,0,E4/MBunk_ene!E4)</f>
        <v>3.2046917627313865</v>
      </c>
      <c r="F10" s="80">
        <f>IF(F4=0,0,F4/MBunk_ene!F4)</f>
        <v>3.2175212578959109</v>
      </c>
      <c r="G10" s="80">
        <f>IF(G4=0,0,G4/MBunk_ene!G4)</f>
        <v>3.2172867797914346</v>
      </c>
      <c r="H10" s="80">
        <f>IF(H4=0,0,H4/MBunk_ene!H4)</f>
        <v>3.2145874841114406</v>
      </c>
      <c r="I10" s="80">
        <f>IF(I4=0,0,I4/MBunk_ene!I4)</f>
        <v>3.2010720090673677</v>
      </c>
      <c r="J10" s="80">
        <f>IF(J4=0,0,J4/MBunk_ene!J4)</f>
        <v>3.1962645873638547</v>
      </c>
      <c r="K10" s="80">
        <f>IF(K4=0,0,K4/MBunk_ene!K4)</f>
        <v>3.1928944640432317</v>
      </c>
      <c r="L10" s="80">
        <f>IF(L4=0,0,L4/MBunk_ene!L4)</f>
        <v>3.168346256126001</v>
      </c>
      <c r="M10" s="80">
        <f>IF(M4=0,0,M4/MBunk_ene!M4)</f>
        <v>3.165285579239058</v>
      </c>
      <c r="N10" s="80">
        <f>IF(N4=0,0,N4/MBunk_ene!N4)</f>
        <v>3.1567022616860814</v>
      </c>
      <c r="O10" s="80">
        <f>IF(O4=0,0,O4/MBunk_ene!O4)</f>
        <v>3.1508489980384407</v>
      </c>
      <c r="P10" s="80">
        <f>IF(P4=0,0,P4/MBunk_ene!P4)</f>
        <v>3.1543962273025725</v>
      </c>
      <c r="Q10" s="80">
        <f>IF(Q4=0,0,Q4/MBunk_ene!Q4)</f>
        <v>3.2045076784338011</v>
      </c>
      <c r="R10" s="80">
        <f>IF(R4=0,0,R4/MBunk_ene!R4)</f>
        <v>3.2046738756697812</v>
      </c>
      <c r="S10" s="80">
        <f>IF(S4=0,0,S4/MBunk_ene!S4)</f>
        <v>3.1805893222541184</v>
      </c>
      <c r="T10" s="80">
        <f>IF(T4=0,0,T4/MBunk_ene!T4)</f>
        <v>3.1942207084640315</v>
      </c>
      <c r="U10" s="80">
        <f>IF(U4=0,0,U4/MBunk_ene!U4)</f>
        <v>3.1871362080484302</v>
      </c>
      <c r="V10" s="80">
        <f>IF(V4=0,0,V4/MBunk_ene!V4)</f>
        <v>3.1761788064532563</v>
      </c>
      <c r="W10" s="80">
        <f>IF(W4=0,0,W4/MBunk_ene!W4)</f>
        <v>3.14464364794879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3.2284158366114597</v>
      </c>
      <c r="C11" s="81">
        <f>IF(C5=0,0,C5/MBunk_ene!C10)</f>
        <v>3.2294606482324135</v>
      </c>
      <c r="D11" s="81">
        <f>IF(D5=0,0,D5/MBunk_ene!D10)</f>
        <v>3.2334022897354453</v>
      </c>
      <c r="E11" s="81">
        <f>IF(E5=0,0,E5/MBunk_ene!E10)</f>
        <v>3.2337189356617637</v>
      </c>
      <c r="F11" s="81">
        <f>IF(F5=0,0,F5/MBunk_ene!F10)</f>
        <v>3.2361541738059101</v>
      </c>
      <c r="G11" s="81">
        <f>IF(G5=0,0,G5/MBunk_ene!G10)</f>
        <v>3.236088642683832</v>
      </c>
      <c r="H11" s="81">
        <f>IF(H5=0,0,H5/MBunk_ene!H10)</f>
        <v>3.2356008858517913</v>
      </c>
      <c r="I11" s="81">
        <f>IF(I5=0,0,I5/MBunk_ene!I10)</f>
        <v>3.2329433831269352</v>
      </c>
      <c r="J11" s="81">
        <f>IF(J5=0,0,J5/MBunk_ene!J10)</f>
        <v>3.2321365374892741</v>
      </c>
      <c r="K11" s="81">
        <f>IF(K5=0,0,K5/MBunk_ene!K10)</f>
        <v>3.2315067136284306</v>
      </c>
      <c r="L11" s="81">
        <f>IF(L5=0,0,L5/MBunk_ene!L10)</f>
        <v>3.2269747728908884</v>
      </c>
      <c r="M11" s="81">
        <f>IF(M5=0,0,M5/MBunk_ene!M10)</f>
        <v>3.2264161386924659</v>
      </c>
      <c r="N11" s="81">
        <f>IF(N5=0,0,N5/MBunk_ene!N10)</f>
        <v>3.2249291300307226</v>
      </c>
      <c r="O11" s="81">
        <f>IF(O5=0,0,O5/MBunk_ene!O10)</f>
        <v>3.2233181937089586</v>
      </c>
      <c r="P11" s="81">
        <f>IF(P5=0,0,P5/MBunk_ene!P10)</f>
        <v>3.2242653102217997</v>
      </c>
      <c r="Q11" s="81">
        <f>IF(Q5=0,0,Q5/MBunk_ene!Q10)</f>
        <v>3.2336844134362321</v>
      </c>
      <c r="R11" s="81">
        <f>IF(R5=0,0,R5/MBunk_ene!R10)</f>
        <v>3.2332035412055924</v>
      </c>
      <c r="S11" s="81">
        <f>IF(S5=0,0,S5/MBunk_ene!S10)</f>
        <v>3.2196864811252355</v>
      </c>
      <c r="T11" s="81">
        <f>IF(T5=0,0,T5/MBunk_ene!T10)</f>
        <v>3.2291709405000275</v>
      </c>
      <c r="U11" s="81">
        <f>IF(U5=0,0,U5/MBunk_ene!U10)</f>
        <v>3.229523943822493</v>
      </c>
      <c r="V11" s="81">
        <f>IF(V5=0,0,V5/MBunk_ene!V10)</f>
        <v>3.2250139430136904</v>
      </c>
      <c r="W11" s="81">
        <f>IF(W5=0,0,W5/MBunk_ene!W10)</f>
        <v>3.2189302928448464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14663.120861119756</v>
      </c>
      <c r="C13" s="62">
        <f>IF(C3=0,0,C3/MBunk_act!C7*100)</f>
        <v>12450.22667587021</v>
      </c>
      <c r="D13" s="62">
        <f>IF(D3=0,0,D3/MBunk_act!D7*100)</f>
        <v>13640.112233847422</v>
      </c>
      <c r="E13" s="62">
        <f>IF(E3=0,0,E3/MBunk_act!E7*100)</f>
        <v>13213.0330358436</v>
      </c>
      <c r="F13" s="62">
        <f>IF(F3=0,0,F3/MBunk_act!F7*100)</f>
        <v>10452.289694702336</v>
      </c>
      <c r="G13" s="62">
        <f>IF(G3=0,0,G3/MBunk_act!G7*100)</f>
        <v>11464.502385623253</v>
      </c>
      <c r="H13" s="62">
        <f>IF(H3=0,0,H3/MBunk_act!H7*100)</f>
        <v>11881.602612389381</v>
      </c>
      <c r="I13" s="62">
        <f>IF(I3=0,0,I3/MBunk_act!I7*100)</f>
        <v>10009.323445289219</v>
      </c>
      <c r="J13" s="62">
        <f>IF(J3=0,0,J3/MBunk_act!J7*100)</f>
        <v>8689.4510216265535</v>
      </c>
      <c r="K13" s="62">
        <f>IF(K3=0,0,K3/MBunk_act!K7*100)</f>
        <v>7349.729398890976</v>
      </c>
      <c r="L13" s="62">
        <f>IF(L3=0,0,L3/MBunk_act!L7*100)</f>
        <v>5370.5670808460509</v>
      </c>
      <c r="M13" s="62">
        <f>IF(M3=0,0,M3/MBunk_act!M7*100)</f>
        <v>4997.1817908806233</v>
      </c>
      <c r="N13" s="62">
        <f>IF(N3=0,0,N3/MBunk_act!N7*100)</f>
        <v>3252.5543450572927</v>
      </c>
      <c r="O13" s="62">
        <f>IF(O3=0,0,O3/MBunk_act!O7*100)</f>
        <v>3477.2043509192899</v>
      </c>
      <c r="P13" s="62">
        <f>IF(P3=0,0,P3/MBunk_act!P7*100)</f>
        <v>2675.7938034478743</v>
      </c>
      <c r="Q13" s="62">
        <f>IF(Q3=0,0,Q3/MBunk_act!Q7*100)</f>
        <v>9143.9000032820877</v>
      </c>
      <c r="R13" s="62">
        <f>IF(R3=0,0,R3/MBunk_act!R7*100)</f>
        <v>8258.3600859779854</v>
      </c>
      <c r="S13" s="62">
        <f>IF(S3=0,0,S3/MBunk_act!S7*100)</f>
        <v>9908.5438768813183</v>
      </c>
      <c r="T13" s="62">
        <f>IF(T3=0,0,T3/MBunk_act!T7*100)</f>
        <v>8905.9551353336337</v>
      </c>
      <c r="U13" s="62">
        <f>IF(U3=0,0,U3/MBunk_act!U7*100)</f>
        <v>9218.8611652825039</v>
      </c>
      <c r="V13" s="62">
        <f>IF(V3=0,0,V3/MBunk_act!V7*100)</f>
        <v>9740.0621823986967</v>
      </c>
      <c r="W13" s="62">
        <f>IF(W3=0,0,W3/MBunk_act!W7*100)</f>
        <v>8821.3602969114909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10413.024217073078</v>
      </c>
      <c r="C14" s="63">
        <f>IF(C4=0,0,C4/MBunk_act!C8*100)</f>
        <v>8922.0202542336883</v>
      </c>
      <c r="D14" s="63">
        <f>IF(D4=0,0,D4/MBunk_act!D8*100)</f>
        <v>9878.191349814615</v>
      </c>
      <c r="E14" s="63">
        <f>IF(E4=0,0,E4/MBunk_act!E8*100)</f>
        <v>9646.2326731004177</v>
      </c>
      <c r="F14" s="63">
        <f>IF(F4=0,0,F4/MBunk_act!F8*100)</f>
        <v>7642.3888944098653</v>
      </c>
      <c r="G14" s="63">
        <f>IF(G4=0,0,G4/MBunk_act!G8*100)</f>
        <v>8390.8866914728551</v>
      </c>
      <c r="H14" s="63">
        <f>IF(H4=0,0,H4/MBunk_act!H8*100)</f>
        <v>8650.3908283723886</v>
      </c>
      <c r="I14" s="63">
        <f>IF(I4=0,0,I4/MBunk_act!I8*100)</f>
        <v>7274.6954121627714</v>
      </c>
      <c r="J14" s="63">
        <f>IF(J4=0,0,J4/MBunk_act!J8*100)</f>
        <v>6313.5895038481358</v>
      </c>
      <c r="K14" s="63">
        <f>IF(K4=0,0,K4/MBunk_act!K8*100)</f>
        <v>5364.4448960711788</v>
      </c>
      <c r="L14" s="63">
        <f>IF(L4=0,0,L4/MBunk_act!L8*100)</f>
        <v>3871.5062364935184</v>
      </c>
      <c r="M14" s="63">
        <f>IF(M4=0,0,M4/MBunk_act!M8*100)</f>
        <v>3610.4078576863053</v>
      </c>
      <c r="N14" s="63">
        <f>IF(N4=0,0,N4/MBunk_act!N8*100)</f>
        <v>2338.2737122010849</v>
      </c>
      <c r="O14" s="63">
        <f>IF(O4=0,0,O4/MBunk_act!O8*100)</f>
        <v>2495.5147908070362</v>
      </c>
      <c r="P14" s="63">
        <f>IF(P4=0,0,P4/MBunk_act!P8*100)</f>
        <v>1926.8183513074018</v>
      </c>
      <c r="Q14" s="63">
        <f>IF(Q4=0,0,Q4/MBunk_act!Q8*100)</f>
        <v>6532.9829792121191</v>
      </c>
      <c r="R14" s="63">
        <f>IF(R4=0,0,R4/MBunk_act!R8*100)</f>
        <v>5923.7888822131135</v>
      </c>
      <c r="S14" s="63">
        <f>IF(S4=0,0,S4/MBunk_act!S8*100)</f>
        <v>7089.2744447258065</v>
      </c>
      <c r="T14" s="63">
        <f>IF(T4=0,0,T4/MBunk_act!T8*100)</f>
        <v>6372.0029756332497</v>
      </c>
      <c r="U14" s="63">
        <f>IF(U4=0,0,U4/MBunk_act!U8*100)</f>
        <v>6610.8984605391979</v>
      </c>
      <c r="V14" s="63">
        <f>IF(V4=0,0,V4/MBunk_act!V8*100)</f>
        <v>6620.8594818917418</v>
      </c>
      <c r="W14" s="63">
        <f>IF(W4=0,0,W4/MBunk_act!W8*100)</f>
        <v>5771.5079110447359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25933.112986087064</v>
      </c>
      <c r="C15" s="64">
        <f>IF(C5=0,0,C5/MBunk_act!C9*100)</f>
        <v>20169.753433421229</v>
      </c>
      <c r="D15" s="64">
        <f>IF(D5=0,0,D5/MBunk_act!D9*100)</f>
        <v>21237.760819541258</v>
      </c>
      <c r="E15" s="64">
        <f>IF(E5=0,0,E5/MBunk_act!E9*100)</f>
        <v>19749.174812834801</v>
      </c>
      <c r="F15" s="64">
        <f>IF(F5=0,0,F5/MBunk_act!F9*100)</f>
        <v>15696.316425094259</v>
      </c>
      <c r="G15" s="64">
        <f>IF(G5=0,0,G5/MBunk_act!G9*100)</f>
        <v>17340.871737342321</v>
      </c>
      <c r="H15" s="64">
        <f>IF(H5=0,0,H5/MBunk_act!H9*100)</f>
        <v>18548.658508822042</v>
      </c>
      <c r="I15" s="64">
        <f>IF(I5=0,0,I5/MBunk_act!I9*100)</f>
        <v>15571.35493907986</v>
      </c>
      <c r="J15" s="64">
        <f>IF(J5=0,0,J5/MBunk_act!J9*100)</f>
        <v>13432.390026252593</v>
      </c>
      <c r="K15" s="64">
        <f>IF(K5=0,0,K5/MBunk_act!K9*100)</f>
        <v>10787.17775265299</v>
      </c>
      <c r="L15" s="64">
        <f>IF(L5=0,0,L5/MBunk_act!L9*100)</f>
        <v>8278.0335303509073</v>
      </c>
      <c r="M15" s="64">
        <f>IF(M5=0,0,M5/MBunk_act!M9*100)</f>
        <v>7480.1268575029053</v>
      </c>
      <c r="N15" s="64">
        <f>IF(N5=0,0,N5/MBunk_act!N9*100)</f>
        <v>4983.9547951255208</v>
      </c>
      <c r="O15" s="64">
        <f>IF(O5=0,0,O5/MBunk_act!O9*100)</f>
        <v>5281.3721770584943</v>
      </c>
      <c r="P15" s="64">
        <f>IF(P5=0,0,P5/MBunk_act!P9*100)</f>
        <v>3977.2756195047018</v>
      </c>
      <c r="Q15" s="64">
        <f>IF(Q5=0,0,Q5/MBunk_act!Q9*100)</f>
        <v>14725.232289867998</v>
      </c>
      <c r="R15" s="64">
        <f>IF(R5=0,0,R5/MBunk_act!R9*100)</f>
        <v>12862.105666418636</v>
      </c>
      <c r="S15" s="64">
        <f>IF(S5=0,0,S5/MBunk_act!S9*100)</f>
        <v>15722.289654883029</v>
      </c>
      <c r="T15" s="64">
        <f>IF(T5=0,0,T5/MBunk_act!T9*100)</f>
        <v>13996.401008844678</v>
      </c>
      <c r="U15" s="64">
        <f>IF(U5=0,0,U5/MBunk_act!U9*100)</f>
        <v>14188.862426520709</v>
      </c>
      <c r="V15" s="64">
        <f>IF(V5=0,0,V5/MBunk_act!V9*100)</f>
        <v>15457.080120738607</v>
      </c>
      <c r="W15" s="64">
        <f>IF(W5=0,0,W5/MBunk_act!W9*100)</f>
        <v>15065.537095093132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18.987582265042196</v>
      </c>
      <c r="C17" s="62">
        <f>IF(C3=0,0,C3/MBunk_act!C3*1000)</f>
        <v>14.074978571661195</v>
      </c>
      <c r="D17" s="62">
        <f>IF(D3=0,0,D3/MBunk_act!D3*1000)</f>
        <v>14.014240907643533</v>
      </c>
      <c r="E17" s="62">
        <f>IF(E3=0,0,E3/MBunk_act!E3*1000)</f>
        <v>12.816141726782014</v>
      </c>
      <c r="F17" s="62">
        <f>IF(F3=0,0,F3/MBunk_act!F3*1000)</f>
        <v>10.037418801347204</v>
      </c>
      <c r="G17" s="62">
        <f>IF(G3=0,0,G3/MBunk_act!G3*1000)</f>
        <v>10.773194992380736</v>
      </c>
      <c r="H17" s="62">
        <f>IF(H3=0,0,H3/MBunk_act!H3*1000)</f>
        <v>11.074656489305051</v>
      </c>
      <c r="I17" s="62">
        <f>IF(I3=0,0,I3/MBunk_act!I3*1000)</f>
        <v>8.7865586782841163</v>
      </c>
      <c r="J17" s="62">
        <f>IF(J3=0,0,J3/MBunk_act!J3*1000)</f>
        <v>7.0473412261524304</v>
      </c>
      <c r="K17" s="62">
        <f>IF(K3=0,0,K3/MBunk_act!K3*1000)</f>
        <v>5.1042172482462309</v>
      </c>
      <c r="L17" s="62">
        <f>IF(L3=0,0,L3/MBunk_act!L3*1000)</f>
        <v>3.8355588791466704</v>
      </c>
      <c r="M17" s="62">
        <f>IF(M3=0,0,M3/MBunk_act!M3*1000)</f>
        <v>3.3436636647368281</v>
      </c>
      <c r="N17" s="62">
        <f>IF(N3=0,0,N3/MBunk_act!N3*1000)</f>
        <v>2.1540972165200398</v>
      </c>
      <c r="O17" s="62">
        <f>IF(O3=0,0,O3/MBunk_act!O3*1000)</f>
        <v>2.2047873861329124</v>
      </c>
      <c r="P17" s="62">
        <f>IF(P3=0,0,P3/MBunk_act!P3*1000)</f>
        <v>1.6556411711068819</v>
      </c>
      <c r="Q17" s="62">
        <f>IF(Q3=0,0,Q3/MBunk_act!Q3*1000)</f>
        <v>6.2053551957867708</v>
      </c>
      <c r="R17" s="62">
        <f>IF(R3=0,0,R3/MBunk_act!R3*1000)</f>
        <v>5.2732426614613308</v>
      </c>
      <c r="S17" s="62">
        <f>IF(S3=0,0,S3/MBunk_act!S3*1000)</f>
        <v>6.3757490675221815</v>
      </c>
      <c r="T17" s="62">
        <f>IF(T3=0,0,T3/MBunk_act!T3*1000)</f>
        <v>5.5983478311365991</v>
      </c>
      <c r="U17" s="62">
        <f>IF(U3=0,0,U3/MBunk_act!U3*1000)</f>
        <v>5.5431566477451693</v>
      </c>
      <c r="V17" s="62">
        <f>IF(V3=0,0,V3/MBunk_act!V3*1000)</f>
        <v>5.5900103257447711</v>
      </c>
      <c r="W17" s="62">
        <f>IF(W3=0,0,W3/MBunk_act!W3*1000)</f>
        <v>5.407507063437345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19.804906009113527</v>
      </c>
      <c r="C18" s="63">
        <f>IF(C4=0,0,C4/MBunk_act!C4*1000)</f>
        <v>16.788608413084166</v>
      </c>
      <c r="D18" s="63">
        <f>IF(D4=0,0,D4/MBunk_act!D4*1000)</f>
        <v>18.132648218879584</v>
      </c>
      <c r="E18" s="63">
        <f>IF(E4=0,0,E4/MBunk_act!E4*1000)</f>
        <v>17.095623021977268</v>
      </c>
      <c r="F18" s="63">
        <f>IF(F4=0,0,F4/MBunk_act!F4*1000)</f>
        <v>13.445924061623737</v>
      </c>
      <c r="G18" s="63">
        <f>IF(G4=0,0,G4/MBunk_act!G4*1000)</f>
        <v>14.26415200349641</v>
      </c>
      <c r="H18" s="63">
        <f>IF(H4=0,0,H4/MBunk_act!H4*1000)</f>
        <v>13.929504371915359</v>
      </c>
      <c r="I18" s="63">
        <f>IF(I4=0,0,I4/MBunk_act!I4*1000)</f>
        <v>11.302232185670807</v>
      </c>
      <c r="J18" s="63">
        <f>IF(J4=0,0,J4/MBunk_act!J4*1000)</f>
        <v>9.6141048751410931</v>
      </c>
      <c r="K18" s="63">
        <f>IF(K4=0,0,K4/MBunk_act!K4*1000)</f>
        <v>7.6830718751788849</v>
      </c>
      <c r="L18" s="63">
        <f>IF(L4=0,0,L4/MBunk_act!L4*1000)</f>
        <v>5.6261701834005891</v>
      </c>
      <c r="M18" s="63">
        <f>IF(M4=0,0,M4/MBunk_act!M4*1000)</f>
        <v>5.1559426925948539</v>
      </c>
      <c r="N18" s="63">
        <f>IF(N4=0,0,N4/MBunk_act!N4*1000)</f>
        <v>3.2836261268736124</v>
      </c>
      <c r="O18" s="63">
        <f>IF(O4=0,0,O4/MBunk_act!O4*1000)</f>
        <v>3.3703707375358127</v>
      </c>
      <c r="P18" s="63">
        <f>IF(P4=0,0,P4/MBunk_act!P4*1000)</f>
        <v>2.5411440119198421</v>
      </c>
      <c r="Q18" s="63">
        <f>IF(Q4=0,0,Q4/MBunk_act!Q4*1000)</f>
        <v>8.7760980237822181</v>
      </c>
      <c r="R18" s="63">
        <f>IF(R4=0,0,R4/MBunk_act!R4*1000)</f>
        <v>7.6865073941030131</v>
      </c>
      <c r="S18" s="63">
        <f>IF(S4=0,0,S4/MBunk_act!S4*1000)</f>
        <v>9.1754307990324513</v>
      </c>
      <c r="T18" s="63">
        <f>IF(T4=0,0,T4/MBunk_act!T4*1000)</f>
        <v>8.2377196490980698</v>
      </c>
      <c r="U18" s="63">
        <f>IF(U4=0,0,U4/MBunk_act!U4*1000)</f>
        <v>8.5143511108503418</v>
      </c>
      <c r="V18" s="63">
        <f>IF(V4=0,0,V4/MBunk_act!V4*1000)</f>
        <v>7.5604120684678033</v>
      </c>
      <c r="W18" s="63">
        <f>IF(W4=0,0,W4/MBunk_act!W4*1000)</f>
        <v>7.0073081629400846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18.188369993944253</v>
      </c>
      <c r="C19" s="64">
        <f>IF(C5=0,0,C5/MBunk_act!C5*1000)</f>
        <v>12.171002200478549</v>
      </c>
      <c r="D19" s="64">
        <f>IF(D5=0,0,D5/MBunk_act!D5*1000)</f>
        <v>11.549975986087945</v>
      </c>
      <c r="E19" s="64">
        <f>IF(E5=0,0,E5/MBunk_act!E5*1000)</f>
        <v>10.47022030639701</v>
      </c>
      <c r="F19" s="64">
        <f>IF(F5=0,0,F5/MBunk_act!F5*1000)</f>
        <v>8.1582154367736113</v>
      </c>
      <c r="G19" s="64">
        <f>IF(G5=0,0,G5/MBunk_act!G5*1000)</f>
        <v>8.784336227890563</v>
      </c>
      <c r="H19" s="64">
        <f>IF(H5=0,0,H5/MBunk_act!H5*1000)</f>
        <v>9.2503515206548244</v>
      </c>
      <c r="I19" s="64">
        <f>IF(I5=0,0,I5/MBunk_act!I5*1000)</f>
        <v>7.2526183427890389</v>
      </c>
      <c r="J19" s="64">
        <f>IF(J5=0,0,J5/MBunk_act!J5*1000)</f>
        <v>5.6355699700869861</v>
      </c>
      <c r="K19" s="64">
        <f>IF(K5=0,0,K5/MBunk_act!K5*1000)</f>
        <v>3.9597770947157076</v>
      </c>
      <c r="L19" s="64">
        <f>IF(L5=0,0,L5/MBunk_act!L5*1000)</f>
        <v>2.976316325639055</v>
      </c>
      <c r="M19" s="64">
        <f>IF(M5=0,0,M5/MBunk_act!M5*1000)</f>
        <v>2.564637952772499</v>
      </c>
      <c r="N19" s="64">
        <f>IF(N5=0,0,N5/MBunk_act!N5*1000)</f>
        <v>1.6498643540726203</v>
      </c>
      <c r="O19" s="64">
        <f>IF(O5=0,0,O5/MBunk_act!O5*1000)</f>
        <v>1.695575142388337</v>
      </c>
      <c r="P19" s="64">
        <f>IF(P5=0,0,P5/MBunk_act!P5*1000)</f>
        <v>1.2801182994483642</v>
      </c>
      <c r="Q19" s="64">
        <f>IF(Q5=0,0,Q5/MBunk_act!Q5*1000)</f>
        <v>4.8562340276466509</v>
      </c>
      <c r="R19" s="64">
        <f>IF(R5=0,0,R5/MBunk_act!R5*1000)</f>
        <v>4.1032239071605678</v>
      </c>
      <c r="S19" s="64">
        <f>IF(S5=0,0,S5/MBunk_act!S5*1000)</f>
        <v>4.966625536266525</v>
      </c>
      <c r="T19" s="64">
        <f>IF(T5=0,0,T5/MBunk_act!T5*1000)</f>
        <v>4.3296383284118534</v>
      </c>
      <c r="U19" s="64">
        <f>IF(U5=0,0,U5/MBunk_act!U5*1000)</f>
        <v>4.2319109565042323</v>
      </c>
      <c r="V19" s="64">
        <f>IF(V5=0,0,V5/MBunk_act!V5*1000)</f>
        <v>4.6405231030393539</v>
      </c>
      <c r="W19" s="64">
        <f>IF(W5=0,0,W5/MBunk_act!W5*1000)</f>
        <v>4.5862589358695738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0.51567951034366044</v>
      </c>
      <c r="C22" s="77">
        <f t="shared" si="2"/>
        <v>0.49182615194612234</v>
      </c>
      <c r="D22" s="77">
        <f t="shared" si="2"/>
        <v>0.48436953650570153</v>
      </c>
      <c r="E22" s="77">
        <f t="shared" si="2"/>
        <v>0.47231181595645777</v>
      </c>
      <c r="F22" s="77">
        <f t="shared" si="2"/>
        <v>0.47607445049608504</v>
      </c>
      <c r="G22" s="77">
        <f t="shared" si="2"/>
        <v>0.4805509308532917</v>
      </c>
      <c r="H22" s="77">
        <f t="shared" si="2"/>
        <v>0.49038322834920761</v>
      </c>
      <c r="I22" s="77">
        <f t="shared" si="2"/>
        <v>0.4872370065931933</v>
      </c>
      <c r="J22" s="77">
        <f t="shared" si="2"/>
        <v>0.48408844668494228</v>
      </c>
      <c r="K22" s="77">
        <f t="shared" si="2"/>
        <v>0.46267007498598051</v>
      </c>
      <c r="L22" s="77">
        <f t="shared" si="2"/>
        <v>0.47563966564870225</v>
      </c>
      <c r="M22" s="77">
        <f t="shared" si="2"/>
        <v>0.46357370984718105</v>
      </c>
      <c r="N22" s="77">
        <f t="shared" si="2"/>
        <v>0.4704687911627779</v>
      </c>
      <c r="O22" s="77">
        <f t="shared" si="2"/>
        <v>0.46478059479979034</v>
      </c>
      <c r="P22" s="77">
        <f t="shared" si="2"/>
        <v>0.45706241705901351</v>
      </c>
      <c r="Q22" s="77">
        <f t="shared" si="2"/>
        <v>0.48675988221482014</v>
      </c>
      <c r="R22" s="77">
        <f t="shared" si="2"/>
        <v>0.47595177116274984</v>
      </c>
      <c r="S22" s="77">
        <f t="shared" si="2"/>
        <v>0.48182073254212227</v>
      </c>
      <c r="T22" s="77">
        <f t="shared" si="2"/>
        <v>0.47768953851453944</v>
      </c>
      <c r="U22" s="77">
        <f t="shared" si="2"/>
        <v>0.47031320780788827</v>
      </c>
      <c r="V22" s="77">
        <f t="shared" si="2"/>
        <v>0.43980042481449277</v>
      </c>
      <c r="W22" s="77">
        <f t="shared" si="2"/>
        <v>0.43956681093505523</v>
      </c>
      <c r="DA22" s="184"/>
    </row>
    <row r="23" spans="1:105" ht="11.45" customHeight="1" x14ac:dyDescent="0.25">
      <c r="A23" s="57" t="s">
        <v>171</v>
      </c>
      <c r="B23" s="78">
        <f t="shared" si="2"/>
        <v>0.48432048965633961</v>
      </c>
      <c r="C23" s="78">
        <f t="shared" si="2"/>
        <v>0.50817384805387766</v>
      </c>
      <c r="D23" s="78">
        <f t="shared" si="2"/>
        <v>0.51563046349429853</v>
      </c>
      <c r="E23" s="78">
        <f t="shared" si="2"/>
        <v>0.52768818404354212</v>
      </c>
      <c r="F23" s="78">
        <f t="shared" si="2"/>
        <v>0.5239255495039149</v>
      </c>
      <c r="G23" s="78">
        <f t="shared" si="2"/>
        <v>0.5194490691467083</v>
      </c>
      <c r="H23" s="78">
        <f t="shared" si="2"/>
        <v>0.50961677165079244</v>
      </c>
      <c r="I23" s="78">
        <f t="shared" si="2"/>
        <v>0.51276299340680664</v>
      </c>
      <c r="J23" s="78">
        <f t="shared" si="2"/>
        <v>0.51591155331505778</v>
      </c>
      <c r="K23" s="78">
        <f t="shared" si="2"/>
        <v>0.53732992501401955</v>
      </c>
      <c r="L23" s="78">
        <f t="shared" si="2"/>
        <v>0.5243603343512977</v>
      </c>
      <c r="M23" s="78">
        <f t="shared" si="2"/>
        <v>0.53642629015281884</v>
      </c>
      <c r="N23" s="78">
        <f t="shared" si="2"/>
        <v>0.52953120883722216</v>
      </c>
      <c r="O23" s="78">
        <f t="shared" si="2"/>
        <v>0.53521940520020972</v>
      </c>
      <c r="P23" s="78">
        <f t="shared" si="2"/>
        <v>0.5429375829409866</v>
      </c>
      <c r="Q23" s="78">
        <f t="shared" si="2"/>
        <v>0.51324011778517986</v>
      </c>
      <c r="R23" s="78">
        <f t="shared" si="2"/>
        <v>0.52404822883725022</v>
      </c>
      <c r="S23" s="78">
        <f t="shared" si="2"/>
        <v>0.51817926745787757</v>
      </c>
      <c r="T23" s="78">
        <f t="shared" si="2"/>
        <v>0.52231046148546056</v>
      </c>
      <c r="U23" s="78">
        <f t="shared" si="2"/>
        <v>0.52968679219211179</v>
      </c>
      <c r="V23" s="78">
        <f t="shared" si="2"/>
        <v>0.56019957518550723</v>
      </c>
      <c r="W23" s="78">
        <f t="shared" si="2"/>
        <v>0.56043318906494477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2024-05-20T16:50:12Z</dcterms:created>
  <dcterms:modified xsi:type="dcterms:W3CDTF">2024-05-20T16:50:12Z</dcterms:modified>
</cp:coreProperties>
</file>